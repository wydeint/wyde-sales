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2026\Wyde Interior\รายงานจัดซื้อจัดจ้าง\พี่วรรณ\"/>
    </mc:Choice>
  </mc:AlternateContent>
  <xr:revisionPtr revIDLastSave="0" documentId="8_{6D4A3995-671F-4C72-BE34-D381D089EF4D}" xr6:coauthVersionLast="36" xr6:coauthVersionMax="36" xr10:uidLastSave="{00000000-0000-0000-0000-000000000000}"/>
  <bookViews>
    <workbookView xWindow="0" yWindow="0" windowWidth="23040" windowHeight="8940" firstSheet="1" activeTab="2" xr2:uid="{4251EE5B-899D-49FE-A0F5-8F0F7E39EE67}"/>
  </bookViews>
  <sheets>
    <sheet name="Revenue-Cost (6)" sheetId="1" state="hidden" r:id="rId1"/>
    <sheet name="Revenue-Cost (7)" sheetId="3" r:id="rId2"/>
    <sheet name="Revenue-Cost (8)" sheetId="4" r:id="rId3"/>
  </sheets>
  <externalReferences>
    <externalReference r:id="rId4"/>
    <externalReference r:id="rId5"/>
    <externalReference r:id="rId6"/>
  </externalReferences>
  <definedNames>
    <definedName name="_________________kvs1">{#N/A,#N/A,FALSE,"COVER1.XLS ";#N/A,#N/A,FALSE,"RACT1.XLS";#N/A,#N/A,FALSE,"RACT2.XLS";#N/A,#N/A,FALSE,"ECCMP";#N/A,#N/A,FALSE,"WELDER.XLS"}</definedName>
    <definedName name="_________________kvs2">{#N/A,#N/A,FALSE,"COVER1.XLS ";#N/A,#N/A,FALSE,"RACT1.XLS";#N/A,#N/A,FALSE,"RACT2.XLS";#N/A,#N/A,FALSE,"ECCMP";#N/A,#N/A,FALSE,"WELDER.XLS"}</definedName>
    <definedName name="_________________kvs5">{#N/A,#N/A,FALSE,"COVER.XLS";#N/A,#N/A,FALSE,"RACT1.XLS";#N/A,#N/A,FALSE,"RACT2.XLS";#N/A,#N/A,FALSE,"ECCMP";#N/A,#N/A,FALSE,"WELDER.XLS"}</definedName>
    <definedName name="_________________kvs8">{#N/A,#N/A,FALSE,"COVER1.XLS ";#N/A,#N/A,FALSE,"RACT1.XLS";#N/A,#N/A,FALSE,"RACT2.XLS";#N/A,#N/A,FALSE,"ECCMP";#N/A,#N/A,FALSE,"WELDER.XLS"}</definedName>
    <definedName name="__________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MB2">{#N/A,#N/A,FALSE,"COVER.XLS";#N/A,#N/A,FALSE,"RACT1.XLS";#N/A,#N/A,FALSE,"RACT2.XLS";#N/A,#N/A,FALSE,"ECCMP";#N/A,#N/A,FALSE,"WELDER.XLS"}</definedName>
    <definedName name="__________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kvs1">{#N/A,#N/A,FALSE,"COVER1.XLS ";#N/A,#N/A,FALSE,"RACT1.XLS";#N/A,#N/A,FALSE,"RACT2.XLS";#N/A,#N/A,FALSE,"ECCMP";#N/A,#N/A,FALSE,"WELDER.XLS"}</definedName>
    <definedName name="________________kvs2">{#N/A,#N/A,FALSE,"COVER1.XLS ";#N/A,#N/A,FALSE,"RACT1.XLS";#N/A,#N/A,FALSE,"RACT2.XLS";#N/A,#N/A,FALSE,"ECCMP";#N/A,#N/A,FALSE,"WELDER.XLS"}</definedName>
    <definedName name="________________kvs5">{#N/A,#N/A,FALSE,"COVER.XLS";#N/A,#N/A,FALSE,"RACT1.XLS";#N/A,#N/A,FALSE,"RACT2.XLS";#N/A,#N/A,FALSE,"ECCMP";#N/A,#N/A,FALSE,"WELDER.XLS"}</definedName>
    <definedName name="________________kvs8">{#N/A,#N/A,FALSE,"COVER1.XLS ";#N/A,#N/A,FALSE,"RACT1.XLS";#N/A,#N/A,FALSE,"RACT2.XLS";#N/A,#N/A,FALSE,"ECCMP";#N/A,#N/A,FALSE,"WELDER.XLS"}</definedName>
    <definedName name="_________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MB2">{#N/A,#N/A,FALSE,"COVER.XLS";#N/A,#N/A,FALSE,"RACT1.XLS";#N/A,#N/A,FALSE,"RACT2.XLS";#N/A,#N/A,FALSE,"ECCMP";#N/A,#N/A,FALSE,"WELDER.XLS"}</definedName>
    <definedName name="_________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bsn3">{#N/A,#N/A,FALSE,"COVER1.XLS ";#N/A,#N/A,FALSE,"RACT1.XLS";#N/A,#N/A,FALSE,"RACT2.XLS";#N/A,#N/A,FALSE,"ECCMP";#N/A,#N/A,FALSE,"WELDER.XLS"}</definedName>
    <definedName name="_______________kvs1">{#N/A,#N/A,FALSE,"COVER1.XLS ";#N/A,#N/A,FALSE,"RACT1.XLS";#N/A,#N/A,FALSE,"RACT2.XLS";#N/A,#N/A,FALSE,"ECCMP";#N/A,#N/A,FALSE,"WELDER.XLS"}</definedName>
    <definedName name="_______________kvs2">{#N/A,#N/A,FALSE,"COVER1.XLS ";#N/A,#N/A,FALSE,"RACT1.XLS";#N/A,#N/A,FALSE,"RACT2.XLS";#N/A,#N/A,FALSE,"ECCMP";#N/A,#N/A,FALSE,"WELDER.XLS"}</definedName>
    <definedName name="_______________kvs5">{#N/A,#N/A,FALSE,"COVER.XLS";#N/A,#N/A,FALSE,"RACT1.XLS";#N/A,#N/A,FALSE,"RACT2.XLS";#N/A,#N/A,FALSE,"ECCMP";#N/A,#N/A,FALSE,"WELDER.XLS"}</definedName>
    <definedName name="_______________kvs8">{#N/A,#N/A,FALSE,"COVER1.XLS ";#N/A,#N/A,FALSE,"RACT1.XLS";#N/A,#N/A,FALSE,"RACT2.XLS";#N/A,#N/A,FALSE,"ECCMP";#N/A,#N/A,FALSE,"WELDER.XLS"}</definedName>
    <definedName name="________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MB2">{#N/A,#N/A,FALSE,"COVER.XLS";#N/A,#N/A,FALSE,"RACT1.XLS";#N/A,#N/A,FALSE,"RACT2.XLS";#N/A,#N/A,FALSE,"ECCMP";#N/A,#N/A,FALSE,"WELDER.XLS"}</definedName>
    <definedName name="________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AP1">{#N/A,#N/A,FALSE,"COVER1.XLS ";#N/A,#N/A,FALSE,"RACT1.XLS";#N/A,#N/A,FALSE,"RACT2.XLS";#N/A,#N/A,FALSE,"ECCMP";#N/A,#N/A,FALSE,"WELDER.XLS"}</definedName>
    <definedName name="______________bsn3">{#N/A,#N/A,FALSE,"COVER1.XLS ";#N/A,#N/A,FALSE,"RACT1.XLS";#N/A,#N/A,FALSE,"RACT2.XLS";#N/A,#N/A,FALSE,"ECCMP";#N/A,#N/A,FALSE,"WELDER.XLS"}</definedName>
    <definedName name="______________kvs1">{#N/A,#N/A,FALSE,"COVER1.XLS ";#N/A,#N/A,FALSE,"RACT1.XLS";#N/A,#N/A,FALSE,"RACT2.XLS";#N/A,#N/A,FALSE,"ECCMP";#N/A,#N/A,FALSE,"WELDER.XLS"}</definedName>
    <definedName name="______________kvs2">{#N/A,#N/A,FALSE,"COVER1.XLS ";#N/A,#N/A,FALSE,"RACT1.XLS";#N/A,#N/A,FALSE,"RACT2.XLS";#N/A,#N/A,FALSE,"ECCMP";#N/A,#N/A,FALSE,"WELDER.XLS"}</definedName>
    <definedName name="______________kvs5">{#N/A,#N/A,FALSE,"COVER.XLS";#N/A,#N/A,FALSE,"RACT1.XLS";#N/A,#N/A,FALSE,"RACT2.XLS";#N/A,#N/A,FALSE,"ECCMP";#N/A,#N/A,FALSE,"WELDER.XLS"}</definedName>
    <definedName name="______________kvs8">{#N/A,#N/A,FALSE,"COVER1.XLS ";#N/A,#N/A,FALSE,"RACT1.XLS";#N/A,#N/A,FALSE,"RACT2.XLS";#N/A,#N/A,FALSE,"ECCMP";#N/A,#N/A,FALSE,"WELDER.XLS"}</definedName>
    <definedName name="_______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MB2">{#N/A,#N/A,FALSE,"COVER.XLS";#N/A,#N/A,FALSE,"RACT1.XLS";#N/A,#N/A,FALSE,"RACT2.XLS";#N/A,#N/A,FALSE,"ECCMP";#N/A,#N/A,FALSE,"WELDER.XLS"}</definedName>
    <definedName name="_______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a11">{#N/A,#N/A,FALSE,"COVER1.XLS ";#N/A,#N/A,FALSE,"RACT1.XLS";#N/A,#N/A,FALSE,"RACT2.XLS";#N/A,#N/A,FALSE,"ECCMP";#N/A,#N/A,FALSE,"WELDER.XLS"}</definedName>
    <definedName name="_____________AP1">{#N/A,#N/A,FALSE,"COVER1.XLS ";#N/A,#N/A,FALSE,"RACT1.XLS";#N/A,#N/A,FALSE,"RACT2.XLS";#N/A,#N/A,FALSE,"ECCMP";#N/A,#N/A,FALSE,"WELDER.XLS"}</definedName>
    <definedName name="_____________asd12">{#N/A,#N/A,FALSE,"COVER.XLS";#N/A,#N/A,FALSE,"RACT1.XLS";#N/A,#N/A,FALSE,"RACT2.XLS";#N/A,#N/A,FALSE,"ECCMP";#N/A,#N/A,FALSE,"WELDER.XLS"}</definedName>
    <definedName name="_____________bsn3">{#N/A,#N/A,FALSE,"COVER1.XLS ";#N/A,#N/A,FALSE,"RACT1.XLS";#N/A,#N/A,FALSE,"RACT2.XLS";#N/A,#N/A,FALSE,"ECCMP";#N/A,#N/A,FALSE,"WELDER.XLS"}</definedName>
    <definedName name="_____________f2">{#N/A,#N/A,FALSE,"COVER1.XLS ";#N/A,#N/A,FALSE,"RACT1.XLS";#N/A,#N/A,FALSE,"RACT2.XLS";#N/A,#N/A,FALSE,"ECCMP";#N/A,#N/A,FALSE,"WELDER.XLS"}</definedName>
    <definedName name="_____________giu9">{#N/A,#N/A,FALSE,"COVER.XLS";#N/A,#N/A,FALSE,"RACT1.XLS";#N/A,#N/A,FALSE,"RACT2.XLS";#N/A,#N/A,FALSE,"ECCMP";#N/A,#N/A,FALSE,"WELDER.XLS"}</definedName>
    <definedName name="__________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__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kvs1">{#N/A,#N/A,FALSE,"COVER1.XLS ";#N/A,#N/A,FALSE,"RACT1.XLS";#N/A,#N/A,FALSE,"RACT2.XLS";#N/A,#N/A,FALSE,"ECCMP";#N/A,#N/A,FALSE,"WELDER.XLS"}</definedName>
    <definedName name="_____________kvs2">{#N/A,#N/A,FALSE,"COVER1.XLS ";#N/A,#N/A,FALSE,"RACT1.XLS";#N/A,#N/A,FALSE,"RACT2.XLS";#N/A,#N/A,FALSE,"ECCMP";#N/A,#N/A,FALSE,"WELDER.XLS"}</definedName>
    <definedName name="_____________kvs21">{#N/A,#N/A,FALSE,"COVER1.XLS ";#N/A,#N/A,FALSE,"RACT1.XLS";#N/A,#N/A,FALSE,"RACT2.XLS";#N/A,#N/A,FALSE,"ECCMP";#N/A,#N/A,FALSE,"WELDER.XLS"}</definedName>
    <definedName name="_____________KVS3">{#N/A,#N/A,FALSE,"COVER1.XLS ";#N/A,#N/A,FALSE,"RACT1.XLS";#N/A,#N/A,FALSE,"RACT2.XLS";#N/A,#N/A,FALSE,"ECCMP";#N/A,#N/A,FALSE,"WELDER.XLS"}</definedName>
    <definedName name="_____________kvs5">{#N/A,#N/A,FALSE,"COVER.XLS";#N/A,#N/A,FALSE,"RACT1.XLS";#N/A,#N/A,FALSE,"RACT2.XLS";#N/A,#N/A,FALSE,"ECCMP";#N/A,#N/A,FALSE,"WELDER.XLS"}</definedName>
    <definedName name="_____________kvs8">{#N/A,#N/A,FALSE,"COVER1.XLS ";#N/A,#N/A,FALSE,"RACT1.XLS";#N/A,#N/A,FALSE,"RACT2.XLS";#N/A,#N/A,FALSE,"ECCMP";#N/A,#N/A,FALSE,"WELDER.XLS"}</definedName>
    <definedName name="_____________kvs80">{#N/A,#N/A,FALSE,"COVER1.XLS ";#N/A,#N/A,FALSE,"RACT1.XLS";#N/A,#N/A,FALSE,"RACT2.XLS";#N/A,#N/A,FALSE,"ECCMP";#N/A,#N/A,FALSE,"WELDER.XLS"}</definedName>
    <definedName name="______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MB2">{#N/A,#N/A,FALSE,"COVER.XLS";#N/A,#N/A,FALSE,"RACT1.XLS";#N/A,#N/A,FALSE,"RACT2.XLS";#N/A,#N/A,FALSE,"ECCMP";#N/A,#N/A,FALSE,"WELDER.XLS"}</definedName>
    <definedName name="__________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tac2">{#N/A,#N/A,FALSE,"COVER1.XLS ";#N/A,#N/A,FALSE,"RACT1.XLS";#N/A,#N/A,FALSE,"RACT2.XLS";#N/A,#N/A,FALSE,"ECCMP";#N/A,#N/A,FALSE,"WELDER.XLS"}</definedName>
    <definedName name="______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a11">{#N/A,#N/A,FALSE,"COVER1.XLS ";#N/A,#N/A,FALSE,"RACT1.XLS";#N/A,#N/A,FALSE,"RACT2.XLS";#N/A,#N/A,FALSE,"ECCMP";#N/A,#N/A,FALSE,"WELDER.XLS"}</definedName>
    <definedName name="____________AP1">{#N/A,#N/A,FALSE,"COVER1.XLS ";#N/A,#N/A,FALSE,"RACT1.XLS";#N/A,#N/A,FALSE,"RACT2.XLS";#N/A,#N/A,FALSE,"ECCMP";#N/A,#N/A,FALSE,"WELDER.XLS"}</definedName>
    <definedName name="____________asd12">{#N/A,#N/A,FALSE,"COVER.XLS";#N/A,#N/A,FALSE,"RACT1.XLS";#N/A,#N/A,FALSE,"RACT2.XLS";#N/A,#N/A,FALSE,"ECCMP";#N/A,#N/A,FALSE,"WELDER.XLS"}</definedName>
    <definedName name="____________bsn3">{#N/A,#N/A,FALSE,"COVER1.XLS ";#N/A,#N/A,FALSE,"RACT1.XLS";#N/A,#N/A,FALSE,"RACT2.XLS";#N/A,#N/A,FALSE,"ECCMP";#N/A,#N/A,FALSE,"WELDER.XLS"}</definedName>
    <definedName name="____________f2">{#N/A,#N/A,FALSE,"COVER1.XLS ";#N/A,#N/A,FALSE,"RACT1.XLS";#N/A,#N/A,FALSE,"RACT2.XLS";#N/A,#N/A,FALSE,"ECCMP";#N/A,#N/A,FALSE,"WELDER.XLS"}</definedName>
    <definedName name="____________giu9">{#N/A,#N/A,FALSE,"COVER.XLS";#N/A,#N/A,FALSE,"RACT1.XLS";#N/A,#N/A,FALSE,"RACT2.XLS";#N/A,#N/A,FALSE,"ECCMP";#N/A,#N/A,FALSE,"WELDER.XLS"}</definedName>
    <definedName name="_________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_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kvs1">{#N/A,#N/A,FALSE,"COVER1.XLS ";#N/A,#N/A,FALSE,"RACT1.XLS";#N/A,#N/A,FALSE,"RACT2.XLS";#N/A,#N/A,FALSE,"ECCMP";#N/A,#N/A,FALSE,"WELDER.XLS"}</definedName>
    <definedName name="____________kvs2">{#N/A,#N/A,FALSE,"COVER1.XLS ";#N/A,#N/A,FALSE,"RACT1.XLS";#N/A,#N/A,FALSE,"RACT2.XLS";#N/A,#N/A,FALSE,"ECCMP";#N/A,#N/A,FALSE,"WELDER.XLS"}</definedName>
    <definedName name="____________kvs21">{#N/A,#N/A,FALSE,"COVER1.XLS ";#N/A,#N/A,FALSE,"RACT1.XLS";#N/A,#N/A,FALSE,"RACT2.XLS";#N/A,#N/A,FALSE,"ECCMP";#N/A,#N/A,FALSE,"WELDER.XLS"}</definedName>
    <definedName name="____________KVS3">{#N/A,#N/A,FALSE,"COVER1.XLS ";#N/A,#N/A,FALSE,"RACT1.XLS";#N/A,#N/A,FALSE,"RACT2.XLS";#N/A,#N/A,FALSE,"ECCMP";#N/A,#N/A,FALSE,"WELDER.XLS"}</definedName>
    <definedName name="____________kvs5">{#N/A,#N/A,FALSE,"COVER.XLS";#N/A,#N/A,FALSE,"RACT1.XLS";#N/A,#N/A,FALSE,"RACT2.XLS";#N/A,#N/A,FALSE,"ECCMP";#N/A,#N/A,FALSE,"WELDER.XLS"}</definedName>
    <definedName name="____________kvs8">{#N/A,#N/A,FALSE,"COVER1.XLS ";#N/A,#N/A,FALSE,"RACT1.XLS";#N/A,#N/A,FALSE,"RACT2.XLS";#N/A,#N/A,FALSE,"ECCMP";#N/A,#N/A,FALSE,"WELDER.XLS"}</definedName>
    <definedName name="____________kvs80">{#N/A,#N/A,FALSE,"COVER1.XLS ";#N/A,#N/A,FALSE,"RACT1.XLS";#N/A,#N/A,FALSE,"RACT2.XLS";#N/A,#N/A,FALSE,"ECCMP";#N/A,#N/A,FALSE,"WELDER.XLS"}</definedName>
    <definedName name="_____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MB2">{#N/A,#N/A,FALSE,"COVER.XLS";#N/A,#N/A,FALSE,"RACT1.XLS";#N/A,#N/A,FALSE,"RACT2.XLS";#N/A,#N/A,FALSE,"ECCMP";#N/A,#N/A,FALSE,"WELDER.XLS"}</definedName>
    <definedName name="_________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tac2">{#N/A,#N/A,FALSE,"COVER1.XLS ";#N/A,#N/A,FALSE,"RACT1.XLS";#N/A,#N/A,FALSE,"RACT2.XLS";#N/A,#N/A,FALSE,"ECCMP";#N/A,#N/A,FALSE,"WELDER.XLS"}</definedName>
    <definedName name="_____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_______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a11">{#N/A,#N/A,FALSE,"COVER1.XLS ";#N/A,#N/A,FALSE,"RACT1.XLS";#N/A,#N/A,FALSE,"RACT2.XLS";#N/A,#N/A,FALSE,"ECCMP";#N/A,#N/A,FALSE,"WELDER.XLS"}</definedName>
    <definedName name="___________AP1">{#N/A,#N/A,FALSE,"COVER1.XLS ";#N/A,#N/A,FALSE,"RACT1.XLS";#N/A,#N/A,FALSE,"RACT2.XLS";#N/A,#N/A,FALSE,"ECCMP";#N/A,#N/A,FALSE,"WELDER.XLS"}</definedName>
    <definedName name="___________asd12">{#N/A,#N/A,FALSE,"COVER.XLS";#N/A,#N/A,FALSE,"RACT1.XLS";#N/A,#N/A,FALSE,"RACT2.XLS";#N/A,#N/A,FALSE,"ECCMP";#N/A,#N/A,FALSE,"WELDER.XLS"}</definedName>
    <definedName name="___________bsn3">{#N/A,#N/A,FALSE,"COVER1.XLS ";#N/A,#N/A,FALSE,"RACT1.XLS";#N/A,#N/A,FALSE,"RACT2.XLS";#N/A,#N/A,FALSE,"ECCMP";#N/A,#N/A,FALSE,"WELDER.XLS"}</definedName>
    <definedName name="___________f2">{#N/A,#N/A,FALSE,"COVER1.XLS ";#N/A,#N/A,FALSE,"RACT1.XLS";#N/A,#N/A,FALSE,"RACT2.XLS";#N/A,#N/A,FALSE,"ECCMP";#N/A,#N/A,FALSE,"WELDER.XLS"}</definedName>
    <definedName name="___________giu9">{#N/A,#N/A,FALSE,"COVER.XLS";#N/A,#N/A,FALSE,"RACT1.XLS";#N/A,#N/A,FALSE,"RACT2.XLS";#N/A,#N/A,FALSE,"ECCMP";#N/A,#N/A,FALSE,"WELDER.XLS"}</definedName>
    <definedName name="________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kvs1">{#N/A,#N/A,FALSE,"COVER1.XLS ";#N/A,#N/A,FALSE,"RACT1.XLS";#N/A,#N/A,FALSE,"RACT2.XLS";#N/A,#N/A,FALSE,"ECCMP";#N/A,#N/A,FALSE,"WELDER.XLS"}</definedName>
    <definedName name="___________kvs2">{#N/A,#N/A,FALSE,"COVER1.XLS ";#N/A,#N/A,FALSE,"RACT1.XLS";#N/A,#N/A,FALSE,"RACT2.XLS";#N/A,#N/A,FALSE,"ECCMP";#N/A,#N/A,FALSE,"WELDER.XLS"}</definedName>
    <definedName name="___________kvs21">{#N/A,#N/A,FALSE,"COVER1.XLS ";#N/A,#N/A,FALSE,"RACT1.XLS";#N/A,#N/A,FALSE,"RACT2.XLS";#N/A,#N/A,FALSE,"ECCMP";#N/A,#N/A,FALSE,"WELDER.XLS"}</definedName>
    <definedName name="___________KVS3">{#N/A,#N/A,FALSE,"COVER1.XLS ";#N/A,#N/A,FALSE,"RACT1.XLS";#N/A,#N/A,FALSE,"RACT2.XLS";#N/A,#N/A,FALSE,"ECCMP";#N/A,#N/A,FALSE,"WELDER.XLS"}</definedName>
    <definedName name="___________kvs5">{#N/A,#N/A,FALSE,"COVER.XLS";#N/A,#N/A,FALSE,"RACT1.XLS";#N/A,#N/A,FALSE,"RACT2.XLS";#N/A,#N/A,FALSE,"ECCMP";#N/A,#N/A,FALSE,"WELDER.XLS"}</definedName>
    <definedName name="___________kvs8">{#N/A,#N/A,FALSE,"COVER1.XLS ";#N/A,#N/A,FALSE,"RACT1.XLS";#N/A,#N/A,FALSE,"RACT2.XLS";#N/A,#N/A,FALSE,"ECCMP";#N/A,#N/A,FALSE,"WELDER.XLS"}</definedName>
    <definedName name="___________kvs80">{#N/A,#N/A,FALSE,"COVER1.XLS ";#N/A,#N/A,FALSE,"RACT1.XLS";#N/A,#N/A,FALSE,"RACT2.XLS";#N/A,#N/A,FALSE,"ECCMP";#N/A,#N/A,FALSE,"WELDER.XLS"}</definedName>
    <definedName name="____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MB2">{#N/A,#N/A,FALSE,"COVER.XLS";#N/A,#N/A,FALSE,"RACT1.XLS";#N/A,#N/A,FALSE,"RACT2.XLS";#N/A,#N/A,FALSE,"ECCMP";#N/A,#N/A,FALSE,"WELDER.XLS"}</definedName>
    <definedName name="________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tac2">{#N/A,#N/A,FALSE,"COVER1.XLS ";#N/A,#N/A,FALSE,"RACT1.XLS";#N/A,#N/A,FALSE,"RACT2.XLS";#N/A,#N/A,FALSE,"ECCMP";#N/A,#N/A,FALSE,"WELDER.XLS"}</definedName>
    <definedName name="____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______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a11">{#N/A,#N/A,FALSE,"COVER1.XLS ";#N/A,#N/A,FALSE,"RACT1.XLS";#N/A,#N/A,FALSE,"RACT2.XLS";#N/A,#N/A,FALSE,"ECCMP";#N/A,#N/A,FALSE,"WELDER.XLS"}</definedName>
    <definedName name="__________AP1">{#N/A,#N/A,FALSE,"COVER1.XLS ";#N/A,#N/A,FALSE,"RACT1.XLS";#N/A,#N/A,FALSE,"RACT2.XLS";#N/A,#N/A,FALSE,"ECCMP";#N/A,#N/A,FALSE,"WELDER.XLS"}</definedName>
    <definedName name="__________asd12">{#N/A,#N/A,FALSE,"COVER.XLS";#N/A,#N/A,FALSE,"RACT1.XLS";#N/A,#N/A,FALSE,"RACT2.XLS";#N/A,#N/A,FALSE,"ECCMP";#N/A,#N/A,FALSE,"WELDER.XLS"}</definedName>
    <definedName name="__________bsn3">{#N/A,#N/A,FALSE,"COVER1.XLS ";#N/A,#N/A,FALSE,"RACT1.XLS";#N/A,#N/A,FALSE,"RACT2.XLS";#N/A,#N/A,FALSE,"ECCMP";#N/A,#N/A,FALSE,"WELDER.XLS"}</definedName>
    <definedName name="__________f2">{#N/A,#N/A,FALSE,"COVER1.XLS ";#N/A,#N/A,FALSE,"RACT1.XLS";#N/A,#N/A,FALSE,"RACT2.XLS";#N/A,#N/A,FALSE,"ECCMP";#N/A,#N/A,FALSE,"WELDER.XLS"}</definedName>
    <definedName name="__________giu9">{#N/A,#N/A,FALSE,"COVER.XLS";#N/A,#N/A,FALSE,"RACT1.XLS";#N/A,#N/A,FALSE,"RACT2.XLS";#N/A,#N/A,FALSE,"ECCMP";#N/A,#N/A,FALSE,"WELDER.XLS"}</definedName>
    <definedName name="__________hr1">{#N/A,#N/A,FALSE,"COVER1.XLS ";#N/A,#N/A,FALSE,"RACT1.XLS";#N/A,#N/A,FALSE,"RACT2.XLS";#N/A,#N/A,FALSE,"ECCMP";#N/A,#N/A,FALSE,"WELDER.XLS"}</definedName>
    <definedName name="__________hr10">{#N/A,#N/A,FALSE,"COVER1.XLS ";#N/A,#N/A,FALSE,"RACT1.XLS";#N/A,#N/A,FALSE,"RACT2.XLS";#N/A,#N/A,FALSE,"ECCMP";#N/A,#N/A,FALSE,"WELDER.XLS"}</definedName>
    <definedName name="__________hr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hr12">{#N/A,#N/A,FALSE,"COVER.XLS";#N/A,#N/A,FALSE,"RACT1.XLS";#N/A,#N/A,FALSE,"RACT2.XLS";#N/A,#N/A,FALSE,"ECCMP";#N/A,#N/A,FALSE,"WELDER.XLS"}</definedName>
    <definedName name="__________hr13">{#N/A,#N/A,FALSE,"COVER.XLS";#N/A,#N/A,FALSE,"RACT1.XLS";#N/A,#N/A,FALSE,"RACT2.XLS";#N/A,#N/A,FALSE,"ECCMP";#N/A,#N/A,FALSE,"WELDER.XLS"}</definedName>
    <definedName name="__________hr1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hr2">{#N/A,#N/A,FALSE,"COVER1.XLS ";#N/A,#N/A,FALSE,"RACT1.XLS";#N/A,#N/A,FALSE,"RACT2.XLS";#N/A,#N/A,FALSE,"ECCMP";#N/A,#N/A,FALSE,"WELDER.XLS"}</definedName>
    <definedName name="__________hr3">{#N/A,#N/A,FALSE,"COVER.XLS";#N/A,#N/A,FALSE,"RACT1.XLS";#N/A,#N/A,FALSE,"RACT2.XLS";#N/A,#N/A,FALSE,"ECCMP";#N/A,#N/A,FALSE,"WELDER.XLS"}</definedName>
    <definedName name="__________hr4">{#N/A,#N/A,FALSE,"COVER1.XLS ";#N/A,#N/A,FALSE,"RACT1.XLS";#N/A,#N/A,FALSE,"RACT2.XLS";#N/A,#N/A,FALSE,"ECCMP";#N/A,#N/A,FALSE,"WELDER.XLS"}</definedName>
    <definedName name="__________hr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hr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hr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_______hr8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hr9">{#N/A,#N/A,FALSE,"COVER1.XLS ";#N/A,#N/A,FALSE,"RACT1.XLS";#N/A,#N/A,FALSE,"RACT2.XLS";#N/A,#N/A,FALSE,"ECCMP";#N/A,#N/A,FALSE,"WELDER.XLS"}</definedName>
    <definedName name="_______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kvs1">{#N/A,#N/A,FALSE,"COVER1.XLS ";#N/A,#N/A,FALSE,"RACT1.XLS";#N/A,#N/A,FALSE,"RACT2.XLS";#N/A,#N/A,FALSE,"ECCMP";#N/A,#N/A,FALSE,"WELDER.XLS"}</definedName>
    <definedName name="__________kvs2">{#N/A,#N/A,FALSE,"COVER1.XLS ";#N/A,#N/A,FALSE,"RACT1.XLS";#N/A,#N/A,FALSE,"RACT2.XLS";#N/A,#N/A,FALSE,"ECCMP";#N/A,#N/A,FALSE,"WELDER.XLS"}</definedName>
    <definedName name="__________kvs21">{#N/A,#N/A,FALSE,"COVER1.XLS ";#N/A,#N/A,FALSE,"RACT1.XLS";#N/A,#N/A,FALSE,"RACT2.XLS";#N/A,#N/A,FALSE,"ECCMP";#N/A,#N/A,FALSE,"WELDER.XLS"}</definedName>
    <definedName name="__________KVS3">{#N/A,#N/A,FALSE,"COVER1.XLS ";#N/A,#N/A,FALSE,"RACT1.XLS";#N/A,#N/A,FALSE,"RACT2.XLS";#N/A,#N/A,FALSE,"ECCMP";#N/A,#N/A,FALSE,"WELDER.XLS"}</definedName>
    <definedName name="__________kvs5">{#N/A,#N/A,FALSE,"COVER.XLS";#N/A,#N/A,FALSE,"RACT1.XLS";#N/A,#N/A,FALSE,"RACT2.XLS";#N/A,#N/A,FALSE,"ECCMP";#N/A,#N/A,FALSE,"WELDER.XLS"}</definedName>
    <definedName name="__________kvs8">{#N/A,#N/A,FALSE,"COVER1.XLS ";#N/A,#N/A,FALSE,"RACT1.XLS";#N/A,#N/A,FALSE,"RACT2.XLS";#N/A,#N/A,FALSE,"ECCMP";#N/A,#N/A,FALSE,"WELDER.XLS"}</definedName>
    <definedName name="__________kvs80">{#N/A,#N/A,FALSE,"COVER1.XLS ";#N/A,#N/A,FALSE,"RACT1.XLS";#N/A,#N/A,FALSE,"RACT2.XLS";#N/A,#N/A,FALSE,"ECCMP";#N/A,#N/A,FALSE,"WELDER.XLS"}</definedName>
    <definedName name="__________lj1">{#N/A,#N/A,FALSE,"COVER1.XLS ";#N/A,#N/A,FALSE,"RACT1.XLS";#N/A,#N/A,FALSE,"RACT2.XLS";#N/A,#N/A,FALSE,"ECCMP";#N/A,#N/A,FALSE,"WELDER.XLS"}</definedName>
    <definedName name="___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MB2">{#N/A,#N/A,FALSE,"COVER.XLS";#N/A,#N/A,FALSE,"RACT1.XLS";#N/A,#N/A,FALSE,"RACT2.XLS";#N/A,#N/A,FALSE,"ECCMP";#N/A,#N/A,FALSE,"WELDER.XLS"}</definedName>
    <definedName name="_______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tac2">{#N/A,#N/A,FALSE,"COVER1.XLS ";#N/A,#N/A,FALSE,"RACT1.XLS";#N/A,#N/A,FALSE,"RACT2.XLS";#N/A,#N/A,FALSE,"ECCMP";#N/A,#N/A,FALSE,"WELDER.XLS"}</definedName>
    <definedName name="___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________wat1">{#N/A,#N/A,FALSE,"COVER1.XLS ";#N/A,#N/A,FALSE,"RACT1.XLS";#N/A,#N/A,FALSE,"RACT2.XLS";#N/A,#N/A,FALSE,"ECCMP";#N/A,#N/A,FALSE,"WELDER.XLS"}</definedName>
    <definedName name="_______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a11">{#N/A,#N/A,FALSE,"COVER1.XLS ";#N/A,#N/A,FALSE,"RACT1.XLS";#N/A,#N/A,FALSE,"RACT2.XLS";#N/A,#N/A,FALSE,"ECCMP";#N/A,#N/A,FALSE,"WELDER.XLS"}</definedName>
    <definedName name="_________AP1">{#N/A,#N/A,FALSE,"COVER1.XLS ";#N/A,#N/A,FALSE,"RACT1.XLS";#N/A,#N/A,FALSE,"RACT2.XLS";#N/A,#N/A,FALSE,"ECCMP";#N/A,#N/A,FALSE,"WELDER.XLS"}</definedName>
    <definedName name="_________asd12">{#N/A,#N/A,FALSE,"COVER.XLS";#N/A,#N/A,FALSE,"RACT1.XLS";#N/A,#N/A,FALSE,"RACT2.XLS";#N/A,#N/A,FALSE,"ECCMP";#N/A,#N/A,FALSE,"WELDER.XLS"}</definedName>
    <definedName name="_________bsn3">{#N/A,#N/A,FALSE,"COVER1.XLS ";#N/A,#N/A,FALSE,"RACT1.XLS";#N/A,#N/A,FALSE,"RACT2.XLS";#N/A,#N/A,FALSE,"ECCMP";#N/A,#N/A,FALSE,"WELDER.XLS"}</definedName>
    <definedName name="_________f2">{#N/A,#N/A,FALSE,"COVER1.XLS ";#N/A,#N/A,FALSE,"RACT1.XLS";#N/A,#N/A,FALSE,"RACT2.XLS";#N/A,#N/A,FALSE,"ECCMP";#N/A,#N/A,FALSE,"WELDER.XLS"}</definedName>
    <definedName name="_________giu9">{#N/A,#N/A,FALSE,"COVER.XLS";#N/A,#N/A,FALSE,"RACT1.XLS";#N/A,#N/A,FALSE,"RACT2.XLS";#N/A,#N/A,FALSE,"ECCMP";#N/A,#N/A,FALSE,"WELDER.XLS"}</definedName>
    <definedName name="_________hr1">{#N/A,#N/A,FALSE,"COVER1.XLS ";#N/A,#N/A,FALSE,"RACT1.XLS";#N/A,#N/A,FALSE,"RACT2.XLS";#N/A,#N/A,FALSE,"ECCMP";#N/A,#N/A,FALSE,"WELDER.XLS"}</definedName>
    <definedName name="_________hr10">{#N/A,#N/A,FALSE,"COVER1.XLS ";#N/A,#N/A,FALSE,"RACT1.XLS";#N/A,#N/A,FALSE,"RACT2.XLS";#N/A,#N/A,FALSE,"ECCMP";#N/A,#N/A,FALSE,"WELDER.XLS"}</definedName>
    <definedName name="_________hr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hr12">{#N/A,#N/A,FALSE,"COVER.XLS";#N/A,#N/A,FALSE,"RACT1.XLS";#N/A,#N/A,FALSE,"RACT2.XLS";#N/A,#N/A,FALSE,"ECCMP";#N/A,#N/A,FALSE,"WELDER.XLS"}</definedName>
    <definedName name="_________hr13">{#N/A,#N/A,FALSE,"COVER.XLS";#N/A,#N/A,FALSE,"RACT1.XLS";#N/A,#N/A,FALSE,"RACT2.XLS";#N/A,#N/A,FALSE,"ECCMP";#N/A,#N/A,FALSE,"WELDER.XLS"}</definedName>
    <definedName name="_________hr1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hr2">{#N/A,#N/A,FALSE,"COVER1.XLS ";#N/A,#N/A,FALSE,"RACT1.XLS";#N/A,#N/A,FALSE,"RACT2.XLS";#N/A,#N/A,FALSE,"ECCMP";#N/A,#N/A,FALSE,"WELDER.XLS"}</definedName>
    <definedName name="_________hr3">{#N/A,#N/A,FALSE,"COVER.XLS";#N/A,#N/A,FALSE,"RACT1.XLS";#N/A,#N/A,FALSE,"RACT2.XLS";#N/A,#N/A,FALSE,"ECCMP";#N/A,#N/A,FALSE,"WELDER.XLS"}</definedName>
    <definedName name="_________hr4">{#N/A,#N/A,FALSE,"COVER1.XLS ";#N/A,#N/A,FALSE,"RACT1.XLS";#N/A,#N/A,FALSE,"RACT2.XLS";#N/A,#N/A,FALSE,"ECCMP";#N/A,#N/A,FALSE,"WELDER.XLS"}</definedName>
    <definedName name="_________hr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hr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hr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______hr8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hr9">{#N/A,#N/A,FALSE,"COVER1.XLS ";#N/A,#N/A,FALSE,"RACT1.XLS";#N/A,#N/A,FALSE,"RACT2.XLS";#N/A,#N/A,FALSE,"ECCMP";#N/A,#N/A,FALSE,"WELDER.XLS"}</definedName>
    <definedName name="______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kvs1">{#N/A,#N/A,FALSE,"COVER1.XLS ";#N/A,#N/A,FALSE,"RACT1.XLS";#N/A,#N/A,FALSE,"RACT2.XLS";#N/A,#N/A,FALSE,"ECCMP";#N/A,#N/A,FALSE,"WELDER.XLS"}</definedName>
    <definedName name="_________kvs2">{#N/A,#N/A,FALSE,"COVER1.XLS ";#N/A,#N/A,FALSE,"RACT1.XLS";#N/A,#N/A,FALSE,"RACT2.XLS";#N/A,#N/A,FALSE,"ECCMP";#N/A,#N/A,FALSE,"WELDER.XLS"}</definedName>
    <definedName name="_________kvs21">{#N/A,#N/A,FALSE,"COVER1.XLS ";#N/A,#N/A,FALSE,"RACT1.XLS";#N/A,#N/A,FALSE,"RACT2.XLS";#N/A,#N/A,FALSE,"ECCMP";#N/A,#N/A,FALSE,"WELDER.XLS"}</definedName>
    <definedName name="_________KVS3">{#N/A,#N/A,FALSE,"COVER1.XLS ";#N/A,#N/A,FALSE,"RACT1.XLS";#N/A,#N/A,FALSE,"RACT2.XLS";#N/A,#N/A,FALSE,"ECCMP";#N/A,#N/A,FALSE,"WELDER.XLS"}</definedName>
    <definedName name="_________kvs5">{#N/A,#N/A,FALSE,"COVER.XLS";#N/A,#N/A,FALSE,"RACT1.XLS";#N/A,#N/A,FALSE,"RACT2.XLS";#N/A,#N/A,FALSE,"ECCMP";#N/A,#N/A,FALSE,"WELDER.XLS"}</definedName>
    <definedName name="_________kvs8">{#N/A,#N/A,FALSE,"COVER1.XLS ";#N/A,#N/A,FALSE,"RACT1.XLS";#N/A,#N/A,FALSE,"RACT2.XLS";#N/A,#N/A,FALSE,"ECCMP";#N/A,#N/A,FALSE,"WELDER.XLS"}</definedName>
    <definedName name="_________kvs80">{#N/A,#N/A,FALSE,"COVER1.XLS ";#N/A,#N/A,FALSE,"RACT1.XLS";#N/A,#N/A,FALSE,"RACT2.XLS";#N/A,#N/A,FALSE,"ECCMP";#N/A,#N/A,FALSE,"WELDER.XLS"}</definedName>
    <definedName name="_________lj1">{#N/A,#N/A,FALSE,"COVER1.XLS ";#N/A,#N/A,FALSE,"RACT1.XLS";#N/A,#N/A,FALSE,"RACT2.XLS";#N/A,#N/A,FALSE,"ECCMP";#N/A,#N/A,FALSE,"WELDER.XLS"}</definedName>
    <definedName name="__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MB2">{#N/A,#N/A,FALSE,"COVER.XLS";#N/A,#N/A,FALSE,"RACT1.XLS";#N/A,#N/A,FALSE,"RACT2.XLS";#N/A,#N/A,FALSE,"ECCMP";#N/A,#N/A,FALSE,"WELDER.XLS"}</definedName>
    <definedName name="_________REV12">{"'Eng (page2)'!$A$1:$D$52"}</definedName>
    <definedName name="______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tac2">{#N/A,#N/A,FALSE,"COVER1.XLS ";#N/A,#N/A,FALSE,"RACT1.XLS";#N/A,#N/A,FALSE,"RACT2.XLS";#N/A,#N/A,FALSE,"ECCMP";#N/A,#N/A,FALSE,"WELDER.XLS"}</definedName>
    <definedName name="__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_______wat1">{#N/A,#N/A,FALSE,"COVER1.XLS ";#N/A,#N/A,FALSE,"RACT1.XLS";#N/A,#N/A,FALSE,"RACT2.XLS";#N/A,#N/A,FALSE,"ECCMP";#N/A,#N/A,FALSE,"WELDER.XLS"}</definedName>
    <definedName name="______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a11">{#N/A,#N/A,FALSE,"COVER1.XLS ";#N/A,#N/A,FALSE,"RACT1.XLS";#N/A,#N/A,FALSE,"RACT2.XLS";#N/A,#N/A,FALSE,"ECCMP";#N/A,#N/A,FALSE,"WELDER.XLS"}</definedName>
    <definedName name="________AP1">{#N/A,#N/A,FALSE,"COVER1.XLS ";#N/A,#N/A,FALSE,"RACT1.XLS";#N/A,#N/A,FALSE,"RACT2.XLS";#N/A,#N/A,FALSE,"ECCMP";#N/A,#N/A,FALSE,"WELDER.XLS"}</definedName>
    <definedName name="________asd12">{#N/A,#N/A,FALSE,"COVER.XLS";#N/A,#N/A,FALSE,"RACT1.XLS";#N/A,#N/A,FALSE,"RACT2.XLS";#N/A,#N/A,FALSE,"ECCMP";#N/A,#N/A,FALSE,"WELDER.XLS"}</definedName>
    <definedName name="________bsn3">{#N/A,#N/A,FALSE,"COVER1.XLS ";#N/A,#N/A,FALSE,"RACT1.XLS";#N/A,#N/A,FALSE,"RACT2.XLS";#N/A,#N/A,FALSE,"ECCMP";#N/A,#N/A,FALSE,"WELDER.XLS"}</definedName>
    <definedName name="________f2">{#N/A,#N/A,FALSE,"COVER1.XLS ";#N/A,#N/A,FALSE,"RACT1.XLS";#N/A,#N/A,FALSE,"RACT2.XLS";#N/A,#N/A,FALSE,"ECCMP";#N/A,#N/A,FALSE,"WELDER.XLS"}</definedName>
    <definedName name="________giu9">{#N/A,#N/A,FALSE,"COVER.XLS";#N/A,#N/A,FALSE,"RACT1.XLS";#N/A,#N/A,FALSE,"RACT2.XLS";#N/A,#N/A,FALSE,"ECCMP";#N/A,#N/A,FALSE,"WELDER.XLS"}</definedName>
    <definedName name="________hr1">{#N/A,#N/A,FALSE,"COVER1.XLS ";#N/A,#N/A,FALSE,"RACT1.XLS";#N/A,#N/A,FALSE,"RACT2.XLS";#N/A,#N/A,FALSE,"ECCMP";#N/A,#N/A,FALSE,"WELDER.XLS"}</definedName>
    <definedName name="________hr10">{#N/A,#N/A,FALSE,"COVER1.XLS ";#N/A,#N/A,FALSE,"RACT1.XLS";#N/A,#N/A,FALSE,"RACT2.XLS";#N/A,#N/A,FALSE,"ECCMP";#N/A,#N/A,FALSE,"WELDER.XLS"}</definedName>
    <definedName name="________hr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hr12">{#N/A,#N/A,FALSE,"COVER.XLS";#N/A,#N/A,FALSE,"RACT1.XLS";#N/A,#N/A,FALSE,"RACT2.XLS";#N/A,#N/A,FALSE,"ECCMP";#N/A,#N/A,FALSE,"WELDER.XLS"}</definedName>
    <definedName name="________hr13">{#N/A,#N/A,FALSE,"COVER.XLS";#N/A,#N/A,FALSE,"RACT1.XLS";#N/A,#N/A,FALSE,"RACT2.XLS";#N/A,#N/A,FALSE,"ECCMP";#N/A,#N/A,FALSE,"WELDER.XLS"}</definedName>
    <definedName name="________hr1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hr2">{#N/A,#N/A,FALSE,"COVER1.XLS ";#N/A,#N/A,FALSE,"RACT1.XLS";#N/A,#N/A,FALSE,"RACT2.XLS";#N/A,#N/A,FALSE,"ECCMP";#N/A,#N/A,FALSE,"WELDER.XLS"}</definedName>
    <definedName name="________hr3">{#N/A,#N/A,FALSE,"COVER.XLS";#N/A,#N/A,FALSE,"RACT1.XLS";#N/A,#N/A,FALSE,"RACT2.XLS";#N/A,#N/A,FALSE,"ECCMP";#N/A,#N/A,FALSE,"WELDER.XLS"}</definedName>
    <definedName name="________hr4">{#N/A,#N/A,FALSE,"COVER1.XLS ";#N/A,#N/A,FALSE,"RACT1.XLS";#N/A,#N/A,FALSE,"RACT2.XLS";#N/A,#N/A,FALSE,"ECCMP";#N/A,#N/A,FALSE,"WELDER.XLS"}</definedName>
    <definedName name="________hr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hr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hr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_____hr8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hr9">{#N/A,#N/A,FALSE,"COVER1.XLS ";#N/A,#N/A,FALSE,"RACT1.XLS";#N/A,#N/A,FALSE,"RACT2.XLS";#N/A,#N/A,FALSE,"ECCMP";#N/A,#N/A,FALSE,"WELDER.XLS"}</definedName>
    <definedName name="_____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kvs1">{#N/A,#N/A,FALSE,"COVER1.XLS ";#N/A,#N/A,FALSE,"RACT1.XLS";#N/A,#N/A,FALSE,"RACT2.XLS";#N/A,#N/A,FALSE,"ECCMP";#N/A,#N/A,FALSE,"WELDER.XLS"}</definedName>
    <definedName name="________kvs2">{#N/A,#N/A,FALSE,"COVER1.XLS ";#N/A,#N/A,FALSE,"RACT1.XLS";#N/A,#N/A,FALSE,"RACT2.XLS";#N/A,#N/A,FALSE,"ECCMP";#N/A,#N/A,FALSE,"WELDER.XLS"}</definedName>
    <definedName name="________kvs21">{#N/A,#N/A,FALSE,"COVER1.XLS ";#N/A,#N/A,FALSE,"RACT1.XLS";#N/A,#N/A,FALSE,"RACT2.XLS";#N/A,#N/A,FALSE,"ECCMP";#N/A,#N/A,FALSE,"WELDER.XLS"}</definedName>
    <definedName name="________KVS3">{#N/A,#N/A,FALSE,"COVER1.XLS ";#N/A,#N/A,FALSE,"RACT1.XLS";#N/A,#N/A,FALSE,"RACT2.XLS";#N/A,#N/A,FALSE,"ECCMP";#N/A,#N/A,FALSE,"WELDER.XLS"}</definedName>
    <definedName name="________kvs5">{#N/A,#N/A,FALSE,"COVER.XLS";#N/A,#N/A,FALSE,"RACT1.XLS";#N/A,#N/A,FALSE,"RACT2.XLS";#N/A,#N/A,FALSE,"ECCMP";#N/A,#N/A,FALSE,"WELDER.XLS"}</definedName>
    <definedName name="________kvs8">{#N/A,#N/A,FALSE,"COVER1.XLS ";#N/A,#N/A,FALSE,"RACT1.XLS";#N/A,#N/A,FALSE,"RACT2.XLS";#N/A,#N/A,FALSE,"ECCMP";#N/A,#N/A,FALSE,"WELDER.XLS"}</definedName>
    <definedName name="________kvs80">{#N/A,#N/A,FALSE,"COVER1.XLS ";#N/A,#N/A,FALSE,"RACT1.XLS";#N/A,#N/A,FALSE,"RACT2.XLS";#N/A,#N/A,FALSE,"ECCMP";#N/A,#N/A,FALSE,"WELDER.XLS"}</definedName>
    <definedName name="________lj1">{#N/A,#N/A,FALSE,"COVER1.XLS ";#N/A,#N/A,FALSE,"RACT1.XLS";#N/A,#N/A,FALSE,"RACT2.XLS";#N/A,#N/A,FALSE,"ECCMP";#N/A,#N/A,FALSE,"WELDER.XLS"}</definedName>
    <definedName name="_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MB2">{#N/A,#N/A,FALSE,"COVER.XLS";#N/A,#N/A,FALSE,"RACT1.XLS";#N/A,#N/A,FALSE,"RACT2.XLS";#N/A,#N/A,FALSE,"ECCMP";#N/A,#N/A,FALSE,"WELDER.XLS"}</definedName>
    <definedName name="________REV12">{"'Eng (page2)'!$A$1:$D$52"}</definedName>
    <definedName name="_____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ac2">{#N/A,#N/A,FALSE,"COVER1.XLS ";#N/A,#N/A,FALSE,"RACT1.XLS";#N/A,#N/A,FALSE,"RACT2.XLS";#N/A,#N/A,FALSE,"ECCMP";#N/A,#N/A,FALSE,"WELDER.XLS"}</definedName>
    <definedName name="_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______wat1">{#N/A,#N/A,FALSE,"COVER1.XLS ";#N/A,#N/A,FALSE,"RACT1.XLS";#N/A,#N/A,FALSE,"RACT2.XLS";#N/A,#N/A,FALSE,"ECCMP";#N/A,#N/A,FALSE,"WELDER.XLS"}</definedName>
    <definedName name="_____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a11">{#N/A,#N/A,FALSE,"COVER1.XLS ";#N/A,#N/A,FALSE,"RACT1.XLS";#N/A,#N/A,FALSE,"RACT2.XLS";#N/A,#N/A,FALSE,"ECCMP";#N/A,#N/A,FALSE,"WELDER.XLS"}</definedName>
    <definedName name="_______AP1">{#N/A,#N/A,FALSE,"COVER1.XLS ";#N/A,#N/A,FALSE,"RACT1.XLS";#N/A,#N/A,FALSE,"RACT2.XLS";#N/A,#N/A,FALSE,"ECCMP";#N/A,#N/A,FALSE,"WELDER.XLS"}</definedName>
    <definedName name="_______asd12">{#N/A,#N/A,FALSE,"COVER.XLS";#N/A,#N/A,FALSE,"RACT1.XLS";#N/A,#N/A,FALSE,"RACT2.XLS";#N/A,#N/A,FALSE,"ECCMP";#N/A,#N/A,FALSE,"WELDER.XLS"}</definedName>
    <definedName name="_______bsn3">{#N/A,#N/A,FALSE,"COVER1.XLS ";#N/A,#N/A,FALSE,"RACT1.XLS";#N/A,#N/A,FALSE,"RACT2.XLS";#N/A,#N/A,FALSE,"ECCMP";#N/A,#N/A,FALSE,"WELDER.XLS"}</definedName>
    <definedName name="_______f2">{#N/A,#N/A,FALSE,"COVER1.XLS ";#N/A,#N/A,FALSE,"RACT1.XLS";#N/A,#N/A,FALSE,"RACT2.XLS";#N/A,#N/A,FALSE,"ECCMP";#N/A,#N/A,FALSE,"WELDER.XLS"}</definedName>
    <definedName name="_______giu9">{#N/A,#N/A,FALSE,"COVER.XLS";#N/A,#N/A,FALSE,"RACT1.XLS";#N/A,#N/A,FALSE,"RACT2.XLS";#N/A,#N/A,FALSE,"ECCMP";#N/A,#N/A,FALSE,"WELDER.XLS"}</definedName>
    <definedName name="_______hr1">{#N/A,#N/A,FALSE,"COVER1.XLS ";#N/A,#N/A,FALSE,"RACT1.XLS";#N/A,#N/A,FALSE,"RACT2.XLS";#N/A,#N/A,FALSE,"ECCMP";#N/A,#N/A,FALSE,"WELDER.XLS"}</definedName>
    <definedName name="_______hr10">{#N/A,#N/A,FALSE,"COVER1.XLS ";#N/A,#N/A,FALSE,"RACT1.XLS";#N/A,#N/A,FALSE,"RACT2.XLS";#N/A,#N/A,FALSE,"ECCMP";#N/A,#N/A,FALSE,"WELDER.XLS"}</definedName>
    <definedName name="_______hr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hr12">{#N/A,#N/A,FALSE,"COVER.XLS";#N/A,#N/A,FALSE,"RACT1.XLS";#N/A,#N/A,FALSE,"RACT2.XLS";#N/A,#N/A,FALSE,"ECCMP";#N/A,#N/A,FALSE,"WELDER.XLS"}</definedName>
    <definedName name="_______hr13">{#N/A,#N/A,FALSE,"COVER.XLS";#N/A,#N/A,FALSE,"RACT1.XLS";#N/A,#N/A,FALSE,"RACT2.XLS";#N/A,#N/A,FALSE,"ECCMP";#N/A,#N/A,FALSE,"WELDER.XLS"}</definedName>
    <definedName name="_______hr1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hr2">{#N/A,#N/A,FALSE,"COVER1.XLS ";#N/A,#N/A,FALSE,"RACT1.XLS";#N/A,#N/A,FALSE,"RACT2.XLS";#N/A,#N/A,FALSE,"ECCMP";#N/A,#N/A,FALSE,"WELDER.XLS"}</definedName>
    <definedName name="_______hr3">{#N/A,#N/A,FALSE,"COVER.XLS";#N/A,#N/A,FALSE,"RACT1.XLS";#N/A,#N/A,FALSE,"RACT2.XLS";#N/A,#N/A,FALSE,"ECCMP";#N/A,#N/A,FALSE,"WELDER.XLS"}</definedName>
    <definedName name="_______hr4">{#N/A,#N/A,FALSE,"COVER1.XLS ";#N/A,#N/A,FALSE,"RACT1.XLS";#N/A,#N/A,FALSE,"RACT2.XLS";#N/A,#N/A,FALSE,"ECCMP";#N/A,#N/A,FALSE,"WELDER.XLS"}</definedName>
    <definedName name="_______hr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hr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hr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____hr8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hr9">{#N/A,#N/A,FALSE,"COVER1.XLS ";#N/A,#N/A,FALSE,"RACT1.XLS";#N/A,#N/A,FALSE,"RACT2.XLS";#N/A,#N/A,FALSE,"ECCMP";#N/A,#N/A,FALSE,"WELDER.XLS"}</definedName>
    <definedName name="____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kvs1">{#N/A,#N/A,FALSE,"COVER1.XLS ";#N/A,#N/A,FALSE,"RACT1.XLS";#N/A,#N/A,FALSE,"RACT2.XLS";#N/A,#N/A,FALSE,"ECCMP";#N/A,#N/A,FALSE,"WELDER.XLS"}</definedName>
    <definedName name="_______kvs2">{#N/A,#N/A,FALSE,"COVER1.XLS ";#N/A,#N/A,FALSE,"RACT1.XLS";#N/A,#N/A,FALSE,"RACT2.XLS";#N/A,#N/A,FALSE,"ECCMP";#N/A,#N/A,FALSE,"WELDER.XLS"}</definedName>
    <definedName name="_______kvs21">{#N/A,#N/A,FALSE,"COVER1.XLS ";#N/A,#N/A,FALSE,"RACT1.XLS";#N/A,#N/A,FALSE,"RACT2.XLS";#N/A,#N/A,FALSE,"ECCMP";#N/A,#N/A,FALSE,"WELDER.XLS"}</definedName>
    <definedName name="_______KVS3">{#N/A,#N/A,FALSE,"COVER1.XLS ";#N/A,#N/A,FALSE,"RACT1.XLS";#N/A,#N/A,FALSE,"RACT2.XLS";#N/A,#N/A,FALSE,"ECCMP";#N/A,#N/A,FALSE,"WELDER.XLS"}</definedName>
    <definedName name="_______kvs5">{#N/A,#N/A,FALSE,"COVER.XLS";#N/A,#N/A,FALSE,"RACT1.XLS";#N/A,#N/A,FALSE,"RACT2.XLS";#N/A,#N/A,FALSE,"ECCMP";#N/A,#N/A,FALSE,"WELDER.XLS"}</definedName>
    <definedName name="_______kvs8">{#N/A,#N/A,FALSE,"COVER1.XLS ";#N/A,#N/A,FALSE,"RACT1.XLS";#N/A,#N/A,FALSE,"RACT2.XLS";#N/A,#N/A,FALSE,"ECCMP";#N/A,#N/A,FALSE,"WELDER.XLS"}</definedName>
    <definedName name="_______kvs80">{#N/A,#N/A,FALSE,"COVER1.XLS ";#N/A,#N/A,FALSE,"RACT1.XLS";#N/A,#N/A,FALSE,"RACT2.XLS";#N/A,#N/A,FALSE,"ECCMP";#N/A,#N/A,FALSE,"WELDER.XLS"}</definedName>
    <definedName name="_______lj1">{#N/A,#N/A,FALSE,"COVER1.XLS ";#N/A,#N/A,FALSE,"RACT1.XLS";#N/A,#N/A,FALSE,"RACT2.XLS";#N/A,#N/A,FALSE,"ECCMP";#N/A,#N/A,FALSE,"WELDER.XLS"}</definedName>
    <definedName name="_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REV12">{"'Eng (page2)'!$A$1:$D$52"}</definedName>
    <definedName name="____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ac2">{#N/A,#N/A,FALSE,"COVER1.XLS ";#N/A,#N/A,FALSE,"RACT1.XLS";#N/A,#N/A,FALSE,"RACT2.XLS";#N/A,#N/A,FALSE,"ECCMP";#N/A,#N/A,FALSE,"WELDER.XLS"}</definedName>
    <definedName name="_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_____wat1">{#N/A,#N/A,FALSE,"COVER1.XLS ";#N/A,#N/A,FALSE,"RACT1.XLS";#N/A,#N/A,FALSE,"RACT2.XLS";#N/A,#N/A,FALSE,"ECCMP";#N/A,#N/A,FALSE,"WELDER.XLS"}</definedName>
    <definedName name="____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a11">{#N/A,#N/A,FALSE,"COVER1.XLS ";#N/A,#N/A,FALSE,"RACT1.XLS";#N/A,#N/A,FALSE,"RACT2.XLS";#N/A,#N/A,FALSE,"ECCMP";#N/A,#N/A,FALSE,"WELDER.XLS"}</definedName>
    <definedName name="______AP1">{#N/A,#N/A,FALSE,"COVER1.XLS ";#N/A,#N/A,FALSE,"RACT1.XLS";#N/A,#N/A,FALSE,"RACT2.XLS";#N/A,#N/A,FALSE,"ECCMP";#N/A,#N/A,FALSE,"WELDER.XLS"}</definedName>
    <definedName name="______asd12">{#N/A,#N/A,FALSE,"COVER.XLS";#N/A,#N/A,FALSE,"RACT1.XLS";#N/A,#N/A,FALSE,"RACT2.XLS";#N/A,#N/A,FALSE,"ECCMP";#N/A,#N/A,FALSE,"WELDER.XLS"}</definedName>
    <definedName name="______bsn3">{#N/A,#N/A,FALSE,"COVER1.XLS ";#N/A,#N/A,FALSE,"RACT1.XLS";#N/A,#N/A,FALSE,"RACT2.XLS";#N/A,#N/A,FALSE,"ECCMP";#N/A,#N/A,FALSE,"WELDER.XLS"}</definedName>
    <definedName name="______f2">{#N/A,#N/A,FALSE,"COVER1.XLS ";#N/A,#N/A,FALSE,"RACT1.XLS";#N/A,#N/A,FALSE,"RACT2.XLS";#N/A,#N/A,FALSE,"ECCMP";#N/A,#N/A,FALSE,"WELDER.XLS"}</definedName>
    <definedName name="______giu9">{#N/A,#N/A,FALSE,"COVER.XLS";#N/A,#N/A,FALSE,"RACT1.XLS";#N/A,#N/A,FALSE,"RACT2.XLS";#N/A,#N/A,FALSE,"ECCMP";#N/A,#N/A,FALSE,"WELDER.XLS"}</definedName>
    <definedName name="______hr1">{#N/A,#N/A,FALSE,"COVER1.XLS ";#N/A,#N/A,FALSE,"RACT1.XLS";#N/A,#N/A,FALSE,"RACT2.XLS";#N/A,#N/A,FALSE,"ECCMP";#N/A,#N/A,FALSE,"WELDER.XLS"}</definedName>
    <definedName name="______hr10">{#N/A,#N/A,FALSE,"COVER1.XLS ";#N/A,#N/A,FALSE,"RACT1.XLS";#N/A,#N/A,FALSE,"RACT2.XLS";#N/A,#N/A,FALSE,"ECCMP";#N/A,#N/A,FALSE,"WELDER.XLS"}</definedName>
    <definedName name="______hr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hr12">{#N/A,#N/A,FALSE,"COVER.XLS";#N/A,#N/A,FALSE,"RACT1.XLS";#N/A,#N/A,FALSE,"RACT2.XLS";#N/A,#N/A,FALSE,"ECCMP";#N/A,#N/A,FALSE,"WELDER.XLS"}</definedName>
    <definedName name="______hr13">{#N/A,#N/A,FALSE,"COVER.XLS";#N/A,#N/A,FALSE,"RACT1.XLS";#N/A,#N/A,FALSE,"RACT2.XLS";#N/A,#N/A,FALSE,"ECCMP";#N/A,#N/A,FALSE,"WELDER.XLS"}</definedName>
    <definedName name="______hr1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hr2">{#N/A,#N/A,FALSE,"COVER1.XLS ";#N/A,#N/A,FALSE,"RACT1.XLS";#N/A,#N/A,FALSE,"RACT2.XLS";#N/A,#N/A,FALSE,"ECCMP";#N/A,#N/A,FALSE,"WELDER.XLS"}</definedName>
    <definedName name="______hr3">{#N/A,#N/A,FALSE,"COVER.XLS";#N/A,#N/A,FALSE,"RACT1.XLS";#N/A,#N/A,FALSE,"RACT2.XLS";#N/A,#N/A,FALSE,"ECCMP";#N/A,#N/A,FALSE,"WELDER.XLS"}</definedName>
    <definedName name="______hr4">{#N/A,#N/A,FALSE,"COVER1.XLS ";#N/A,#N/A,FALSE,"RACT1.XLS";#N/A,#N/A,FALSE,"RACT2.XLS";#N/A,#N/A,FALSE,"ECCMP";#N/A,#N/A,FALSE,"WELDER.XLS"}</definedName>
    <definedName name="______hr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hr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hr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___hr8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hr9">{#N/A,#N/A,FALSE,"COVER1.XLS ";#N/A,#N/A,FALSE,"RACT1.XLS";#N/A,#N/A,FALSE,"RACT2.XLS";#N/A,#N/A,FALSE,"ECCMP";#N/A,#N/A,FALSE,"WELDER.XLS"}</definedName>
    <definedName name="___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kvs1">{#N/A,#N/A,FALSE,"COVER1.XLS ";#N/A,#N/A,FALSE,"RACT1.XLS";#N/A,#N/A,FALSE,"RACT2.XLS";#N/A,#N/A,FALSE,"ECCMP";#N/A,#N/A,FALSE,"WELDER.XLS"}</definedName>
    <definedName name="______kvs2">{#N/A,#N/A,FALSE,"COVER1.XLS ";#N/A,#N/A,FALSE,"RACT1.XLS";#N/A,#N/A,FALSE,"RACT2.XLS";#N/A,#N/A,FALSE,"ECCMP";#N/A,#N/A,FALSE,"WELDER.XLS"}</definedName>
    <definedName name="______kvs21">{#N/A,#N/A,FALSE,"COVER1.XLS ";#N/A,#N/A,FALSE,"RACT1.XLS";#N/A,#N/A,FALSE,"RACT2.XLS";#N/A,#N/A,FALSE,"ECCMP";#N/A,#N/A,FALSE,"WELDER.XLS"}</definedName>
    <definedName name="______KVS3">{#N/A,#N/A,FALSE,"COVER1.XLS ";#N/A,#N/A,FALSE,"RACT1.XLS";#N/A,#N/A,FALSE,"RACT2.XLS";#N/A,#N/A,FALSE,"ECCMP";#N/A,#N/A,FALSE,"WELDER.XLS"}</definedName>
    <definedName name="______kvs5">{#N/A,#N/A,FALSE,"COVER.XLS";#N/A,#N/A,FALSE,"RACT1.XLS";#N/A,#N/A,FALSE,"RACT2.XLS";#N/A,#N/A,FALSE,"ECCMP";#N/A,#N/A,FALSE,"WELDER.XLS"}</definedName>
    <definedName name="______kvs8">{#N/A,#N/A,FALSE,"COVER1.XLS ";#N/A,#N/A,FALSE,"RACT1.XLS";#N/A,#N/A,FALSE,"RACT2.XLS";#N/A,#N/A,FALSE,"ECCMP";#N/A,#N/A,FALSE,"WELDER.XLS"}</definedName>
    <definedName name="______kvs80">{#N/A,#N/A,FALSE,"COVER1.XLS ";#N/A,#N/A,FALSE,"RACT1.XLS";#N/A,#N/A,FALSE,"RACT2.XLS";#N/A,#N/A,FALSE,"ECCMP";#N/A,#N/A,FALSE,"WELDER.XLS"}</definedName>
    <definedName name="______kvs81">{#N/A,#N/A,FALSE,"COVER1.XLS ";#N/A,#N/A,FALSE,"RACT1.XLS";#N/A,#N/A,FALSE,"RACT2.XLS";#N/A,#N/A,FALSE,"ECCMP";#N/A,#N/A,FALSE,"WELDER.XLS"}</definedName>
    <definedName name="______lj1">{#N/A,#N/A,FALSE,"COVER1.XLS ";#N/A,#N/A,FALSE,"RACT1.XLS";#N/A,#N/A,FALSE,"RACT2.XLS";#N/A,#N/A,FALSE,"ECCMP";#N/A,#N/A,FALSE,"WELDER.XLS"}</definedName>
    <definedName name="_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MB2">{#N/A,#N/A,FALSE,"COVER.XLS";#N/A,#N/A,FALSE,"RACT1.XLS";#N/A,#N/A,FALSE,"RACT2.XLS";#N/A,#N/A,FALSE,"ECCMP";#N/A,#N/A,FALSE,"WELDER.XLS"}</definedName>
    <definedName name="______REV12">{"'Eng (page2)'!$A$1:$D$52"}</definedName>
    <definedName name="___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ac2">{#N/A,#N/A,FALSE,"COVER1.XLS ";#N/A,#N/A,FALSE,"RACT1.XLS";#N/A,#N/A,FALSE,"RACT2.XLS";#N/A,#N/A,FALSE,"ECCMP";#N/A,#N/A,FALSE,"WELDER.XLS"}</definedName>
    <definedName name="_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____wat1">{#N/A,#N/A,FALSE,"COVER1.XLS ";#N/A,#N/A,FALSE,"RACT1.XLS";#N/A,#N/A,FALSE,"RACT2.XLS";#N/A,#N/A,FALSE,"ECCMP";#N/A,#N/A,FALSE,"WELDER.XLS"}</definedName>
    <definedName name="___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a11">{#N/A,#N/A,FALSE,"COVER1.XLS ";#N/A,#N/A,FALSE,"RACT1.XLS";#N/A,#N/A,FALSE,"RACT2.XLS";#N/A,#N/A,FALSE,"ECCMP";#N/A,#N/A,FALSE,"WELDER.XLS"}</definedName>
    <definedName name="_____AP1">{#N/A,#N/A,FALSE,"COVER1.XLS ";#N/A,#N/A,FALSE,"RACT1.XLS";#N/A,#N/A,FALSE,"RACT2.XLS";#N/A,#N/A,FALSE,"ECCMP";#N/A,#N/A,FALSE,"WELDER.XLS"}</definedName>
    <definedName name="_____asd12">{#N/A,#N/A,FALSE,"COVER.XLS";#N/A,#N/A,FALSE,"RACT1.XLS";#N/A,#N/A,FALSE,"RACT2.XLS";#N/A,#N/A,FALSE,"ECCMP";#N/A,#N/A,FALSE,"WELDER.XLS"}</definedName>
    <definedName name="_____bsn3">{#N/A,#N/A,FALSE,"COVER1.XLS ";#N/A,#N/A,FALSE,"RACT1.XLS";#N/A,#N/A,FALSE,"RACT2.XLS";#N/A,#N/A,FALSE,"ECCMP";#N/A,#N/A,FALSE,"WELDER.XLS"}</definedName>
    <definedName name="_____f2">{#N/A,#N/A,FALSE,"COVER1.XLS ";#N/A,#N/A,FALSE,"RACT1.XLS";#N/A,#N/A,FALSE,"RACT2.XLS";#N/A,#N/A,FALSE,"ECCMP";#N/A,#N/A,FALSE,"WELDER.XLS"}</definedName>
    <definedName name="_____giu9">{#N/A,#N/A,FALSE,"COVER.XLS";#N/A,#N/A,FALSE,"RACT1.XLS";#N/A,#N/A,FALSE,"RACT2.XLS";#N/A,#N/A,FALSE,"ECCMP";#N/A,#N/A,FALSE,"WELDER.XLS"}</definedName>
    <definedName name="_____hr1">{#N/A,#N/A,FALSE,"COVER1.XLS ";#N/A,#N/A,FALSE,"RACT1.XLS";#N/A,#N/A,FALSE,"RACT2.XLS";#N/A,#N/A,FALSE,"ECCMP";#N/A,#N/A,FALSE,"WELDER.XLS"}</definedName>
    <definedName name="_____hr10">{#N/A,#N/A,FALSE,"COVER1.XLS ";#N/A,#N/A,FALSE,"RACT1.XLS";#N/A,#N/A,FALSE,"RACT2.XLS";#N/A,#N/A,FALSE,"ECCMP";#N/A,#N/A,FALSE,"WELDER.XLS"}</definedName>
    <definedName name="_____hr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hr12">{#N/A,#N/A,FALSE,"COVER.XLS";#N/A,#N/A,FALSE,"RACT1.XLS";#N/A,#N/A,FALSE,"RACT2.XLS";#N/A,#N/A,FALSE,"ECCMP";#N/A,#N/A,FALSE,"WELDER.XLS"}</definedName>
    <definedName name="_____hr13">{#N/A,#N/A,FALSE,"COVER.XLS";#N/A,#N/A,FALSE,"RACT1.XLS";#N/A,#N/A,FALSE,"RACT2.XLS";#N/A,#N/A,FALSE,"ECCMP";#N/A,#N/A,FALSE,"WELDER.XLS"}</definedName>
    <definedName name="_____hr1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hr2">{#N/A,#N/A,FALSE,"COVER1.XLS ";#N/A,#N/A,FALSE,"RACT1.XLS";#N/A,#N/A,FALSE,"RACT2.XLS";#N/A,#N/A,FALSE,"ECCMP";#N/A,#N/A,FALSE,"WELDER.XLS"}</definedName>
    <definedName name="_____hr3">{#N/A,#N/A,FALSE,"COVER.XLS";#N/A,#N/A,FALSE,"RACT1.XLS";#N/A,#N/A,FALSE,"RACT2.XLS";#N/A,#N/A,FALSE,"ECCMP";#N/A,#N/A,FALSE,"WELDER.XLS"}</definedName>
    <definedName name="_____hr4">{#N/A,#N/A,FALSE,"COVER1.XLS ";#N/A,#N/A,FALSE,"RACT1.XLS";#N/A,#N/A,FALSE,"RACT2.XLS";#N/A,#N/A,FALSE,"ECCMP";#N/A,#N/A,FALSE,"WELDER.XLS"}</definedName>
    <definedName name="_____hr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hr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hr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__hr8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hr9">{#N/A,#N/A,FALSE,"COVER1.XLS ";#N/A,#N/A,FALSE,"RACT1.XLS";#N/A,#N/A,FALSE,"RACT2.XLS";#N/A,#N/A,FALSE,"ECCMP";#N/A,#N/A,FALSE,"WELDER.XLS"}</definedName>
    <definedName name="__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kvs1">{#N/A,#N/A,FALSE,"COVER1.XLS ";#N/A,#N/A,FALSE,"RACT1.XLS";#N/A,#N/A,FALSE,"RACT2.XLS";#N/A,#N/A,FALSE,"ECCMP";#N/A,#N/A,FALSE,"WELDER.XLS"}</definedName>
    <definedName name="_____kvs2">{#N/A,#N/A,FALSE,"COVER1.XLS ";#N/A,#N/A,FALSE,"RACT1.XLS";#N/A,#N/A,FALSE,"RACT2.XLS";#N/A,#N/A,FALSE,"ECCMP";#N/A,#N/A,FALSE,"WELDER.XLS"}</definedName>
    <definedName name="_____kvs21">{#N/A,#N/A,FALSE,"COVER1.XLS ";#N/A,#N/A,FALSE,"RACT1.XLS";#N/A,#N/A,FALSE,"RACT2.XLS";#N/A,#N/A,FALSE,"ECCMP";#N/A,#N/A,FALSE,"WELDER.XLS"}</definedName>
    <definedName name="_____KVS3">{#N/A,#N/A,FALSE,"COVER1.XLS ";#N/A,#N/A,FALSE,"RACT1.XLS";#N/A,#N/A,FALSE,"RACT2.XLS";#N/A,#N/A,FALSE,"ECCMP";#N/A,#N/A,FALSE,"WELDER.XLS"}</definedName>
    <definedName name="_____kvs5">{#N/A,#N/A,FALSE,"COVER.XLS";#N/A,#N/A,FALSE,"RACT1.XLS";#N/A,#N/A,FALSE,"RACT2.XLS";#N/A,#N/A,FALSE,"ECCMP";#N/A,#N/A,FALSE,"WELDER.XLS"}</definedName>
    <definedName name="_____kvs8">{#N/A,#N/A,FALSE,"COVER1.XLS ";#N/A,#N/A,FALSE,"RACT1.XLS";#N/A,#N/A,FALSE,"RACT2.XLS";#N/A,#N/A,FALSE,"ECCMP";#N/A,#N/A,FALSE,"WELDER.XLS"}</definedName>
    <definedName name="_____kvs80">{#N/A,#N/A,FALSE,"COVER1.XLS ";#N/A,#N/A,FALSE,"RACT1.XLS";#N/A,#N/A,FALSE,"RACT2.XLS";#N/A,#N/A,FALSE,"ECCMP";#N/A,#N/A,FALSE,"WELDER.XLS"}</definedName>
    <definedName name="_____kvs81">{#N/A,#N/A,FALSE,"COVER1.XLS ";#N/A,#N/A,FALSE,"RACT1.XLS";#N/A,#N/A,FALSE,"RACT2.XLS";#N/A,#N/A,FALSE,"ECCMP";#N/A,#N/A,FALSE,"WELDER.XLS"}</definedName>
    <definedName name="_____lj1">{#N/A,#N/A,FALSE,"COVER1.XLS ";#N/A,#N/A,FALSE,"RACT1.XLS";#N/A,#N/A,FALSE,"RACT2.XLS";#N/A,#N/A,FALSE,"ECCMP";#N/A,#N/A,FALSE,"WELDER.XLS"}</definedName>
    <definedName name="_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B2">{#N/A,#N/A,FALSE,"COVER.XLS";#N/A,#N/A,FALSE,"RACT1.XLS";#N/A,#N/A,FALSE,"RACT2.XLS";#N/A,#N/A,FALSE,"ECCMP";#N/A,#N/A,FALSE,"WELDER.XLS"}</definedName>
    <definedName name="_____REV12">{"'Eng (page2)'!$A$1:$D$52"}</definedName>
    <definedName name="__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ac2">{#N/A,#N/A,FALSE,"COVER1.XLS ";#N/A,#N/A,FALSE,"RACT1.XLS";#N/A,#N/A,FALSE,"RACT2.XLS";#N/A,#N/A,FALSE,"ECCMP";#N/A,#N/A,FALSE,"WELDER.XLS"}</definedName>
    <definedName name="_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___wat1">{#N/A,#N/A,FALSE,"COVER1.XLS ";#N/A,#N/A,FALSE,"RACT1.XLS";#N/A,#N/A,FALSE,"RACT2.XLS";#N/A,#N/A,FALSE,"ECCMP";#N/A,#N/A,FALSE,"WELDER.XLS"}</definedName>
    <definedName name="__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a11">{#N/A,#N/A,FALSE,"COVER1.XLS ";#N/A,#N/A,FALSE,"RACT1.XLS";#N/A,#N/A,FALSE,"RACT2.XLS";#N/A,#N/A,FALSE,"ECCMP";#N/A,#N/A,FALSE,"WELDER.XLS"}</definedName>
    <definedName name="____AP1">{#N/A,#N/A,FALSE,"COVER1.XLS ";#N/A,#N/A,FALSE,"RACT1.XLS";#N/A,#N/A,FALSE,"RACT2.XLS";#N/A,#N/A,FALSE,"ECCMP";#N/A,#N/A,FALSE,"WELDER.XLS"}</definedName>
    <definedName name="____asd12">{#N/A,#N/A,FALSE,"COVER.XLS";#N/A,#N/A,FALSE,"RACT1.XLS";#N/A,#N/A,FALSE,"RACT2.XLS";#N/A,#N/A,FALSE,"ECCMP";#N/A,#N/A,FALSE,"WELDER.XLS"}</definedName>
    <definedName name="____bsn3">{#N/A,#N/A,FALSE,"COVER1.XLS ";#N/A,#N/A,FALSE,"RACT1.XLS";#N/A,#N/A,FALSE,"RACT2.XLS";#N/A,#N/A,FALSE,"ECCMP";#N/A,#N/A,FALSE,"WELDER.XLS"}</definedName>
    <definedName name="____f2">{#N/A,#N/A,FALSE,"COVER1.XLS ";#N/A,#N/A,FALSE,"RACT1.XLS";#N/A,#N/A,FALSE,"RACT2.XLS";#N/A,#N/A,FALSE,"ECCMP";#N/A,#N/A,FALSE,"WELDER.XLS"}</definedName>
    <definedName name="____giu9">{#N/A,#N/A,FALSE,"COVER.XLS";#N/A,#N/A,FALSE,"RACT1.XLS";#N/A,#N/A,FALSE,"RACT2.XLS";#N/A,#N/A,FALSE,"ECCMP";#N/A,#N/A,FALSE,"WELDER.XLS"}</definedName>
    <definedName name="____hr1">{#N/A,#N/A,FALSE,"COVER1.XLS ";#N/A,#N/A,FALSE,"RACT1.XLS";#N/A,#N/A,FALSE,"RACT2.XLS";#N/A,#N/A,FALSE,"ECCMP";#N/A,#N/A,FALSE,"WELDER.XLS"}</definedName>
    <definedName name="____hr10">{#N/A,#N/A,FALSE,"COVER1.XLS ";#N/A,#N/A,FALSE,"RACT1.XLS";#N/A,#N/A,FALSE,"RACT2.XLS";#N/A,#N/A,FALSE,"ECCMP";#N/A,#N/A,FALSE,"WELDER.XLS"}</definedName>
    <definedName name="____hr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hr12">{#N/A,#N/A,FALSE,"COVER.XLS";#N/A,#N/A,FALSE,"RACT1.XLS";#N/A,#N/A,FALSE,"RACT2.XLS";#N/A,#N/A,FALSE,"ECCMP";#N/A,#N/A,FALSE,"WELDER.XLS"}</definedName>
    <definedName name="____hr13">{#N/A,#N/A,FALSE,"COVER.XLS";#N/A,#N/A,FALSE,"RACT1.XLS";#N/A,#N/A,FALSE,"RACT2.XLS";#N/A,#N/A,FALSE,"ECCMP";#N/A,#N/A,FALSE,"WELDER.XLS"}</definedName>
    <definedName name="____hr1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hr2">{#N/A,#N/A,FALSE,"COVER1.XLS ";#N/A,#N/A,FALSE,"RACT1.XLS";#N/A,#N/A,FALSE,"RACT2.XLS";#N/A,#N/A,FALSE,"ECCMP";#N/A,#N/A,FALSE,"WELDER.XLS"}</definedName>
    <definedName name="____hr3">{#N/A,#N/A,FALSE,"COVER.XLS";#N/A,#N/A,FALSE,"RACT1.XLS";#N/A,#N/A,FALSE,"RACT2.XLS";#N/A,#N/A,FALSE,"ECCMP";#N/A,#N/A,FALSE,"WELDER.XLS"}</definedName>
    <definedName name="____hr4">{#N/A,#N/A,FALSE,"COVER1.XLS ";#N/A,#N/A,FALSE,"RACT1.XLS";#N/A,#N/A,FALSE,"RACT2.XLS";#N/A,#N/A,FALSE,"ECCMP";#N/A,#N/A,FALSE,"WELDER.XLS"}</definedName>
    <definedName name="____hr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hr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hr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_hr8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hr9">{#N/A,#N/A,FALSE,"COVER1.XLS ";#N/A,#N/A,FALSE,"RACT1.XLS";#N/A,#N/A,FALSE,"RACT2.XLS";#N/A,#N/A,FALSE,"ECCMP";#N/A,#N/A,FALSE,"WELDER.XLS"}</definedName>
    <definedName name="_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kvs1">{#N/A,#N/A,FALSE,"COVER1.XLS ";#N/A,#N/A,FALSE,"RACT1.XLS";#N/A,#N/A,FALSE,"RACT2.XLS";#N/A,#N/A,FALSE,"ECCMP";#N/A,#N/A,FALSE,"WELDER.XLS"}</definedName>
    <definedName name="____kvs2">{#N/A,#N/A,FALSE,"COVER1.XLS ";#N/A,#N/A,FALSE,"RACT1.XLS";#N/A,#N/A,FALSE,"RACT2.XLS";#N/A,#N/A,FALSE,"ECCMP";#N/A,#N/A,FALSE,"WELDER.XLS"}</definedName>
    <definedName name="____kvs21">{#N/A,#N/A,FALSE,"COVER1.XLS ";#N/A,#N/A,FALSE,"RACT1.XLS";#N/A,#N/A,FALSE,"RACT2.XLS";#N/A,#N/A,FALSE,"ECCMP";#N/A,#N/A,FALSE,"WELDER.XLS"}</definedName>
    <definedName name="____KVS3">{#N/A,#N/A,FALSE,"COVER1.XLS ";#N/A,#N/A,FALSE,"RACT1.XLS";#N/A,#N/A,FALSE,"RACT2.XLS";#N/A,#N/A,FALSE,"ECCMP";#N/A,#N/A,FALSE,"WELDER.XLS"}</definedName>
    <definedName name="____kvs5">{#N/A,#N/A,FALSE,"COVER.XLS";#N/A,#N/A,FALSE,"RACT1.XLS";#N/A,#N/A,FALSE,"RACT2.XLS";#N/A,#N/A,FALSE,"ECCMP";#N/A,#N/A,FALSE,"WELDER.XLS"}</definedName>
    <definedName name="____kvs8">{#N/A,#N/A,FALSE,"COVER1.XLS ";#N/A,#N/A,FALSE,"RACT1.XLS";#N/A,#N/A,FALSE,"RACT2.XLS";#N/A,#N/A,FALSE,"ECCMP";#N/A,#N/A,FALSE,"WELDER.XLS"}</definedName>
    <definedName name="____kvs80">{#N/A,#N/A,FALSE,"COVER1.XLS ";#N/A,#N/A,FALSE,"RACT1.XLS";#N/A,#N/A,FALSE,"RACT2.XLS";#N/A,#N/A,FALSE,"ECCMP";#N/A,#N/A,FALSE,"WELDER.XLS"}</definedName>
    <definedName name="____kvs81">{#N/A,#N/A,FALSE,"COVER1.XLS ";#N/A,#N/A,FALSE,"RACT1.XLS";#N/A,#N/A,FALSE,"RACT2.XLS";#N/A,#N/A,FALSE,"ECCMP";#N/A,#N/A,FALSE,"WELDER.XLS"}</definedName>
    <definedName name="____lj1">{#N/A,#N/A,FALSE,"COVER1.XLS ";#N/A,#N/A,FALSE,"RACT1.XLS";#N/A,#N/A,FALSE,"RACT2.XLS";#N/A,#N/A,FALSE,"ECCMP";#N/A,#N/A,FALSE,"WELDER.XLS"}</definedName>
    <definedName name="_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B2">{#N/A,#N/A,FALSE,"COVER.XLS";#N/A,#N/A,FALSE,"RACT1.XLS";#N/A,#N/A,FALSE,"RACT2.XLS";#N/A,#N/A,FALSE,"ECCMP";#N/A,#N/A,FALSE,"WELDER.XLS"}</definedName>
    <definedName name="____REV12">{"'Eng (page2)'!$A$1:$D$52"}</definedName>
    <definedName name="_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ac2">{#N/A,#N/A,FALSE,"COVER1.XLS ";#N/A,#N/A,FALSE,"RACT1.XLS";#N/A,#N/A,FALSE,"RACT2.XLS";#N/A,#N/A,FALSE,"ECCMP";#N/A,#N/A,FALSE,"WELDER.XLS"}</definedName>
    <definedName name="_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__wat1">{#N/A,#N/A,FALSE,"COVER1.XLS ";#N/A,#N/A,FALSE,"RACT1.XLS";#N/A,#N/A,FALSE,"RACT2.XLS";#N/A,#N/A,FALSE,"ECCMP";#N/A,#N/A,FALSE,"WELDER.XLS"}</definedName>
    <definedName name="_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a11">{#N/A,#N/A,FALSE,"COVER1.XLS ";#N/A,#N/A,FALSE,"RACT1.XLS";#N/A,#N/A,FALSE,"RACT2.XLS";#N/A,#N/A,FALSE,"ECCMP";#N/A,#N/A,FALSE,"WELDER.XLS"}</definedName>
    <definedName name="___AP1">{#N/A,#N/A,FALSE,"COVER1.XLS ";#N/A,#N/A,FALSE,"RACT1.XLS";#N/A,#N/A,FALSE,"RACT2.XLS";#N/A,#N/A,FALSE,"ECCMP";#N/A,#N/A,FALSE,"WELDER.XLS"}</definedName>
    <definedName name="___asd12">{#N/A,#N/A,FALSE,"COVER.XLS";#N/A,#N/A,FALSE,"RACT1.XLS";#N/A,#N/A,FALSE,"RACT2.XLS";#N/A,#N/A,FALSE,"ECCMP";#N/A,#N/A,FALSE,"WELDER.XLS"}</definedName>
    <definedName name="___bsn3">{#N/A,#N/A,FALSE,"COVER1.XLS ";#N/A,#N/A,FALSE,"RACT1.XLS";#N/A,#N/A,FALSE,"RACT2.XLS";#N/A,#N/A,FALSE,"ECCMP";#N/A,#N/A,FALSE,"WELDER.XLS"}</definedName>
    <definedName name="___f2">{#N/A,#N/A,FALSE,"COVER1.XLS ";#N/A,#N/A,FALSE,"RACT1.XLS";#N/A,#N/A,FALSE,"RACT2.XLS";#N/A,#N/A,FALSE,"ECCMP";#N/A,#N/A,FALSE,"WELDER.XLS"}</definedName>
    <definedName name="___giu9">{#N/A,#N/A,FALSE,"COVER.XLS";#N/A,#N/A,FALSE,"RACT1.XLS";#N/A,#N/A,FALSE,"RACT2.XLS";#N/A,#N/A,FALSE,"ECCMP";#N/A,#N/A,FALSE,"WELDER.XLS"}</definedName>
    <definedName name="___hr1">{#N/A,#N/A,FALSE,"COVER1.XLS ";#N/A,#N/A,FALSE,"RACT1.XLS";#N/A,#N/A,FALSE,"RACT2.XLS";#N/A,#N/A,FALSE,"ECCMP";#N/A,#N/A,FALSE,"WELDER.XLS"}</definedName>
    <definedName name="___hr10">{#N/A,#N/A,FALSE,"COVER1.XLS ";#N/A,#N/A,FALSE,"RACT1.XLS";#N/A,#N/A,FALSE,"RACT2.XLS";#N/A,#N/A,FALSE,"ECCMP";#N/A,#N/A,FALSE,"WELDER.XLS"}</definedName>
    <definedName name="___hr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hr12">{#N/A,#N/A,FALSE,"COVER.XLS";#N/A,#N/A,FALSE,"RACT1.XLS";#N/A,#N/A,FALSE,"RACT2.XLS";#N/A,#N/A,FALSE,"ECCMP";#N/A,#N/A,FALSE,"WELDER.XLS"}</definedName>
    <definedName name="___hr13">{#N/A,#N/A,FALSE,"COVER.XLS";#N/A,#N/A,FALSE,"RACT1.XLS";#N/A,#N/A,FALSE,"RACT2.XLS";#N/A,#N/A,FALSE,"ECCMP";#N/A,#N/A,FALSE,"WELDER.XLS"}</definedName>
    <definedName name="___hr1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hr2">{#N/A,#N/A,FALSE,"COVER1.XLS ";#N/A,#N/A,FALSE,"RACT1.XLS";#N/A,#N/A,FALSE,"RACT2.XLS";#N/A,#N/A,FALSE,"ECCMP";#N/A,#N/A,FALSE,"WELDER.XLS"}</definedName>
    <definedName name="___hr3">{#N/A,#N/A,FALSE,"COVER.XLS";#N/A,#N/A,FALSE,"RACT1.XLS";#N/A,#N/A,FALSE,"RACT2.XLS";#N/A,#N/A,FALSE,"ECCMP";#N/A,#N/A,FALSE,"WELDER.XLS"}</definedName>
    <definedName name="___hr4">{#N/A,#N/A,FALSE,"COVER1.XLS ";#N/A,#N/A,FALSE,"RACT1.XLS";#N/A,#N/A,FALSE,"RACT2.XLS";#N/A,#N/A,FALSE,"ECCMP";#N/A,#N/A,FALSE,"WELDER.XLS"}</definedName>
    <definedName name="___hr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hr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hr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hr8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hr9">{#N/A,#N/A,FALSE,"COVER1.XLS ";#N/A,#N/A,FALSE,"RACT1.XLS";#N/A,#N/A,FALSE,"RACT2.XLS";#N/A,#N/A,FALSE,"ECCMP";#N/A,#N/A,FALSE,"WELDER.XLS"}</definedName>
    <definedName name="_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kvs1">{#N/A,#N/A,FALSE,"COVER1.XLS ";#N/A,#N/A,FALSE,"RACT1.XLS";#N/A,#N/A,FALSE,"RACT2.XLS";#N/A,#N/A,FALSE,"ECCMP";#N/A,#N/A,FALSE,"WELDER.XLS"}</definedName>
    <definedName name="___kvs2">{#N/A,#N/A,FALSE,"COVER1.XLS ";#N/A,#N/A,FALSE,"RACT1.XLS";#N/A,#N/A,FALSE,"RACT2.XLS";#N/A,#N/A,FALSE,"ECCMP";#N/A,#N/A,FALSE,"WELDER.XLS"}</definedName>
    <definedName name="___kvs21">{#N/A,#N/A,FALSE,"COVER1.XLS ";#N/A,#N/A,FALSE,"RACT1.XLS";#N/A,#N/A,FALSE,"RACT2.XLS";#N/A,#N/A,FALSE,"ECCMP";#N/A,#N/A,FALSE,"WELDER.XLS"}</definedName>
    <definedName name="___KVS3">{#N/A,#N/A,FALSE,"COVER1.XLS ";#N/A,#N/A,FALSE,"RACT1.XLS";#N/A,#N/A,FALSE,"RACT2.XLS";#N/A,#N/A,FALSE,"ECCMP";#N/A,#N/A,FALSE,"WELDER.XLS"}</definedName>
    <definedName name="___kvs5">{#N/A,#N/A,FALSE,"COVER.XLS";#N/A,#N/A,FALSE,"RACT1.XLS";#N/A,#N/A,FALSE,"RACT2.XLS";#N/A,#N/A,FALSE,"ECCMP";#N/A,#N/A,FALSE,"WELDER.XLS"}</definedName>
    <definedName name="___kvs8">{#N/A,#N/A,FALSE,"COVER1.XLS ";#N/A,#N/A,FALSE,"RACT1.XLS";#N/A,#N/A,FALSE,"RACT2.XLS";#N/A,#N/A,FALSE,"ECCMP";#N/A,#N/A,FALSE,"WELDER.XLS"}</definedName>
    <definedName name="___kvs80">{#N/A,#N/A,FALSE,"COVER1.XLS ";#N/A,#N/A,FALSE,"RACT1.XLS";#N/A,#N/A,FALSE,"RACT2.XLS";#N/A,#N/A,FALSE,"ECCMP";#N/A,#N/A,FALSE,"WELDER.XLS"}</definedName>
    <definedName name="___kvs81">{#N/A,#N/A,FALSE,"COVER1.XLS ";#N/A,#N/A,FALSE,"RACT1.XLS";#N/A,#N/A,FALSE,"RACT2.XLS";#N/A,#N/A,FALSE,"ECCMP";#N/A,#N/A,FALSE,"WELDER.XLS"}</definedName>
    <definedName name="___lj1">{#N/A,#N/A,FALSE,"COVER1.XLS ";#N/A,#N/A,FALSE,"RACT1.XLS";#N/A,#N/A,FALSE,"RACT2.XLS";#N/A,#N/A,FALSE,"ECCMP";#N/A,#N/A,FALSE,"WELDER.XLS"}</definedName>
    <definedName name="_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B2">{#N/A,#N/A,FALSE,"COVER.XLS";#N/A,#N/A,FALSE,"RACT1.XLS";#N/A,#N/A,FALSE,"RACT2.XLS";#N/A,#N/A,FALSE,"ECCMP";#N/A,#N/A,FALSE,"WELDER.XLS"}</definedName>
    <definedName name="___REV12">{"'Eng (page2)'!$A$1:$D$52"}</definedName>
    <definedName name="_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ac2">{#N/A,#N/A,FALSE,"COVER1.XLS ";#N/A,#N/A,FALSE,"RACT1.XLS";#N/A,#N/A,FALSE,"RACT2.XLS";#N/A,#N/A,FALSE,"ECCMP";#N/A,#N/A,FALSE,"WELDER.XLS"}</definedName>
    <definedName name="___tom1">{#N/A,#N/A,FALSE,"COVER1.XLS ";#N/A,#N/A,FALSE,"RACT1.XLS";#N/A,#N/A,FALSE,"RACT2.XLS";#N/A,#N/A,FALSE,"ECCMP";#N/A,#N/A,FALSE,"WELDER.XLS"}</definedName>
    <definedName name="___tom2">{#N/A,#N/A,FALSE,"COVER.XLS";#N/A,#N/A,FALSE,"RACT1.XLS";#N/A,#N/A,FALSE,"RACT2.XLS";#N/A,#N/A,FALSE,"ECCMP";#N/A,#N/A,FALSE,"WELDER.XLS"}</definedName>
    <definedName name="___tom3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tom4">{#N/A,#N/A,FALSE,"COVER1.XLS ";#N/A,#N/A,FALSE,"RACT1.XLS";#N/A,#N/A,FALSE,"RACT2.XLS";#N/A,#N/A,FALSE,"ECCMP";#N/A,#N/A,FALSE,"WELDER.XLS"}</definedName>
    <definedName name="___tom5">{#N/A,#N/A,FALSE,"COVER1.XLS ";#N/A,#N/A,FALSE,"RACT1.XLS";#N/A,#N/A,FALSE,"RACT2.XLS";#N/A,#N/A,FALSE,"ECCMP";#N/A,#N/A,FALSE,"WELDER.XLS"}</definedName>
    <definedName name="___tom6">{#N/A,#N/A,FALSE,"COVER.XLS";#N/A,#N/A,FALSE,"RACT1.XLS";#N/A,#N/A,FALSE,"RACT2.XLS";#N/A,#N/A,FALSE,"ECCMP";#N/A,#N/A,FALSE,"WELDER.XLS"}</definedName>
    <definedName name="_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_wat1">{#N/A,#N/A,FALSE,"COVER1.XLS ";#N/A,#N/A,FALSE,"RACT1.XLS";#N/A,#N/A,FALSE,"RACT2.XLS";#N/A,#N/A,FALSE,"ECCMP";#N/A,#N/A,FALSE,"WELDER.XLS"}</definedName>
    <definedName name="_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123Graph_D" localSheetId="1">[1]ชื่อหุ้น!#REF!</definedName>
    <definedName name="__123Graph_D">[1]ชื่อหุ้น!#REF!</definedName>
    <definedName name="__a11">{#N/A,#N/A,FALSE,"COVER1.XLS ";#N/A,#N/A,FALSE,"RACT1.XLS";#N/A,#N/A,FALSE,"RACT2.XLS";#N/A,#N/A,FALSE,"ECCMP";#N/A,#N/A,FALSE,"WELDER.XLS"}</definedName>
    <definedName name="__AP1">{#N/A,#N/A,FALSE,"COVER1.XLS ";#N/A,#N/A,FALSE,"RACT1.XLS";#N/A,#N/A,FALSE,"RACT2.XLS";#N/A,#N/A,FALSE,"ECCMP";#N/A,#N/A,FALSE,"WELDER.XLS"}</definedName>
    <definedName name="__asd12">{#N/A,#N/A,FALSE,"COVER.XLS";#N/A,#N/A,FALSE,"RACT1.XLS";#N/A,#N/A,FALSE,"RACT2.XLS";#N/A,#N/A,FALSE,"ECCMP";#N/A,#N/A,FALSE,"WELDER.XLS"}</definedName>
    <definedName name="__bsn3">{#N/A,#N/A,FALSE,"COVER1.XLS ";#N/A,#N/A,FALSE,"RACT1.XLS";#N/A,#N/A,FALSE,"RACT2.XLS";#N/A,#N/A,FALSE,"ECCMP";#N/A,#N/A,FALSE,"WELDER.XLS"}</definedName>
    <definedName name="__cdu1">{#N/A,#N/A,FALSE,"COVER.XLS";#N/A,#N/A,FALSE,"RACT1.XLS";#N/A,#N/A,FALSE,"RACT2.XLS";#N/A,#N/A,FALSE,"ECCMP";#N/A,#N/A,FALSE,"WELDER.XLS"}</definedName>
    <definedName name="__dd1">{#N/A,#N/A,FALSE,"COVER1.XLS ";#N/A,#N/A,FALSE,"RACT1.XLS";#N/A,#N/A,FALSE,"RACT2.XLS";#N/A,#N/A,FALSE,"ECCMP";#N/A,#N/A,FALSE,"WELDER.XLS"}</definedName>
    <definedName name="__f2">{#N/A,#N/A,FALSE,"COVER1.XLS ";#N/A,#N/A,FALSE,"RACT1.XLS";#N/A,#N/A,FALSE,"RACT2.XLS";#N/A,#N/A,FALSE,"ECCMP";#N/A,#N/A,FALSE,"WELDER.XLS"}</definedName>
    <definedName name="__FG5">{"cashflow",#N/A,FALSE,"cash flow"}</definedName>
    <definedName name="__giu9">{#N/A,#N/A,FALSE,"COVER.XLS";#N/A,#N/A,FALSE,"RACT1.XLS";#N/A,#N/A,FALSE,"RACT2.XLS";#N/A,#N/A,FALSE,"ECCMP";#N/A,#N/A,FALSE,"WELDER.XLS"}</definedName>
    <definedName name="__hr1">{#N/A,#N/A,FALSE,"COVER1.XLS ";#N/A,#N/A,FALSE,"RACT1.XLS";#N/A,#N/A,FALSE,"RACT2.XLS";#N/A,#N/A,FALSE,"ECCMP";#N/A,#N/A,FALSE,"WELDER.XLS"}</definedName>
    <definedName name="__hr10">{#N/A,#N/A,FALSE,"COVER1.XLS ";#N/A,#N/A,FALSE,"RACT1.XLS";#N/A,#N/A,FALSE,"RACT2.XLS";#N/A,#N/A,FALSE,"ECCMP";#N/A,#N/A,FALSE,"WELDER.XLS"}</definedName>
    <definedName name="__hr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hr12">{#N/A,#N/A,FALSE,"COVER.XLS";#N/A,#N/A,FALSE,"RACT1.XLS";#N/A,#N/A,FALSE,"RACT2.XLS";#N/A,#N/A,FALSE,"ECCMP";#N/A,#N/A,FALSE,"WELDER.XLS"}</definedName>
    <definedName name="__hr13">{#N/A,#N/A,FALSE,"COVER.XLS";#N/A,#N/A,FALSE,"RACT1.XLS";#N/A,#N/A,FALSE,"RACT2.XLS";#N/A,#N/A,FALSE,"ECCMP";#N/A,#N/A,FALSE,"WELDER.XLS"}</definedName>
    <definedName name="__hr1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hr2">{#N/A,#N/A,FALSE,"COVER1.XLS ";#N/A,#N/A,FALSE,"RACT1.XLS";#N/A,#N/A,FALSE,"RACT2.XLS";#N/A,#N/A,FALSE,"ECCMP";#N/A,#N/A,FALSE,"WELDER.XLS"}</definedName>
    <definedName name="__hr3">{#N/A,#N/A,FALSE,"COVER.XLS";#N/A,#N/A,FALSE,"RACT1.XLS";#N/A,#N/A,FALSE,"RACT2.XLS";#N/A,#N/A,FALSE,"ECCMP";#N/A,#N/A,FALSE,"WELDER.XLS"}</definedName>
    <definedName name="__hr4">{#N/A,#N/A,FALSE,"COVER1.XLS ";#N/A,#N/A,FALSE,"RACT1.XLS";#N/A,#N/A,FALSE,"RACT2.XLS";#N/A,#N/A,FALSE,"ECCMP";#N/A,#N/A,FALSE,"WELDER.XLS"}</definedName>
    <definedName name="__hr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hr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hr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hr8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hr9">{#N/A,#N/A,FALSE,"COVER1.XLS ";#N/A,#N/A,FALSE,"RACT1.XLS";#N/A,#N/A,FALSE,"RACT2.XLS";#N/A,#N/A,FALSE,"ECCMP";#N/A,#N/A,FALSE,"WELDER.XLS"}</definedName>
    <definedName name="_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kkk1" localSheetId="1">#REF!</definedName>
    <definedName name="__kkk1">#REF!</definedName>
    <definedName name="__kvs1">{#N/A,#N/A,FALSE,"COVER1.XLS ";#N/A,#N/A,FALSE,"RACT1.XLS";#N/A,#N/A,FALSE,"RACT2.XLS";#N/A,#N/A,FALSE,"ECCMP";#N/A,#N/A,FALSE,"WELDER.XLS"}</definedName>
    <definedName name="__kvs2">{#N/A,#N/A,FALSE,"COVER1.XLS ";#N/A,#N/A,FALSE,"RACT1.XLS";#N/A,#N/A,FALSE,"RACT2.XLS";#N/A,#N/A,FALSE,"ECCMP";#N/A,#N/A,FALSE,"WELDER.XLS"}</definedName>
    <definedName name="__kvs21">{#N/A,#N/A,FALSE,"COVER1.XLS ";#N/A,#N/A,FALSE,"RACT1.XLS";#N/A,#N/A,FALSE,"RACT2.XLS";#N/A,#N/A,FALSE,"ECCMP";#N/A,#N/A,FALSE,"WELDER.XLS"}</definedName>
    <definedName name="__KVS3">{#N/A,#N/A,FALSE,"COVER1.XLS ";#N/A,#N/A,FALSE,"RACT1.XLS";#N/A,#N/A,FALSE,"RACT2.XLS";#N/A,#N/A,FALSE,"ECCMP";#N/A,#N/A,FALSE,"WELDER.XLS"}</definedName>
    <definedName name="__kvs5">{#N/A,#N/A,FALSE,"COVER.XLS";#N/A,#N/A,FALSE,"RACT1.XLS";#N/A,#N/A,FALSE,"RACT2.XLS";#N/A,#N/A,FALSE,"ECCMP";#N/A,#N/A,FALSE,"WELDER.XLS"}</definedName>
    <definedName name="__kvs8">{#N/A,#N/A,FALSE,"COVER1.XLS ";#N/A,#N/A,FALSE,"RACT1.XLS";#N/A,#N/A,FALSE,"RACT2.XLS";#N/A,#N/A,FALSE,"ECCMP";#N/A,#N/A,FALSE,"WELDER.XLS"}</definedName>
    <definedName name="__kvs80">{#N/A,#N/A,FALSE,"COVER1.XLS ";#N/A,#N/A,FALSE,"RACT1.XLS";#N/A,#N/A,FALSE,"RACT2.XLS";#N/A,#N/A,FALSE,"ECCMP";#N/A,#N/A,FALSE,"WELDER.XLS"}</definedName>
    <definedName name="__kvs81">{#N/A,#N/A,FALSE,"COVER1.XLS ";#N/A,#N/A,FALSE,"RACT1.XLS";#N/A,#N/A,FALSE,"RACT2.XLS";#N/A,#N/A,FALSE,"ECCMP";#N/A,#N/A,FALSE,"WELDER.XLS"}</definedName>
    <definedName name="__lj1">{#N/A,#N/A,FALSE,"COVER1.XLS ";#N/A,#N/A,FALSE,"RACT1.XLS";#N/A,#N/A,FALSE,"RACT2.XLS";#N/A,#N/A,FALSE,"ECCMP";#N/A,#N/A,FALSE,"WELDER.XLS"}</definedName>
    <definedName name="_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B2">{#N/A,#N/A,FALSE,"COVER.XLS";#N/A,#N/A,FALSE,"RACT1.XLS";#N/A,#N/A,FALSE,"RACT2.XLS";#N/A,#N/A,FALSE,"ECCMP";#N/A,#N/A,FALSE,"WELDER.XLS"}</definedName>
    <definedName name="__mb22">{#N/A,#N/A,FALSE,"COVER.XLS";#N/A,#N/A,FALSE,"RACT1.XLS";#N/A,#N/A,FALSE,"RACT2.XLS";#N/A,#N/A,FALSE,"ECCMP";#N/A,#N/A,FALSE,"WELDER.XLS"}</definedName>
    <definedName name="__Mgr49">{#N/A,#N/A,FALSE,"COVER1.XLS ";#N/A,#N/A,FALSE,"RACT1.XLS";#N/A,#N/A,FALSE,"RACT2.XLS";#N/A,#N/A,FALSE,"ECCMP";#N/A,#N/A,FALSE,"WELDER.XLS"}</definedName>
    <definedName name="__Q1">{#N/A,#N/A,FALSE,"COVER1.XLS ";#N/A,#N/A,FALSE,"RACT1.XLS";#N/A,#N/A,FALSE,"RACT2.XLS";#N/A,#N/A,FALSE,"ECCMP";#N/A,#N/A,FALSE,"WELDER.XLS"}</definedName>
    <definedName name="__q2">{#N/A,#N/A,FALSE,"COVER1.XLS ";#N/A,#N/A,FALSE,"RACT1.XLS";#N/A,#N/A,FALSE,"RACT2.XLS";#N/A,#N/A,FALSE,"ECCMP";#N/A,#N/A,FALSE,"WELDER.XLS"}</definedName>
    <definedName name="__q4">{#N/A,#N/A,FALSE,"COVER1.XLS ";#N/A,#N/A,FALSE,"RACT1.XLS";#N/A,#N/A,FALSE,"RACT2.XLS";#N/A,#N/A,FALSE,"ECCMP";#N/A,#N/A,FALSE,"WELDER.XLS"}</definedName>
    <definedName name="__rc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rck3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REV12">{"'Eng (page2)'!$A$1:$D$52"}</definedName>
    <definedName name="_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ac2">{#N/A,#N/A,FALSE,"COVER1.XLS ";#N/A,#N/A,FALSE,"RACT1.XLS";#N/A,#N/A,FALSE,"RACT2.XLS";#N/A,#N/A,FALSE,"ECCMP";#N/A,#N/A,FALSE,"WELDER.XLS"}</definedName>
    <definedName name="__tom1">{#N/A,#N/A,FALSE,"COVER1.XLS ";#N/A,#N/A,FALSE,"RACT1.XLS";#N/A,#N/A,FALSE,"RACT2.XLS";#N/A,#N/A,FALSE,"ECCMP";#N/A,#N/A,FALSE,"WELDER.XLS"}</definedName>
    <definedName name="__tom2">{#N/A,#N/A,FALSE,"COVER.XLS";#N/A,#N/A,FALSE,"RACT1.XLS";#N/A,#N/A,FALSE,"RACT2.XLS";#N/A,#N/A,FALSE,"ECCMP";#N/A,#N/A,FALSE,"WELDER.XLS"}</definedName>
    <definedName name="__tom3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tom4">{#N/A,#N/A,FALSE,"COVER1.XLS ";#N/A,#N/A,FALSE,"RACT1.XLS";#N/A,#N/A,FALSE,"RACT2.XLS";#N/A,#N/A,FALSE,"ECCMP";#N/A,#N/A,FALSE,"WELDER.XLS"}</definedName>
    <definedName name="__tom5">{#N/A,#N/A,FALSE,"COVER1.XLS ";#N/A,#N/A,FALSE,"RACT1.XLS";#N/A,#N/A,FALSE,"RACT2.XLS";#N/A,#N/A,FALSE,"ECCMP";#N/A,#N/A,FALSE,"WELDER.XLS"}</definedName>
    <definedName name="__tom6">{#N/A,#N/A,FALSE,"COVER.XLS";#N/A,#N/A,FALSE,"RACT1.XLS";#N/A,#N/A,FALSE,"RACT2.XLS";#N/A,#N/A,FALSE,"ECCMP";#N/A,#N/A,FALSE,"WELDER.XLS"}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_wat1">{#N/A,#N/A,FALSE,"COVER1.XLS ";#N/A,#N/A,FALSE,"RACT1.XLS";#N/A,#N/A,FALSE,"RACT2.XLS";#N/A,#N/A,FALSE,"ECCMP";#N/A,#N/A,FALSE,"WELDER.XLS"}</definedName>
    <definedName name="__xlfn.BAHTTEXT">#NAME?</definedName>
    <definedName name="_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a1">{#N/A,#N/A,FALSE,"COVER.XLS";#N/A,#N/A,FALSE,"RACT1.XLS";#N/A,#N/A,FALSE,"RACT2.XLS";#N/A,#N/A,FALSE,"ECCMP";#N/A,#N/A,FALSE,"WELDER.XLS"}</definedName>
    <definedName name="_a11">{#N/A,#N/A,FALSE,"COVER1.XLS ";#N/A,#N/A,FALSE,"RACT1.XLS";#N/A,#N/A,FALSE,"RACT2.XLS";#N/A,#N/A,FALSE,"ECCMP";#N/A,#N/A,FALSE,"WELDER.XLS"}</definedName>
    <definedName name="_a3">{#N/A,#N/A,FALSE,"COVER1.XLS ";#N/A,#N/A,FALSE,"RACT1.XLS";#N/A,#N/A,FALSE,"RACT2.XLS";#N/A,#N/A,FALSE,"ECCMP";#N/A,#N/A,FALSE,"WELDER.XLS"}</definedName>
    <definedName name="_a5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">{#N/A,#N/A,FALSE,"COVER.XLS";#N/A,#N/A,FALSE,"RACT1.XLS";#N/A,#N/A,FALSE,"RACT2.XLS";#N/A,#N/A,FALSE,"ECCMP";#N/A,#N/A,FALSE,"WELDER.XLS"}</definedName>
    <definedName name="_af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om3">{#N/A,#N/A,FALSE,"COVER1.XLS ";#N/A,#N/A,FALSE,"RACT1.XLS";#N/A,#N/A,FALSE,"RACT2.XLS";#N/A,#N/A,FALSE,"ECCMP";#N/A,#N/A,FALSE,"WELDER.XLS"}</definedName>
    <definedName name="_AP1">{#N/A,#N/A,FALSE,"COVER1.XLS ";#N/A,#N/A,FALSE,"RACT1.XLS";#N/A,#N/A,FALSE,"RACT2.XLS";#N/A,#N/A,FALSE,"ECCMP";#N/A,#N/A,FALSE,"WELDER.XLS"}</definedName>
    <definedName name="_asd12">{#N/A,#N/A,FALSE,"COVER.XLS";#N/A,#N/A,FALSE,"RACT1.XLS";#N/A,#N/A,FALSE,"RACT2.XLS";#N/A,#N/A,FALSE,"ECCMP";#N/A,#N/A,FALSE,"WELDER.XLS"}</definedName>
    <definedName name="_B2">{#N/A,#N/A,FALSE,"COVER1.XLS ";#N/A,#N/A,FALSE,"RACT1.XLS";#N/A,#N/A,FALSE,"RACT2.XLS";#N/A,#N/A,FALSE,"ECCMP";#N/A,#N/A,FALSE,"WELDER.XLS"}</definedName>
    <definedName name="_bsn3">{#N/A,#N/A,FALSE,"COVER1.XLS ";#N/A,#N/A,FALSE,"RACT1.XLS";#N/A,#N/A,FALSE,"RACT2.XLS";#N/A,#N/A,FALSE,"ECCMP";#N/A,#N/A,FALSE,"WELDER.XLS"}</definedName>
    <definedName name="_cdu1">{#N/A,#N/A,FALSE,"COVER.XLS";#N/A,#N/A,FALSE,"RACT1.XLS";#N/A,#N/A,FALSE,"RACT2.XLS";#N/A,#N/A,FALSE,"ECCMP";#N/A,#N/A,FALSE,"WELDER.XLS"}</definedName>
    <definedName name="_cdu2">{#N/A,#N/A,FALSE,"COVER.XLS";#N/A,#N/A,FALSE,"RACT1.XLS";#N/A,#N/A,FALSE,"RACT2.XLS";#N/A,#N/A,FALSE,"ECCMP";#N/A,#N/A,FALSE,"WELDER.XLS"}</definedName>
    <definedName name="_dd1">{#N/A,#N/A,FALSE,"COVER1.XLS ";#N/A,#N/A,FALSE,"RACT1.XLS";#N/A,#N/A,FALSE,"RACT2.XLS";#N/A,#N/A,FALSE,"ECCMP";#N/A,#N/A,FALSE,"WELDER.XLS"}</definedName>
    <definedName name="_dd2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Dist_Values" localSheetId="1">#REF!</definedName>
    <definedName name="_Dist_Values">#REF!</definedName>
    <definedName name="_dk1">{#N/A,#N/A,FALSE,"COVER.XLS";#N/A,#N/A,FALSE,"RACT1.XLS";#N/A,#N/A,FALSE,"RACT2.XLS";#N/A,#N/A,FALSE,"ECCMP";#N/A,#N/A,FALSE,"WELDER.XLS"}</definedName>
    <definedName name="_f2">{#N/A,#N/A,FALSE,"COVER1.XLS ";#N/A,#N/A,FALSE,"RACT1.XLS";#N/A,#N/A,FALSE,"RACT2.XLS";#N/A,#N/A,FALSE,"ECCMP";#N/A,#N/A,FALSE,"WELDER.XLS"}</definedName>
    <definedName name="_FG5">{"cashflow",#N/A,FALSE,"cash flow"}</definedName>
    <definedName name="_Fill">'[2]C-3'!$C$81</definedName>
    <definedName name="_xlnm._FilterDatabase" localSheetId="0" hidden="1">'Revenue-Cost (6)'!$A$2:$J$93</definedName>
    <definedName name="_xlnm._FilterDatabase" localSheetId="1" hidden="1">'Revenue-Cost (7)'!$A$2:$L$205</definedName>
    <definedName name="_fry7">{#N/A,#N/A,FALSE,"COVER1.XLS ";#N/A,#N/A,FALSE,"RACT1.XLS";#N/A,#N/A,FALSE,"RACT2.XLS";#N/A,#N/A,FALSE,"ECCMP";#N/A,#N/A,FALSE,"WELDER.XLS"}</definedName>
    <definedName name="_giu9">{#N/A,#N/A,FALSE,"COVER.XLS";#N/A,#N/A,FALSE,"RACT1.XLS";#N/A,#N/A,FALSE,"RACT2.XLS";#N/A,#N/A,FALSE,"ECCMP";#N/A,#N/A,FALSE,"WELDER.XLS"}</definedName>
    <definedName name="_hr1">{#N/A,#N/A,FALSE,"COVER1.XLS ";#N/A,#N/A,FALSE,"RACT1.XLS";#N/A,#N/A,FALSE,"RACT2.XLS";#N/A,#N/A,FALSE,"ECCMP";#N/A,#N/A,FALSE,"WELDER.XLS"}</definedName>
    <definedName name="_hr10">{#N/A,#N/A,FALSE,"COVER1.XLS ";#N/A,#N/A,FALSE,"RACT1.XLS";#N/A,#N/A,FALSE,"RACT2.XLS";#N/A,#N/A,FALSE,"ECCMP";#N/A,#N/A,FALSE,"WELDER.XLS"}</definedName>
    <definedName name="_hr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hr12">{#N/A,#N/A,FALSE,"COVER.XLS";#N/A,#N/A,FALSE,"RACT1.XLS";#N/A,#N/A,FALSE,"RACT2.XLS";#N/A,#N/A,FALSE,"ECCMP";#N/A,#N/A,FALSE,"WELDER.XLS"}</definedName>
    <definedName name="_hr13">{#N/A,#N/A,FALSE,"COVER.XLS";#N/A,#N/A,FALSE,"RACT1.XLS";#N/A,#N/A,FALSE,"RACT2.XLS";#N/A,#N/A,FALSE,"ECCMP";#N/A,#N/A,FALSE,"WELDER.XLS"}</definedName>
    <definedName name="_hr1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hr2">{#N/A,#N/A,FALSE,"COVER1.XLS ";#N/A,#N/A,FALSE,"RACT1.XLS";#N/A,#N/A,FALSE,"RACT2.XLS";#N/A,#N/A,FALSE,"ECCMP";#N/A,#N/A,FALSE,"WELDER.XLS"}</definedName>
    <definedName name="_hr3">{#N/A,#N/A,FALSE,"COVER.XLS";#N/A,#N/A,FALSE,"RACT1.XLS";#N/A,#N/A,FALSE,"RACT2.XLS";#N/A,#N/A,FALSE,"ECCMP";#N/A,#N/A,FALSE,"WELDER.XLS"}</definedName>
    <definedName name="_hr4">{#N/A,#N/A,FALSE,"COVER1.XLS ";#N/A,#N/A,FALSE,"RACT1.XLS";#N/A,#N/A,FALSE,"RACT2.XLS";#N/A,#N/A,FALSE,"ECCMP";#N/A,#N/A,FALSE,"WELDER.XLS"}</definedName>
    <definedName name="_hr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hr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hr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hr8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hr9">{#N/A,#N/A,FALSE,"COVER1.XLS ";#N/A,#N/A,FALSE,"RACT1.XLS";#N/A,#N/A,FALSE,"RACT2.XLS";#N/A,#N/A,FALSE,"ECCMP";#N/A,#N/A,FALSE,"WELDER.XLS"}</definedName>
    <definedName name="_ii8956">{#N/A,#N/A,FALSE,"COVER1.XLS ";#N/A,#N/A,FALSE,"RACT1.XLS";#N/A,#N/A,FALSE,"RACT2.XLS";#N/A,#N/A,FALSE,"ECCMP";#N/A,#N/A,FALSE,"WELDER.XLS"}</definedName>
    <definedName name="_jhi85">{#N/A,#N/A,FALSE,"COVER.XLS";#N/A,#N/A,FALSE,"RACT1.XLS";#N/A,#N/A,FALSE,"RACT2.XLS";#N/A,#N/A,FALSE,"ECCMP";#N/A,#N/A,FALSE,"WELDER.XLS"}</definedName>
    <definedName name="_K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k1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Key1" localSheetId="1">#REF!</definedName>
    <definedName name="_Key1">#REF!</definedName>
    <definedName name="_Key2" localSheetId="1">#REF!</definedName>
    <definedName name="_Key2">#REF!</definedName>
    <definedName name="_key3" localSheetId="1">#REF!</definedName>
    <definedName name="_key3">#REF!</definedName>
    <definedName name="_kkk1" localSheetId="1">#REF!</definedName>
    <definedName name="_kkk1">#REF!</definedName>
    <definedName name="_KO2" localSheetId="1">#REF!</definedName>
    <definedName name="_KO2">#REF!</definedName>
    <definedName name="_kpi4">{#N/A,#N/A,FALSE,"COVER.XLS";#N/A,#N/A,FALSE,"RACT1.XLS";#N/A,#N/A,FALSE,"RACT2.XLS";#N/A,#N/A,FALSE,"ECCMP";#N/A,#N/A,FALSE,"WELDER.XLS"}</definedName>
    <definedName name="_kvs1">{#N/A,#N/A,FALSE,"COVER1.XLS ";#N/A,#N/A,FALSE,"RACT1.XLS";#N/A,#N/A,FALSE,"RACT2.XLS";#N/A,#N/A,FALSE,"ECCMP";#N/A,#N/A,FALSE,"WELDER.XLS"}</definedName>
    <definedName name="_kvs1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kvs2">{#N/A,#N/A,FALSE,"COVER1.XLS ";#N/A,#N/A,FALSE,"RACT1.XLS";#N/A,#N/A,FALSE,"RACT2.XLS";#N/A,#N/A,FALSE,"ECCMP";#N/A,#N/A,FALSE,"WELDER.XLS"}</definedName>
    <definedName name="_kvs21">{#N/A,#N/A,FALSE,"COVER1.XLS ";#N/A,#N/A,FALSE,"RACT1.XLS";#N/A,#N/A,FALSE,"RACT2.XLS";#N/A,#N/A,FALSE,"ECCMP";#N/A,#N/A,FALSE,"WELDER.XLS"}</definedName>
    <definedName name="_KVS3">{#N/A,#N/A,FALSE,"COVER1.XLS ";#N/A,#N/A,FALSE,"RACT1.XLS";#N/A,#N/A,FALSE,"RACT2.XLS";#N/A,#N/A,FALSE,"ECCMP";#N/A,#N/A,FALSE,"WELDER.XLS"}</definedName>
    <definedName name="_kvs5">{#N/A,#N/A,FALSE,"COVER.XLS";#N/A,#N/A,FALSE,"RACT1.XLS";#N/A,#N/A,FALSE,"RACT2.XLS";#N/A,#N/A,FALSE,"ECCMP";#N/A,#N/A,FALSE,"WELDER.XLS"}</definedName>
    <definedName name="_kvs6">{#N/A,#N/A,FALSE,"COVER.XLS";#N/A,#N/A,FALSE,"RACT1.XLS";#N/A,#N/A,FALSE,"RACT2.XLS";#N/A,#N/A,FALSE,"ECCMP";#N/A,#N/A,FALSE,"WELDER.XLS"}</definedName>
    <definedName name="_kvs8">{#N/A,#N/A,FALSE,"COVER1.XLS ";#N/A,#N/A,FALSE,"RACT1.XLS";#N/A,#N/A,FALSE,"RACT2.XLS";#N/A,#N/A,FALSE,"ECCMP";#N/A,#N/A,FALSE,"WELDER.XLS"}</definedName>
    <definedName name="_kvs80">{#N/A,#N/A,FALSE,"COVER1.XLS ";#N/A,#N/A,FALSE,"RACT1.XLS";#N/A,#N/A,FALSE,"RACT2.XLS";#N/A,#N/A,FALSE,"ECCMP";#N/A,#N/A,FALSE,"WELDER.XLS"}</definedName>
    <definedName name="_kvs81">{#N/A,#N/A,FALSE,"COVER1.XLS ";#N/A,#N/A,FALSE,"RACT1.XLS";#N/A,#N/A,FALSE,"RACT2.XLS";#N/A,#N/A,FALSE,"ECCMP";#N/A,#N/A,FALSE,"WELDER.XLS"}</definedName>
    <definedName name="_lj1">{#N/A,#N/A,FALSE,"COVER1.XLS ";#N/A,#N/A,FALSE,"RACT1.XLS";#N/A,#N/A,FALSE,"RACT2.XLS";#N/A,#N/A,FALSE,"ECCMP";#N/A,#N/A,FALSE,"WELDER.XLS"}</definedName>
    <definedName name="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y9">{#N/A,#N/A,FALSE,"COVER.XLS";#N/A,#N/A,FALSE,"RACT1.XLS";#N/A,#N/A,FALSE,"RACT2.XLS";#N/A,#N/A,FALSE,"ECCMP";#N/A,#N/A,FALSE,"WELDER.XLS"}</definedName>
    <definedName name="_MB2">{#N/A,#N/A,FALSE,"COVER.XLS";#N/A,#N/A,FALSE,"RACT1.XLS";#N/A,#N/A,FALSE,"RACT2.XLS";#N/A,#N/A,FALSE,"ECCMP";#N/A,#N/A,FALSE,"WELDER.XLS"}</definedName>
    <definedName name="_mb22">{#N/A,#N/A,FALSE,"COVER.XLS";#N/A,#N/A,FALSE,"RACT1.XLS";#N/A,#N/A,FALSE,"RACT2.XLS";#N/A,#N/A,FALSE,"ECCMP";#N/A,#N/A,FALSE,"WELDER.XLS"}</definedName>
    <definedName name="_Mgr49">{#N/A,#N/A,FALSE,"COVER1.XLS ";#N/A,#N/A,FALSE,"RACT1.XLS";#N/A,#N/A,FALSE,"RACT2.XLS";#N/A,#N/A,FALSE,"ECCMP";#N/A,#N/A,FALSE,"WELDER.XLS"}</definedName>
    <definedName name="_Order1">255</definedName>
    <definedName name="_Order2">255</definedName>
    <definedName name="_Parse_Out" localSheetId="1">#REF!</definedName>
    <definedName name="_Parse_Out">#REF!</definedName>
    <definedName name="_pe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1">{#N/A,#N/A,FALSE,"COVER1.XLS ";#N/A,#N/A,FALSE,"RACT1.XLS";#N/A,#N/A,FALSE,"RACT2.XLS";#N/A,#N/A,FALSE,"ECCMP";#N/A,#N/A,FALSE,"WELDER.XLS"}</definedName>
    <definedName name="_q2">{#N/A,#N/A,FALSE,"COVER1.XLS ";#N/A,#N/A,FALSE,"RACT1.XLS";#N/A,#N/A,FALSE,"RACT2.XLS";#N/A,#N/A,FALSE,"ECCMP";#N/A,#N/A,FALSE,"WELDER.XLS"}</definedName>
    <definedName name="_q4">{#N/A,#N/A,FALSE,"COVER1.XLS ";#N/A,#N/A,FALSE,"RACT1.XLS";#N/A,#N/A,FALSE,"RACT2.XLS";#N/A,#N/A,FALSE,"ECCMP";#N/A,#N/A,FALSE,"WELDER.XLS"}</definedName>
    <definedName name="_qq1">{#N/A,#N/A,FALSE,"COVER1.XLS ";#N/A,#N/A,FALSE,"RACT1.XLS";#N/A,#N/A,FALSE,"RACT2.XLS";#N/A,#N/A,FALSE,"ECCMP";#N/A,#N/A,FALSE,"WELDER.XLS"}</definedName>
    <definedName name="_r122220">{#N/A,#N/A,FALSE,"COVER1.XLS ";#N/A,#N/A,FALSE,"RACT1.XLS";#N/A,#N/A,FALSE,"RACT2.XLS";#N/A,#N/A,FALSE,"ECCMP";#N/A,#N/A,FALSE,"WELDER.XLS"}</definedName>
    <definedName name="_rc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rck3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Regression_X" localSheetId="1">#REF!</definedName>
    <definedName name="_Regression_X">#REF!</definedName>
    <definedName name="_REV12">{"'Eng (page2)'!$A$1:$D$52"}</definedName>
    <definedName name="_rfg6">{#N/A,#N/A,FALSE,"COVER.XLS";#N/A,#N/A,FALSE,"RACT1.XLS";#N/A,#N/A,FALSE,"RACT2.XLS";#N/A,#N/A,FALSE,"ECCMP";#N/A,#N/A,FALSE,"WELDER.XLS"}</definedName>
    <definedName name="_RJE1">{"'SCBMF'!$A$1:$I$51","'SCBDA'!$A$1:$I$45","'SCBBA'!$A$1:$I$37"}</definedName>
    <definedName name="_S3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sap1">{#N/A,#N/A,FALSE,"COVER1.XLS ";#N/A,#N/A,FALSE,"RACT1.XLS";#N/A,#N/A,FALSE,"RACT2.XLS";#N/A,#N/A,FALSE,"ECCMP";#N/A,#N/A,FALSE,"WELDER.XLS"}</definedName>
    <definedName name="_Sort" localSheetId="1">#REF!</definedName>
    <definedName name="_Sort">#REF!</definedName>
    <definedName name="_Table1_In1" localSheetId="1">#REF!</definedName>
    <definedName name="_Table1_In1">#REF!</definedName>
    <definedName name="_tac2">{#N/A,#N/A,FALSE,"COVER1.XLS ";#N/A,#N/A,FALSE,"RACT1.XLS";#N/A,#N/A,FALSE,"RACT2.XLS";#N/A,#N/A,FALSE,"ECCMP";#N/A,#N/A,FALSE,"WELDER.XLS"}</definedName>
    <definedName name="_th6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tom1">{#N/A,#N/A,FALSE,"COVER1.XLS ";#N/A,#N/A,FALSE,"RACT1.XLS";#N/A,#N/A,FALSE,"RACT2.XLS";#N/A,#N/A,FALSE,"ECCMP";#N/A,#N/A,FALSE,"WELDER.XLS"}</definedName>
    <definedName name="_tom2">{#N/A,#N/A,FALSE,"COVER.XLS";#N/A,#N/A,FALSE,"RACT1.XLS";#N/A,#N/A,FALSE,"RACT2.XLS";#N/A,#N/A,FALSE,"ECCMP";#N/A,#N/A,FALSE,"WELDER.XLS"}</definedName>
    <definedName name="_tom3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tom4">{#N/A,#N/A,FALSE,"COVER1.XLS ";#N/A,#N/A,FALSE,"RACT1.XLS";#N/A,#N/A,FALSE,"RACT2.XLS";#N/A,#N/A,FALSE,"ECCMP";#N/A,#N/A,FALSE,"WELDER.XLS"}</definedName>
    <definedName name="_tom5">{#N/A,#N/A,FALSE,"COVER1.XLS ";#N/A,#N/A,FALSE,"RACT1.XLS";#N/A,#N/A,FALSE,"RACT2.XLS";#N/A,#N/A,FALSE,"ECCMP";#N/A,#N/A,FALSE,"WELDER.XLS"}</definedName>
    <definedName name="_tom6">{#N/A,#N/A,FALSE,"COVER.XLS";#N/A,#N/A,FALSE,"RACT1.XLS";#N/A,#N/A,FALSE,"RACT2.XLS";#N/A,#N/A,FALSE,"ECCMP";#N/A,#N/A,FALSE,"WELDER.XLS"}</definedName>
    <definedName name="_TPS1">{#N/A,#N/A,FALSE,"COVER1.XLS ";#N/A,#N/A,FALSE,"RACT1.XLS";#N/A,#N/A,FALSE,"RACT2.XLS";#N/A,#N/A,FALSE,"ECCMP";#N/A,#N/A,FALSE,"WELDER.XLS"}</definedName>
    <definedName name="_TPS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uu9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_UNDO31X31X_" localSheetId="1">#REF!</definedName>
    <definedName name="_UNDO31X31X_">#REF!</definedName>
    <definedName name="_uti40">{#N/A,#N/A,FALSE,"COVER1.XLS ";#N/A,#N/A,FALSE,"RACT1.XLS";#N/A,#N/A,FALSE,"RACT2.XLS";#N/A,#N/A,FALSE,"ECCMP";#N/A,#N/A,FALSE,"WELDER.XLS"}</definedName>
    <definedName name="_w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wat1">{#N/A,#N/A,FALSE,"COVER1.XLS ";#N/A,#N/A,FALSE,"RACT1.XLS";#N/A,#N/A,FALSE,"RACT2.XLS";#N/A,#N/A,FALSE,"ECCMP";#N/A,#N/A,FALSE,"WELDER.XLS"}</definedName>
    <definedName name="_y537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z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a">{"conso",#N/A,FALSE,"cash flow"}</definedName>
    <definedName name="AAAAA123">{#N/A,#N/A,FALSE,"COVER.XLS";#N/A,#N/A,FALSE,"RACT1.XLS";#N/A,#N/A,FALSE,"RACT2.XLS";#N/A,#N/A,FALSE,"ECCMP";#N/A,#N/A,FALSE,"WELDER.XLS"}</definedName>
    <definedName name="aaaaaaaaaaaaa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aaaaaaaaaaaaaa">{#N/A,#N/A,FALSE,"COVER1.XLS ";#N/A,#N/A,FALSE,"RACT1.XLS";#N/A,#N/A,FALSE,"RACT2.XLS";#N/A,#N/A,FALSE,"ECCMP";#N/A,#N/A,FALSE,"WELDER.XLS"}</definedName>
    <definedName name="aaaaaaaaaaaaaaaaa">{#N/A,#N/A,FALSE,"COVER.XLS";#N/A,#N/A,FALSE,"RACT1.XLS";#N/A,#N/A,FALSE,"RACT2.XLS";#N/A,#N/A,FALSE,"ECCMP";#N/A,#N/A,FALSE,"WELDER.XLS"}</definedName>
    <definedName name="aaaaaaaaaaaaaaaaa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aaaaaaa">{#N/A,#N/A,FALSE,"17MAY";#N/A,#N/A,FALSE,"24MAY"}</definedName>
    <definedName name="aaaaaaaaaaaaaaaaaaaaaaaaaaaaaaaaaaaa">{#N/A,#N/A,FALSE,"COVER.XLS";#N/A,#N/A,FALSE,"RACT1.XLS";#N/A,#N/A,FALSE,"RACT2.XLS";#N/A,#N/A,FALSE,"ECCMP";#N/A,#N/A,FALSE,"WELDER.XLS"}</definedName>
    <definedName name="aaaaaaaaaaaaaaaaaaaaaaaaaaaaaaaaaaaaaaaaaaaaaa">{#N/A,#N/A,FALSE,"COVER.XLS";#N/A,#N/A,FALSE,"RACT1.XLS";#N/A,#N/A,FALSE,"RACT2.XLS";#N/A,#N/A,FALSE,"ECCMP";#N/A,#N/A,FALSE,"WELDER.XLS"}</definedName>
    <definedName name="aaaff">{#N/A,#N/A,FALSE,"COVER1.XLS ";#N/A,#N/A,FALSE,"RACT1.XLS";#N/A,#N/A,FALSE,"RACT2.XLS";#N/A,#N/A,FALSE,"ECCMP";#N/A,#N/A,FALSE,"WELDER.XLS"}</definedName>
    <definedName name="aam">{#N/A,#N/A,FALSE,"COVER.XLS";#N/A,#N/A,FALSE,"RACT1.XLS";#N/A,#N/A,FALSE,"RACT2.XLS";#N/A,#N/A,FALSE,"ECCMP";#N/A,#N/A,FALSE,"WELDER.XLS"}</definedName>
    <definedName name="aasc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sssssssfghhhhhhh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cb">{#N/A,#N/A,FALSE,"COVER.XLS";#N/A,#N/A,FALSE,"RACT1.XLS";#N/A,#N/A,FALSE,"RACT2.XLS";#N/A,#N/A,FALSE,"ECCMP";#N/A,#N/A,FALSE,"WELDER.XLS"}</definedName>
    <definedName name="AccessDatabase">"C:\lek1\ms_excel\ฐานข้อมูล.mdb"</definedName>
    <definedName name="addggjuhhghj">{#N/A,#N/A,FALSE,"COVER1.XLS ";#N/A,#N/A,FALSE,"RACT1.XLS";#N/A,#N/A,FALSE,"RACT2.XLS";#N/A,#N/A,FALSE,"ECCMP";#N/A,#N/A,FALSE,"WELDER.XLS"}</definedName>
    <definedName name="adfad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e">{#N/A,#N/A,FALSE,"COVER.XLS";#N/A,#N/A,FALSE,"RACT1.XLS";#N/A,#N/A,FALSE,"RACT2.XLS";#N/A,#N/A,FALSE,"ECCMP";#N/A,#N/A,FALSE,"WELDER.XLS"}</definedName>
    <definedName name="aefr">{#N/A,#N/A,FALSE,"COVER1.XLS ";#N/A,#N/A,FALSE,"RACT1.XLS";#N/A,#N/A,FALSE,"RACT2.XLS";#N/A,#N/A,FALSE,"ECCMP";#N/A,#N/A,FALSE,"WELDER.XLS"}</definedName>
    <definedName name="aerr">{#N/A,#N/A,FALSE,"COVER.XLS";#N/A,#N/A,FALSE,"RACT1.XLS";#N/A,#N/A,FALSE,"RACT2.XLS";#N/A,#N/A,FALSE,"ECCMP";#N/A,#N/A,FALSE,"WELDER.XLS"}</definedName>
    <definedName name="aewdvdretyt">{#N/A,#N/A,FALSE,"COVER.XLS";#N/A,#N/A,FALSE,"RACT1.XLS";#N/A,#N/A,FALSE,"RACT2.XLS";#N/A,#N/A,FALSE,"ECCMP";#N/A,#N/A,FALSE,"WELDER.XLS"}</definedName>
    <definedName name="a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fdasefweafd">{#N/A,#N/A,FALSE,"COVER1.XLS ";#N/A,#N/A,FALSE,"RACT1.XLS";#N/A,#N/A,FALSE,"RACT2.XLS";#N/A,#N/A,FALSE,"ECCMP";#N/A,#N/A,FALSE,"WELDER.XLS"}</definedName>
    <definedName name="afdsf">{#N/A,#N/A,FALSE,"COVER.XLS";#N/A,#N/A,FALSE,"RACT1.XLS";#N/A,#N/A,FALSE,"RACT2.XLS";#N/A,#N/A,FALSE,"ECCMP";#N/A,#N/A,FALSE,"WELDER.XLS"}</definedName>
    <definedName name="afjk">{#N/A,#N/A,FALSE,"COVER1.XLS ";#N/A,#N/A,FALSE,"RACT1.XLS";#N/A,#N/A,FALSE,"RACT2.XLS";#N/A,#N/A,FALSE,"ECCMP";#N/A,#N/A,FALSE,"WELDER.XLS"}</definedName>
    <definedName name="air">{#N/A,#N/A,FALSE,"COVER1.XLS ";#N/A,#N/A,FALSE,"RACT1.XLS";#N/A,#N/A,FALSE,"RACT2.XLS";#N/A,#N/A,FALSE,"ECCMP";#N/A,#N/A,FALSE,"WELDER.XLS"}</definedName>
    <definedName name="ak">{#N/A,#N/A,FALSE,"COVER.XLS";#N/A,#N/A,FALSE,"RACT1.XLS";#N/A,#N/A,FALSE,"RACT2.XLS";#N/A,#N/A,FALSE,"ECCMP";#N/A,#N/A,FALSE,"WELDER.XLS"}</definedName>
    <definedName name="ake">{#N/A,#N/A,FALSE,"COVER.XLS";#N/A,#N/A,FALSE,"RACT1.XLS";#N/A,#N/A,FALSE,"RACT2.XLS";#N/A,#N/A,FALSE,"ECCMP";#N/A,#N/A,FALSE,"WELDER.XLS"}</definedName>
    <definedName name="akhuyh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ma">{#N/A,#N/A,FALSE,"COVER.XLS";#N/A,#N/A,FALSE,"RACT1.XLS";#N/A,#N/A,FALSE,"RACT2.XLS";#N/A,#N/A,FALSE,"ECCMP";#N/A,#N/A,FALSE,"WELDER.XLS"}</definedName>
    <definedName name="amm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p">{#N/A,#N/A,FALSE,"COVER.XLS";#N/A,#N/A,FALSE,"RACT1.XLS";#N/A,#N/A,FALSE,"RACT2.XLS";#N/A,#N/A,FALSE,"ECCMP";#N/A,#N/A,FALSE,"WELDER.XLS"}</definedName>
    <definedName name="ampare">{#N/A,#N/A,FALSE,"COVER.XLS";#N/A,#N/A,FALSE,"RACT1.XLS";#N/A,#N/A,FALSE,"RACT2.XLS";#N/A,#N/A,FALSE,"ECCMP";#N/A,#N/A,FALSE,"WELDER.XLS"}</definedName>
    <definedName name="ampmo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amppaa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ppp">{#N/A,#N/A,FALSE,"COVER1.XLS ";#N/A,#N/A,FALSE,"RACT1.XLS";#N/A,#N/A,FALSE,"RACT2.XLS";#N/A,#N/A,FALSE,"ECCMP";#N/A,#N/A,FALSE,"WELDER.XLS"}</definedName>
    <definedName name="ann">{#N/A,#N/A,FALSE,"COVER.XLS";#N/A,#N/A,FALSE,"RACT1.XLS";#N/A,#N/A,FALSE,"RACT2.XLS";#N/A,#N/A,FALSE,"ECCMP";#N/A,#N/A,FALSE,"WELDER.XLS"}</definedName>
    <definedName name="anny">{#N/A,#N/A,FALSE,"COVER1.XLS ";#N/A,#N/A,FALSE,"RACT1.XLS";#N/A,#N/A,FALSE,"RACT2.XLS";#N/A,#N/A,FALSE,"ECCMP";#N/A,#N/A,FALSE,"WELDER.XLS"}</definedName>
    <definedName name="anscount">3</definedName>
    <definedName name="aom">{#N/A,#N/A,FALSE,"COVER.XLS";#N/A,#N/A,FALSE,"RACT1.XLS";#N/A,#N/A,FALSE,"RACT2.XLS";#N/A,#N/A,FALSE,"ECCMP";#N/A,#N/A,FALSE,"WELDER.XLS"}</definedName>
    <definedName name="aomjit">{#N/A,#N/A,FALSE,"COVER1.XLS ";#N/A,#N/A,FALSE,"RACT1.XLS";#N/A,#N/A,FALSE,"RACT2.XLS";#N/A,#N/A,FALSE,"ECCMP";#N/A,#N/A,FALSE,"WELDER.XLS"}</definedName>
    <definedName name="ap">{#N/A,#N/A,FALSE,"COVER.XLS";#N/A,#N/A,FALSE,"RACT1.XLS";#N/A,#N/A,FALSE,"RACT2.XLS";#N/A,#N/A,FALSE,"ECCMP";#N/A,#N/A,FALSE,"WELDER.XLS"}</definedName>
    <definedName name="apoi">{#N/A,#N/A,FALSE,"17MAY";#N/A,#N/A,FALSE,"24MAY"}</definedName>
    <definedName name="aqa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aqaq">{"cashflow",#N/A,FALSE,"cash flow"}</definedName>
    <definedName name="aqqqqaa">{#N/A,#N/A,FALSE,"COVER.XLS";#N/A,#N/A,FALSE,"RACT1.XLS";#N/A,#N/A,FALSE,"RACT2.XLS";#N/A,#N/A,FALSE,"ECCMP";#N/A,#N/A,FALSE,"WELDER.XLS"}</definedName>
    <definedName name="arfed">{#N/A,#N/A,FALSE,"COVER1.XLS ";#N/A,#N/A,FALSE,"RACT1.XLS";#N/A,#N/A,FALSE,"RACT2.XLS";#N/A,#N/A,FALSE,"ECCMP";#N/A,#N/A,FALSE,"WELDER.XLS"}</definedName>
    <definedName name="arfed1">{#N/A,#N/A,FALSE,"COVER1.XLS ";#N/A,#N/A,FALSE,"RACT1.XLS";#N/A,#N/A,FALSE,"RACT2.XLS";#N/A,#N/A,FALSE,"ECCMP";#N/A,#N/A,FALSE,"WELDER.XLS"}</definedName>
    <definedName name="AS2DocOpenMode">"AS2DocumentEdit"</definedName>
    <definedName name="AS2ReportLS">1</definedName>
    <definedName name="AS2StaticLS" localSheetId="1">#REF!</definedName>
    <definedName name="AS2StaticLS">#REF!</definedName>
    <definedName name="AS2SyncStepLS">0</definedName>
    <definedName name="AS2TickmarkLS" localSheetId="1">#REF!</definedName>
    <definedName name="AS2TickmarkLS">#REF!</definedName>
    <definedName name="AS2VersionLS">300</definedName>
    <definedName name="asaee">{#N/A,#N/A,FALSE,"COVER.XLS";#N/A,#N/A,FALSE,"RACT1.XLS";#N/A,#N/A,FALSE,"RACT2.XLS";#N/A,#N/A,FALSE,"ECCMP";#N/A,#N/A,FALSE,"WELDER.XLS"}</definedName>
    <definedName name="asd">{#N/A,#N/A,FALSE,"COVER1.XLS ";#N/A,#N/A,FALSE,"RACT1.XLS";#N/A,#N/A,FALSE,"RACT2.XLS";#N/A,#N/A,FALSE,"ECCMP";#N/A,#N/A,FALSE,"WELDER.XLS"}</definedName>
    <definedName name="asdd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sdfghjklasdfghjkl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sdfsaf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asd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f">{#N/A,#N/A,FALSE,"COVER.XLS";#N/A,#N/A,FALSE,"RACT1.XLS";#N/A,#N/A,FALSE,"RACT2.XLS";#N/A,#N/A,FALSE,"ECCMP";#N/A,#N/A,FALSE,"WELDER.XLS"}</definedName>
    <definedName name="asfjlkd">{#N/A,#N/A,FALSE,"17MAY";#N/A,#N/A,FALSE,"24MAY"}</definedName>
    <definedName name="asglflfl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spo">{#N/A,#N/A,FALSE,"COVER1.XLS ";#N/A,#N/A,FALSE,"RACT1.XLS";#N/A,#N/A,FALSE,"RACT2.XLS";#N/A,#N/A,FALSE,"ECCMP";#N/A,#N/A,FALSE,"WELDER.XLS"}</definedName>
    <definedName name="as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b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sddddhhjjkll">{#N/A,#N/A,FALSE,"COVER1.XLS ";#N/A,#N/A,FALSE,"RACT1.XLS";#N/A,#N/A,FALSE,"RACT2.XLS";#N/A,#N/A,FALSE,"ECCMP";#N/A,#N/A,FALSE,"WELDER.XLS"}</definedName>
    <definedName name="asssdxxfssdfyg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assssssssssssssssssssssssssssssssssssss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umtion">{#N/A,#N/A,FALSE,"COVER.XLS";#N/A,#N/A,FALSE,"RACT1.XLS";#N/A,#N/A,FALSE,"RACT2.XLS";#N/A,#N/A,FALSE,"ECCMP";#N/A,#N/A,FALSE,"WELDER.XLS"}</definedName>
    <definedName name="asw">{#N/A,#N/A,FALSE,"COVER.XLS";#N/A,#N/A,FALSE,"RACT1.XLS";#N/A,#N/A,FALSE,"RACT2.XLS";#N/A,#N/A,FALSE,"ECCMP";#N/A,#N/A,FALSE,"WELDER.XLS"}</definedName>
    <definedName name="att.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um">{#N/A,#N/A,FALSE,"COVER.XLS";#N/A,#N/A,FALSE,"RACT1.XLS";#N/A,#N/A,FALSE,"RACT2.XLS";#N/A,#N/A,FALSE,"ECCMP";#N/A,#N/A,FALSE,"WELDER.XLS"}</definedName>
    <definedName name="awasaw">{#N/A,#N/A,FALSE,"17MAY";#N/A,#N/A,FALSE,"24MAY"}</definedName>
    <definedName name="awdstrag">{#N/A,#N/A,FALSE,"COVER1.XLS ";#N/A,#N/A,FALSE,"RACT1.XLS";#N/A,#N/A,FALSE,"RACT2.XLS";#N/A,#N/A,FALSE,"ECCMP";#N/A,#N/A,FALSE,"WELDER.XLS"}</definedName>
    <definedName name="axaax">{"cashflow",#N/A,FALSE,"cash flow"}</definedName>
    <definedName name="axaxax">{"conso",#N/A,FALSE,"cash flow"}</definedName>
    <definedName name="az">{#N/A,#N/A,FALSE,"COVER1.XLS ";#N/A,#N/A,FALSE,"RACT1.XLS";#N/A,#N/A,FALSE,"RACT2.XLS";#N/A,#N/A,FALSE,"ECCMP";#N/A,#N/A,FALSE,"WELDER.XLS"}</definedName>
    <definedName name="azsdxxssaaddf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bbbb">{"cashflow",#N/A,FALSE,"cash flow"}</definedName>
    <definedName name="bbbbb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bbbbbbbbb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bbbbbbbbbbbbbbbbb">{#N/A,#N/A,FALSE,"COVER1.XLS ";#N/A,#N/A,FALSE,"RACT1.XLS";#N/A,#N/A,FALSE,"RACT2.XLS";#N/A,#N/A,FALSE,"ECCMP";#N/A,#N/A,FALSE,"WELDER.XLS"}</definedName>
    <definedName name="bbnm">{#N/A,#N/A,FALSE,"COVER1.XLS ";#N/A,#N/A,FALSE,"RACT1.XLS";#N/A,#N/A,FALSE,"RACT2.XLS";#N/A,#N/A,FALSE,"ECCMP";#N/A,#N/A,FALSE,"WELDER.XLS"}</definedName>
    <definedName name="bdf">{#N/A,#N/A,FALSE,"COVER1.XLS ";#N/A,#N/A,FALSE,"RACT1.XLS";#N/A,#N/A,FALSE,"RACT2.XLS";#N/A,#N/A,FALSE,"ECCMP";#N/A,#N/A,FALSE,"WELDER.XLS"}</definedName>
    <definedName name="bds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bfa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fc">{#N/A,#N/A,FALSE,"COVER.XLS";#N/A,#N/A,FALSE,"RACT1.XLS";#N/A,#N/A,FALSE,"RACT2.XLS";#N/A,#N/A,FALSE,"ECCMP";#N/A,#N/A,FALSE,"WELDER.XLS"}</definedName>
    <definedName name="bfg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bfgb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bfgfgb">{#N/A,#N/A,FALSE,"COVER1.XLS ";#N/A,#N/A,FALSE,"RACT1.XLS";#N/A,#N/A,FALSE,"RACT2.XLS";#N/A,#N/A,FALSE,"ECCMP";#N/A,#N/A,FALSE,"WELDER.XLS"}</definedName>
    <definedName name="bfgggfnjuk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fghswffctyk">{#N/A,#N/A,FALSE,"COVER.XLS";#N/A,#N/A,FALSE,"RACT1.XLS";#N/A,#N/A,FALSE,"RACT2.XLS";#N/A,#N/A,FALSE,"ECCMP";#N/A,#N/A,FALSE,"WELDER.XLS"}</definedName>
    <definedName name="BG_Del">15</definedName>
    <definedName name="BG_Ins">4</definedName>
    <definedName name="BG_Mod">6</definedName>
    <definedName name="bgfgh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ghfffg">{#N/A,#N/A,FALSE,"COVER1.XLS ";#N/A,#N/A,FALSE,"RACT1.XLS";#N/A,#N/A,FALSE,"RACT2.XLS";#N/A,#N/A,FALSE,"ECCMP";#N/A,#N/A,FALSE,"WELDER.XLS"}</definedName>
    <definedName name="bghtyy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giuh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grbg">{#N/A,#N/A,FALSE,"COVER.XLS";#N/A,#N/A,FALSE,"RACT1.XLS";#N/A,#N/A,FALSE,"RACT2.XLS";#N/A,#N/A,FALSE,"ECCMP";#N/A,#N/A,FALSE,"WELDER.XLS"}</definedName>
    <definedName name="bgrbreb">{#N/A,#N/A,FALSE,"COVER.XLS";#N/A,#N/A,FALSE,"RACT1.XLS";#N/A,#N/A,FALSE,"RACT2.XLS";#N/A,#N/A,FALSE,"ECCMP";#N/A,#N/A,FALSE,"WELDER.XLS"}</definedName>
    <definedName name="bhk">{#N/A,#N/A,FALSE,"COVER.XLS";#N/A,#N/A,FALSE,"RACT1.XLS";#N/A,#N/A,FALSE,"RACT2.XLS";#N/A,#N/A,FALSE,"ECCMP";#N/A,#N/A,FALSE,"WELDER.XLS"}</definedName>
    <definedName name="bhomj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GC">{#N/A,#N/A,TRUE,"Str.";#N/A,#N/A,TRUE,"Steel &amp; Roof";#N/A,#N/A,TRUE,"Arc.";#N/A,#N/A,TRUE,"Preliminary";#N/A,#N/A,TRUE,"Sum_Prelim"}</definedName>
    <definedName name="bill123">{#N/A,#N/A,FALSE,"COVER.XLS";#N/A,#N/A,FALSE,"RACT1.XLS";#N/A,#N/A,FALSE,"RACT2.XLS";#N/A,#N/A,FALSE,"ECCMP";#N/A,#N/A,FALSE,"WELDER.XLS"}</definedName>
    <definedName name="biuo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jk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bk">{"cashflow",#N/A,FALSE,"cash flow"}</definedName>
    <definedName name="bmoooooo">{#N/A,#N/A,FALSE,"COVER.XLS";#N/A,#N/A,FALSE,"RACT1.XLS";#N/A,#N/A,FALSE,"RACT2.XLS";#N/A,#N/A,FALSE,"ECCMP";#N/A,#N/A,FALSE,"WELDER.XLS"}</definedName>
    <definedName name="BOI">{#N/A,#N/A,FALSE,"COVER1.XLS ";#N/A,#N/A,FALSE,"RACT1.XLS";#N/A,#N/A,FALSE,"RACT2.XLS";#N/A,#N/A,FALSE,"ECCMP";#N/A,#N/A,FALSE,"WELDER.XLS"}</definedName>
    <definedName name="boo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or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oy">{#N/A,#N/A,FALSE,"COVER1.XLS ";#N/A,#N/A,FALSE,"RACT1.XLS";#N/A,#N/A,FALSE,"RACT2.XLS";#N/A,#N/A,FALSE,"ECCMP";#N/A,#N/A,FALSE,"WELDER.XLS"}</definedName>
    <definedName name="brawsed">{#N/A,#N/A,FALSE,"COVER1.XLS ";#N/A,#N/A,FALSE,"RACT1.XLS";#N/A,#N/A,FALSE,"RACT2.XLS";#N/A,#N/A,FALSE,"ECCMP";#N/A,#N/A,FALSE,"WELDER.XLS"}</definedName>
    <definedName name="bro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rwa">{#N/A,#N/A,FALSE,"COVER1.XLS ";#N/A,#N/A,FALSE,"RACT1.XLS";#N/A,#N/A,FALSE,"RACT2.XLS";#N/A,#N/A,FALSE,"ECCMP";#N/A,#N/A,FALSE,"WELDER.XLS"}</definedName>
    <definedName name="btgjmnyiytugy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thdzddshkfju">{#N/A,#N/A,FALSE,"COVER1.XLS ";#N/A,#N/A,FALSE,"RACT1.XLS";#N/A,#N/A,FALSE,"RACT2.XLS";#N/A,#N/A,FALSE,"ECCMP";#N/A,#N/A,FALSE,"WELDER.XLS"}</definedName>
    <definedName name="bvcddfjhu">{#N/A,#N/A,FALSE,"COVER.XLS";#N/A,#N/A,FALSE,"RACT1.XLS";#N/A,#N/A,FALSE,"RACT2.XLS";#N/A,#N/A,FALSE,"ECCMP";#N/A,#N/A,FALSE,"WELDER.XLS"}</definedName>
    <definedName name="bvcdsre">{#N/A,#N/A,FALSE,"COVER1.XLS ";#N/A,#N/A,FALSE,"RACT1.XLS";#N/A,#N/A,FALSE,"RACT2.XLS";#N/A,#N/A,FALSE,"ECCMP";#N/A,#N/A,FALSE,"WELDER.XLS"}</definedName>
    <definedName name="bvfdgrtf">{#N/A,#N/A,FALSE,"COVER1.XLS ";#N/A,#N/A,FALSE,"RACT1.XLS";#N/A,#N/A,FALSE,"RACT2.XLS";#N/A,#N/A,FALSE,"ECCMP";#N/A,#N/A,FALSE,"WELDER.XLS"}</definedName>
    <definedName name="bvfghtyjgsdrhg">{#N/A,#N/A,FALSE,"COVER.XLS";#N/A,#N/A,FALSE,"RACT1.XLS";#N/A,#N/A,FALSE,"RACT2.XLS";#N/A,#N/A,FALSE,"ECCMP";#N/A,#N/A,FALSE,"WELDER.XLS"}</definedName>
    <definedName name="bvncfg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vngh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vvccghgbhhujj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xc">{#N/A,#N/A,FALSE,"17MAY";#N/A,#N/A,FALSE,"24MAY"}</definedName>
    <definedName name="byi8tt">{#N/A,#N/A,FALSE,"COVER.XLS";#N/A,#N/A,FALSE,"RACT1.XLS";#N/A,#N/A,FALSE,"RACT2.XLS";#N/A,#N/A,FALSE,"ECCMP";#N/A,#N/A,FALSE,"WELDER.XLS"}</definedName>
    <definedName name="Cal">{"conso",#N/A,FALSE,"cash flow"}</definedName>
    <definedName name="Cal.Dep.">{"cashflow",#N/A,FALSE,"cash flow"}</definedName>
    <definedName name="cashflow12" localSheetId="1">#REF!</definedName>
    <definedName name="cashflow12">#REF!</definedName>
    <definedName name="ccc">{#N/A,#N/A,FALSE,"COVER1.XLS ";#N/A,#N/A,FALSE,"RACT1.XLS";#N/A,#N/A,FALSE,"RACT2.XLS";#N/A,#N/A,FALSE,"ECCMP";#N/A,#N/A,FALSE,"WELDER.XLS"}</definedName>
    <definedName name="ccccccccccc">{#N/A,#N/A,FALSE,"17MAY";#N/A,#N/A,FALSE,"24MAY"}</definedName>
    <definedName name="cccccccccccccccc">{#N/A,#N/A,FALSE,"COVER1.XLS ";#N/A,#N/A,FALSE,"RACT1.XLS";#N/A,#N/A,FALSE,"RACT2.XLS";#N/A,#N/A,FALSE,"ECCMP";#N/A,#N/A,FALSE,"WELDER.XLS"}</definedName>
    <definedName name="cccccccccccccccccc">{#N/A,#N/A,FALSE,"COVER1.XLS ";#N/A,#N/A,FALSE,"RACT1.XLS";#N/A,#N/A,FALSE,"RACT2.XLS";#N/A,#N/A,FALSE,"ECCMP";#N/A,#N/A,FALSE,"WELDER.XLS"}</definedName>
    <definedName name="ccdffbhfrghg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cdxfvgybhjkiil">{#N/A,#N/A,FALSE,"COVER.XLS";#N/A,#N/A,FALSE,"RACT1.XLS";#N/A,#N/A,FALSE,"RACT2.XLS";#N/A,#N/A,FALSE,"ECCMP";#N/A,#N/A,FALSE,"WELDER.XLS"}</definedName>
    <definedName name="cda">{#N/A,#N/A,FALSE,"COVER1.XLS ";#N/A,#N/A,FALSE,"RACT1.XLS";#N/A,#N/A,FALSE,"RACT2.XLS";#N/A,#N/A,FALSE,"ECCMP";#N/A,#N/A,FALSE,"WELDER.XLS"}</definedName>
    <definedName name="cdd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ddsayhjuyjfhj">{#N/A,#N/A,FALSE,"COVER.XLS";#N/A,#N/A,FALSE,"RACT1.XLS";#N/A,#N/A,FALSE,"RACT2.XLS";#N/A,#N/A,FALSE,"ECCMP";#N/A,#N/A,FALSE,"WELDER.XLS"}</definedName>
    <definedName name="cddssxccc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dffacdsf">{#N/A,#N/A,FALSE,"COVER1.XLS ";#N/A,#N/A,FALSE,"RACT1.XLS";#N/A,#N/A,FALSE,"RACT2.XLS";#N/A,#N/A,FALSE,"ECCMP";#N/A,#N/A,FALSE,"WELDER.XLS"}</definedName>
    <definedName name="cdffss">{#N/A,#N/A,FALSE,"COVER.XLS";#N/A,#N/A,FALSE,"RACT1.XLS";#N/A,#N/A,FALSE,"RACT2.XLS";#N/A,#N/A,FALSE,"ECCMP";#N/A,#N/A,FALSE,"WELDER.XLS"}</definedName>
    <definedName name="cdfgtr">{#N/A,#N/A,FALSE,"COVER1.XLS ";#N/A,#N/A,FALSE,"RACT1.XLS";#N/A,#N/A,FALSE,"RACT2.XLS";#N/A,#N/A,FALSE,"ECCMP";#N/A,#N/A,FALSE,"WELDER.XLS"}</definedName>
    <definedName name="cds">{#N/A,#N/A,FALSE,"COVER.XLS";#N/A,#N/A,FALSE,"RACT1.XLS";#N/A,#N/A,FALSE,"RACT2.XLS";#N/A,#N/A,FALSE,"ECCMP";#N/A,#N/A,FALSE,"WELDER.XLS"}</definedName>
    <definedName name="cdsc">{#N/A,#N/A,FALSE,"COVER1.XLS ";#N/A,#N/A,FALSE,"RACT1.XLS";#N/A,#N/A,FALSE,"RACT2.XLS";#N/A,#N/A,FALSE,"ECCMP";#N/A,#N/A,FALSE,"WELDER.XLS"}</definedName>
    <definedName name="cdu">{#N/A,#N/A,FALSE,"COVER.XLS";#N/A,#N/A,FALSE,"RACT1.XLS";#N/A,#N/A,FALSE,"RACT2.XLS";#N/A,#N/A,FALSE,"ECCMP";#N/A,#N/A,FALSE,"WELDER.XLS"}</definedName>
    <definedName name="ceddasd">{#N/A,#N/A,FALSE,"COVER.XLS";#N/A,#N/A,FALSE,"RACT1.XLS";#N/A,#N/A,FALSE,"RACT2.XLS";#N/A,#N/A,FALSE,"ECCMP";#N/A,#N/A,FALSE,"WELDER.XLS"}</definedName>
    <definedName name="cerfvtrhddshjifdy">{#N/A,#N/A,FALSE,"17MAY";#N/A,#N/A,FALSE,"24MAY"}</definedName>
    <definedName name="cf">{"cashflow",#N/A,FALSE,"cash flow"}</definedName>
    <definedName name="cffddgu">{#N/A,#N/A,FALSE,"COVER.XLS";#N/A,#N/A,FALSE,"RACT1.XLS";#N/A,#N/A,FALSE,"RACT2.XLS";#N/A,#N/A,FALSE,"ECCMP";#N/A,#N/A,FALSE,"WELDER.XLS"}</definedName>
    <definedName name="cha">{#N/A,#N/A,FALSE,"COVER1.XLS ";#N/A,#N/A,FALSE,"RACT1.XLS";#N/A,#N/A,FALSE,"RACT2.XLS";#N/A,#N/A,FALSE,"ECCMP";#N/A,#N/A,FALSE,"WELDER.XLS"}</definedName>
    <definedName name="chai">{"conso",#N/A,FALSE,"cash flow"}</definedName>
    <definedName name="chaiwat">{#N/A,#N/A,FALSE,"COVER.XLS";#N/A,#N/A,FALSE,"RACT1.XLS";#N/A,#N/A,FALSE,"RACT2.XLS";#N/A,#N/A,FALSE,"ECCMP";#N/A,#N/A,FALSE,"WELDER.XLS"}</definedName>
    <definedName name="channelexpen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t">{#N/A,#N/A,FALSE,"COVER.XLS";#N/A,#N/A,FALSE,"RACT1.XLS";#N/A,#N/A,FALSE,"RACT2.XLS";#N/A,#N/A,FALSE,"ECCMP";#N/A,#N/A,FALSE,"WELDER.XLS"}</definedName>
    <definedName name="ciuop">{#N/A,#N/A,FALSE,"17MAY";#N/A,#N/A,FALSE,"24MAY"}</definedName>
    <definedName name="civil">{#N/A,#N/A,FALSE,"COVER.XLS";#N/A,#N/A,FALSE,"RACT1.XLS";#N/A,#N/A,FALSE,"RACT2.XLS";#N/A,#N/A,FALSE,"ECCMP";#N/A,#N/A,FALSE,"WELDER.XLS"}</definedName>
    <definedName name="cos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RM">{#N/A,#N/A,FALSE,"COVER1.XLS ";#N/A,#N/A,FALSE,"RACT1.XLS";#N/A,#N/A,FALSE,"RACT2.XLS";#N/A,#N/A,FALSE,"ECCMP";#N/A,#N/A,FALSE,"WELDER.XLS"}</definedName>
    <definedName name="c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s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sdc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sdc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sdeeg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sss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UEVE">{#N/A,#N/A,FALSE,"COVER1.XLS ";#N/A,#N/A,FALSE,"RACT1.XLS";#N/A,#N/A,FALSE,"RACT2.XLS";#N/A,#N/A,FALSE,"ECCMP";#N/A,#N/A,FALSE,"WELDER.XLS"}</definedName>
    <definedName name="curin">{#N/A,#N/A,FALSE,"COVER1.XLS ";#N/A,#N/A,FALSE,"RACT1.XLS";#N/A,#N/A,FALSE,"RACT2.XLS";#N/A,#N/A,FALSE,"ECCMP";#N/A,#N/A,FALSE,"WELDER.XLS"}</definedName>
    <definedName name="CURVE">{#N/A,#N/A,FALSE,"COVER1.XLS ";#N/A,#N/A,FALSE,"RACT1.XLS";#N/A,#N/A,FALSE,"RACT2.XLS";#N/A,#N/A,FALSE,"ECCMP";#N/A,#N/A,FALSE,"WELDER.XLS"}</definedName>
    <definedName name="curve2">{#N/A,#N/A,FALSE,"COVER1.XLS ";#N/A,#N/A,FALSE,"RACT1.XLS";#N/A,#N/A,FALSE,"RACT2.XLS";#N/A,#N/A,FALSE,"ECCMP";#N/A,#N/A,FALSE,"WELDER.XLS"}</definedName>
    <definedName name="cvxyhef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wdsc" localSheetId="1">#REF!</definedName>
    <definedName name="cwdsc">#REF!</definedName>
    <definedName name="CWIPApr04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cxdssfgh">{#N/A,#N/A,FALSE,"COVER1.XLS ";#N/A,#N/A,FALSE,"RACT1.XLS";#N/A,#N/A,FALSE,"RACT2.XLS";#N/A,#N/A,FALSE,"ECCMP";#N/A,#N/A,FALSE,"WELDER.XLS"}</definedName>
    <definedName name="cxvjhbs">{#N/A,#N/A,FALSE,"COVER1.XLS ";#N/A,#N/A,FALSE,"RACT1.XLS";#N/A,#N/A,FALSE,"RACT2.XLS";#N/A,#N/A,FALSE,"ECCMP";#N/A,#N/A,FALSE,"WELDER.XLS"}</definedName>
    <definedName name="cxxdrjhi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dsad">{#N/A,#N/A,FALSE,"COVER1.XLS ";#N/A,#N/A,FALSE,"RACT1.XLS";#N/A,#N/A,FALSE,"RACT2.XLS";#N/A,#N/A,FALSE,"ECCMP";#N/A,#N/A,FALSE,"WELDER.XLS"}</definedName>
    <definedName name="daer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af">{#N/A,#N/A,FALSE,"COVER.XLS";#N/A,#N/A,FALSE,"RACT1.XLS";#N/A,#N/A,FALSE,"RACT2.XLS";#N/A,#N/A,FALSE,"ECCMP";#N/A,#N/A,FALSE,"WELDER.XLS"}</definedName>
    <definedName name="daouul">{#N/A,#N/A,FALSE,"COVER1.XLS ";#N/A,#N/A,FALSE,"RACT1.XLS";#N/A,#N/A,FALSE,"RACT2.XLS";#N/A,#N/A,FALSE,"ECCMP";#N/A,#N/A,FALSE,"WELDER.XLS"}</definedName>
    <definedName name="dar">{#N/A,#N/A,FALSE,"COVER.XLS";#N/A,#N/A,FALSE,"RACT1.XLS";#N/A,#N/A,FALSE,"RACT2.XLS";#N/A,#N/A,FALSE,"ECCMP";#N/A,#N/A,FALSE,"WELDER.XLS"}</definedName>
    <definedName name="dasss">{#N/A,#N/A,FALSE,"COVER1.XLS ";#N/A,#N/A,FALSE,"RACT1.XLS";#N/A,#N/A,FALSE,"RACT2.XLS";#N/A,#N/A,FALSE,"ECCMP";#N/A,#N/A,FALSE,"WELDER.XLS"}</definedName>
    <definedName name="day">{#N/A,#N/A,FALSE,"COVER.XLS";#N/A,#N/A,FALSE,"RACT1.XLS";#N/A,#N/A,FALSE,"RACT2.XLS";#N/A,#N/A,FALSE,"ECCMP";#N/A,#N/A,FALSE,"WELDER.XLS"}</definedName>
    <definedName name="dayttkl">{#N/A,#N/A,FALSE,"COVER1.XLS ";#N/A,#N/A,FALSE,"RACT1.XLS";#N/A,#N/A,FALSE,"RACT2.XLS";#N/A,#N/A,FALSE,"ECCMP";#N/A,#N/A,FALSE,"WELDER.XLS"}</definedName>
    <definedName name="dbd">{#N/A,#N/A,FALSE,"COVER1.XLS ";#N/A,#N/A,FALSE,"RACT1.XLS";#N/A,#N/A,FALSE,"RACT2.XLS";#N/A,#N/A,FALSE,"ECCMP";#N/A,#N/A,FALSE,"WELDER.XLS"}</definedName>
    <definedName name="dbs">{#N/A,#N/A,FALSE,"COVER1.XLS ";#N/A,#N/A,FALSE,"RACT1.XLS";#N/A,#N/A,FALSE,"RACT2.XLS";#N/A,#N/A,FALSE,"ECCMP";#N/A,#N/A,FALSE,"WELDER.XLS"}</definedName>
    <definedName name="dbyj">{#N/A,#N/A,FALSE,"COVER.XLS";#N/A,#N/A,FALSE,"RACT1.XLS";#N/A,#N/A,FALSE,"RACT2.XLS";#N/A,#N/A,FALSE,"ECCMP";#N/A,#N/A,FALSE,"WELDER.XLS"}</definedName>
    <definedName name="dcd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cu">{#N/A,#N/A,FALSE,"COVER.XLS";#N/A,#N/A,FALSE,"RACT1.XLS";#N/A,#N/A,FALSE,"RACT2.XLS";#N/A,#N/A,FALSE,"ECCMP";#N/A,#N/A,FALSE,"WELDER.XLS"}</definedName>
    <definedName name="dd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c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ddd">{#N/A,#N/A,FALSE,"COVER1.XLS ";#N/A,#N/A,FALSE,"RACT1.XLS";#N/A,#N/A,FALSE,"RACT2.XLS";#N/A,#N/A,FALSE,"ECCMP";#N/A,#N/A,FALSE,"WELDER.XLS"}</definedName>
    <definedName name="ddddd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dddd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d">{#N/A,#N/A,FALSE,"COVER.XLS";#N/A,#N/A,FALSE,"RACT1.XLS";#N/A,#N/A,FALSE,"RACT2.XLS";#N/A,#N/A,FALSE,"ECCMP";#N/A,#N/A,FALSE,"WELDER.XLS"}</definedName>
    <definedName name="dddddddddddd">{#N/A,#N/A,FALSE,"COVER1.XLS ";#N/A,#N/A,FALSE,"RACT1.XLS";#N/A,#N/A,FALSE,"RACT2.XLS";#N/A,#N/A,FALSE,"ECCMP";#N/A,#N/A,FALSE,"WELDER.XLS"}</definedName>
    <definedName name="ddddfaef">{#N/A,#N/A,FALSE,"COVER1.XLS ";#N/A,#N/A,FALSE,"RACT1.XLS";#N/A,#N/A,FALSE,"RACT2.XLS";#N/A,#N/A,FALSE,"ECCMP";#N/A,#N/A,FALSE,"WELDER.XLS"}</definedName>
    <definedName name="dddsaa">{#N/A,#N/A,FALSE,"COVER1.XLS ";#N/A,#N/A,FALSE,"RACT1.XLS";#N/A,#N/A,FALSE,"RACT2.XLS";#N/A,#N/A,FALSE,"ECCMP";#N/A,#N/A,FALSE,"WELDER.XLS"}</definedName>
    <definedName name="ddfdddd">{#N/A,#N/A,FALSE,"COVER1.XLS ";#N/A,#N/A,FALSE,"RACT1.XLS";#N/A,#N/A,FALSE,"RACT2.XLS";#N/A,#N/A,FALSE,"ECCMP";#N/A,#N/A,FALSE,"WELDER.XLS"}</definedName>
    <definedName name="ddferg">{#N/A,#N/A,FALSE,"COVER.XLS";#N/A,#N/A,FALSE,"RACT1.XLS";#N/A,#N/A,FALSE,"RACT2.XLS";#N/A,#N/A,FALSE,"ECCMP";#N/A,#N/A,FALSE,"WELDER.XLS"}</definedName>
    <definedName name="ddfewsdg">{#N/A,#N/A,FALSE,"COVER1.XLS ";#N/A,#N/A,FALSE,"RACT1.XLS";#N/A,#N/A,FALSE,"RACT2.XLS";#N/A,#N/A,FALSE,"ECCMP";#N/A,#N/A,FALSE,"WELDER.XLS"}</definedName>
    <definedName name="ddff">{#N/A,#N/A,FALSE,"COVER1.XLS ";#N/A,#N/A,FALSE,"RACT1.XLS";#N/A,#N/A,FALSE,"RACT2.XLS";#N/A,#N/A,FALSE,"ECCMP";#N/A,#N/A,FALSE,"WELDER.XLS"}</definedName>
    <definedName name="ddfsa" localSheetId="1">#REF!</definedName>
    <definedName name="ddfsa">#REF!</definedName>
    <definedName name="ddghnjkiuyn">{#N/A,#N/A,FALSE,"COVER1.XLS ";#N/A,#N/A,FALSE,"RACT1.XLS";#N/A,#N/A,FALSE,"RACT2.XLS";#N/A,#N/A,FALSE,"ECCMP";#N/A,#N/A,FALSE,"WELDER.XLS"}</definedName>
    <definedName name="dd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sdc">{#N/A,#N/A,FALSE,"COVER1.XLS ";#N/A,#N/A,FALSE,"RACT1.XLS";#N/A,#N/A,FALSE,"RACT2.XLS";#N/A,#N/A,FALSE,"ECCMP";#N/A,#N/A,FALSE,"WELDER.XLS"}</definedName>
    <definedName name="ddsdfdsf">{#N/A,#N/A,FALSE,"COVER1.XLS ";#N/A,#N/A,FALSE,"RACT1.XLS";#N/A,#N/A,FALSE,"RACT2.XLS";#N/A,#N/A,FALSE,"ECCMP";#N/A,#N/A,FALSE,"WELDER.XLS"}</definedName>
    <definedName name="ddsds">{#N/A,#N/A,FALSE,"COVER1.XLS ";#N/A,#N/A,FALSE,"RACT1.XLS";#N/A,#N/A,FALSE,"RACT2.XLS";#N/A,#N/A,FALSE,"ECCMP";#N/A,#N/A,FALSE,"WELDER.XLS"}</definedName>
    <definedName name="ddsf">{#N/A,#N/A,FALSE,"COVER.XLS";#N/A,#N/A,FALSE,"RACT1.XLS";#N/A,#N/A,FALSE,"RACT2.XLS";#N/A,#N/A,FALSE,"ECCMP";#N/A,#N/A,FALSE,"WELDER.XLS"}</definedName>
    <definedName name="ddssdf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eddy">{#N/A,#N/A,FALSE,"COVER.XLS";#N/A,#N/A,FALSE,"RACT1.XLS";#N/A,#N/A,FALSE,"RACT2.XLS";#N/A,#N/A,FALSE,"ECCMP";#N/A,#N/A,FALSE,"WELDER.XLS"}</definedName>
    <definedName name="dedtrgtui">{#N/A,#N/A,FALSE,"COVER1.XLS ";#N/A,#N/A,FALSE,"RACT1.XLS";#N/A,#N/A,FALSE,"RACT2.XLS";#N/A,#N/A,FALSE,"ECCMP";#N/A,#N/A,FALSE,"WELDER.XLS"}</definedName>
    <definedName name="deep">{#N/A,#N/A,FALSE,"COVER1.XLS ";#N/A,#N/A,FALSE,"RACT1.XLS";#N/A,#N/A,FALSE,"RACT2.XLS";#N/A,#N/A,FALSE,"ECCMP";#N/A,#N/A,FALSE,"WELDER.XLS"}</definedName>
    <definedName name="defsg">{#N/A,#N/A,FALSE,"COVER.XLS";#N/A,#N/A,FALSE,"RACT1.XLS";#N/A,#N/A,FALSE,"RACT2.XLS";#N/A,#N/A,FALSE,"ECCMP";#N/A,#N/A,FALSE,"WELDER.XLS"}</definedName>
    <definedName name="deghe">{#N/A,#N/A,FALSE,"17MAY";#N/A,#N/A,FALSE,"24MAY"}</definedName>
    <definedName name="denp">{#N/A,#N/A,FALSE,"COVER1.XLS ";#N/A,#N/A,FALSE,"RACT1.XLS";#N/A,#N/A,FALSE,"RACT2.XLS";#N/A,#N/A,FALSE,"ECCMP";#N/A,#N/A,FALSE,"WELDER.XLS"}</definedName>
    <definedName name="Department">{#N/A,#N/A,FALSE,"COVER.XLS";#N/A,#N/A,FALSE,"RACT1.XLS";#N/A,#N/A,FALSE,"RACT2.XLS";#N/A,#N/A,FALSE,"ECCMP";#N/A,#N/A,FALSE,"WELDER.XLS"}</definedName>
    <definedName name="Depp">{"cashflow",#N/A,FALSE,"cash flow"}</definedName>
    <definedName name="derddd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ESOF">{#N/A,#N/A,FALSE,"COVER1.XLS ";#N/A,#N/A,FALSE,"RACT1.XLS";#N/A,#N/A,FALSE,"RACT2.XLS";#N/A,#N/A,FALSE,"ECCMP";#N/A,#N/A,FALSE,"WELDER.XLS"}</definedName>
    <definedName name="destinatio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et">{#N/A,#N/A,FALSE,"COVER1.XLS ";#N/A,#N/A,FALSE,"RACT1.XLS";#N/A,#N/A,FALSE,"RACT2.XLS";#N/A,#N/A,FALSE,"ECCMP";#N/A,#N/A,FALSE,"WELDER.XLS"}</definedName>
    <definedName name="df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fa">{#N/A,#N/A,FALSE,"COVER1.XLS ";#N/A,#N/A,FALSE,"RACT1.XLS";#N/A,#N/A,FALSE,"RACT2.XLS";#N/A,#N/A,FALSE,"ECCMP";#N/A,#N/A,FALSE,"WELDER.XLS"}</definedName>
    <definedName name="dfa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fd">{#N/A,#N/A,FALSE,"COVER1.XLS ";#N/A,#N/A,FALSE,"RACT1.XLS";#N/A,#N/A,FALSE,"RACT2.XLS";#N/A,#N/A,FALSE,"ECCMP";#N/A,#N/A,FALSE,"WELDER.XLS"}</definedName>
    <definedName name="dfdddsd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fdfaf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fdfdf">{#N/A,#N/A,FALSE,"COVER.XLS";#N/A,#N/A,FALSE,"RACT1.XLS";#N/A,#N/A,FALSE,"RACT2.XLS";#N/A,#N/A,FALSE,"ECCMP";#N/A,#N/A,FALSE,"WELDER.XLS"}</definedName>
    <definedName name="dfdfdff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ffd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fff">{#N/A,#N/A,FALSE,"COVER1.XLS ";#N/A,#N/A,FALSE,"RACT1.XLS";#N/A,#N/A,FALSE,"RACT2.XLS";#N/A,#N/A,FALSE,"ECCMP";#N/A,#N/A,FALSE,"WELDER.XLS"}</definedName>
    <definedName name="dffff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ffsdfadsf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fga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fgadgfs">{#N/A,#N/A,FALSE,"COVER1.XLS ";#N/A,#N/A,FALSE,"RACT1.XLS";#N/A,#N/A,FALSE,"RACT2.XLS";#N/A,#N/A,FALSE,"ECCMP";#N/A,#N/A,FALSE,"WELDER.XLS"}</definedName>
    <definedName name="dfgd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fgdsa">{#N/A,#N/A,FALSE,"17MAY";#N/A,#N/A,FALSE,"24MAY"}</definedName>
    <definedName name="dfgg">{#N/A,#N/A,FALSE,"COVER1.XLS ";#N/A,#N/A,FALSE,"RACT1.XLS";#N/A,#N/A,FALSE,"RACT2.XLS";#N/A,#N/A,FALSE,"ECCMP";#N/A,#N/A,FALSE,"WELDER.XLS"}</definedName>
    <definedName name="dfg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fghy">{#N/A,#N/A,FALSE,"COVER1.XLS ";#N/A,#N/A,FALSE,"RACT1.XLS";#N/A,#N/A,FALSE,"RACT2.XLS";#N/A,#N/A,FALSE,"ECCMP";#N/A,#N/A,FALSE,"WELDER.XLS"}</definedName>
    <definedName name="dfgr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fgsdhs">{#N/A,#N/A,FALSE,"17MAY";#N/A,#N/A,FALSE,"24MAY"}</definedName>
    <definedName name="dfhg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fhjkl">{#N/A,#N/A,FALSE,"COVER1.XLS ";#N/A,#N/A,FALSE,"RACT1.XLS";#N/A,#N/A,FALSE,"RACT2.XLS";#N/A,#N/A,FALSE,"ECCMP";#N/A,#N/A,FALSE,"WELDER.XLS"}</definedName>
    <definedName name="dfhnmm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fjie">{#N/A,#N/A,FALSE,"COVER.XLS";#N/A,#N/A,FALSE,"RACT1.XLS";#N/A,#N/A,FALSE,"RACT2.XLS";#N/A,#N/A,FALSE,"ECCMP";#N/A,#N/A,FALSE,"WELDER.XLS"}</definedName>
    <definedName name="dfredbtyi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fsfdfg">{#N/A,#N/A,FALSE,"COVER1.XLS ";#N/A,#N/A,FALSE,"RACT1.XLS";#N/A,#N/A,FALSE,"RACT2.XLS";#N/A,#N/A,FALSE,"ECCMP";#N/A,#N/A,FALSE,"WELDER.XLS"}</definedName>
    <definedName name="dftrhry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fvdfvdDfd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fvx">{#N/A,#N/A,FALSE,"17MAY";#N/A,#N/A,FALSE,"24MAY"}</definedName>
    <definedName name="dfyuscbhth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g">{#N/A,#N/A,FALSE,"COVER1.XLS ";#N/A,#N/A,FALSE,"RACT1.XLS";#N/A,#N/A,FALSE,"RACT2.XLS";#N/A,#N/A,FALSE,"ECCMP";#N/A,#N/A,FALSE,"WELDER.XLS"}</definedName>
    <definedName name="dgdv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geged">{#N/A,#N/A,FALSE,"COVER.XLS";#N/A,#N/A,FALSE,"RACT1.XLS";#N/A,#N/A,FALSE,"RACT2.XLS";#N/A,#N/A,FALSE,"ECCMP";#N/A,#N/A,FALSE,"WELDER.XLS"}</definedName>
    <definedName name="dgfdhf">{#N/A,#N/A,FALSE,"COVER.XLS";#N/A,#N/A,FALSE,"RACT1.XLS";#N/A,#N/A,FALSE,"RACT2.XLS";#N/A,#N/A,FALSE,"ECCMP";#N/A,#N/A,FALSE,"WELDER.XLS"}</definedName>
    <definedName name="dgff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gfgfd">{#N/A,#N/A,FALSE,"COVER.XLS";#N/A,#N/A,FALSE,"RACT1.XLS";#N/A,#N/A,FALSE,"RACT2.XLS";#N/A,#N/A,FALSE,"ECCMP";#N/A,#N/A,FALSE,"WELDER.XLS"}</definedName>
    <definedName name="dgfgfd1">{#N/A,#N/A,FALSE,"COVER.XLS";#N/A,#N/A,FALSE,"RACT1.XLS";#N/A,#N/A,FALSE,"RACT2.XLS";#N/A,#N/A,FALSE,"ECCMP";#N/A,#N/A,FALSE,"WELDER.XLS"}</definedName>
    <definedName name="dgfrt">{#N/A,#N/A,FALSE,"COVER.XLS";#N/A,#N/A,FALSE,"RACT1.XLS";#N/A,#N/A,FALSE,"RACT2.XLS";#N/A,#N/A,FALSE,"ECCMP";#N/A,#N/A,FALSE,"WELDER.XLS"}</definedName>
    <definedName name="dgggg">{#N/A,#N/A,FALSE,"COVER1.XLS ";#N/A,#N/A,FALSE,"RACT1.XLS";#N/A,#N/A,FALSE,"RACT2.XLS";#N/A,#N/A,FALSE,"ECCMP";#N/A,#N/A,FALSE,"WELDER.XLS"}</definedName>
    <definedName name="dgh">{#N/A,#N/A,FALSE,"COVER.XLS";#N/A,#N/A,FALSE,"RACT1.XLS";#N/A,#N/A,FALSE,"RACT2.XLS";#N/A,#N/A,FALSE,"ECCMP";#N/A,#N/A,FALSE,"WELDER.XLS"}</definedName>
    <definedName name="dgjyru">{#N/A,#N/A,FALSE,"COVER.XLS";#N/A,#N/A,FALSE,"RACT1.XLS";#N/A,#N/A,FALSE,"RACT2.XLS";#N/A,#N/A,FALSE,"ECCMP";#N/A,#N/A,FALSE,"WELDER.XLS"}</definedName>
    <definedName name="dgt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gtu7u">{#N/A,#N/A,FALSE,"COVER.XLS";#N/A,#N/A,FALSE,"RACT1.XLS";#N/A,#N/A,FALSE,"RACT2.XLS";#N/A,#N/A,FALSE,"ECCMP";#N/A,#N/A,FALSE,"WELDER.XLS"}</definedName>
    <definedName name="dguytu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dhah">{#N/A,#N/A,FALSE,"COVER.XLS";#N/A,#N/A,FALSE,"RACT1.XLS";#N/A,#N/A,FALSE,"RACT2.XLS";#N/A,#N/A,FALSE,"ECCMP";#N/A,#N/A,FALSE,"WELDER.XLS"}</definedName>
    <definedName name="dhfyg">{#N/A,#N/A,FALSE,"COVER1.XLS ";#N/A,#N/A,FALSE,"RACT1.XLS";#N/A,#N/A,FALSE,"RACT2.XLS";#N/A,#N/A,FALSE,"ECCMP";#N/A,#N/A,FALSE,"WELDER.XLS"}</definedName>
    <definedName name="dhhd">{#N/A,#N/A,FALSE,"COVER1.XLS ";#N/A,#N/A,FALSE,"RACT1.XLS";#N/A,#N/A,FALSE,"RACT2.XLS";#N/A,#N/A,FALSE,"ECCMP";#N/A,#N/A,FALSE,"WELDER.XLS"}</definedName>
    <definedName name="dikkk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ioo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j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k">{#N/A,#N/A,FALSE,"COVER.XLS";#N/A,#N/A,FALSE,"RACT1.XLS";#N/A,#N/A,FALSE,"RACT2.XLS";#N/A,#N/A,FALSE,"ECCMP";#N/A,#N/A,FALSE,"WELDER.XLS"}</definedName>
    <definedName name="dki">{#N/A,#N/A,FALSE,"COVER1.XLS ";#N/A,#N/A,FALSE,"RACT1.XLS";#N/A,#N/A,FALSE,"RACT2.XLS";#N/A,#N/A,FALSE,"ECCMP";#N/A,#N/A,FALSE,"WELDER.XLS"}</definedName>
    <definedName name="dkinnn">{#N/A,#N/A,FALSE,"COVER1.XLS ";#N/A,#N/A,FALSE,"RACT1.XLS";#N/A,#N/A,FALSE,"RACT2.XLS";#N/A,#N/A,FALSE,"ECCMP";#N/A,#N/A,FALSE,"WELDER.XLS"}</definedName>
    <definedName name="dkok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om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on">{#N/A,#N/A,FALSE,"COVER1.XLS ";#N/A,#N/A,FALSE,"RACT1.XLS";#N/A,#N/A,FALSE,"RACT2.XLS";#N/A,#N/A,FALSE,"ECCMP";#N/A,#N/A,FALSE,"WELDER.XLS"}</definedName>
    <definedName name="dopp">{#N/A,#N/A,FALSE,"COVER.XLS";#N/A,#N/A,FALSE,"RACT1.XLS";#N/A,#N/A,FALSE,"RACT2.XLS";#N/A,#N/A,FALSE,"ECCMP";#N/A,#N/A,FALSE,"WELDER.XLS"}</definedName>
    <definedName name="dr">{#N/A,#N/A,FALSE,"COVER1.XLS ";#N/A,#N/A,FALSE,"RACT1.XLS";#N/A,#N/A,FALSE,"RACT2.XLS";#N/A,#N/A,FALSE,"ECCMP";#N/A,#N/A,FALSE,"WELDER.XLS"}</definedName>
    <definedName name="dro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rooopp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rtyrh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drtyui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rw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safsavsad">{#N/A,#N/A,FALSE,"COVER.XLS";#N/A,#N/A,FALSE,"RACT1.XLS";#N/A,#N/A,FALSE,"RACT2.XLS";#N/A,#N/A,FALSE,"ECCMP";#N/A,#N/A,FALSE,"WELDER.XLS"}</definedName>
    <definedName name="dsc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scds">{#N/A,#N/A,FALSE,"COVER.XLS";#N/A,#N/A,FALSE,"RACT1.XLS";#N/A,#N/A,FALSE,"RACT2.XLS";#N/A,#N/A,FALSE,"ECCMP";#N/A,#N/A,FALSE,"WELDER.XLS"}</definedName>
    <definedName name="dscgghjacdgrhtgu">{#N/A,#N/A,FALSE,"COVER1.XLS ";#N/A,#N/A,FALSE,"RACT1.XLS";#N/A,#N/A,FALSE,"RACT2.XLS";#N/A,#N/A,FALSE,"ECCMP";#N/A,#N/A,FALSE,"WELDER.XLS"}</definedName>
    <definedName name="dscs">{#N/A,#N/A,FALSE,"COVER1.XLS ";#N/A,#N/A,FALSE,"RACT1.XLS";#N/A,#N/A,FALSE,"RACT2.XLS";#N/A,#N/A,FALSE,"ECCMP";#N/A,#N/A,FALSE,"WELDER.XLS"}</definedName>
    <definedName name="dscsd">{#N/A,#N/A,FALSE,"COVER.XLS";#N/A,#N/A,FALSE,"RACT1.XLS";#N/A,#N/A,FALSE,"RACT2.XLS";#N/A,#N/A,FALSE,"ECCMP";#N/A,#N/A,FALSE,"WELDER.XLS"}</definedName>
    <definedName name="dsd">{#N/A,#N/A,FALSE,"COVER.XLS";#N/A,#N/A,FALSE,"RACT1.XLS";#N/A,#N/A,FALSE,"RACT2.XLS";#N/A,#N/A,FALSE,"ECCMP";#N/A,#N/A,FALSE,"WELDER.XLS"}</definedName>
    <definedName name="dsdfd">{#N/A,#N/A,FALSE,"COVER.XLS";#N/A,#N/A,FALSE,"RACT1.XLS";#N/A,#N/A,FALSE,"RACT2.XLS";#N/A,#N/A,FALSE,"ECCMP";#N/A,#N/A,FALSE,"WELDER.XLS"}</definedName>
    <definedName name="dsds">{#N/A,#N/A,FALSE,"COVER1.XLS ";#N/A,#N/A,FALSE,"RACT1.XLS";#N/A,#N/A,FALSE,"RACT2.XLS";#N/A,#N/A,FALSE,"ECCMP";#N/A,#N/A,FALSE,"WELDER.XLS"}</definedName>
    <definedName name="dsdssd">{#N/A,#N/A,FALSE,"COVER.XLS";#N/A,#N/A,FALSE,"RACT1.XLS";#N/A,#N/A,FALSE,"RACT2.XLS";#N/A,#N/A,FALSE,"ECCMP";#N/A,#N/A,FALSE,"WELDER.XLS"}</definedName>
    <definedName name="dsef">{#N/A,#N/A,FALSE,"17MAY";#N/A,#N/A,FALSE,"24MAY"}</definedName>
    <definedName name="dsf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sfdsms">{#N/A,#N/A,FALSE,"COVER1.XLS ";#N/A,#N/A,FALSE,"RACT1.XLS";#N/A,#N/A,FALSE,"RACT2.XLS";#N/A,#N/A,FALSE,"ECCMP";#N/A,#N/A,FALSE,"WELDER.XLS"}</definedName>
    <definedName name="dsffegv">{#N/A,#N/A,FALSE,"COVER1.XLS ";#N/A,#N/A,FALSE,"RACT1.XLS";#N/A,#N/A,FALSE,"RACT2.XLS";#N/A,#N/A,FALSE,"ECCMP";#N/A,#N/A,FALSE,"WELDER.XLS"}</definedName>
    <definedName name="dsfhfghf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sfwaef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sgrt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ssdc">{#N/A,#N/A,FALSE,"COVER1.XLS ";#N/A,#N/A,FALSE,"RACT1.XLS";#N/A,#N/A,FALSE,"RACT2.XLS";#N/A,#N/A,FALSE,"ECCMP";#N/A,#N/A,FALSE,"WELDER.XLS"}</definedName>
    <definedName name="dswdssertghh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tyuj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u">{#N/A,#N/A,FALSE,"COVER1.XLS ";#N/A,#N/A,FALSE,"RACT1.XLS";#N/A,#N/A,FALSE,"RACT2.XLS";#N/A,#N/A,FALSE,"ECCMP";#N/A,#N/A,FALSE,"WELDER.XLS"}</definedName>
    <definedName name="durkri">{#N/A,#N/A,FALSE,"COVER.XLS";#N/A,#N/A,FALSE,"RACT1.XLS";#N/A,#N/A,FALSE,"RACT2.XLS";#N/A,#N/A,FALSE,"ECCMP";#N/A,#N/A,FALSE,"WELDER.XLS"}</definedName>
    <definedName name="dv">{#N/A,#N/A,FALSE,"17MAY";#N/A,#N/A,FALSE,"24MAY"}</definedName>
    <definedName name="dvfd">{#N/A,#N/A,FALSE,"COVER.XLS";#N/A,#N/A,FALSE,"RACT1.XLS";#N/A,#N/A,FALSE,"RACT2.XLS";#N/A,#N/A,FALSE,"ECCMP";#N/A,#N/A,FALSE,"WELDER.XLS"}</definedName>
    <definedName name="dwrefru4egtu">{#N/A,#N/A,FALSE,"COVER1.XLS ";#N/A,#N/A,FALSE,"RACT1.XLS";#N/A,#N/A,FALSE,"RACT2.XLS";#N/A,#N/A,FALSE,"ECCMP";#N/A,#N/A,FALSE,"WELDER.XLS"}</definedName>
    <definedName name="dxrcfvgj">{#N/A,#N/A,FALSE,"COVER1.XLS ";#N/A,#N/A,FALSE,"RACT1.XLS";#N/A,#N/A,FALSE,"RACT2.XLS";#N/A,#N/A,FALSE,"ECCMP";#N/A,#N/A,FALSE,"WELDER.XLS"}</definedName>
    <definedName name="dxrsr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xseedggj">{#N/A,#N/A,FALSE,"COVER.XLS";#N/A,#N/A,FALSE,"RACT1.XLS";#N/A,#N/A,FALSE,"RACT2.XLS";#N/A,#N/A,FALSE,"ECCMP";#N/A,#N/A,FALSE,"WELDER.XLS"}</definedName>
    <definedName name="dyu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e3wewed">{#N/A,#N/A,FALSE,"COVER1.XLS ";#N/A,#N/A,FALSE,"RACT1.XLS";#N/A,#N/A,FALSE,"RACT2.XLS";#N/A,#N/A,FALSE,"ECCMP";#N/A,#N/A,FALSE,"WELDER.XLS"}</definedName>
    <definedName name="eas">{#N/A,#N/A,FALSE,"COVER.XLS";#N/A,#N/A,FALSE,"RACT1.XLS";#N/A,#N/A,FALSE,"RACT2.XLS";#N/A,#N/A,FALSE,"ECCMP";#N/A,#N/A,FALSE,"WELDER.XLS"}</definedName>
    <definedName name="eddjjaiai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ddkjhg">{#N/A,#N/A,FALSE,"COVER.XLS";#N/A,#N/A,FALSE,"RACT1.XLS";#N/A,#N/A,FALSE,"RACT2.XLS";#N/A,#N/A,FALSE,"ECCMP";#N/A,#N/A,FALSE,"WELDER.XLS"}</definedName>
    <definedName name="ederg">{#N/A,#N/A,FALSE,"17MAY";#N/A,#N/A,FALSE,"24MAY"}</definedName>
    <definedName name="edrg56u">{#N/A,#N/A,FALSE,"COVER1.XLS ";#N/A,#N/A,FALSE,"RACT1.XLS";#N/A,#N/A,FALSE,"RACT2.XLS";#N/A,#N/A,FALSE,"ECCMP";#N/A,#N/A,FALSE,"WELDER.XLS"}</definedName>
    <definedName name="edrty">{#N/A,#N/A,FALSE,"COVER1.XLS ";#N/A,#N/A,FALSE,"RACT1.XLS";#N/A,#N/A,FALSE,"RACT2.XLS";#N/A,#N/A,FALSE,"ECCMP";#N/A,#N/A,FALSE,"WELDER.XLS"}</definedName>
    <definedName name="edrty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eag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eee">{#N/A,#N/A,FALSE,"COVER.XLS";#N/A,#N/A,FALSE,"RACT1.XLS";#N/A,#N/A,FALSE,"RACT2.XLS";#N/A,#N/A,FALSE,"ECCMP";#N/A,#N/A,FALSE,"WELDER.XLS"}</definedName>
    <definedName name="eeeeee">{#N/A,#N/A,FALSE,"COVER1.XLS ";#N/A,#N/A,FALSE,"RACT1.XLS";#N/A,#N/A,FALSE,"RACT2.XLS";#N/A,#N/A,FALSE,"ECCMP";#N/A,#N/A,FALSE,"WELDER.XLS"}</definedName>
    <definedName name="eeeeee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eeeeeeeeeeee">{#N/A,#N/A,FALSE,"17MAY";#N/A,#N/A,FALSE,"24MAY"}</definedName>
    <definedName name="eejie">{#N/A,#N/A,FALSE,"COVER1.XLS ";#N/A,#N/A,FALSE,"RACT1.XLS";#N/A,#N/A,FALSE,"RACT2.XLS";#N/A,#N/A,FALSE,"ECCMP";#N/A,#N/A,FALSE,"WELDER.XLS"}</definedName>
    <definedName name="eerr">{#N/A,#N/A,FALSE,"COVER1.XLS ";#N/A,#N/A,FALSE,"RACT1.XLS";#N/A,#N/A,FALSE,"RACT2.XLS";#N/A,#N/A,FALSE,"ECCMP";#N/A,#N/A,FALSE,"WELDER.XLS"}</definedName>
    <definedName name="eewwwwjhgy">{#N/A,#N/A,FALSE,"COVER1.XLS ";#N/A,#N/A,FALSE,"RACT1.XLS";#N/A,#N/A,FALSE,"RACT2.XLS";#N/A,#N/A,FALSE,"ECCMP";#N/A,#N/A,FALSE,"WELDER.XLS"}</definedName>
    <definedName name="e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efdddd">{#N/A,#N/A,FALSE,"COVER.XLS";#N/A,#N/A,FALSE,"RACT1.XLS";#N/A,#N/A,FALSE,"RACT2.XLS";#N/A,#N/A,FALSE,"ECCMP";#N/A,#N/A,FALSE,"WELDER.XLS"}</definedName>
    <definedName name="efg">{#N/A,#N/A,FALSE,"COVER.XLS";#N/A,#N/A,FALSE,"RACT1.XLS";#N/A,#N/A,FALSE,"RACT2.XLS";#N/A,#N/A,FALSE,"ECCMP";#N/A,#N/A,FALSE,"WELDER.XLS"}</definedName>
    <definedName name="efgtyujo">{#N/A,#N/A,FALSE,"COVER.XLS";#N/A,#N/A,FALSE,"RACT1.XLS";#N/A,#N/A,FALSE,"RACT2.XLS";#N/A,#N/A,FALSE,"ECCMP";#N/A,#N/A,FALSE,"WELDER.XLS"}</definedName>
    <definedName name="efrfr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fyik">{#N/A,#N/A,FALSE,"COVER1.XLS ";#N/A,#N/A,FALSE,"RACT1.XLS";#N/A,#N/A,FALSE,"RACT2.XLS";#N/A,#N/A,FALSE,"ECCMP";#N/A,#N/A,FALSE,"WELDER.XLS"}</definedName>
    <definedName name="e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gfq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egge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egy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ehb">{#N/A,#N/A,FALSE,"COVER1.XLS ";#N/A,#N/A,FALSE,"RACT1.XLS";#N/A,#N/A,FALSE,"RACT2.XLS";#N/A,#N/A,FALSE,"ECCMP";#N/A,#N/A,FALSE,"WELDER.XLS"}</definedName>
    <definedName name="ehuyhjr">{#N/A,#N/A,FALSE,"COVER1.XLS ";#N/A,#N/A,FALSE,"RACT1.XLS";#N/A,#N/A,FALSE,"RACT2.XLS";#N/A,#N/A,FALSE,"ECCMP";#N/A,#N/A,FALSE,"WELDER.XLS"}</definedName>
    <definedName name="eigwehdsea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iiul">{#N/A,#N/A,FALSE,"COVER1.XLS ";#N/A,#N/A,FALSE,"RACT1.XLS";#N/A,#N/A,FALSE,"RACT2.XLS";#N/A,#N/A,FALSE,"ECCMP";#N/A,#N/A,FALSE,"WELDER.XLS"}</definedName>
    <definedName name="eiu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iurk">{#N/A,#N/A,FALSE,"COVER1.XLS ";#N/A,#N/A,FALSE,"RACT1.XLS";#N/A,#N/A,FALSE,"RACT2.XLS";#N/A,#N/A,FALSE,"ECCMP";#N/A,#N/A,FALSE,"WELDER.XLS"}</definedName>
    <definedName name="ejlr">{#N/A,#N/A,FALSE,"17MAY";#N/A,#N/A,FALSE,"24MAY"}</definedName>
    <definedName name="eklek">{#N/A,#N/A,FALSE,"COVER1.XLS ";#N/A,#N/A,FALSE,"RACT1.XLS";#N/A,#N/A,FALSE,"RACT2.XLS";#N/A,#N/A,FALSE,"ECCMP";#N/A,#N/A,FALSE,"WELDER.XLS"}</definedName>
    <definedName name="eko">{#N/A,#N/A,FALSE,"COVER.XLS";#N/A,#N/A,FALSE,"RACT1.XLS";#N/A,#N/A,FALSE,"RACT2.XLS";#N/A,#N/A,FALSE,"ECCMP";#N/A,#N/A,FALSE,"WELDER.XLS"}</definedName>
    <definedName name="ele">{#N/A,#N/A,FALSE,"17MAY";#N/A,#N/A,FALSE,"24MAY"}</definedName>
    <definedName name="emur">{#N/A,#N/A,FALSE,"COVER1.XLS ";#N/A,#N/A,FALSE,"RACT1.XLS";#N/A,#N/A,FALSE,"RACT2.XLS";#N/A,#N/A,FALSE,"ECCMP";#N/A,#N/A,FALSE,"WELDER.XLS"}</definedName>
    <definedName name="eng">{#N/A,#N/A,FALSE,"COVER.XLS";#N/A,#N/A,FALSE,"RACT1.XLS";#N/A,#N/A,FALSE,"RACT2.XLS";#N/A,#N/A,FALSE,"ECCMP";#N/A,#N/A,FALSE,"WELDER.XLS"}</definedName>
    <definedName name="engineer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qq">{"cashflow",#N/A,FALSE,"cash flow"}</definedName>
    <definedName name="erdddde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r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re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erf3edscx">{#N/A,#N/A,FALSE,"COVER.XLS";#N/A,#N/A,FALSE,"RACT1.XLS";#N/A,#N/A,FALSE,"RACT2.XLS";#N/A,#N/A,FALSE,"ECCMP";#N/A,#N/A,FALSE,"WELDER.XLS"}</definedName>
    <definedName name="erieujo">{#N/A,#N/A,FALSE,"COVER1.XLS ";#N/A,#N/A,FALSE,"RACT1.XLS";#N/A,#N/A,FALSE,"RACT2.XLS";#N/A,#N/A,FALSE,"ECCMP";#N/A,#N/A,FALSE,"WELDER.XLS"}</definedName>
    <definedName name="err">{#N/A,#N/A,FALSE,"COVER1.XLS ";#N/A,#N/A,FALSE,"RACT1.XLS";#N/A,#N/A,FALSE,"RACT2.XLS";#N/A,#N/A,FALSE,"ECCMP";#N/A,#N/A,FALSE,"WELDER.XLS"}</definedName>
    <definedName name="errr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rrrrr">{#N/A,#N/A,FALSE,"COVER1.XLS ";#N/A,#N/A,FALSE,"RACT1.XLS";#N/A,#N/A,FALSE,"RACT2.XLS";#N/A,#N/A,FALSE,"ECCMP";#N/A,#N/A,FALSE,"WELDER.XLS"}</definedName>
    <definedName name="erryy">{#N/A,#N/A,FALSE,"COVER1.XLS ";#N/A,#N/A,FALSE,"RACT1.XLS";#N/A,#N/A,FALSE,"RACT2.XLS";#N/A,#N/A,FALSE,"ECCMP";#N/A,#N/A,FALSE,"WELDER.XLS"}</definedName>
    <definedName name="ers5wuytesttt">{#N/A,#N/A,FALSE,"COVER1.XLS ";#N/A,#N/A,FALSE,"RACT1.XLS";#N/A,#N/A,FALSE,"RACT2.XLS";#N/A,#N/A,FALSE,"ECCMP";#N/A,#N/A,FALSE,"WELDER.XLS"}</definedName>
    <definedName name="ert">{"'Eng (page2)'!$A$1:$D$52"}</definedName>
    <definedName name="ertj">{#N/A,#N/A,FALSE,"COVER.XLS";#N/A,#N/A,FALSE,"RACT1.XLS";#N/A,#N/A,FALSE,"RACT2.XLS";#N/A,#N/A,FALSE,"ECCMP";#N/A,#N/A,FALSE,"WELDER.XLS"}</definedName>
    <definedName name="ertwtyy">{#N/A,#N/A,FALSE,"COVER.XLS";#N/A,#N/A,FALSE,"RACT1.XLS";#N/A,#N/A,FALSE,"RACT2.XLS";#N/A,#N/A,FALSE,"ECCMP";#N/A,#N/A,FALSE,"WELDER.XLS"}</definedName>
    <definedName name="eruipoweitero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erw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rythg">{#N/A,#N/A,FALSE,"COVER1.XLS ";#N/A,#N/A,FALSE,"RACT1.XLS";#N/A,#N/A,FALSE,"RACT2.XLS";#N/A,#N/A,FALSE,"ECCMP";#N/A,#N/A,FALSE,"WELDER.XLS"}</definedName>
    <definedName name="esdrft">{#N/A,#N/A,FALSE,"COVER.XLS";#N/A,#N/A,FALSE,"RACT1.XLS";#N/A,#N/A,FALSE,"RACT2.XLS";#N/A,#N/A,FALSE,"ECCMP";#N/A,#N/A,FALSE,"WELDER.XLS"}</definedName>
    <definedName name="esdrgg">{#N/A,#N/A,FALSE,"17MAY";#N/A,#N/A,FALSE,"24MAY"}</definedName>
    <definedName name="esss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etg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trklihy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ueyh">{#N/A,#N/A,FALSE,"COVER1.XLS ";#N/A,#N/A,FALSE,"RACT1.XLS";#N/A,#N/A,FALSE,"RACT2.XLS";#N/A,#N/A,FALSE,"ECCMP";#N/A,#N/A,FALSE,"WELDER.XLS"}</definedName>
    <definedName name="ew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wddss">{#N/A,#N/A,FALSE,"COVER1.XLS ";#N/A,#N/A,FALSE,"RACT1.XLS";#N/A,#N/A,FALSE,"RACT2.XLS";#N/A,#N/A,FALSE,"ECCMP";#N/A,#N/A,FALSE,"WELDER.XLS"}</definedName>
    <definedName name="ewdjugv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wejk">{#N/A,#N/A,FALSE,"COVER.XLS";#N/A,#N/A,FALSE,"RACT1.XLS";#N/A,#N/A,FALSE,"RACT2.XLS";#N/A,#N/A,FALSE,"ECCMP";#N/A,#N/A,FALSE,"WELDER.XLS"}</definedName>
    <definedName name="ewew">{"cashflow",#N/A,FALSE,"cash flow"}</definedName>
    <definedName name="ewkkbh">{#N/A,#N/A,FALSE,"17MAY";#N/A,#N/A,FALSE,"24MAY"}</definedName>
    <definedName name="ewrrfvvio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ewrtgfvr">{#N/A,#N/A,FALSE,"COVER.XLS";#N/A,#N/A,FALSE,"RACT1.XLS";#N/A,#N/A,FALSE,"RACT2.XLS";#N/A,#N/A,FALSE,"ECCMP";#N/A,#N/A,FALSE,"WELDER.XLS"}</definedName>
    <definedName name="ewssssf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wsssyt">{#N/A,#N/A,FALSE,"COVER1.XLS ";#N/A,#N/A,FALSE,"RACT1.XLS";#N/A,#N/A,FALSE,"RACT2.XLS";#N/A,#N/A,FALSE,"ECCMP";#N/A,#N/A,FALSE,"WELDER.XLS"}</definedName>
    <definedName name="ewwww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Ex">{#N/A,#N/A,FALSE,"COVER.XLS";#N/A,#N/A,FALSE,"RACT1.XLS";#N/A,#N/A,FALSE,"RACT2.XLS";#N/A,#N/A,FALSE,"ECCMP";#N/A,#N/A,FALSE,"WELDER.XLS"}</definedName>
    <definedName name="ExactAddinConnection">"002"</definedName>
    <definedName name="ExactAddinConnection.001">"EXACT-S1;001;pemkys;1"</definedName>
    <definedName name="ExactAddinConnection.002">"EXACT-S1;001;pempwl;1"</definedName>
    <definedName name="ExactAddinConnection.003">"EXACT-S1;003;duangporn_d;1"</definedName>
    <definedName name="ExactAddinConnection.998">"wong109178-1;998;chey109859;1"</definedName>
    <definedName name="ExactAddinReports">1</definedName>
    <definedName name="eygehhj">{#N/A,#N/A,FALSE,"COVER1.XLS ";#N/A,#N/A,FALSE,"RACT1.XLS";#N/A,#N/A,FALSE,"RACT2.XLS";#N/A,#N/A,FALSE,"ECCMP";#N/A,#N/A,FALSE,"WELDER.XLS"}</definedName>
    <definedName name="eytehte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yuhej">{#N/A,#N/A,FALSE,"COVER.XLS";#N/A,#N/A,FALSE,"RACT1.XLS";#N/A,#N/A,FALSE,"RACT2.XLS";#N/A,#N/A,FALSE,"ECCMP";#N/A,#N/A,FALSE,"WELDER.XLS"}</definedName>
    <definedName name="fadf">{#N/A,#N/A,FALSE,"COVER1.XLS ";#N/A,#N/A,FALSE,"RACT1.XLS";#N/A,#N/A,FALSE,"RACT2.XLS";#N/A,#N/A,FALSE,"ECCMP";#N/A,#N/A,FALSE,"WELDER.XLS"}</definedName>
    <definedName name="fasd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b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bnhg" localSheetId="1">#REF!</definedName>
    <definedName name="fbnhg">#REF!</definedName>
    <definedName name="fd">{#N/A,#N/A,FALSE,"COVER1.XLS ";#N/A,#N/A,FALSE,"RACT1.XLS";#N/A,#N/A,FALSE,"RACT2.XLS";#N/A,#N/A,FALSE,"ECCMP";#N/A,#N/A,FALSE,"WELDER.XLS"}</definedName>
    <definedName name="fda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dasf">{#N/A,#N/A,FALSE,"COVER1.XLS ";#N/A,#N/A,FALSE,"RACT1.XLS";#N/A,#N/A,FALSE,"RACT2.XLS";#N/A,#N/A,FALSE,"ECCMP";#N/A,#N/A,FALSE,"WELDER.XLS"}</definedName>
    <definedName name="fdd">{#N/A,#N/A,FALSE,"COVER1.XLS ";#N/A,#N/A,FALSE,"RACT1.XLS";#N/A,#N/A,FALSE,"RACT2.XLS";#N/A,#N/A,FALSE,"ECCMP";#N/A,#N/A,FALSE,"WELDER.XLS"}</definedName>
    <definedName name="fddf">{#N/A,#N/A,FALSE,"COVER.XLS";#N/A,#N/A,FALSE,"RACT1.XLS";#N/A,#N/A,FALSE,"RACT2.XLS";#N/A,#N/A,FALSE,"ECCMP";#N/A,#N/A,FALSE,"WELDER.XLS"}</definedName>
    <definedName name="fddss">{#N/A,#N/A,FALSE,"COVER1.XLS ";#N/A,#N/A,FALSE,"RACT1.XLS";#N/A,#N/A,FALSE,"RACT2.XLS";#N/A,#N/A,FALSE,"ECCMP";#N/A,#N/A,FALSE,"WELDER.XLS"}</definedName>
    <definedName name="fdetykjdftg">{#N/A,#N/A,FALSE,"COVER1.XLS ";#N/A,#N/A,FALSE,"RACT1.XLS";#N/A,#N/A,FALSE,"RACT2.XLS";#N/A,#N/A,FALSE,"ECCMP";#N/A,#N/A,FALSE,"WELDER.XLS"}</definedName>
    <definedName name="fdf">{#N/A,#N/A,FALSE,"COVER1.XLS ";#N/A,#N/A,FALSE,"RACT1.XLS";#N/A,#N/A,FALSE,"RACT2.XLS";#N/A,#N/A,FALSE,"ECCMP";#N/A,#N/A,FALSE,"WELDER.XLS"}</definedName>
    <definedName name="fdfd">{#N/A,#N/A,FALSE,"COVER1.XLS ";#N/A,#N/A,FALSE,"RACT1.XLS";#N/A,#N/A,FALSE,"RACT2.XLS";#N/A,#N/A,FALSE,"ECCMP";#N/A,#N/A,FALSE,"WELDER.XLS"}</definedName>
    <definedName name="fdfdf">{#N/A,#N/A,FALSE,"COVER1.XLS ";#N/A,#N/A,FALSE,"RACT1.XLS";#N/A,#N/A,FALSE,"RACT2.XLS";#N/A,#N/A,FALSE,"ECCMP";#N/A,#N/A,FALSE,"WELDER.XLS"}</definedName>
    <definedName name="fdfdfdf">{#N/A,#N/A,FALSE,"COVER.XLS";#N/A,#N/A,FALSE,"RACT1.XLS";#N/A,#N/A,FALSE,"RACT2.XLS";#N/A,#N/A,FALSE,"ECCMP";#N/A,#N/A,FALSE,"WELDER.XLS"}</definedName>
    <definedName name="fdfdfgdg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dggg">{#N/A,#N/A,FALSE,"COVER1.XLS ";#N/A,#N/A,FALSE,"RACT1.XLS";#N/A,#N/A,FALSE,"RACT2.XLS";#N/A,#N/A,FALSE,"ECCMP";#N/A,#N/A,FALSE,"WELDER.XLS"}</definedName>
    <definedName name="fdgrtyffdfg">{#N/A,#N/A,FALSE,"COVER1.XLS ";#N/A,#N/A,FALSE,"RACT1.XLS";#N/A,#N/A,FALSE,"RACT2.XLS";#N/A,#N/A,FALSE,"ECCMP";#N/A,#N/A,FALSE,"WELDER.XLS"}</definedName>
    <definedName name="fdgtry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dgt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djkljksldfl">{#N/A,#N/A,FALSE,"17MAY";#N/A,#N/A,FALSE,"24MAY"}</definedName>
    <definedName name="fdju">{#N/A,#N/A,FALSE,"COVER1.XLS ";#N/A,#N/A,FALSE,"RACT1.XLS";#N/A,#N/A,FALSE,"RACT2.XLS";#N/A,#N/A,FALSE,"ECCMP";#N/A,#N/A,FALSE,"WELDER.XLS"}</definedName>
    <definedName name="fdrf4gfd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drt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ds">{#N/A,#N/A,FALSE,"COVER.XLS";#N/A,#N/A,FALSE,"RACT1.XLS";#N/A,#N/A,FALSE,"RACT2.XLS";#N/A,#N/A,FALSE,"ECCMP";#N/A,#N/A,FALSE,"WELDER.XLS"}</definedName>
    <definedName name="fdsavc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dsfdsfsa">{#N/A,#N/A,FALSE,"COVER1.XLS ";#N/A,#N/A,FALSE,"RACT1.XLS";#N/A,#N/A,FALSE,"RACT2.XLS";#N/A,#N/A,FALSE,"ECCMP";#N/A,#N/A,FALSE,"WELDER.XLS"}</definedName>
    <definedName name="fdsgdag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dsht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dssser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dyhtr">{#N/A,#N/A,FALSE,"COVER1.XLS ";#N/A,#N/A,FALSE,"RACT1.XLS";#N/A,#N/A,FALSE,"RACT2.XLS";#N/A,#N/A,FALSE,"ECCMP";#N/A,#N/A,FALSE,"WELDER.XLS"}</definedName>
    <definedName name="feecdfrf">{#N/A,#N/A,FALSE,"COVER.XLS";#N/A,#N/A,FALSE,"RACT1.XLS";#N/A,#N/A,FALSE,"RACT2.XLS";#N/A,#N/A,FALSE,"ECCMP";#N/A,#N/A,FALSE,"WELDER.XLS"}</definedName>
    <definedName name="fefdefew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fefrfbetrti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er34egffruiu7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fertrh">{#N/A,#N/A,FALSE,"COVER1.XLS ";#N/A,#N/A,FALSE,"RACT1.XLS";#N/A,#N/A,FALSE,"RACT2.XLS";#N/A,#N/A,FALSE,"ECCMP";#N/A,#N/A,FALSE,"WELDER.XLS"}</definedName>
    <definedName name="fetye">{#N/A,#N/A,FALSE,"COVER1.XLS ";#N/A,#N/A,FALSE,"RACT1.XLS";#N/A,#N/A,FALSE,"RACT2.XLS";#N/A,#N/A,FALSE,"ECCMP";#N/A,#N/A,FALSE,"WELDER.XLS"}</definedName>
    <definedName name="few">{#N/A,#N/A,FALSE,"COVER1.XLS ";#N/A,#N/A,FALSE,"RACT1.XLS";#N/A,#N/A,FALSE,"RACT2.XLS";#N/A,#N/A,FALSE,"ECCMP";#N/A,#N/A,FALSE,"WELDER.XLS"}</definedName>
    <definedName name="ffeee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ffeeff">{#N/A,#N/A,FALSE,"COVER1.XLS ";#N/A,#N/A,FALSE,"RACT1.XLS";#N/A,#N/A,FALSE,"RACT2.XLS";#N/A,#N/A,FALSE,"ECCMP";#N/A,#N/A,FALSE,"WELDER.XLS"}</definedName>
    <definedName name="ffees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ffff">{#N/A,#N/A,FALSE,"COVER1.XLS ";#N/A,#N/A,FALSE,"RACT1.XLS";#N/A,#N/A,FALSE,"RACT2.XLS";#N/A,#N/A,FALSE,"ECCMP";#N/A,#N/A,FALSE,"WELDER.XLS"}</definedName>
    <definedName name="fffffd">{#N/A,#N/A,FALSE,"COVER1.XLS ";#N/A,#N/A,FALSE,"RACT1.XLS";#N/A,#N/A,FALSE,"RACT2.XLS";#N/A,#N/A,FALSE,"ECCMP";#N/A,#N/A,FALSE,"WELDER.XLS"}</definedName>
    <definedName name="ffffff">{#N/A,#N/A,FALSE,"COVER1.XLS ";#N/A,#N/A,FALSE,"RACT1.XLS";#N/A,#N/A,FALSE,"RACT2.XLS";#N/A,#N/A,FALSE,"ECCMP";#N/A,#N/A,FALSE,"WELDER.XLS"}</definedName>
    <definedName name="fffffff">{#N/A,#N/A,FALSE,"COVER.XLS";#N/A,#N/A,FALSE,"RACT1.XLS";#N/A,#N/A,FALSE,"RACT2.XLS";#N/A,#N/A,FALSE,"ECCMP";#N/A,#N/A,FALSE,"WELDER.XLS"}</definedName>
    <definedName name="ffffffffff">{#N/A,#N/A,FALSE,"COVER.XLS";#N/A,#N/A,FALSE,"RACT1.XLS";#N/A,#N/A,FALSE,"RACT2.XLS";#N/A,#N/A,FALSE,"ECCMP";#N/A,#N/A,FALSE,"WELDER.XLS"}</definedName>
    <definedName name="ffffffffffff">{#N/A,#N/A,FALSE,"COVER.XLS";#N/A,#N/A,FALSE,"RACT1.XLS";#N/A,#N/A,FALSE,"RACT2.XLS";#N/A,#N/A,FALSE,"ECCMP";#N/A,#N/A,FALSE,"WELDER.XLS"}</definedName>
    <definedName name="fffffffffffffff">{#N/A,#N/A,FALSE,"COVER1.XLS ";#N/A,#N/A,FALSE,"RACT1.XLS";#N/A,#N/A,FALSE,"RACT2.XLS";#N/A,#N/A,FALSE,"ECCMP";#N/A,#N/A,FALSE,"WELDER.XLS"}</definedName>
    <definedName name="ffffffffffffffff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ffffffffffffffff">{#N/A,#N/A,FALSE,"COVER1.XLS ";#N/A,#N/A,FALSE,"RACT1.XLS";#N/A,#N/A,FALSE,"RACT2.XLS";#N/A,#N/A,FALSE,"ECCMP";#N/A,#N/A,FALSE,"WELDER.XLS"}</definedName>
    <definedName name="ffffffffffffffffffff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gg">{#N/A,#N/A,FALSE,"COVER1.XLS ";#N/A,#N/A,FALSE,"RACT1.XLS";#N/A,#N/A,FALSE,"RACT2.XLS";#N/A,#N/A,FALSE,"ECCMP";#N/A,#N/A,FALSE,"WELDER.XLS"}</definedName>
    <definedName name="ffhehf">{#N/A,#N/A,FALSE,"17MAY";#N/A,#N/A,FALSE,"24MAY"}</definedName>
    <definedName name="ffkk">{#N/A,#N/A,FALSE,"COVER1.XLS ";#N/A,#N/A,FALSE,"RACT1.XLS";#N/A,#N/A,FALSE,"RACT2.XLS";#N/A,#N/A,FALSE,"ECCMP";#N/A,#N/A,FALSE,"WELDER.XLS"}</definedName>
    <definedName name="fflflflf">{#N/A,#N/A,FALSE,"COVER.XLS";#N/A,#N/A,FALSE,"RACT1.XLS";#N/A,#N/A,FALSE,"RACT2.XLS";#N/A,#N/A,FALSE,"ECCMP";#N/A,#N/A,FALSE,"WELDER.XLS"}</definedName>
    <definedName name="ffyuj">{#N/A,#N/A,FALSE,"COVER1.XLS ";#N/A,#N/A,FALSE,"RACT1.XLS";#N/A,#N/A,FALSE,"RACT2.XLS";#N/A,#N/A,FALSE,"ECCMP";#N/A,#N/A,FALSE,"WELDER.XLS"}</definedName>
    <definedName name="fgb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gd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eee">{#N/A,#N/A,FALSE,"17MAY";#N/A,#N/A,FALSE,"24MAY"}</definedName>
    <definedName name="fgff">{#N/A,#N/A,TRUE,"SUM";#N/A,#N/A,TRUE,"EE";#N/A,#N/A,TRUE,"AC";#N/A,#N/A,TRUE,"SN"}</definedName>
    <definedName name="fgf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fg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ghjjkklllioo">{#N/A,#N/A,FALSE,"COVER.XLS";#N/A,#N/A,FALSE,"RACT1.XLS";#N/A,#N/A,FALSE,"RACT2.XLS";#N/A,#N/A,FALSE,"ECCMP";#N/A,#N/A,FALSE,"WELDER.XLS"}</definedName>
    <definedName name="fgh">{#N/A,#N/A,FALSE,"COVER.XLS";#N/A,#N/A,FALSE,"RACT1.XLS";#N/A,#N/A,FALSE,"RACT2.XLS";#N/A,#N/A,FALSE,"ECCMP";#N/A,#N/A,FALSE,"WELDER.XLS"}</definedName>
    <definedName name="fghdfjer">{#N/A,#N/A,FALSE,"COVER1.XLS ";#N/A,#N/A,FALSE,"RACT1.XLS";#N/A,#N/A,FALSE,"RACT2.XLS";#N/A,#N/A,FALSE,"ECCMP";#N/A,#N/A,FALSE,"WELDER.XLS"}</definedName>
    <definedName name="fghjkl">{#N/A,#N/A,FALSE,"COVER.XLS";#N/A,#N/A,FALSE,"RACT1.XLS";#N/A,#N/A,FALSE,"RACT2.XLS";#N/A,#N/A,FALSE,"ECCMP";#N/A,#N/A,FALSE,"WELDER.XLS"}</definedName>
    <definedName name="fghnnggtvv">{#N/A,#N/A,FALSE,"COVER.XLS";#N/A,#N/A,FALSE,"RACT1.XLS";#N/A,#N/A,FALSE,"RACT2.XLS";#N/A,#N/A,FALSE,"ECCMP";#N/A,#N/A,FALSE,"WELDER.XLS"}</definedName>
    <definedName name="fgmhrgy">{#N/A,#N/A,FALSE,"COVER1.XLS ";#N/A,#N/A,FALSE,"RACT1.XLS";#N/A,#N/A,FALSE,"RACT2.XLS";#N/A,#N/A,FALSE,"ECCMP";#N/A,#N/A,FALSE,"WELDER.XLS"}</definedName>
    <definedName name="fgrd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grf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grhg">{#N/A,#N/A,FALSE,"COVER1.XLS ";#N/A,#N/A,FALSE,"RACT1.XLS";#N/A,#N/A,FALSE,"RACT2.XLS";#N/A,#N/A,FALSE,"ECCMP";#N/A,#N/A,FALSE,"WELDER.XLS"}</definedName>
    <definedName name="fgst">{#N/A,#N/A,FALSE,"COVER.XLS";#N/A,#N/A,FALSE,"RACT1.XLS";#N/A,#N/A,FALSE,"RACT2.XLS";#N/A,#N/A,FALSE,"ECCMP";#N/A,#N/A,FALSE,"WELDER.XLS"}</definedName>
    <definedName name="fgt">{#N/A,#N/A,FALSE,"COVER.XLS";#N/A,#N/A,FALSE,"RACT1.XLS";#N/A,#N/A,FALSE,"RACT2.XLS";#N/A,#N/A,FALSE,"ECCMP";#N/A,#N/A,FALSE,"WELDER.XLS"}</definedName>
    <definedName name="fgu">{#N/A,#N/A,FALSE,"COVER1.XLS ";#N/A,#N/A,FALSE,"RACT1.XLS";#N/A,#N/A,FALSE,"RACT2.XLS";#N/A,#N/A,FALSE,"ECCMP";#N/A,#N/A,FALSE,"WELDER.XLS"}</definedName>
    <definedName name="fgugbhi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fgykrnd">{#N/A,#N/A,FALSE,"COVER1.XLS ";#N/A,#N/A,FALSE,"RACT1.XLS";#N/A,#N/A,FALSE,"RACT2.XLS";#N/A,#N/A,FALSE,"ECCMP";#N/A,#N/A,FALSE,"WELDER.XLS"}</definedName>
    <definedName name="fgyuf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gyuu">{#N/A,#N/A,FALSE,"COVER1.XLS ";#N/A,#N/A,FALSE,"RACT1.XLS";#N/A,#N/A,FALSE,"RACT2.XLS";#N/A,#N/A,FALSE,"ECCMP";#N/A,#N/A,FALSE,"WELDER.XLS"}</definedName>
    <definedName name="fhdgi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hvvftbuhjjo">{#N/A,#N/A,FALSE,"COVER.XLS";#N/A,#N/A,FALSE,"RACT1.XLS";#N/A,#N/A,FALSE,"RACT2.XLS";#N/A,#N/A,FALSE,"ECCMP";#N/A,#N/A,FALSE,"WELDER.XLS"}</definedName>
    <definedName name="fhiui">{#N/A,#N/A,FALSE,"COVER.XLS";#N/A,#N/A,FALSE,"RACT1.XLS";#N/A,#N/A,FALSE,"RACT2.XLS";#N/A,#N/A,FALSE,"ECCMP";#N/A,#N/A,FALSE,"WELDER.XLS"}</definedName>
    <definedName name="fhl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hyu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iberlin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ig">{#N/A,#N/A,FALSE,"COVER.XLS";#N/A,#N/A,FALSE,"RACT1.XLS";#N/A,#N/A,FALSE,"RACT2.XLS";#N/A,#N/A,FALSE,"ECCMP";#N/A,#N/A,FALSE,"WELDER.XLS"}</definedName>
    <definedName name="fig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irrr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fiugrjokhet">{#N/A,#N/A,FALSE,"COVER1.XLS ";#N/A,#N/A,FALSE,"RACT1.XLS";#N/A,#N/A,FALSE,"RACT2.XLS";#N/A,#N/A,FALSE,"ECCMP";#N/A,#N/A,FALSE,"WELDER.XLS"}</definedName>
    <definedName name="fjiyjhgjk">{#N/A,#N/A,FALSE,"COVER1.XLS ";#N/A,#N/A,FALSE,"RACT1.XLS";#N/A,#N/A,FALSE,"RACT2.XLS";#N/A,#N/A,FALSE,"ECCMP";#N/A,#N/A,FALSE,"WELDER.XLS"}</definedName>
    <definedName name="fjsldkjfsldufowqpirfkljdcl">{#N/A,#N/A,FALSE,"COVER1.XLS ";#N/A,#N/A,FALSE,"RACT1.XLS";#N/A,#N/A,FALSE,"RACT2.XLS";#N/A,#N/A,FALSE,"ECCMP";#N/A,#N/A,FALSE,"WELDER.XLS"}</definedName>
    <definedName name="fkhjukuh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kjlsdfjwoeiuroweksl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ljkdldjoireuwoekduroweujfdlkjfoweur">{#N/A,#N/A,FALSE,"COVER.XLS";#N/A,#N/A,FALSE,"RACT1.XLS";#N/A,#N/A,FALSE,"RACT2.XLS";#N/A,#N/A,FALSE,"ECCMP";#N/A,#N/A,FALSE,"WELDER.XLS"}</definedName>
    <definedName name="fon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ood">{#N/A,#N/A,FALSE,"COVER1.XLS ";#N/A,#N/A,FALSE,"RACT1.XLS";#N/A,#N/A,FALSE,"RACT2.XLS";#N/A,#N/A,FALSE,"ECCMP";#N/A,#N/A,FALSE,"WELDER.XLS"}</definedName>
    <definedName name="fr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frefcfhwscffbhtwsfv">{#N/A,#N/A,FALSE,"COVER1.XLS ";#N/A,#N/A,FALSE,"RACT1.XLS";#N/A,#N/A,FALSE,"RACT2.XLS";#N/A,#N/A,FALSE,"ECCMP";#N/A,#N/A,FALSE,"WELDER.XLS"}</definedName>
    <definedName name="fretreyrtbhjk">{#N/A,#N/A,FALSE,"COVER.XLS";#N/A,#N/A,FALSE,"RACT1.XLS";#N/A,#N/A,FALSE,"RACT2.XLS";#N/A,#N/A,FALSE,"ECCMP";#N/A,#N/A,FALSE,"WELDER.XLS"}</definedName>
    <definedName name="frg">{#N/A,#N/A,FALSE,"COVER1.XLS ";#N/A,#N/A,FALSE,"RACT1.XLS";#N/A,#N/A,FALSE,"RACT2.XLS";#N/A,#N/A,FALSE,"ECCMP";#N/A,#N/A,FALSE,"WELDER.XLS"}</definedName>
    <definedName name="frgt">{#N/A,#N/A,FALSE,"COVER1.XLS ";#N/A,#N/A,FALSE,"RACT1.XLS";#N/A,#N/A,FALSE,"RACT2.XLS";#N/A,#N/A,FALSE,"ECCMP";#N/A,#N/A,FALSE,"WELDER.XLS"}</definedName>
    <definedName name="fryuk">{#N/A,#N/A,FALSE,"COVER1.XLS ";#N/A,#N/A,FALSE,"RACT1.XLS";#N/A,#N/A,FALSE,"RACT2.XLS";#N/A,#N/A,FALSE,"ECCMP";#N/A,#N/A,FALSE,"WELDER.XLS"}</definedName>
    <definedName name="fsadf">{#N/A,#N/A,FALSE,"COVER.XLS";#N/A,#N/A,FALSE,"RACT1.XLS";#N/A,#N/A,FALSE,"RACT2.XLS";#N/A,#N/A,FALSE,"ECCMP";#N/A,#N/A,FALSE,"WELDER.XLS"}</definedName>
    <definedName name="fsd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fsdfjsdlfjkd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tg">{#N/A,#N/A,FALSE,"COVER1.XLS ";#N/A,#N/A,FALSE,"RACT1.XLS";#N/A,#N/A,FALSE,"RACT2.XLS";#N/A,#N/A,FALSE,"ECCMP";#N/A,#N/A,FALSE,"WELDER.XLS"}</definedName>
    <definedName name="ftjtjkty">{#N/A,#N/A,FALSE,"17MAY";#N/A,#N/A,FALSE,"24MAY"}</definedName>
    <definedName name="FTOrawa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trd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turyri">{#N/A,#N/A,FALSE,"COVER1.XLS ";#N/A,#N/A,FALSE,"RACT1.XLS";#N/A,#N/A,FALSE,"RACT2.XLS";#N/A,#N/A,FALSE,"ECCMP";#N/A,#N/A,FALSE,"WELDER.XLS"}</definedName>
    <definedName name="furruii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fusryjr">{#N/A,#N/A,FALSE,"COVER.XLS";#N/A,#N/A,FALSE,"RACT1.XLS";#N/A,#N/A,FALSE,"RACT2.XLS";#N/A,#N/A,FALSE,"ECCMP";#N/A,#N/A,FALSE,"WELDER.XLS"}</definedName>
    <definedName name="futkt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fv">{#N/A,#N/A,FALSE,"COVER.XLS";#N/A,#N/A,FALSE,"RACT1.XLS";#N/A,#N/A,FALSE,"RACT2.XLS";#N/A,#N/A,FALSE,"ECCMP";#N/A,#N/A,FALSE,"WELDER.XLS"}</definedName>
    <definedName name="fvg">{#N/A,#N/A,FALSE,"COVER.XLS";#N/A,#N/A,FALSE,"RACT1.XLS";#N/A,#N/A,FALSE,"RACT2.XLS";#N/A,#N/A,FALSE,"ECCMP";#N/A,#N/A,FALSE,"WELDER.XLS"}</definedName>
    <definedName name="fvgjkilfdrv">{#N/A,#N/A,FALSE,"COVER.XLS";#N/A,#N/A,FALSE,"RACT1.XLS";#N/A,#N/A,FALSE,"RACT2.XLS";#N/A,#N/A,FALSE,"ECCMP";#N/A,#N/A,FALSE,"WELDER.XLS"}</definedName>
    <definedName name="fwf">{#N/A,#N/A,FALSE,"COVER.XLS";#N/A,#N/A,FALSE,"RACT1.XLS";#N/A,#N/A,FALSE,"RACT2.XLS";#N/A,#N/A,FALSE,"ECCMP";#N/A,#N/A,FALSE,"WELDER.XLS"}</definedName>
    <definedName name="fyf">{#N/A,#N/A,FALSE,"COVER1.XLS ";#N/A,#N/A,FALSE,"RACT1.XLS";#N/A,#N/A,FALSE,"RACT2.XLS";#N/A,#N/A,FALSE,"ECCMP";#N/A,#N/A,FALSE,"WELDER.XLS"}</definedName>
    <definedName name="fy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yihf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y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yruyrhjr">{#N/A,#N/A,FALSE,"COVER.XLS";#N/A,#N/A,FALSE,"RACT1.XLS";#N/A,#N/A,FALSE,"RACT2.XLS";#N/A,#N/A,FALSE,"ECCMP";#N/A,#N/A,FALSE,"WELDER.XLS"}</definedName>
    <definedName name="fytg">{#N/A,#N/A,FALSE,"COVER.XLS";#N/A,#N/A,FALSE,"RACT1.XLS";#N/A,#N/A,FALSE,"RACT2.XLS";#N/A,#N/A,FALSE,"ECCMP";#N/A,#N/A,FALSE,"WELDER.XLS"}</definedName>
    <definedName name="fytrygrhyr">{#N/A,#N/A,FALSE,"COVER.XLS";#N/A,#N/A,FALSE,"RACT1.XLS";#N/A,#N/A,FALSE,"RACT2.XLS";#N/A,#N/A,FALSE,"ECCMP";#N/A,#N/A,FALSE,"WELDER.XLS"}</definedName>
    <definedName name="fyui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yujk">{#N/A,#N/A,FALSE,"COVER1.XLS ";#N/A,#N/A,FALSE,"RACT1.XLS";#N/A,#N/A,FALSE,"RACT2.XLS";#N/A,#N/A,FALSE,"ECCMP";#N/A,#N/A,FALSE,"WELDER.XLS"}</definedName>
    <definedName name="g6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aerew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as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awsed">{#N/A,#N/A,FALSE,"COVER.XLS";#N/A,#N/A,FALSE,"RACT1.XLS";#N/A,#N/A,FALSE,"RACT2.XLS";#N/A,#N/A,FALSE,"ECCMP";#N/A,#N/A,FALSE,"WELDER.XLS"}</definedName>
    <definedName name="gdh" localSheetId="1">#REF!</definedName>
    <definedName name="gdh">#REF!</definedName>
    <definedName name="ge">{#N/A,#N/A,FALSE,"COVER.XLS";#N/A,#N/A,FALSE,"RACT1.XLS";#N/A,#N/A,FALSE,"RACT2.XLS";#N/A,#N/A,FALSE,"ECCMP";#N/A,#N/A,FALSE,"WELDER.XLS"}</definedName>
    <definedName name="geueh">{#N/A,#N/A,FALSE,"COVER1.XLS ";#N/A,#N/A,FALSE,"RACT1.XLS";#N/A,#N/A,FALSE,"RACT2.XLS";#N/A,#N/A,FALSE,"ECCMP";#N/A,#N/A,FALSE,"WELDER.XLS"}</definedName>
    <definedName name="gewgewrgrew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ewrgerw">{#N/A,#N/A,FALSE,"COVER1.XLS ";#N/A,#N/A,FALSE,"RACT1.XLS";#N/A,#N/A,FALSE,"RACT2.XLS";#N/A,#N/A,FALSE,"ECCMP";#N/A,#N/A,FALSE,"WELDER.XLS"}</definedName>
    <definedName name="gfd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fdfgdfg">{#N/A,#N/A,FALSE,"COVER.XLS";#N/A,#N/A,FALSE,"RACT1.XLS";#N/A,#N/A,FALSE,"RACT2.XLS";#N/A,#N/A,FALSE,"ECCMP";#N/A,#N/A,FALSE,"WELDER.XLS"}</definedName>
    <definedName name="gfdgf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fedfy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ff">{#N/A,#N/A,FALSE,"COVER.XLS";#N/A,#N/A,FALSE,"RACT1.XLS";#N/A,#N/A,FALSE,"RACT2.XLS";#N/A,#N/A,FALSE,"ECCMP";#N/A,#N/A,FALSE,"WELDER.XLS"}</definedName>
    <definedName name="gfg">{#N/A,#N/A,FALSE,"COVER1.XLS ";#N/A,#N/A,FALSE,"RACT1.XLS";#N/A,#N/A,FALSE,"RACT2.XLS";#N/A,#N/A,FALSE,"ECCMP";#N/A,#N/A,FALSE,"WELDER.XLS"}</definedName>
    <definedName name="gfgggggggg">{#N/A,#N/A,FALSE,"COVER.XLS";#N/A,#N/A,FALSE,"RACT1.XLS";#N/A,#N/A,FALSE,"RACT2.XLS";#N/A,#N/A,FALSE,"ECCMP";#N/A,#N/A,FALSE,"WELDER.XLS"}</definedName>
    <definedName name="gfghsdfu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fh">{#N/A,#N/A,FALSE,"COVER.XLS";#N/A,#N/A,FALSE,"RACT1.XLS";#N/A,#N/A,FALSE,"RACT2.XLS";#N/A,#N/A,FALSE,"ECCMP";#N/A,#N/A,FALSE,"WELDER.XLS"}</definedName>
    <definedName name="gfhg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fhttyy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fhtyyuy">{#N/A,#N/A,FALSE,"COVER.XLS";#N/A,#N/A,FALSE,"RACT1.XLS";#N/A,#N/A,FALSE,"RACT2.XLS";#N/A,#N/A,FALSE,"ECCMP";#N/A,#N/A,FALSE,"WELDER.XLS"}</definedName>
    <definedName name="gfk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frwwef">{#N/A,#N/A,FALSE,"COVER1.XLS ";#N/A,#N/A,FALSE,"RACT1.XLS";#N/A,#N/A,FALSE,"RACT2.XLS";#N/A,#N/A,FALSE,"ECCMP";#N/A,#N/A,FALSE,"WELDER.XLS"}</definedName>
    <definedName name="gftre">{#N/A,#N/A,FALSE,"COVER1.XLS ";#N/A,#N/A,FALSE,"RACT1.XLS";#N/A,#N/A,FALSE,"RACT2.XLS";#N/A,#N/A,FALSE,"ECCMP";#N/A,#N/A,FALSE,"WELDER.XLS"}</definedName>
    <definedName name="gftr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ftybb">{#N/A,#N/A,FALSE,"17MAY";#N/A,#N/A,FALSE,"24MAY"}</definedName>
    <definedName name="gfyg">{#N/A,#N/A,FALSE,"COVER1.XLS ";#N/A,#N/A,FALSE,"RACT1.XLS";#N/A,#N/A,FALSE,"RACT2.XLS";#N/A,#N/A,FALSE,"ECCMP";#N/A,#N/A,FALSE,"WELDER.XLS"}</definedName>
    <definedName name="gge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g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gggg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gggggggggg">{#N/A,#N/A,FALSE,"COVER.XLS";#N/A,#N/A,FALSE,"RACT1.XLS";#N/A,#N/A,FALSE,"RACT2.XLS";#N/A,#N/A,FALSE,"ECCMP";#N/A,#N/A,FALSE,"WELDER.XLS"}</definedName>
    <definedName name="ggggggggggg">{#N/A,#N/A,FALSE,"COVER1.XLS ";#N/A,#N/A,FALSE,"RACT1.XLS";#N/A,#N/A,FALSE,"RACT2.XLS";#N/A,#N/A,FALSE,"ECCMP";#N/A,#N/A,FALSE,"WELDER.XLS"}</definedName>
    <definedName name="gggggggggggg">{#N/A,#N/A,FALSE,"COVER.XLS";#N/A,#N/A,FALSE,"RACT1.XLS";#N/A,#N/A,FALSE,"RACT2.XLS";#N/A,#N/A,FALSE,"ECCMP";#N/A,#N/A,FALSE,"WELDER.XLS"}</definedName>
    <definedName name="ggggggggggggg">{#N/A,#N/A,FALSE,"COVER1.XLS ";#N/A,#N/A,FALSE,"RACT1.XLS";#N/A,#N/A,FALSE,"RACT2.XLS";#N/A,#N/A,FALSE,"ECCMP";#N/A,#N/A,FALSE,"WELDER.XLS"}</definedName>
    <definedName name="gggggggggggggg">{#N/A,#N/A,FALSE,"COVER1.XLS ";#N/A,#N/A,FALSE,"RACT1.XLS";#N/A,#N/A,FALSE,"RACT2.XLS";#N/A,#N/A,FALSE,"ECCMP";#N/A,#N/A,FALSE,"WELDER.XLS"}</definedName>
    <definedName name="gggggggggggggggg">{#N/A,#N/A,FALSE,"17MAY";#N/A,#N/A,FALSE,"24MAY"}</definedName>
    <definedName name="gglgflglgl">{#N/A,#N/A,FALSE,"COVER1.XLS ";#N/A,#N/A,FALSE,"RACT1.XLS";#N/A,#N/A,FALSE,"RACT2.XLS";#N/A,#N/A,FALSE,"ECCMP";#N/A,#N/A,FALSE,"WELDER.XLS"}</definedName>
    <definedName name="ggoooo">{#N/A,#N/A,FALSE,"COVER1.XLS ";#N/A,#N/A,FALSE,"RACT1.XLS";#N/A,#N/A,FALSE,"RACT2.XLS";#N/A,#N/A,FALSE,"ECCMP";#N/A,#N/A,FALSE,"WELDER.XLS"}</definedName>
    <definedName name="gheye">{#N/A,#N/A,FALSE,"COVER1.XLS ";#N/A,#N/A,FALSE,"RACT1.XLS";#N/A,#N/A,FALSE,"RACT2.XLS";#N/A,#N/A,FALSE,"ECCMP";#N/A,#N/A,FALSE,"WELDER.XLS"}</definedName>
    <definedName name="ghfghf">{#N/A,#N/A,FALSE,"COVER1.XLS ";#N/A,#N/A,FALSE,"RACT1.XLS";#N/A,#N/A,FALSE,"RACT2.XLS";#N/A,#N/A,FALSE,"ECCMP";#N/A,#N/A,FALSE,"WELDER.XLS"}</definedName>
    <definedName name="ghftr">{#N/A,#N/A,FALSE,"COVER1.XLS ";#N/A,#N/A,FALSE,"RACT1.XLS";#N/A,#N/A,FALSE,"RACT2.XLS";#N/A,#N/A,FALSE,"ECCMP";#N/A,#N/A,FALSE,"WELDER.XLS"}</definedName>
    <definedName name="ghg">{#N/A,#N/A,FALSE,"COVER.XLS";#N/A,#N/A,FALSE,"RACT1.XLS";#N/A,#N/A,FALSE,"RACT2.XLS";#N/A,#N/A,FALSE,"ECCMP";#N/A,#N/A,FALSE,"WELDER.XLS"}</definedName>
    <definedName name="ghil">{#N/A,#N/A,FALSE,"COVER1.XLS ";#N/A,#N/A,FALSE,"RACT1.XLS";#N/A,#N/A,FALSE,"RACT2.XLS";#N/A,#N/A,FALSE,"ECCMP";#N/A,#N/A,FALSE,"WELDER.XLS"}</definedName>
    <definedName name="ghjhru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hjkiuuu">{#N/A,#N/A,FALSE,"COVER1.XLS ";#N/A,#N/A,FALSE,"RACT1.XLS";#N/A,#N/A,FALSE,"RACT2.XLS";#N/A,#N/A,FALSE,"ECCMP";#N/A,#N/A,FALSE,"WELDER.XLS"}</definedName>
    <definedName name="ghtyj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ikr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io">{#N/A,#N/A,FALSE,"COVER.XLS";#N/A,#N/A,FALSE,"RACT1.XLS";#N/A,#N/A,FALSE,"RACT2.XLS";#N/A,#N/A,FALSE,"ECCMP";#N/A,#N/A,FALSE,"WELDER.XLS"}</definedName>
    <definedName name="gjhjjhkjk">{#N/A,#N/A,FALSE,"COVER.XLS";#N/A,#N/A,FALSE,"RACT1.XLS";#N/A,#N/A,FALSE,"RACT2.XLS";#N/A,#N/A,FALSE,"ECCMP";#N/A,#N/A,FALSE,"WELDER.XLS"}</definedName>
    <definedName name="gkf">{#N/A,#N/A,FALSE,"COVER1.XLS ";#N/A,#N/A,FALSE,"RACT1.XLS";#N/A,#N/A,FALSE,"RACT2.XLS";#N/A,#N/A,FALSE,"ECCMP";#N/A,#N/A,FALSE,"WELDER.XLS"}</definedName>
    <definedName name="gkgkghh">{#N/A,#N/A,FALSE,"COVER.XLS";#N/A,#N/A,FALSE,"RACT1.XLS";#N/A,#N/A,FALSE,"RACT2.XLS";#N/A,#N/A,FALSE,"ECCMP";#N/A,#N/A,FALSE,"WELDER.XLS"}</definedName>
    <definedName name="gkkjk">{#N/A,#N/A,FALSE,"17MAY";#N/A,#N/A,FALSE,"24MAY"}</definedName>
    <definedName name="GM01.1" localSheetId="1">#REF!</definedName>
    <definedName name="GM01.1">#REF!</definedName>
    <definedName name="go7p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OOD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goypo">{#N/A,#N/A,FALSE,"17MAY";#N/A,#N/A,FALSE,"24MAY"}</definedName>
    <definedName name="gregewrg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rgbsdwsfvddafdbgfv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rhj">{#N/A,#N/A,FALSE,"COVER1.XLS ";#N/A,#N/A,FALSE,"RACT1.XLS";#N/A,#N/A,FALSE,"RACT2.XLS";#N/A,#N/A,FALSE,"ECCMP";#N/A,#N/A,FALSE,"WELDER.XLS"}</definedName>
    <definedName name="grj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rjruyhjr">{#N/A,#N/A,FALSE,"COVER1.XLS ";#N/A,#N/A,FALSE,"RACT1.XLS";#N/A,#N/A,FALSE,"RACT2.XLS";#N/A,#N/A,FALSE,"ECCMP";#N/A,#N/A,FALSE,"WELDER.XLS"}</definedName>
    <definedName name="grtgrh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rtr">{#N/A,#N/A,FALSE,"COVER1.XLS ";#N/A,#N/A,FALSE,"RACT1.XLS";#N/A,#N/A,FALSE,"RACT2.XLS";#N/A,#N/A,FALSE,"ECCMP";#N/A,#N/A,FALSE,"WELDER.XLS"}</definedName>
    <definedName name="gruyuyruru">{#N/A,#N/A,FALSE,"17MAY";#N/A,#N/A,FALSE,"24MAY"}</definedName>
    <definedName name="gryr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ryrr">{#N/A,#N/A,FALSE,"COVER1.XLS ";#N/A,#N/A,FALSE,"RACT1.XLS";#N/A,#N/A,FALSE,"RACT2.XLS";#N/A,#N/A,FALSE,"ECCMP";#N/A,#N/A,FALSE,"WELDER.XLS"}</definedName>
    <definedName name="GS">{#N/A,#N/A,TRUE,"Str.";#N/A,#N/A,TRUE,"Steel &amp; Roof";#N/A,#N/A,TRUE,"Arc.";#N/A,#N/A,TRUE,"Preliminary";#N/A,#N/A,TRUE,"Sum_Prelim"}</definedName>
    <definedName name="g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t5uyi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gtejtgjt">{#N/A,#N/A,FALSE,"COVER1.XLS ";#N/A,#N/A,FALSE,"RACT1.XLS";#N/A,#N/A,FALSE,"RACT2.XLS";#N/A,#N/A,FALSE,"ECCMP";#N/A,#N/A,FALSE,"WELDER.XLS"}</definedName>
    <definedName name="gtggg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i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tjk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gtuirl">{#N/A,#N/A,FALSE,"COVER1.XLS ";#N/A,#N/A,FALSE,"RACT1.XLS";#N/A,#N/A,FALSE,"RACT2.XLS";#N/A,#N/A,FALSE,"ECCMP";#N/A,#N/A,FALSE,"WELDER.XLS"}</definedName>
    <definedName name="gtvhg">{#N/A,#N/A,FALSE,"COVER1.XLS ";#N/A,#N/A,FALSE,"RACT1.XLS";#N/A,#N/A,FALSE,"RACT2.XLS";#N/A,#N/A,FALSE,"ECCMP";#N/A,#N/A,FALSE,"WELDER.XLS"}</definedName>
    <definedName name="gtyui">{#N/A,#N/A,FALSE,"COVER1.XLS ";#N/A,#N/A,FALSE,"RACT1.XLS";#N/A,#N/A,FALSE,"RACT2.XLS";#N/A,#N/A,FALSE,"ECCMP";#N/A,#N/A,FALSE,"WELDER.XLS"}</definedName>
    <definedName name="gtyuikl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gur">{#N/A,#N/A,FALSE,"COVER1.XLS ";#N/A,#N/A,FALSE,"RACT1.XLS";#N/A,#N/A,FALSE,"RACT2.XLS";#N/A,#N/A,FALSE,"ECCMP";#N/A,#N/A,FALSE,"WELDER.XLS"}</definedName>
    <definedName name="gv">{#N/A,#N/A,FALSE,"COVER1.XLS ";#N/A,#N/A,FALSE,"RACT1.XLS";#N/A,#N/A,FALSE,"RACT2.XLS";#N/A,#N/A,FALSE,"ECCMP";#N/A,#N/A,FALSE,"WELDER.XLS"}</definedName>
    <definedName name="gvdlkiglov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wergrewgre">{#N/A,#N/A,FALSE,"COVER1.XLS ";#N/A,#N/A,FALSE,"RACT1.XLS";#N/A,#N/A,FALSE,"RACT2.XLS";#N/A,#N/A,FALSE,"ECCMP";#N/A,#N/A,FALSE,"WELDER.XLS"}</definedName>
    <definedName name="gx">{#N/A,#N/A,FALSE,"COVER.XLS";#N/A,#N/A,FALSE,"RACT1.XLS";#N/A,#N/A,FALSE,"RACT2.XLS";#N/A,#N/A,FALSE,"ECCMP";#N/A,#N/A,FALSE,"WELDER.XLS"}</definedName>
    <definedName name="gyej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yfr6">{#N/A,#N/A,FALSE,"COVER.XLS";#N/A,#N/A,FALSE,"RACT1.XLS";#N/A,#N/A,FALSE,"RACT2.XLS";#N/A,#N/A,FALSE,"ECCMP";#N/A,#N/A,FALSE,"WELDER.XLS"}</definedName>
    <definedName name="gyhh">{#N/A,#N/A,FALSE,"COVER1.XLS ";#N/A,#N/A,FALSE,"RACT1.XLS";#N/A,#N/A,FALSE,"RACT2.XLS";#N/A,#N/A,FALSE,"ECCMP";#N/A,#N/A,FALSE,"WELDER.XLS"}</definedName>
    <definedName name="gyj">{#N/A,#N/A,FALSE,"COVER.XLS";#N/A,#N/A,FALSE,"RACT1.XLS";#N/A,#N/A,FALSE,"RACT2.XLS";#N/A,#N/A,FALSE,"ECCMP";#N/A,#N/A,FALSE,"WELDER.XLS"}</definedName>
    <definedName name="gyt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ytui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ytuk">{#N/A,#N/A,FALSE,"17MAY";#N/A,#N/A,FALSE,"24MAY"}</definedName>
    <definedName name="gyu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yui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yujt">{#N/A,#N/A,FALSE,"COVER.XLS";#N/A,#N/A,FALSE,"RACT1.XLS";#N/A,#N/A,FALSE,"RACT2.XLS";#N/A,#N/A,FALSE,"ECCMP";#N/A,#N/A,FALSE,"WELDER.XLS"}</definedName>
    <definedName name="hdfehg">{#N/A,#N/A,FALSE,"COVER.XLS";#N/A,#N/A,FALSE,"RACT1.XLS";#N/A,#N/A,FALSE,"RACT2.XLS";#N/A,#N/A,FALSE,"ECCMP";#N/A,#N/A,FALSE,"WELDER.XLS"}</definedName>
    <definedName name="hdthyeghr">{#N/A,#N/A,FALSE,"17MAY";#N/A,#N/A,FALSE,"24MAY"}</definedName>
    <definedName name="hejgheh">{#N/A,#N/A,FALSE,"17MAY";#N/A,#N/A,FALSE,"24MAY"}</definedName>
    <definedName name="hfkifhur">{#N/A,#N/A,FALSE,"COVER1.XLS ";#N/A,#N/A,FALSE,"RACT1.XLS";#N/A,#N/A,FALSE,"RACT2.XLS";#N/A,#N/A,FALSE,"ECCMP";#N/A,#N/A,FALSE,"WELDER.XLS"}</definedName>
    <definedName name="hfuurju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fyryru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hgf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hghgheh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ghghg">{#N/A,#N/A,FALSE,"17MAY";#N/A,#N/A,FALSE,"24MAY"}</definedName>
    <definedName name="hgjhgfhjjujyhhjkj">{#N/A,#N/A,FALSE,"COVER1.XLS ";#N/A,#N/A,FALSE,"RACT1.XLS";#N/A,#N/A,FALSE,"RACT2.XLS";#N/A,#N/A,FALSE,"ECCMP";#N/A,#N/A,FALSE,"WELDER.XLS"}</definedName>
    <definedName name="hgjl">{#N/A,#N/A,FALSE,"COVER1.XLS ";#N/A,#N/A,FALSE,"RACT1.XLS";#N/A,#N/A,FALSE,"RACT2.XLS";#N/A,#N/A,FALSE,"ECCMP";#N/A,#N/A,FALSE,"WELDER.XLS"}</definedName>
    <definedName name="hgrhyyr">{#N/A,#N/A,FALSE,"COVER1.XLS ";#N/A,#N/A,FALSE,"RACT1.XLS";#N/A,#N/A,FALSE,"RACT2.XLS";#N/A,#N/A,FALSE,"ECCMP";#N/A,#N/A,FALSE,"WELDER.XLS"}</definedName>
    <definedName name="hgu7tygyrtrdsajh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hguryrhry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gyhhh">{#N/A,#N/A,FALSE,"COVER1.XLS ";#N/A,#N/A,FALSE,"RACT1.XLS";#N/A,#N/A,FALSE,"RACT2.XLS";#N/A,#N/A,FALSE,"ECCMP";#N/A,#N/A,FALSE,"WELDER.XLS"}</definedName>
    <definedName name="hgytgdyjv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hbgghh">{#N/A,#N/A,FALSE,"COVER.XLS";#N/A,#N/A,FALSE,"RACT1.XLS";#N/A,#N/A,FALSE,"RACT2.XLS";#N/A,#N/A,FALSE,"ECCMP";#N/A,#N/A,FALSE,"WELDER.XLS"}</definedName>
    <definedName name="hhdjdj">{#N/A,#N/A,FALSE,"COVER1.XLS ";#N/A,#N/A,FALSE,"RACT1.XLS";#N/A,#N/A,FALSE,"RACT2.XLS";#N/A,#N/A,FALSE,"ECCMP";#N/A,#N/A,FALSE,"WELDER.XLS"}</definedName>
    <definedName name="hh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hh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hhh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hhhhhhh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hhhhhhhhhh">{#N/A,#N/A,FALSE,"COVER.XLS";#N/A,#N/A,FALSE,"RACT1.XLS";#N/A,#N/A,FALSE,"RACT2.XLS";#N/A,#N/A,FALSE,"ECCMP";#N/A,#N/A,FALSE,"WELDER.XLS"}</definedName>
    <definedName name="hhhhhhhhh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hhhhhhhhhhhhh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hhhhhhhhhhhhhhhhhh">{#N/A,#N/A,FALSE,"COVER1.XLS ";#N/A,#N/A,FALSE,"RACT1.XLS";#N/A,#N/A,FALSE,"RACT2.XLS";#N/A,#N/A,FALSE,"ECCMP";#N/A,#N/A,FALSE,"WELDER.XLS"}</definedName>
    <definedName name="hhhhhhhhhhhhhhhhhhhhhhhhhhhhhhiiiiiiiiiiiiiiiiiiiiiiiiiiiiiiiiiiiii">{#N/A,#N/A,FALSE,"COVER.XLS";#N/A,#N/A,FALSE,"RACT1.XLS";#N/A,#N/A,FALSE,"RACT2.XLS";#N/A,#N/A,FALSE,"ECCMP";#N/A,#N/A,FALSE,"WELDER.XLS"}</definedName>
    <definedName name="hhjjjjkkk">{#N/A,#N/A,FALSE,"COVER.XLS";#N/A,#N/A,FALSE,"RACT1.XLS";#N/A,#N/A,FALSE,"RACT2.XLS";#N/A,#N/A,FALSE,"ECCMP";#N/A,#N/A,FALSE,"WELDER.XLS"}</definedName>
    <definedName name="hhjklp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hjkpp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h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hur">{#N/A,#N/A,FALSE,"COVER1.XLS ";#N/A,#N/A,FALSE,"RACT1.XLS";#N/A,#N/A,FALSE,"RACT2.XLS";#N/A,#N/A,FALSE,"ECCMP";#N/A,#N/A,FALSE,"WELDER.XLS"}</definedName>
    <definedName name="hhuu">{#N/A,#N/A,FALSE,"COVER1.XLS ";#N/A,#N/A,FALSE,"RACT1.XLS";#N/A,#N/A,FALSE,"RACT2.XLS";#N/A,#N/A,FALSE,"ECCMP";#N/A,#N/A,FALSE,"WELDER.XLS"}</definedName>
    <definedName name="hio">{#N/A,#N/A,FALSE,"COVER.XLS";#N/A,#N/A,FALSE,"RACT1.XLS";#N/A,#N/A,FALSE,"RACT2.XLS";#N/A,#N/A,FALSE,"ECCMP";#N/A,#N/A,FALSE,"WELDER.XLS"}</definedName>
    <definedName name="hitech" localSheetId="1">#REF!</definedName>
    <definedName name="hitech">#REF!</definedName>
    <definedName name="hitit">{#N/A,#N/A,FALSE,"COVER1.XLS ";#N/A,#N/A,FALSE,"RACT1.XLS";#N/A,#N/A,FALSE,"RACT2.XLS";#N/A,#N/A,FALSE,"ECCMP";#N/A,#N/A,FALSE,"WELDER.XLS"}</definedName>
    <definedName name="hiuro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iyukyjiy">{#N/A,#N/A,FALSE,"COVER1.XLS ";#N/A,#N/A,FALSE,"RACT1.XLS";#N/A,#N/A,FALSE,"RACT2.XLS";#N/A,#N/A,FALSE,"ECCMP";#N/A,#N/A,FALSE,"WELDER.XLS"}</definedName>
    <definedName name="hjdfkslhfjdkla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hjehi">{#N/A,#N/A,FALSE,"COVER.XLS";#N/A,#N/A,FALSE,"RACT1.XLS";#N/A,#N/A,FALSE,"RACT2.XLS";#N/A,#N/A,FALSE,"ECCMP";#N/A,#N/A,FALSE,"WELDER.XLS"}</definedName>
    <definedName name="hjfgnrgh">{#N/A,#N/A,FALSE,"COVER.XLS";#N/A,#N/A,FALSE,"RACT1.XLS";#N/A,#N/A,FALSE,"RACT2.XLS";#N/A,#N/A,FALSE,"ECCMP";#N/A,#N/A,FALSE,"WELDER.XLS"}</definedName>
    <definedName name="hjfh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jg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hjgfdl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hjjjj">{#N/A,#N/A,FALSE,"COVER.XLS";#N/A,#N/A,FALSE,"RACT1.XLS";#N/A,#N/A,FALSE,"RACT2.XLS";#N/A,#N/A,FALSE,"ECCMP";#N/A,#N/A,FALSE,"WELDER.XLS"}</definedName>
    <definedName name="hjktyfbh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jryujjk">{#N/A,#N/A,FALSE,"COVER1.XLS ";#N/A,#N/A,FALSE,"RACT1.XLS";#N/A,#N/A,FALSE,"RACT2.XLS";#N/A,#N/A,FALSE,"ECCMP";#N/A,#N/A,FALSE,"WELDER.XLS"}</definedName>
    <definedName name="hjyikyjk">{#N/A,#N/A,FALSE,"COVER.XLS";#N/A,#N/A,FALSE,"RACT1.XLS";#N/A,#N/A,FALSE,"RACT2.XLS";#N/A,#N/A,FALSE,"ECCMP";#N/A,#N/A,FALSE,"WELDER.XLS"}</definedName>
    <definedName name="hjyrtu">{#N/A,#N/A,FALSE,"17MAY";#N/A,#N/A,FALSE,"24MAY"}</definedName>
    <definedName name="hkdihlrkj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hkiyuyu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kj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kjrukrj">{#N/A,#N/A,FALSE,"17MAY";#N/A,#N/A,FALSE,"24MAY"}</definedName>
    <definedName name="hkoyiyo">{#N/A,#N/A,FALSE,"COVER1.XLS ";#N/A,#N/A,FALSE,"RACT1.XLS";#N/A,#N/A,FALSE,"RACT2.XLS";#N/A,#N/A,FALSE,"ECCMP";#N/A,#N/A,FALSE,"WELDER.XLS"}</definedName>
    <definedName name="hkrj">{#N/A,#N/A,FALSE,"COVER.XLS";#N/A,#N/A,FALSE,"RACT1.XLS";#N/A,#N/A,FALSE,"RACT2.XLS";#N/A,#N/A,FALSE,"ECCMP";#N/A,#N/A,FALSE,"WELDER.XLS"}</definedName>
    <definedName name="hkyjkyuoiy">{#N/A,#N/A,FALSE,"COVER1.XLS ";#N/A,#N/A,FALSE,"RACT1.XLS";#N/A,#N/A,FALSE,"RACT2.XLS";#N/A,#N/A,FALSE,"ECCMP";#N/A,#N/A,FALSE,"WELDER.XLS"}</definedName>
    <definedName name="hlhjtu">{#N/A,#N/A,FALSE,"COVER1.XLS ";#N/A,#N/A,FALSE,"RACT1.XLS";#N/A,#N/A,FALSE,"RACT2.XLS";#N/A,#N/A,FALSE,"ECCMP";#N/A,#N/A,FALSE,"WELDER.XLS"}</definedName>
    <definedName name="hlklulujkuj">{#N/A,#N/A,FALSE,"COVER1.XLS ";#N/A,#N/A,FALSE,"RACT1.XLS";#N/A,#N/A,FALSE,"RACT2.XLS";#N/A,#N/A,FALSE,"ECCMP";#N/A,#N/A,FALSE,"WELDER.XLS"}</definedName>
    <definedName name="hlktl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hniuk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ho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ou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r">{#N/A,#N/A,FALSE,"COVER1.XLS ";#N/A,#N/A,FALSE,"RACT1.XLS";#N/A,#N/A,FALSE,"RACT2.XLS";#N/A,#N/A,FALSE,"ECCMP";#N/A,#N/A,FALSE,"WELDER.XLS"}</definedName>
    <definedName name="hrer">{#N/A,#N/A,FALSE,"COVER.XLS";#N/A,#N/A,FALSE,"RACT1.XLS";#N/A,#N/A,FALSE,"RACT2.XLS";#N/A,#N/A,FALSE,"ECCMP";#N/A,#N/A,FALSE,"WELDER.XLS"}</definedName>
    <definedName name="hrhtp">{#N/A,#N/A,FALSE,"COVER1.XLS ";#N/A,#N/A,FALSE,"RACT1.XLS";#N/A,#N/A,FALSE,"RACT2.XLS";#N/A,#N/A,FALSE,"ECCMP";#N/A,#N/A,FALSE,"WELDER.XLS"}</definedName>
    <definedName name="hrjrj">{#N/A,#N/A,FALSE,"COVER1.XLS ";#N/A,#N/A,FALSE,"RACT1.XLS";#N/A,#N/A,FALSE,"RACT2.XLS";#N/A,#N/A,FALSE,"ECCMP";#N/A,#N/A,FALSE,"WELDER.XLS"}</definedName>
    <definedName name="hrki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rkjy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rkr">{#N/A,#N/A,FALSE,"COVER.XLS";#N/A,#N/A,FALSE,"RACT1.XLS";#N/A,#N/A,FALSE,"RACT2.XLS";#N/A,#N/A,FALSE,"ECCMP";#N/A,#N/A,FALSE,"WELDER.XLS"}</definedName>
    <definedName name="htjk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tl">{"'Eng (page2)'!$A$1:$D$52"}</definedName>
    <definedName name="HTML_CodePage">874</definedName>
    <definedName name="HTML_Control">{"'Eng (page2)'!$A$1:$D$52"}</definedName>
    <definedName name="HTML_Description">""</definedName>
    <definedName name="HTML_Email">""</definedName>
    <definedName name="HTML_Header">"Foreign Exchange Rates (Page 2)"</definedName>
    <definedName name="HTML_LastUpdate">"5/6/00"</definedName>
    <definedName name="HTML_LineAfter">FALSE</definedName>
    <definedName name="HTML_LineBefore">FALSE</definedName>
    <definedName name="HTML_Name">"Banking Department, Bank of Thailand Tel.(662) 283-5454"</definedName>
    <definedName name="HTML_OBDlg2">TRUE</definedName>
    <definedName name="HTML_OBDlg3">TRUE</definedName>
    <definedName name="HTML_OBDlg4">TRUE</definedName>
    <definedName name="HTML_OS">0</definedName>
    <definedName name="HTML_PathFile">"c:\fer2.html"</definedName>
    <definedName name="HTML_PathTemplate">"\\Der2\vol1\DATABANK\DOWNLOAD\HEAD6-1.HTM"</definedName>
    <definedName name="HTML_Title">""</definedName>
    <definedName name="htujt">{#N/A,#N/A,FALSE,"COVER1.XLS ";#N/A,#N/A,FALSE,"RACT1.XLS";#N/A,#N/A,FALSE,"RACT2.XLS";#N/A,#N/A,FALSE,"ECCMP";#N/A,#N/A,FALSE,"WELDER.XLS"}</definedName>
    <definedName name="htuuhtkdj">{#N/A,#N/A,FALSE,"17MAY";#N/A,#N/A,FALSE,"24MAY"}</definedName>
    <definedName name="hua">{#N/A,#N/A,FALSE,"COVER.XLS";#N/A,#N/A,FALSE,"RACT1.XLS";#N/A,#N/A,FALSE,"RACT2.XLS";#N/A,#N/A,FALSE,"ECCMP";#N/A,#N/A,FALSE,"WELDER.XLS"}</definedName>
    <definedName name="huee">{#N/A,#N/A,FALSE,"COVER.XLS";#N/A,#N/A,FALSE,"RACT1.XLS";#N/A,#N/A,FALSE,"RACT2.XLS";#N/A,#N/A,FALSE,"ECCMP";#N/A,#N/A,FALSE,"WELDER.XLS"}</definedName>
    <definedName name="huik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uj">{#N/A,#N/A,FALSE,"COVER1.XLS ";#N/A,#N/A,FALSE,"RACT1.XLS";#N/A,#N/A,FALSE,"RACT2.XLS";#N/A,#N/A,FALSE,"ECCMP";#N/A,#N/A,FALSE,"WELDER.XLS"}</definedName>
    <definedName name="hukrrk">{#N/A,#N/A,FALSE,"COVER1.XLS ";#N/A,#N/A,FALSE,"RACT1.XLS";#N/A,#N/A,FALSE,"RACT2.XLS";#N/A,#N/A,FALSE,"ECCMP";#N/A,#N/A,FALSE,"WELDER.XLS"}</definedName>
    <definedName name="hurh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utk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utyt">{#N/A,#N/A,FALSE,"17MAY";#N/A,#N/A,FALSE,"24MAY"}</definedName>
    <definedName name="huy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hw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y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hyjukuo">{#N/A,#N/A,FALSE,"COVER1.XLS ";#N/A,#N/A,FALSE,"RACT1.XLS";#N/A,#N/A,FALSE,"RACT2.XLS";#N/A,#N/A,FALSE,"ECCMP";#N/A,#N/A,FALSE,"WELDER.XLS"}</definedName>
    <definedName name="hyrghrtyr">{#N/A,#N/A,FALSE,"COVER.XLS";#N/A,#N/A,FALSE,"RACT1.XLS";#N/A,#N/A,FALSE,"RACT2.XLS";#N/A,#N/A,FALSE,"ECCMP";#N/A,#N/A,FALSE,"WELDER.XLS"}</definedName>
    <definedName name="hyteyy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ytk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hyu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yuk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i4to">{#N/A,#N/A,FALSE,"COVER1.XLS ";#N/A,#N/A,FALSE,"RACT1.XLS";#N/A,#N/A,FALSE,"RACT2.XLS";#N/A,#N/A,FALSE,"ECCMP";#N/A,#N/A,FALSE,"WELDER.XLS"}</definedName>
    <definedName name="i5o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ii">{#N/A,#N/A,FALSE,"COVER1.XLS ";#N/A,#N/A,FALSE,"RACT1.XLS";#N/A,#N/A,FALSE,"RACT2.XLS";#N/A,#N/A,FALSE,"ECCMP";#N/A,#N/A,FALSE,"WELDER.XLS"}</definedName>
    <definedName name="iii">{#N/A,#N/A,FALSE,"COVER1.XLS ";#N/A,#N/A,FALSE,"RACT1.XLS";#N/A,#N/A,FALSE,"RACT2.XLS";#N/A,#N/A,FALSE,"ECCMP";#N/A,#N/A,FALSE,"WELDER.XLS"}</definedName>
    <definedName name="iiii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iiiiiiiiiiiiiiiiiiiiiiii">{#N/A,#N/A,FALSE,"COVER.XLS";#N/A,#N/A,FALSE,"RACT1.XLS";#N/A,#N/A,FALSE,"RACT2.XLS";#N/A,#N/A,FALSE,"ECCMP";#N/A,#N/A,FALSE,"WELDER.XLS"}</definedName>
    <definedName name="iitottp5">{#N/A,#N/A,FALSE,"COVER.XLS";#N/A,#N/A,FALSE,"RACT1.XLS";#N/A,#N/A,FALSE,"RACT2.XLS";#N/A,#N/A,FALSE,"ECCMP";#N/A,#N/A,FALSE,"WELDER.XLS"}</definedName>
    <definedName name="iiupttp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j">{#N/A,#N/A,FALSE,"COVER.XLS";#N/A,#N/A,FALSE,"RACT1.XLS";#N/A,#N/A,FALSE,"RACT2.XLS";#N/A,#N/A,FALSE,"ECCMP";#N/A,#N/A,FALSE,"WELDER.XLS"}</definedName>
    <definedName name="ijlkg">{#N/A,#N/A,FALSE,"COVER1.XLS ";#N/A,#N/A,FALSE,"RACT1.XLS";#N/A,#N/A,FALSE,"RACT2.XLS";#N/A,#N/A,FALSE,"ECCMP";#N/A,#N/A,FALSE,"WELDER.XLS"}</definedName>
    <definedName name="ijo">{#N/A,#N/A,FALSE,"COVER.XLS";#N/A,#N/A,FALSE,"RACT1.XLS";#N/A,#N/A,FALSE,"RACT2.XLS";#N/A,#N/A,FALSE,"ECCMP";#N/A,#N/A,FALSE,"WELDER.XLS"}</definedName>
    <definedName name="ijo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kiouooo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iktit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Interproject">{#N/A,#N/A,FALSE,"COVER1.XLS ";#N/A,#N/A,FALSE,"RACT1.XLS";#N/A,#N/A,FALSE,"RACT2.XLS";#N/A,#N/A,FALSE,"ECCMP";#N/A,#N/A,FALSE,"WELDER.XLS"}</definedName>
    <definedName name="invert_e">{"'SCBMF'!$A$1:$I$51","'SCBDA'!$A$1:$I$45","'SCBBA'!$A$1:$I$37"}</definedName>
    <definedName name="ioi5uy">{#N/A,#N/A,FALSE,"COVER1.XLS ";#N/A,#N/A,FALSE,"RACT1.XLS";#N/A,#N/A,FALSE,"RACT2.XLS";#N/A,#N/A,FALSE,"ECCMP";#N/A,#N/A,FALSE,"WELDER.XLS"}</definedName>
    <definedName name="ioily">{#N/A,#N/A,FALSE,"17MAY";#N/A,#N/A,FALSE,"24MAY"}</definedName>
    <definedName name="ioitl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oiuuiuo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oiy">{#N/A,#N/A,FALSE,"COVER.XLS";#N/A,#N/A,FALSE,"RACT1.XLS";#N/A,#N/A,FALSE,"RACT2.XLS";#N/A,#N/A,FALSE,"ECCMP";#N/A,#N/A,FALSE,"WELDER.XLS"}</definedName>
    <definedName name="ioiy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PM">{#N/A,#N/A,FALSE,"COVER1.XLS ";#N/A,#N/A,FALSE,"RACT1.XLS";#N/A,#N/A,FALSE,"RACT2.XLS";#N/A,#N/A,FALSE,"ECCMP";#N/A,#N/A,FALSE,"WELDER.XLS"}</definedName>
    <definedName name="ipoii12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"c2106"</definedName>
    <definedName name="IQ_DIV_RECORD_DATE">"c2105"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NORM">"c1902"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FO">"c1574"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MACHINERY">"c711"</definedName>
    <definedName name="IQ_MAINT_REPAIR">"c2087"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RATIO">"c1610"</definedName>
    <definedName name="IQ_PENSION">"c1031"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XDIV_DATE">"c2104"</definedName>
    <definedName name="IQ_YEARHIGH">"c1337"</definedName>
    <definedName name="IQ_YEARLOW">"c1338"</definedName>
    <definedName name="IQ_YTD">3000</definedName>
    <definedName name="IQ_Z_SCORE">"c1339"</definedName>
    <definedName name="iriy">{#N/A,#N/A,FALSE,"COVER1.XLS ";#N/A,#N/A,FALSE,"RACT1.XLS";#N/A,#N/A,FALSE,"RACT2.XLS";#N/A,#N/A,FALSE,"ECCMP";#N/A,#N/A,FALSE,"WELDER.XLS"}</definedName>
    <definedName name="irkoyj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irktj">{#N/A,#N/A,FALSE,"COVER.XLS";#N/A,#N/A,FALSE,"RACT1.XLS";#N/A,#N/A,FALSE,"RACT2.XLS";#N/A,#N/A,FALSE,"ECCMP";#N/A,#N/A,FALSE,"WELDER.XLS"}</definedName>
    <definedName name="irltu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irot">{#N/A,#N/A,FALSE,"COVER1.XLS ";#N/A,#N/A,FALSE,"RACT1.XLS";#N/A,#N/A,FALSE,"RACT2.XLS";#N/A,#N/A,FALSE,"ECCMP";#N/A,#N/A,FALSE,"WELDER.XLS"}</definedName>
    <definedName name="irrrrjr8rkrk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irto04">{#N/A,#N/A,FALSE,"COVER1.XLS ";#N/A,#N/A,FALSE,"RACT1.XLS";#N/A,#N/A,FALSE,"RACT2.XLS";#N/A,#N/A,FALSE,"ECCMP";#N/A,#N/A,FALSE,"WELDER.XLS"}</definedName>
    <definedName name="irto59t">{#N/A,#N/A,FALSE,"COVER.XLS";#N/A,#N/A,FALSE,"RACT1.XLS";#N/A,#N/A,FALSE,"RACT2.XLS";#N/A,#N/A,FALSE,"ECCMP";#N/A,#N/A,FALSE,"WELDER.XLS"}</definedName>
    <definedName name="iruir">{#N/A,#N/A,FALSE,"COVER.XLS";#N/A,#N/A,FALSE,"RACT1.XLS";#N/A,#N/A,FALSE,"RACT2.XLS";#N/A,#N/A,FALSE,"ECCMP";#N/A,#N/A,FALSE,"WELDER.XLS"}</definedName>
    <definedName name="irukrl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ruo">{#N/A,#N/A,FALSE,"COVER1.XLS ";#N/A,#N/A,FALSE,"RACT1.XLS";#N/A,#N/A,FALSE,"RACT2.XLS";#N/A,#N/A,FALSE,"ECCMP";#N/A,#N/A,FALSE,"WELDER.XLS"}</definedName>
    <definedName name="iruqowuroqiweuropqweuroq">{#N/A,#N/A,FALSE,"17MAY";#N/A,#N/A,FALSE,"24MAY"}</definedName>
    <definedName name="itip5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itiy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tjt">{#N/A,#N/A,FALSE,"COVER1.XLS ";#N/A,#N/A,FALSE,"RACT1.XLS";#N/A,#N/A,FALSE,"RACT2.XLS";#N/A,#N/A,FALSE,"ECCMP";#N/A,#N/A,FALSE,"WELDER.XLS"}</definedName>
    <definedName name="itlhi">{#N/A,#N/A,FALSE,"17MAY";#N/A,#N/A,FALSE,"24MAY"}</definedName>
    <definedName name="itlii9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trff">{#N/A,#N/A,FALSE,"COVER1.XLS ";#N/A,#N/A,FALSE,"RACT1.XLS";#N/A,#N/A,FALSE,"RACT2.XLS";#N/A,#N/A,FALSE,"ECCMP";#N/A,#N/A,FALSE,"WELDER.XLS"}</definedName>
    <definedName name="ituk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itu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itvlms">{#N/A,#N/A,FALSE,"COVER1.XLS ";#N/A,#N/A,FALSE,"RACT1.XLS";#N/A,#N/A,FALSE,"RACT2.XLS";#N/A,#N/A,FALSE,"ECCMP";#N/A,#N/A,FALSE,"WELDER.XLS"}</definedName>
    <definedName name="iu">{#N/A,#N/A,FALSE,"17MAY";#N/A,#N/A,FALSE,"24MAY"}</definedName>
    <definedName name="iuhddg">{#N/A,#N/A,FALSE,"COVER1.XLS ";#N/A,#N/A,FALSE,"RACT1.XLS";#N/A,#N/A,FALSE,"RACT2.XLS";#N/A,#N/A,FALSE,"ECCMP";#N/A,#N/A,FALSE,"WELDER.XLS"}</definedName>
    <definedName name="iuh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iuitoi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iuj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ukhui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iuklo">{#N/A,#N/A,FALSE,"COVER.XLS";#N/A,#N/A,FALSE,"RACT1.XLS";#N/A,#N/A,FALSE,"RACT2.XLS";#N/A,#N/A,FALSE,"ECCMP";#N/A,#N/A,FALSE,"WELDER.XLS"}</definedName>
    <definedName name="iurqopweuroqpwuieroqpurq">{#N/A,#N/A,FALSE,"COVER1.XLS ";#N/A,#N/A,FALSE,"RACT1.XLS";#N/A,#N/A,FALSE,"RACT2.XLS";#N/A,#N/A,FALSE,"ECCMP";#N/A,#N/A,FALSE,"WELDER.XLS"}</definedName>
    <definedName name="iut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iuy">{#N/A,#N/A,FALSE,"COVER.XLS";#N/A,#N/A,FALSE,"RACT1.XLS";#N/A,#N/A,FALSE,"RACT2.XLS";#N/A,#N/A,FALSE,"ECCMP";#N/A,#N/A,FALSE,"WELDER.XLS"}</definedName>
    <definedName name="iuyriol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iuyt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iy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iyikti9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iyiuku">{#N/A,#N/A,FALSE,"COVER1.XLS ";#N/A,#N/A,FALSE,"RACT1.XLS";#N/A,#N/A,FALSE,"RACT2.XLS";#N/A,#N/A,FALSE,"ECCMP";#N/A,#N/A,FALSE,"WELDER.XLS"}</definedName>
    <definedName name="iyiul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iyjel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6ku686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ack">{#N/A,#N/A,FALSE,"COVER.XLS";#N/A,#N/A,FALSE,"RACT1.XLS";#N/A,#N/A,FALSE,"RACT2.XLS";#N/A,#N/A,FALSE,"ECCMP";#N/A,#N/A,FALSE,"WELDER.XLS"}</definedName>
    <definedName name="jakchai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bvujh">{#N/A,#N/A,FALSE,"17MAY";#N/A,#N/A,FALSE,"24MAY"}</definedName>
    <definedName name="jdlkfsdkfwouriweursdlj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du">{#N/A,#N/A,FALSE,"COVER1.XLS ";#N/A,#N/A,FALSE,"RACT1.XLS";#N/A,#N/A,FALSE,"RACT2.XLS";#N/A,#N/A,FALSE,"ECCMP";#N/A,#N/A,FALSE,"WELDER.XLS"}</definedName>
    <definedName name="jdud">{#N/A,#N/A,FALSE,"COVER.XLS";#N/A,#N/A,FALSE,"RACT1.XLS";#N/A,#N/A,FALSE,"RACT2.XLS";#N/A,#N/A,FALSE,"ECCMP";#N/A,#N/A,FALSE,"WELDER.XLS"}</definedName>
    <definedName name="jeab">{#N/A,#N/A,FALSE,"COVER.XLS";#N/A,#N/A,FALSE,"RACT1.XLS";#N/A,#N/A,FALSE,"RACT2.XLS";#N/A,#N/A,FALSE,"ECCMP";#N/A,#N/A,FALSE,"WELDER.XLS"}</definedName>
    <definedName name="jfaljflkdsfkj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jflasjfdl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flsdjflsdjf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jflsdkjflsdfjwoeirusfjdkdl">{#N/A,#N/A,FALSE,"COVER1.XLS ";#N/A,#N/A,FALSE,"RACT1.XLS";#N/A,#N/A,FALSE,"RACT2.XLS";#N/A,#N/A,FALSE,"ECCMP";#N/A,#N/A,FALSE,"WELDER.XLS"}</definedName>
    <definedName name="jghuhjthoitkto">{#N/A,#N/A,FALSE,"COVER1.XLS ";#N/A,#N/A,FALSE,"RACT1.XLS";#N/A,#N/A,FALSE,"RACT2.XLS";#N/A,#N/A,FALSE,"ECCMP";#N/A,#N/A,FALSE,"WELDER.XLS"}</definedName>
    <definedName name="jhegthge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heu">{#N/A,#N/A,FALSE,"COVER1.XLS ";#N/A,#N/A,FALSE,"RACT1.XLS";#N/A,#N/A,FALSE,"RACT2.XLS";#N/A,#N/A,FALSE,"ECCMP";#N/A,#N/A,FALSE,"WELDER.XLS"}</definedName>
    <definedName name="jhfh">{#N/A,#N/A,FALSE,"17MAY";#N/A,#N/A,FALSE,"24MAY"}</definedName>
    <definedName name="jhgghecc">{#N/A,#N/A,FALSE,"COVER.XLS";#N/A,#N/A,FALSE,"RACT1.XLS";#N/A,#N/A,FALSE,"RACT2.XLS";#N/A,#N/A,FALSE,"ECCMP";#N/A,#N/A,FALSE,"WELDER.XLS"}</definedName>
    <definedName name="jhgik">{#N/A,#N/A,FALSE,"COVER1.XLS ";#N/A,#N/A,FALSE,"RACT1.XLS";#N/A,#N/A,FALSE,"RACT2.XLS";#N/A,#N/A,FALSE,"ECCMP";#N/A,#N/A,FALSE,"WELDER.XLS"}</definedName>
    <definedName name="jhjklo">{#N/A,#N/A,FALSE,"COVER.XLS";#N/A,#N/A,FALSE,"RACT1.XLS";#N/A,#N/A,FALSE,"RACT2.XLS";#N/A,#N/A,FALSE,"ECCMP";#N/A,#N/A,FALSE,"WELDER.XLS"}</definedName>
    <definedName name="jhkri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hpoiwjfpoqj">{#N/A,#N/A,FALSE,"COVER1.XLS ";#N/A,#N/A,FALSE,"RACT1.XLS";#N/A,#N/A,FALSE,"RACT2.XLS";#N/A,#N/A,FALSE,"ECCMP";#N/A,#N/A,FALSE,"WELDER.XLS"}</definedName>
    <definedName name="jh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htui">{#N/A,#N/A,FALSE,"COVER1.XLS ";#N/A,#N/A,FALSE,"RACT1.XLS";#N/A,#N/A,FALSE,"RACT2.XLS";#N/A,#N/A,FALSE,"ECCMP";#N/A,#N/A,FALSE,"WELDER.XLS"}</definedName>
    <definedName name="jhyk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hyuuumnjhg">{#N/A,#N/A,FALSE,"COVER.XLS";#N/A,#N/A,FALSE,"RACT1.XLS";#N/A,#N/A,FALSE,"RACT2.XLS";#N/A,#N/A,FALSE,"ECCMP";#N/A,#N/A,FALSE,"WELDER.XLS"}</definedName>
    <definedName name="jif">{#N/A,#N/A,FALSE,"COVER.XLS";#N/A,#N/A,FALSE,"RACT1.XLS";#N/A,#N/A,FALSE,"RACT2.XLS";#N/A,#N/A,FALSE,"ECCMP";#N/A,#N/A,FALSE,"WELDER.XLS"}</definedName>
    <definedName name="jikrj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ilyyo">{#N/A,#N/A,FALSE,"COVER1.XLS ";#N/A,#N/A,FALSE,"RACT1.XLS";#N/A,#N/A,FALSE,"RACT2.XLS";#N/A,#N/A,FALSE,"ECCMP";#N/A,#N/A,FALSE,"WELDER.XLS"}</definedName>
    <definedName name="jim">{#N/A,#N/A,FALSE,"COVER1.XLS ";#N/A,#N/A,FALSE,"RACT1.XLS";#N/A,#N/A,FALSE,"RACT2.XLS";#N/A,#N/A,FALSE,"ECCMP";#N/A,#N/A,FALSE,"WELDER.XLS"}</definedName>
    <definedName name="jiooo">{#N/A,#N/A,FALSE,"COVER1.XLS ";#N/A,#N/A,FALSE,"RACT1.XLS";#N/A,#N/A,FALSE,"RACT2.XLS";#N/A,#N/A,FALSE,"ECCMP";#N/A,#N/A,FALSE,"WELDER.XLS"}</definedName>
    <definedName name="jiorl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iot">{#N/A,#N/A,FALSE,"COVER1.XLS ";#N/A,#N/A,FALSE,"RACT1.XLS";#N/A,#N/A,FALSE,"RACT2.XLS";#N/A,#N/A,FALSE,"ECCMP";#N/A,#N/A,FALSE,"WELDER.XLS"}</definedName>
    <definedName name="jiu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iu5o5">{#N/A,#N/A,FALSE,"COVER.XLS";#N/A,#N/A,FALSE,"RACT1.XLS";#N/A,#N/A,FALSE,"RACT2.XLS";#N/A,#N/A,FALSE,"ECCMP";#N/A,#N/A,FALSE,"WELDER.XLS"}</definedName>
    <definedName name="jiujrk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iuryir">{#N/A,#N/A,FALSE,"COVER1.XLS ";#N/A,#N/A,FALSE,"RACT1.XLS";#N/A,#N/A,FALSE,"RACT2.XLS";#N/A,#N/A,FALSE,"ECCMP";#N/A,#N/A,FALSE,"WELDER.XLS"}</definedName>
    <definedName name="jiyuiykk">{#N/A,#N/A,FALSE,"COVER.XLS";#N/A,#N/A,FALSE,"RACT1.XLS";#N/A,#N/A,FALSE,"RACT2.XLS";#N/A,#N/A,FALSE,"ECCMP";#N/A,#N/A,FALSE,"WELDER.XLS"}</definedName>
    <definedName name="jjhfdsdgjjkjh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jhgfgfhhh">{#N/A,#N/A,FALSE,"COVER1.XLS ";#N/A,#N/A,FALSE,"RACT1.XLS";#N/A,#N/A,FALSE,"RACT2.XLS";#N/A,#N/A,FALSE,"ECCMP";#N/A,#N/A,FALSE,"WELDER.XLS"}</definedName>
    <definedName name="jjhgfhjjhgtffg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jjj">{#N/A,#N/A,FALSE,"COVER.XLS";#N/A,#N/A,FALSE,"RACT1.XLS";#N/A,#N/A,FALSE,"RACT2.XLS";#N/A,#N/A,FALSE,"ECCMP";#N/A,#N/A,FALSE,"WELDER.XLS"}</definedName>
    <definedName name="jjjji">{#N/A,#N/A,FALSE,"COVER1.XLS ";#N/A,#N/A,FALSE,"RACT1.XLS";#N/A,#N/A,FALSE,"RACT2.XLS";#N/A,#N/A,FALSE,"ECCMP";#N/A,#N/A,FALSE,"WELDER.XLS"}</definedName>
    <definedName name="jjjjj">{#N/A,#N/A,FALSE,"COVER.XLS";#N/A,#N/A,FALSE,"RACT1.XLS";#N/A,#N/A,FALSE,"RACT2.XLS";#N/A,#N/A,FALSE,"ECCMP";#N/A,#N/A,FALSE,"WELDER.XLS"}</definedName>
    <definedName name="jjjjjjjjjjjjjj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jjjjjjjjjjjjjjjjjjjjj">{#N/A,#N/A,FALSE,"COVER.XLS";#N/A,#N/A,FALSE,"RACT1.XLS";#N/A,#N/A,FALSE,"RACT2.XLS";#N/A,#N/A,FALSE,"ECCMP";#N/A,#N/A,FALSE,"WELDER.XLS"}</definedName>
    <definedName name="jk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khgr">{#N/A,#N/A,FALSE,"COVER1.XLS ";#N/A,#N/A,FALSE,"RACT1.XLS";#N/A,#N/A,FALSE,"RACT2.XLS";#N/A,#N/A,FALSE,"ECCMP";#N/A,#N/A,FALSE,"WELDER.XLS"}</definedName>
    <definedName name="jkhuiygh9petk">{#N/A,#N/A,FALSE,"COVER1.XLS ";#N/A,#N/A,FALSE,"RACT1.XLS";#N/A,#N/A,FALSE,"RACT2.XLS";#N/A,#N/A,FALSE,"ECCMP";#N/A,#N/A,FALSE,"WELDER.XLS"}</definedName>
    <definedName name="jkj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k">{#N/A,#N/A,FALSE,"COVER1.XLS ";#N/A,#N/A,FALSE,"RACT1.XLS";#N/A,#N/A,FALSE,"RACT2.XLS";#N/A,#N/A,FALSE,"ECCMP";#N/A,#N/A,FALSE,"WELDER.XLS"}</definedName>
    <definedName name="jklipy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kloopppooo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ko" localSheetId="1">#REF!</definedName>
    <definedName name="jko">#REF!</definedName>
    <definedName name="jkoitu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krjkl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jktlo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ktu">{#N/A,#N/A,FALSE,"COVER.XLS";#N/A,#N/A,FALSE,"RACT1.XLS";#N/A,#N/A,FALSE,"RACT2.XLS";#N/A,#N/A,FALSE,"ECCMP";#N/A,#N/A,FALSE,"WELDER.XLS"}</definedName>
    <definedName name="jkutj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kyh">{#N/A,#N/A,FALSE,"17MAY";#N/A,#N/A,FALSE,"24MAY"}</definedName>
    <definedName name="jkyikjyu">{#N/A,#N/A,FALSE,"COVER.XLS";#N/A,#N/A,FALSE,"RACT1.XLS";#N/A,#N/A,FALSE,"RACT2.XLS";#N/A,#N/A,FALSE,"ECCMP";#N/A,#N/A,FALSE,"WELDER.XLS"}</definedName>
    <definedName name="jlrl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ltiyu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jnmfhhy">{#N/A,#N/A,FALSE,"COVER.XLS";#N/A,#N/A,FALSE,"RACT1.XLS";#N/A,#N/A,FALSE,"RACT2.XLS";#N/A,#N/A,FALSE,"ECCMP";#N/A,#N/A,FALSE,"WELDER.XLS"}</definedName>
    <definedName name="jo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johk">{#N/A,#N/A,FALSE,"17MAY";#N/A,#N/A,FALSE,"24MAY"}</definedName>
    <definedName name="jo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oob">{#N/A,#N/A,FALSE,"COVER.XLS";#N/A,#N/A,FALSE,"RACT1.XLS";#N/A,#N/A,FALSE,"RACT2.XLS";#N/A,#N/A,FALSE,"ECCMP";#N/A,#N/A,FALSE,"WELDER.XLS"}</definedName>
    <definedName name="jo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ror">{#N/A,#N/A,FALSE,"COVER1.XLS ";#N/A,#N/A,FALSE,"RACT1.XLS";#N/A,#N/A,FALSE,"RACT2.XLS";#N/A,#N/A,FALSE,"ECCMP";#N/A,#N/A,FALSE,"WELDER.XLS"}</definedName>
    <definedName name="jr8leo">{#N/A,#N/A,FALSE,"COVER.XLS";#N/A,#N/A,FALSE,"RACT1.XLS";#N/A,#N/A,FALSE,"RACT2.XLS";#N/A,#N/A,FALSE,"ECCMP";#N/A,#N/A,FALSE,"WELDER.XLS"}</definedName>
    <definedName name="jrhjrhr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jrhk">{#N/A,#N/A,FALSE,"COVER1.XLS ";#N/A,#N/A,FALSE,"RACT1.XLS";#N/A,#N/A,FALSE,"RACT2.XLS";#N/A,#N/A,FALSE,"ECCMP";#N/A,#N/A,FALSE,"WELDER.XLS"}</definedName>
    <definedName name="jrhkrk">{#N/A,#N/A,FALSE,"COVER1.XLS ";#N/A,#N/A,FALSE,"RACT1.XLS";#N/A,#N/A,FALSE,"RACT2.XLS";#N/A,#N/A,FALSE,"ECCMP";#N/A,#N/A,FALSE,"WELDER.XLS"}</definedName>
    <definedName name="jrjrh">{#N/A,#N/A,FALSE,"COVER.XLS";#N/A,#N/A,FALSE,"RACT1.XLS";#N/A,#N/A,FALSE,"RACT2.XLS";#N/A,#N/A,FALSE,"ECCMP";#N/A,#N/A,FALSE,"WELDER.XLS"}</definedName>
    <definedName name="jrjyi">{#N/A,#N/A,FALSE,"COVER.XLS";#N/A,#N/A,FALSE,"RACT1.XLS";#N/A,#N/A,FALSE,"RACT2.XLS";#N/A,#N/A,FALSE,"ECCMP";#N/A,#N/A,FALSE,"WELDER.XLS"}</definedName>
    <definedName name="jrlr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jro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tjktj">{#N/A,#N/A,FALSE,"COVER.XLS";#N/A,#N/A,FALSE,"RACT1.XLS";#N/A,#N/A,FALSE,"RACT2.XLS";#N/A,#N/A,FALSE,"ECCMP";#N/A,#N/A,FALSE,"WELDER.XLS"}</definedName>
    <definedName name="jtkjyk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tkyilk">{#N/A,#N/A,FALSE,"COVER1.XLS ";#N/A,#N/A,FALSE,"RACT1.XLS";#N/A,#N/A,FALSE,"RACT2.XLS";#N/A,#N/A,FALSE,"ECCMP";#N/A,#N/A,FALSE,"WELDER.XLS"}</definedName>
    <definedName name="jttj">{#N/A,#N/A,FALSE,"COVER1.XLS ";#N/A,#N/A,FALSE,"RACT1.XLS";#N/A,#N/A,FALSE,"RACT2.XLS";#N/A,#N/A,FALSE,"ECCMP";#N/A,#N/A,FALSE,"WELDER.XLS"}</definedName>
    <definedName name="j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u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uh">{#N/A,#N/A,FALSE,"COVER1.XLS ";#N/A,#N/A,FALSE,"RACT1.XLS";#N/A,#N/A,FALSE,"RACT2.XLS";#N/A,#N/A,FALSE,"ECCMP";#N/A,#N/A,FALSE,"WELDER.XLS"}</definedName>
    <definedName name="juiuy">{#N/A,#N/A,FALSE,"COVER.XLS";#N/A,#N/A,FALSE,"RACT1.XLS";#N/A,#N/A,FALSE,"RACT2.XLS";#N/A,#N/A,FALSE,"ECCMP";#N/A,#N/A,FALSE,"WELDER.XLS"}</definedName>
    <definedName name="juj">{#N/A,#N/A,FALSE,"17MAY";#N/A,#N/A,FALSE,"24MAY"}</definedName>
    <definedName name="jum">{#N/A,#N/A,FALSE,"COVER.XLS";#N/A,#N/A,FALSE,"RACT1.XLS";#N/A,#N/A,FALSE,"RACT2.XLS";#N/A,#N/A,FALSE,"ECCMP";#N/A,#N/A,FALSE,"WELDER.XLS"}</definedName>
    <definedName name="juriu">{#N/A,#N/A,FALSE,"COVER.XLS";#N/A,#N/A,FALSE,"RACT1.XLS";#N/A,#N/A,FALSE,"RACT2.XLS";#N/A,#N/A,FALSE,"ECCMP";#N/A,#N/A,FALSE,"WELDER.XLS"}</definedName>
    <definedName name="juryt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uytkp">{#N/A,#N/A,FALSE,"COVER1.XLS ";#N/A,#N/A,FALSE,"RACT1.XLS";#N/A,#N/A,FALSE,"RACT2.XLS";#N/A,#N/A,FALSE,"ECCMP";#N/A,#N/A,FALSE,"WELDER.XLS"}</definedName>
    <definedName name="jw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yjuyj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yurk5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yuu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aaall">{#N/A,#N/A,FALSE,"COVER1.XLS ";#N/A,#N/A,FALSE,"RACT1.XLS";#N/A,#N/A,FALSE,"RACT2.XLS";#N/A,#N/A,FALSE,"ECCMP";#N/A,#N/A,FALSE,"WELDER.XLS"}</definedName>
    <definedName name="kabokmomey">{#N/A,#N/A,FALSE,"COVER1.XLS ";#N/A,#N/A,FALSE,"RACT1.XLS";#N/A,#N/A,FALSE,"RACT2.XLS";#N/A,#N/A,FALSE,"ECCMP";#N/A,#N/A,FALSE,"WELDER.XLS"}</definedName>
    <definedName name="KA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ai">{#N/A,#N/A,FALSE,"COVER1.XLS ";#N/A,#N/A,FALSE,"RACT1.XLS";#N/A,#N/A,FALSE,"RACT2.XLS";#N/A,#N/A,FALSE,"ECCMP";#N/A,#N/A,FALSE,"WELDER.XLS"}</definedName>
    <definedName name="kak">{#N/A,#N/A,FALSE,"COVER.XLS";#N/A,#N/A,FALSE,"RACT1.XLS";#N/A,#N/A,FALSE,"RACT2.XLS";#N/A,#N/A,FALSE,"ECCMP";#N/A,#N/A,FALSE,"WELDER.XLS"}</definedName>
    <definedName name="Kawi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kc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dddi">{#N/A,#N/A,FALSE,"COVER1.XLS ";#N/A,#N/A,FALSE,"RACT1.XLS";#N/A,#N/A,FALSE,"RACT2.XLS";#N/A,#N/A,FALSE,"ECCMP";#N/A,#N/A,FALSE,"WELDER.XLS"}</definedName>
    <definedName name="kdi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di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es">{#N/A,#N/A,FALSE,"COVER1.XLS ";#N/A,#N/A,FALSE,"RACT1.XLS";#N/A,#N/A,FALSE,"RACT2.XLS";#N/A,#N/A,FALSE,"ECCMP";#N/A,#N/A,FALSE,"WELDER.XLS"}</definedName>
    <definedName name="ketihkjo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ey" localSheetId="1">#REF!</definedName>
    <definedName name="key">#REF!</definedName>
    <definedName name="kfc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hak">{#N/A,#N/A,FALSE,"COVER1.XLS ";#N/A,#N/A,FALSE,"RACT1.XLS";#N/A,#N/A,FALSE,"RACT2.XLS";#N/A,#N/A,FALSE,"ECCMP";#N/A,#N/A,FALSE,"WELDER.XLS"}</definedName>
    <definedName name="KHJGDFGFHGHJ">{"cashflow",#N/A,FALSE,"cash flow"}</definedName>
    <definedName name="khluikjkl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khyjy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ki">{#N/A,#N/A,FALSE,"17MAY";#N/A,#N/A,FALSE,"24MAY"}</definedName>
    <definedName name="kidji">{#N/A,#N/A,FALSE,"COVER.XLS";#N/A,#N/A,FALSE,"RACT1.XLS";#N/A,#N/A,FALSE,"RACT2.XLS";#N/A,#N/A,FALSE,"ECCMP";#N/A,#N/A,FALSE,"WELDER.XLS"}</definedName>
    <definedName name="kijoyio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ikyli" localSheetId="1">#REF!</definedName>
    <definedName name="kikyli">#REF!</definedName>
    <definedName name="kipou">{#N/A,#N/A,FALSE,"COVER1.XLS ";#N/A,#N/A,FALSE,"RACT1.XLS";#N/A,#N/A,FALSE,"RACT2.XLS";#N/A,#N/A,FALSE,"ECCMP";#N/A,#N/A,FALSE,"WELDER.XLS"}</definedName>
    <definedName name="kirl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kirutiu">{#N/A,#N/A,FALSE,"17MAY";#N/A,#N/A,FALSE,"24MAY"}</definedName>
    <definedName name="kitkyktju">{#N/A,#N/A,FALSE,"COVER1.XLS ";#N/A,#N/A,FALSE,"RACT1.XLS";#N/A,#N/A,FALSE,"RACT2.XLS";#N/A,#N/A,FALSE,"ECCMP";#N/A,#N/A,FALSE,"WELDER.XLS"}</definedName>
    <definedName name="kito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i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iuejk">{#N/A,#N/A,FALSE,"17MAY";#N/A,#N/A,FALSE,"24MAY"}</definedName>
    <definedName name="kiukokki">{#N/A,#N/A,FALSE,"COVER.XLS";#N/A,#N/A,FALSE,"RACT1.XLS";#N/A,#N/A,FALSE,"RACT2.XLS";#N/A,#N/A,FALSE,"ECCMP";#N/A,#N/A,FALSE,"WELDER.XLS"}</definedName>
    <definedName name="kiykjy">{#N/A,#N/A,FALSE,"COVER.XLS";#N/A,#N/A,FALSE,"RACT1.XLS";#N/A,#N/A,FALSE,"RACT2.XLS";#N/A,#N/A,FALSE,"ECCMP";#N/A,#N/A,FALSE,"WELDER.XLS"}</definedName>
    <definedName name="kj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kj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krj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jlkjoli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m">{#N/A,#N/A,FALSE,"COVER1.XLS ";#N/A,#N/A,FALSE,"RACT1.XLS";#N/A,#N/A,FALSE,"RACT2.XLS";#N/A,#N/A,FALSE,"ECCMP";#N/A,#N/A,FALSE,"WELDER.XLS"}</definedName>
    <definedName name="kjuriti9">{#N/A,#N/A,FALSE,"COVER.XLS";#N/A,#N/A,FALSE,"RACT1.XLS";#N/A,#N/A,FALSE,"RACT2.XLS";#N/A,#N/A,FALSE,"ECCMP";#N/A,#N/A,FALSE,"WELDER.XLS"}</definedName>
    <definedName name="kkjir">{#N/A,#N/A,FALSE,"COVER1.XLS ";#N/A,#N/A,FALSE,"RACT1.XLS";#N/A,#N/A,FALSE,"RACT2.XLS";#N/A,#N/A,FALSE,"ECCMP";#N/A,#N/A,FALSE,"WELDER.XLS"}</definedName>
    <definedName name="kkjk">{#N/A,#N/A,FALSE,"COVER1.XLS ";#N/A,#N/A,FALSE,"RACT1.XLS";#N/A,#N/A,FALSE,"RACT2.XLS";#N/A,#N/A,FALSE,"ECCMP";#N/A,#N/A,FALSE,"WELDER.XLS"}</definedName>
    <definedName name="kkkk">{"cashflow",#N/A,FALSE,"cash flow"}</definedName>
    <definedName name="kkkkkkkk">{#N/A,#N/A,FALSE,"COVER.XLS";#N/A,#N/A,FALSE,"RACT1.XLS";#N/A,#N/A,FALSE,"RACT2.XLS";#N/A,#N/A,FALSE,"ECCMP";#N/A,#N/A,FALSE,"WELDER.XLS"}</definedName>
    <definedName name="kkkkkkkkkk">{#N/A,#N/A,FALSE,"COVER1.XLS ";#N/A,#N/A,FALSE,"RACT1.XLS";#N/A,#N/A,FALSE,"RACT2.XLS";#N/A,#N/A,FALSE,"ECCMP";#N/A,#N/A,FALSE,"WELDER.XLS"}</definedName>
    <definedName name="kkkkkkkkkk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kkkkkkkkkk">{#N/A,#N/A,FALSE,"COVER.XLS";#N/A,#N/A,FALSE,"RACT1.XLS";#N/A,#N/A,FALSE,"RACT2.XLS";#N/A,#N/A,FALSE,"ECCMP";#N/A,#N/A,FALSE,"WELDER.XLS"}</definedName>
    <definedName name="kkkm">{#N/A,#N/A,FALSE,"17MAY";#N/A,#N/A,FALSE,"24MAY"}</definedName>
    <definedName name="kktokroeroiyreg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lhklkh">{#N/A,#N/A,FALSE,"COVER.XLS";#N/A,#N/A,FALSE,"RACT1.XLS";#N/A,#N/A,FALSE,"RACT2.XLS";#N/A,#N/A,FALSE,"ECCMP";#N/A,#N/A,FALSE,"WELDER.XLS"}</definedName>
    <definedName name="kli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kliolkkkoijk">{#N/A,#N/A,FALSE,"COVER.XLS";#N/A,#N/A,FALSE,"RACT1.XLS";#N/A,#N/A,FALSE,"RACT2.XLS";#N/A,#N/A,FALSE,"ECCMP";#N/A,#N/A,FALSE,"WELDER.XLS"}</definedName>
    <definedName name="klj">{#N/A,#N/A,FALSE,"17MAY";#N/A,#N/A,FALSE,"24MAY"}</definedName>
    <definedName name="klkltt">{#N/A,#N/A,FALSE,"COVER.XLS";#N/A,#N/A,FALSE,"RACT1.XLS";#N/A,#N/A,FALSE,"RACT2.XLS";#N/A,#N/A,FALSE,"ECCMP";#N/A,#N/A,FALSE,"WELDER.XLS"}</definedName>
    <definedName name="klkly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klk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lr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lrkr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klrti">{#N/A,#N/A,FALSE,"COVER1.XLS ";#N/A,#N/A,FALSE,"RACT1.XLS";#N/A,#N/A,FALSE,"RACT2.XLS";#N/A,#N/A,FALSE,"ECCMP";#N/A,#N/A,FALSE,"WELDER.XLS"}</definedName>
    <definedName name="klrwuw">{#N/A,#N/A,FALSE,"COVER1.XLS ";#N/A,#N/A,FALSE,"RACT1.XLS";#N/A,#N/A,FALSE,"RACT2.XLS";#N/A,#N/A,FALSE,"ECCMP";#N/A,#N/A,FALSE,"WELDER.XLS"}</definedName>
    <definedName name="kltjkjhk">{#N/A,#N/A,FALSE,"17MAY";#N/A,#N/A,FALSE,"24MAY"}</definedName>
    <definedName name="klykly">{#N/A,#N/A,FALSE,"COVER1.XLS ";#N/A,#N/A,FALSE,"RACT1.XLS";#N/A,#N/A,FALSE,"RACT2.XLS";#N/A,#N/A,FALSE,"ECCMP";#N/A,#N/A,FALSE,"WELDER.XLS"}</definedName>
    <definedName name="klyl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lyoyi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kokjghyhhj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ol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or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oy">{#N/A,#N/A,FALSE,"COVER1.XLS ";#N/A,#N/A,FALSE,"RACT1.XLS";#N/A,#N/A,FALSE,"RACT2.XLS";#N/A,#N/A,FALSE,"ECCMP";#N/A,#N/A,FALSE,"WELDER.XLS"}</definedName>
    <definedName name="koyily">{#N/A,#N/A,FALSE,"17MAY";#N/A,#N/A,FALSE,"24MAY"}</definedName>
    <definedName name="koyiyuuy">{#N/A,#N/A,FALSE,"COVER.XLS";#N/A,#N/A,FALSE,"RACT1.XLS";#N/A,#N/A,FALSE,"RACT2.XLS";#N/A,#N/A,FALSE,"ECCMP";#N/A,#N/A,FALSE,"WELDER.XLS"}</definedName>
    <definedName name="KPI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KPIP7.2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pul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rjiu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krjt">{#N/A,#N/A,FALSE,"COVER.XLS";#N/A,#N/A,FALSE,"RACT1.XLS";#N/A,#N/A,FALSE,"RACT2.XLS";#N/A,#N/A,FALSE,"ECCMP";#N/A,#N/A,FALSE,"WELDER.XLS"}</definedName>
    <definedName name="krljl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kruo">{#N/A,#N/A,FALSE,"COVER1.XLS 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skk1">{#N/A,#N/A,FALSE,"COVER.XLS";#N/A,#N/A,FALSE,"RACT1.XLS";#N/A,#N/A,FALSE,"RACT2.XLS";#N/A,#N/A,FALSE,"ECCMP";#N/A,#N/A,FALSE,"WELDER.XLS"}</definedName>
    <definedName name="kskk2">{#N/A,#N/A,FALSE,"COVER.XLS";#N/A,#N/A,FALSE,"RACT1.XLS";#N/A,#N/A,FALSE,"RACT2.XLS";#N/A,#N/A,FALSE,"ECCMP";#N/A,#N/A,FALSE,"WELDER.XLS"}</definedName>
    <definedName name="ktit">{#N/A,#N/A,FALSE,"COVER.XLS";#N/A,#N/A,FALSE,"RACT1.XLS";#N/A,#N/A,FALSE,"RACT2.XLS";#N/A,#N/A,FALSE,"ECCMP";#N/A,#N/A,FALSE,"WELDER.XLS"}</definedName>
    <definedName name="ktlyujl">{#N/A,#N/A,FALSE,"COVER.XLS";#N/A,#N/A,FALSE,"RACT1.XLS";#N/A,#N/A,FALSE,"RACT2.XLS";#N/A,#N/A,FALSE,"ECCMP";#N/A,#N/A,FALSE,"WELDER.XLS"}</definedName>
    <definedName name="kto0i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uiot">{#N/A,#N/A,FALSE,"COVER.XLS";#N/A,#N/A,FALSE,"RACT1.XLS";#N/A,#N/A,FALSE,"RACT2.XLS";#N/A,#N/A,FALSE,"ECCMP";#N/A,#N/A,FALSE,"WELDER.XLS"}</definedName>
    <definedName name="kuiti">{#N/A,#N/A,FALSE,"COVER.XLS";#N/A,#N/A,FALSE,"RACT1.XLS";#N/A,#N/A,FALSE,"RACT2.XLS";#N/A,#N/A,FALSE,"ECCMP";#N/A,#N/A,FALSE,"WELDER.XLS"}</definedName>
    <definedName name="kung">{#N/A,#N/A,FALSE,"COVER1.XLS ";#N/A,#N/A,FALSE,"RACT1.XLS";#N/A,#N/A,FALSE,"RACT2.XLS";#N/A,#N/A,FALSE,"ECCMP";#N/A,#N/A,FALSE,"WELDER.XLS"}</definedName>
    <definedName name="kuo4t">{#N/A,#N/A,FALSE,"COVER.XLS";#N/A,#N/A,FALSE,"RACT1.XLS";#N/A,#N/A,FALSE,"RACT2.XLS";#N/A,#N/A,FALSE,"ECCMP";#N/A,#N/A,FALSE,"WELDER.XLS"}</definedName>
    <definedName name="kut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kvas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KY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yuhjkyuti">{#N/A,#N/A,FALSE,"COVER1.XLS ";#N/A,#N/A,FALSE,"RACT1.XLS";#N/A,#N/A,FALSE,"RACT2.XLS";#N/A,#N/A,FALSE,"ECCMP";#N/A,#N/A,FALSE,"WELDER.XLS"}</definedName>
    <definedName name="l" localSheetId="1">#REF!</definedName>
    <definedName name="l">#REF!</definedName>
    <definedName name="land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dksjflsdjfoweurfkldk.xmvldfjiweudslkjfsoe">{#N/A,#N/A,FALSE,"COVER1.XLS ";#N/A,#N/A,FALSE,"RACT1.XLS";#N/A,#N/A,FALSE,"RACT2.XLS";#N/A,#N/A,FALSE,"ECCMP";#N/A,#N/A,FALSE,"WELDER.XLS"}</definedName>
    <definedName name="le">{#N/A,#N/A,FALSE,"COVER.XLS";#N/A,#N/A,FALSE,"RACT1.XLS";#N/A,#N/A,FALSE,"RACT2.XLS";#N/A,#N/A,FALSE,"ECCMP";#N/A,#N/A,FALSE,"WELDER.XLS"}</definedName>
    <definedName name="le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ff">{#N/A,#N/A,FALSE,"17MAY";#N/A,#N/A,FALSE,"24MAY"}</definedName>
    <definedName name="limcount">3</definedName>
    <definedName name="li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iyo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lj">{#N/A,#N/A,FALSE,"COVER1.XLS ";#N/A,#N/A,FALSE,"RACT1.XLS";#N/A,#N/A,FALSE,"RACT2.XLS";#N/A,#N/A,FALSE,"ECCMP";#N/A,#N/A,FALSE,"WELDER.XLS"}</definedName>
    <definedName name="ljlgjk">{#N/A,#N/A,FALSE,"COVER1.XLS ";#N/A,#N/A,FALSE,"RACT1.XLS";#N/A,#N/A,FALSE,"RACT2.XLS";#N/A,#N/A,FALSE,"ECCMP";#N/A,#N/A,FALSE,"WELDER.XLS"}</definedName>
    <definedName name="ljlk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jot">{#N/A,#N/A,FALSE,"COVER1.XLS ";#N/A,#N/A,FALSE,"RACT1.XLS";#N/A,#N/A,FALSE,"RACT2.XLS";#N/A,#N/A,FALSE,"ECCMP";#N/A,#N/A,FALSE,"WELDER.XLS"}</definedName>
    <definedName name="ljymjkju">{#N/A,#N/A,FALSE,"COVER1.XLS ";#N/A,#N/A,FALSE,"RACT1.XLS";#N/A,#N/A,FALSE,"RACT2.XLS";#N/A,#N/A,FALSE,"ECCMP";#N/A,#N/A,FALSE,"WELDER.XLS"}</definedName>
    <definedName name="lkdfjlskjdfoweiuroefkdsljf.vcxnvlksdjfwoeur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kfjsldjfoiweurifdkkfjpwe.zmclsdjfosurpq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g">{#N/A,#N/A,FALSE,"COVER.XLS";#N/A,#N/A,FALSE,"RACT1.XLS";#N/A,#N/A,FALSE,"RACT2.XLS";#N/A,#N/A,FALSE,"ECCMP";#N/A,#N/A,FALSE,"WELDER.XLS"}</definedName>
    <definedName name="lkioiiiop">{#N/A,#N/A,FALSE,"COVER1.XLS ";#N/A,#N/A,FALSE,"RACT1.XLS";#N/A,#N/A,FALSE,"RACT2.XLS";#N/A,#N/A,FALSE,"ECCMP";#N/A,#N/A,FALSE,"WELDER.XLS"}</definedName>
    <definedName name="lkiup">{#N/A,#N/A,FALSE,"COVER1.XLS ";#N/A,#N/A,FALSE,"RACT1.XLS";#N/A,#N/A,FALSE,"RACT2.XLS";#N/A,#N/A,FALSE,"ECCMP";#N/A,#N/A,FALSE,"WELDER.XLS"}</definedName>
    <definedName name="lkjio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lkk">{#N/A,#N/A,FALSE,"17MAY";#N/A,#N/A,FALSE,"24MAY"}</definedName>
    <definedName name="lkkii">{#N/A,#N/A,FALSE,"COVER1.XLS ";#N/A,#N/A,FALSE,"RACT1.XLS";#N/A,#N/A,FALSE,"RACT2.XLS";#N/A,#N/A,FALSE,"ECCMP";#N/A,#N/A,FALSE,"WELDER.XLS"}</definedName>
    <definedName name="lkkkkkk">{#N/A,#N/A,FALSE,"COVER.XLS";#N/A,#N/A,FALSE,"RACT1.XLS";#N/A,#N/A,FALSE,"RACT2.XLS";#N/A,#N/A,FALSE,"ECCMP";#N/A,#N/A,FALSE,"WELDER.XLS"}</definedName>
    <definedName name="lklklhk" localSheetId="1">#REF!</definedName>
    <definedName name="lklklhk">#REF!</definedName>
    <definedName name="lkllkkhhuiknhgk">{#N/A,#N/A,FALSE,"17MAY";#N/A,#N/A,FALSE,"24MAY"}</definedName>
    <definedName name="lknhyjmnnjj">{#N/A,#N/A,FALSE,"COVER1.XLS ";#N/A,#N/A,FALSE,"RACT1.XLS";#N/A,#N/A,FALSE,"RACT2.XLS";#N/A,#N/A,FALSE,"ECCMP";#N/A,#N/A,FALSE,"WELDER.XLS"}</definedName>
    <definedName name="lkoklp">{#N/A,#N/A,FALSE,"COVER1.XLS ";#N/A,#N/A,FALSE,"RACT1.XLS";#N/A,#N/A,FALSE,"RACT2.XLS";#N/A,#N/A,FALSE,"ECCMP";#N/A,#N/A,FALSE,"WELDER.XLS"}</definedName>
    <definedName name="lkopoooo">{#N/A,#N/A,FALSE,"COVER.XLS";#N/A,#N/A,FALSE,"RACT1.XLS";#N/A,#N/A,FALSE,"RACT2.XLS";#N/A,#N/A,FALSE,"ECCMP";#N/A,#N/A,FALSE,"WELDER.XLS"}</definedName>
    <definedName name="llk">{#N/A,#N/A,FALSE,"COVER1.XLS ";#N/A,#N/A,FALSE,"RACT1.XLS";#N/A,#N/A,FALSE,"RACT2.XLS";#N/A,#N/A,FALSE,"ECCMP";#N/A,#N/A,FALSE,"WELDER.XLS"}</definedName>
    <definedName name="llkjkk">{#N/A,#N/A,FALSE,"COVER.XLS";#N/A,#N/A,FALSE,"RACT1.XLS";#N/A,#N/A,FALSE,"RACT2.XLS";#N/A,#N/A,FALSE,"ECCMP";#N/A,#N/A,FALSE,"WELDER.XLS"}</definedName>
    <definedName name="llkoklu">{#N/A,#N/A,FALSE,"COVER.XLS";#N/A,#N/A,FALSE,"RACT1.XLS";#N/A,#N/A,FALSE,"RACT2.XLS";#N/A,#N/A,FALSE,"ECCMP";#N/A,#N/A,FALSE,"WELDER.XLS"}</definedName>
    <definedName name="llkrl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lllllllll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lllllllllllllllllllllllllllllllllllllllllllllllllll">{#N/A,#N/A,FALSE,"COVER.XLS";#N/A,#N/A,FALSE,"RACT1.XLS";#N/A,#N/A,FALSE,"RACT2.XLS";#N/A,#N/A,FALSE,"ECCMP";#N/A,#N/A,FALSE,"WELDER.XLS"}</definedName>
    <definedName name="lllpp">{#N/A,#N/A,FALSE,"COVER.XLS";#N/A,#N/A,FALSE,"RACT1.XLS";#N/A,#N/A,FALSE,"RACT2.XLS";#N/A,#N/A,FALSE,"ECCMP";#N/A,#N/A,FALSE,"WELDER.XLS"}</definedName>
    <definedName name="lloodjkjg">{#N/A,#N/A,FALSE,"COVER1.XLS ";#N/A,#N/A,FALSE,"RACT1.XLS";#N/A,#N/A,FALSE,"RACT2.XLS";#N/A,#N/A,FALSE,"ECCMP";#N/A,#N/A,FALSE,"WELDER.XLS"}</definedName>
    <definedName name="llp">{#N/A,#N/A,FALSE,"COVER.XLS";#N/A,#N/A,FALSE,"RACT1.XLS";#N/A,#N/A,FALSE,"RACT2.XLS";#N/A,#N/A,FALSE,"ECCMP";#N/A,#N/A,FALSE,"WELDER.XLS"}</definedName>
    <definedName name="lluioluu">{#N/A,#N/A,FALSE,"COVER.XLS";#N/A,#N/A,FALSE,"RACT1.XLS";#N/A,#N/A,FALSE,"RACT2.XLS";#N/A,#N/A,FALSE,"ECCMP";#N/A,#N/A,FALSE,"WELDER.XLS"}</definedName>
    <definedName name="lluki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oip">{#N/A,#N/A,FALSE,"COVER.XLS";#N/A,#N/A,FALSE,"RACT1.XLS";#N/A,#N/A,FALSE,"RACT2.XLS";#N/A,#N/A,FALSE,"ECCMP";#N/A,#N/A,FALSE,"WELDER.XLS"}</definedName>
    <definedName name="loiur">{#N/A,#N/A,FALSE,"COVER1.XLS ";#N/A,#N/A,FALSE,"RACT1.XLS";#N/A,#N/A,FALSE,"RACT2.XLS";#N/A,#N/A,FALSE,"ECCMP";#N/A,#N/A,FALSE,"WELDER.XLS"}</definedName>
    <definedName name="lonsddf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loonly">{#N/A,#N/A,FALSE,"COVER1.XLS ";#N/A,#N/A,FALSE,"RACT1.XLS";#N/A,#N/A,FALSE,"RACT2.XLS";#N/A,#N/A,FALSE,"ECCMP";#N/A,#N/A,FALSE,"WELDER.XLS"}</definedName>
    <definedName name="looooo">{#N/A,#N/A,FALSE,"COVER.XLS";#N/A,#N/A,FALSE,"RACT1.XLS";#N/A,#N/A,FALSE,"RACT2.XLS";#N/A,#N/A,FALSE,"ECCMP";#N/A,#N/A,FALSE,"WELDER.XLS"}</definedName>
    <definedName name="lou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lpoi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rklrl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ltj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tllo">{#N/A,#N/A,FALSE,"COVER1.XLS ";#N/A,#N/A,FALSE,"RACT1.XLS";#N/A,#N/A,FALSE,"RACT2.XLS";#N/A,#N/A,FALSE,"ECCMP";#N/A,#N/A,FALSE,"WELDER.XLS"}</definedName>
    <definedName name="ltoito">{#N/A,#N/A,FALSE,"COVER1.XLS ";#N/A,#N/A,FALSE,"RACT1.XLS";#N/A,#N/A,FALSE,"RACT2.XLS";#N/A,#N/A,FALSE,"ECCMP";#N/A,#N/A,FALSE,"WELDER.XLS"}</definedName>
    <definedName name="lt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u">{#N/A,#N/A,FALSE,"17MAY";#N/A,#N/A,FALSE,"24MAY"}</definedName>
    <definedName name="lum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lykukl">{#N/A,#N/A,FALSE,"COVER1.XLS ";#N/A,#N/A,FALSE,"RACT1.XLS";#N/A,#N/A,FALSE,"RACT2.XLS";#N/A,#N/A,FALSE,"ECCMP";#N/A,#N/A,FALSE,"WELDER.XLS"}</definedName>
    <definedName name="m">{#N/A,#N/A,FALSE,"COVER.XLS";#N/A,#N/A,FALSE,"RACT1.XLS";#N/A,#N/A,FALSE,"RACT2.XLS";#N/A,#N/A,FALSE,"ECCMP";#N/A,#N/A,FALSE,"WELDER.XLS"}</definedName>
    <definedName name="M_Drama" localSheetId="1">#REF!</definedName>
    <definedName name="M_Drama">#REF!</definedName>
    <definedName name="ma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male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mam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man">{#N/A,#N/A,FALSE,"COVER1.XLS ";#N/A,#N/A,FALSE,"RACT1.XLS";#N/A,#N/A,FALSE,"RACT2.XLS";#N/A,#N/A,FALSE,"ECCMP";#N/A,#N/A,FALSE,"WELDER.XLS"}</definedName>
    <definedName name="Manhou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ar">{#N/A,#N/A,FALSE,"COVER1.XLS ";#N/A,#N/A,FALSE,"RACT1.XLS";#N/A,#N/A,FALSE,"RACT2.XLS";#N/A,#N/A,FALSE,"ECCMP";#N/A,#N/A,FALSE,"WELDER.XLS"}</definedName>
    <definedName name="mare">{#N/A,#N/A,FALSE,"COVER.XLS";#N/A,#N/A,FALSE,"RACT1.XLS";#N/A,#N/A,FALSE,"RACT2.XLS";#N/A,#N/A,FALSE,"ECCMP";#N/A,#N/A,FALSE,"WELDER.XLS"}</definedName>
    <definedName name="mayv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MB2.2">{#N/A,#N/A,FALSE,"COVER.XLS";#N/A,#N/A,FALSE,"RACT1.XLS";#N/A,#N/A,FALSE,"RACT2.XLS";#N/A,#N/A,FALSE,"ECCMP";#N/A,#N/A,FALSE,"WELDER.XLS"}</definedName>
    <definedName name="MB2_p2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BC_D" localSheetId="1">#REF!</definedName>
    <definedName name="MBC_D">#REF!</definedName>
    <definedName name="MBIIIPM">{#N/A,#N/A,FALSE,"COVER1.XLS ";#N/A,#N/A,FALSE,"RACT1.XLS";#N/A,#N/A,FALSE,"RACT2.XLS";#N/A,#N/A,FALSE,"ECCMP";#N/A,#N/A,FALSE,"WELDER.XLS"}</definedName>
    <definedName name="mbo">{#N/A,#N/A,FALSE,"COVER1.XLS ";#N/A,#N/A,FALSE,"RACT1.XLS";#N/A,#N/A,FALSE,"RACT2.XLS";#N/A,#N/A,FALSE,"ECCMP";#N/A,#N/A,FALSE,"WELDER.XLS"}</definedName>
    <definedName name="mbuio">{#N/A,#N/A,FALSE,"COVER1.XLS ";#N/A,#N/A,FALSE,"RACT1.XLS";#N/A,#N/A,FALSE,"RACT2.XLS";#N/A,#N/A,FALSE,"ECCMP";#N/A,#N/A,FALSE,"WELDER.XLS"}</definedName>
    <definedName name="mbvkip">{#N/A,#N/A,FALSE,"COVER1.XLS ";#N/A,#N/A,FALSE,"RACT1.XLS";#N/A,#N/A,FALSE,"RACT2.XLS";#N/A,#N/A,FALSE,"ECCMP";#N/A,#N/A,FALSE,"WELDER.XLS"}</definedName>
    <definedName name="mdlfha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me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G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mhbfhjdxfr">{#N/A,#N/A,FALSE,"COVER1.XLS ";#N/A,#N/A,FALSE,"RACT1.XLS";#N/A,#N/A,FALSE,"RACT2.XLS";#N/A,#N/A,FALSE,"ECCMP";#N/A,#N/A,FALSE,"WELDER.XLS"}</definedName>
    <definedName name="mhbn">{#N/A,#N/A,FALSE,"COVER1.XLS ";#N/A,#N/A,FALSE,"RACT1.XLS";#N/A,#N/A,FALSE,"RACT2.XLS";#N/A,#N/A,FALSE,"ECCMP";#N/A,#N/A,FALSE,"WELDER.XLS"}</definedName>
    <definedName name="mhjfghjk">{#N/A,#N/A,FALSE,"COVER1.XLS ";#N/A,#N/A,FALSE,"RACT1.XLS";#N/A,#N/A,FALSE,"RACT2.XLS";#N/A,#N/A,FALSE,"ECCMP";#N/A,#N/A,FALSE,"WELDER.XLS"}</definedName>
    <definedName name="mim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imn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mipp">{#N/A,#N/A,FALSE,"COVER1.XLS ";#N/A,#N/A,FALSE,"RACT1.XLS";#N/A,#N/A,FALSE,"RACT2.XLS";#N/A,#N/A,FALSE,"ECCMP";#N/A,#N/A,FALSE,"WELDER.XLS"}</definedName>
    <definedName name="miurir">{#N/A,#N/A,FALSE,"COVER1.XLS ";#N/A,#N/A,FALSE,"RACT1.XLS";#N/A,#N/A,FALSE,"RACT2.XLS";#N/A,#N/A,FALSE,"ECCMP";#N/A,#N/A,FALSE,"WELDER.XLS"}</definedName>
    <definedName name="mjiklg">{#N/A,#N/A,FALSE,"COVER1.XLS ";#N/A,#N/A,FALSE,"RACT1.XLS";#N/A,#N/A,FALSE,"RACT2.XLS";#N/A,#N/A,FALSE,"ECCMP";#N/A,#N/A,FALSE,"WELDER.XLS"}</definedName>
    <definedName name="mjioikl">{#N/A,#N/A,FALSE,"COVER.XLS";#N/A,#N/A,FALSE,"RACT1.XLS";#N/A,#N/A,FALSE,"RACT2.XLS";#N/A,#N/A,FALSE,"ECCMP";#N/A,#N/A,FALSE,"WELDER.XLS"}</definedName>
    <definedName name="mjlkkgggggggg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mkiipp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kiop">{#N/A,#N/A,FALSE,"COVER.XLS";#N/A,#N/A,FALSE,"RACT1.XLS";#N/A,#N/A,FALSE,"RACT2.XLS";#N/A,#N/A,FALSE,"ECCMP";#N/A,#N/A,FALSE,"WELDER.XLS"}</definedName>
    <definedName name="mkjfgdgnj">{#N/A,#N/A,FALSE,"COVER.XLS";#N/A,#N/A,FALSE,"RACT1.XLS";#N/A,#N/A,FALSE,"RACT2.XLS";#N/A,#N/A,FALSE,"ECCMP";#N/A,#N/A,FALSE,"WELDER.XLS"}</definedName>
    <definedName name="mkoii">{#N/A,#N/A,FALSE,"COVER1.XLS ";#N/A,#N/A,FALSE,"RACT1.XLS";#N/A,#N/A,FALSE,"RACT2.XLS";#N/A,#N/A,FALSE,"ECCMP";#N/A,#N/A,FALSE,"WELDER.XLS"}</definedName>
    <definedName name="mkok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kon">{#N/A,#N/A,FALSE,"17MAY";#N/A,#N/A,FALSE,"24MAY"}</definedName>
    <definedName name="ml">{#N/A,#N/A,FALSE,"COVER.XLS";#N/A,#N/A,FALSE,"RACT1.XLS";#N/A,#N/A,FALSE,"RACT2.XLS";#N/A,#N/A,FALSE,"ECCMP";#N/A,#N/A,FALSE,"WELDER.XLS"}</definedName>
    <definedName name="mlr">{#N/A,#N/A,FALSE,"COVER.XLS";#N/A,#N/A,FALSE,"RACT1.XLS";#N/A,#N/A,FALSE,"RACT2.XLS";#N/A,#N/A,FALSE,"ECCMP";#N/A,#N/A,FALSE,"WELDER.XLS"}</definedName>
    <definedName name="mlri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m">{#N/A,#N/A,FALSE,"COVER1.XLS ";#N/A,#N/A,FALSE,"RACT1.XLS";#N/A,#N/A,FALSE,"RACT2.XLS";#N/A,#N/A,FALSE,"ECCMP";#N/A,#N/A,FALSE,"WELDER.XLS"}</definedName>
    <definedName name="mmmm">{#N/A,#N/A,FALSE,"17MAY";#N/A,#N/A,FALSE,"24MAY"}</definedName>
    <definedName name="mmmmmmmm">{#N/A,#N/A,FALSE,"17MAY";#N/A,#N/A,FALSE,"24MAY"}</definedName>
    <definedName name="mmmmmmmmmmmmmmmm">{#N/A,#N/A,FALSE,"COVER1.XLS ";#N/A,#N/A,FALSE,"RACT1.XLS";#N/A,#N/A,FALSE,"RACT2.XLS";#N/A,#N/A,FALSE,"ECCMP";#N/A,#N/A,FALSE,"WELDER.XLS"}</definedName>
    <definedName name="mn">{#N/A,#N/A,FALSE,"COVER1.XLS ";#N/A,#N/A,FALSE,"RACT1.XLS";#N/A,#N/A,FALSE,"RACT2.XLS";#N/A,#N/A,FALSE,"ECCMP";#N/A,#N/A,FALSE,"WELDER.XLS"}</definedName>
    <definedName name="mnbhhgfvhi">{#N/A,#N/A,FALSE,"17MAY";#N/A,#N/A,FALSE,"24MAY"}</definedName>
    <definedName name="mnif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mnjhi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no">{#N/A,#N/A,FALSE,"COVER1.XLS ";#N/A,#N/A,FALSE,"RACT1.XLS";#N/A,#N/A,FALSE,"RACT2.XLS";#N/A,#N/A,FALSE,"ECCMP";#N/A,#N/A,FALSE,"WELDER.XLS"}</definedName>
    <definedName name="mo">{#N/A,#N/A,FALSE,"COVER.XLS";#N/A,#N/A,FALSE,"RACT1.XLS";#N/A,#N/A,FALSE,"RACT2.XLS";#N/A,#N/A,FALSE,"ECCMP";#N/A,#N/A,FALSE,"WELDER.XLS"}</definedName>
    <definedName name="mogjkk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moiiogh">{#N/A,#N/A,FALSE,"COVER1.XLS ";#N/A,#N/A,FALSE,"RACT1.XLS";#N/A,#N/A,FALSE,"RACT2.XLS";#N/A,#N/A,FALSE,"ECCMP";#N/A,#N/A,FALSE,"WELDER.XLS"}</definedName>
    <definedName name="moipp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moipphf">{#N/A,#N/A,FALSE,"COVER.XLS";#N/A,#N/A,FALSE,"RACT1.XLS";#N/A,#N/A,FALSE,"RACT2.XLS";#N/A,#N/A,FALSE,"ECCMP";#N/A,#N/A,FALSE,"WELDER.XLS"}</definedName>
    <definedName name="momm">{#N/A,#N/A,FALSE,"COVER.XLS";#N/A,#N/A,FALSE,"RACT1.XLS";#N/A,#N/A,FALSE,"RACT2.XLS";#N/A,#N/A,FALSE,"ECCMP";#N/A,#N/A,FALSE,"WELDER.XLS"}</definedName>
    <definedName name="mo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oon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moony">{#N/A,#N/A,FALSE,"COVER1.XLS ";#N/A,#N/A,FALSE,"RACT1.XLS";#N/A,#N/A,FALSE,"RACT2.XLS";#N/A,#N/A,FALSE,"ECCMP";#N/A,#N/A,FALSE,"WELDER.XLS"}</definedName>
    <definedName name="mooonm">{#N/A,#N/A,FALSE,"COVER.XLS";#N/A,#N/A,FALSE,"RACT1.XLS";#N/A,#N/A,FALSE,"RACT2.XLS";#N/A,#N/A,FALSE,"ECCMP";#N/A,#N/A,FALSE,"WELDER.XLS"}</definedName>
    <definedName name="moooo">{#N/A,#N/A,FALSE,"COVER.XLS";#N/A,#N/A,FALSE,"RACT1.XLS";#N/A,#N/A,FALSE,"RACT2.XLS";#N/A,#N/A,FALSE,"ECCMP";#N/A,#N/A,FALSE,"WELDER.XLS"}</definedName>
    <definedName name="mopfj">{#N/A,#N/A,FALSE,"COVER1.XLS ";#N/A,#N/A,FALSE,"RACT1.XLS";#N/A,#N/A,FALSE,"RACT2.XLS";#N/A,#N/A,FALSE,"ECCMP";#N/A,#N/A,FALSE,"WELDER.XLS"}</definedName>
    <definedName name="move">{#N/A,#N/A,FALSE,"COVER1.XLS ";#N/A,#N/A,FALSE,"RACT1.XLS";#N/A,#N/A,FALSE,"RACT2.XLS";#N/A,#N/A,FALSE,"ECCMP";#N/A,#N/A,FALSE,"WELDER.XLS"}</definedName>
    <definedName name="mppp">{#N/A,#N/A,FALSE,"COVER1.XLS ";#N/A,#N/A,FALSE,"RACT1.XLS";#N/A,#N/A,FALSE,"RACT2.XLS";#N/A,#N/A,FALSE,"ECCMP";#N/A,#N/A,FALSE,"WELDER.XLS"}</definedName>
    <definedName name="muj.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am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n">{#N/A,#N/A,FALSE,"COVER.XLS";#N/A,#N/A,FALSE,"RACT1.XLS";#N/A,#N/A,FALSE,"RACT2.XLS";#N/A,#N/A,FALSE,"ECCMP";#N/A,#N/A,FALSE,"WELDER.XLS"}</definedName>
    <definedName name="nb">{#N/A,#N/A,FALSE,"COVER.XLS";#N/A,#N/A,FALSE,"RACT1.XLS";#N/A,#N/A,FALSE,"RACT2.XLS";#N/A,#N/A,FALSE,"ECCMP";#N/A,#N/A,FALSE,"WELDER.XLS"}</definedName>
    <definedName name="nbfdukj">{#N/A,#N/A,FALSE,"COVER1.XLS ";#N/A,#N/A,FALSE,"RACT1.XLS";#N/A,#N/A,FALSE,"RACT2.XLS";#N/A,#N/A,FALSE,"ECCMP";#N/A,#N/A,FALSE,"WELDER.XLS"}</definedName>
    <definedName name="nbhgtttgg">{#N/A,#N/A,FALSE,"COVER1.XLS ";#N/A,#N/A,FALSE,"RACT1.XLS";#N/A,#N/A,FALSE,"RACT2.XLS";#N/A,#N/A,FALSE,"ECCMP";#N/A,#N/A,FALSE,"WELDER.XLS"}</definedName>
    <definedName name="nbhyyttt">{#N/A,#N/A,FALSE,"COVER1.XLS ";#N/A,#N/A,FALSE,"RACT1.XLS";#N/A,#N/A,FALSE,"RACT2.XLS";#N/A,#N/A,FALSE,"ECCMP";#N/A,#N/A,FALSE,"WELDER.XLS"}</definedName>
    <definedName name="nbmbbb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bvcfb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bvcxgjuygg">{#N/A,#N/A,FALSE,"COVER1.XLS ";#N/A,#N/A,FALSE,"RACT1.XLS";#N/A,#N/A,FALSE,"RACT2.XLS";#N/A,#N/A,FALSE,"ECCMP";#N/A,#N/A,FALSE,"WELDER.XLS"}</definedName>
    <definedName name="nbvguuu">{#N/A,#N/A,FALSE,"17MAY";#N/A,#N/A,FALSE,"24MAY"}</definedName>
    <definedName name="newgroup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f">{#N/A,#N/A,FALSE,"COVER.XLS";#N/A,#N/A,FALSE,"RACT1.XLS";#N/A,#N/A,FALSE,"RACT2.XLS";#N/A,#N/A,FALSE,"ECCMP";#N/A,#N/A,FALSE,"WELDER.XLS"}</definedName>
    <definedName name="nfg">{#N/A,#N/A,FALSE,"COVER.XLS";#N/A,#N/A,FALSE,"RACT1.XLS";#N/A,#N/A,FALSE,"RACT2.XLS";#N/A,#N/A,FALSE,"ECCMP";#N/A,#N/A,FALSE,"WELDER.XLS"}</definedName>
    <definedName name="nhbjgdf.">{#N/A,#N/A,FALSE,"COVER1.XLS ";#N/A,#N/A,FALSE,"RACT1.XLS";#N/A,#N/A,FALSE,"RACT2.XLS";#N/A,#N/A,FALSE,"ECCMP";#N/A,#N/A,FALSE,"WELDER.XLS"}</definedName>
    <definedName name="nhtt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i">{"conso",#N/A,FALSE,"cash flow"}</definedName>
    <definedName name="nid">{#N/A,#N/A,FALSE,"COVER1.XLS ";#N/A,#N/A,FALSE,"RACT1.XLS";#N/A,#N/A,FALSE,"RACT2.XLS";#N/A,#N/A,FALSE,"ECCMP";#N/A,#N/A,FALSE,"WELDER.XLS"}</definedName>
    <definedName name="nim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ing">{#N/A,#N/A,FALSE,"COVER1.XLS ";#N/A,#N/A,FALSE,"RACT1.XLS";#N/A,#N/A,FALSE,"RACT2.XLS";#N/A,#N/A,FALSE,"ECCMP";#N/A,#N/A,FALSE,"WELDER.XLS"}</definedName>
    <definedName name="niru">{#N/A,#N/A,FALSE,"17MAY";#N/A,#N/A,FALSE,"24MAY"}</definedName>
    <definedName name="niyom">{#N/A,#N/A,FALSE,"COVER1.XLS ";#N/A,#N/A,FALSE,"RACT1.XLS";#N/A,#N/A,FALSE,"RACT2.XLS";#N/A,#N/A,FALSE,"ECCMP";#N/A,#N/A,FALSE,"WELDER.XLS"}</definedName>
    <definedName name="nkkkk">{#N/A,#N/A,FALSE,"COVER1.XLS ";#N/A,#N/A,FALSE,"RACT1.XLS";#N/A,#N/A,FALSE,"RACT2.XLS";#N/A,#N/A,FALSE,"ECCMP";#N/A,#N/A,FALSE,"WELDER.XLS"}</definedName>
    <definedName name="nkukt">{#N/A,#N/A,FALSE,"COVER1.XLS ";#N/A,#N/A,FALSE,"RACT1.XLS";#N/A,#N/A,FALSE,"RACT2.XLS";#N/A,#N/A,FALSE,"ECCMP";#N/A,#N/A,FALSE,"WELDER.XLS"}</definedName>
    <definedName name="nkuroir">{#N/A,#N/A,FALSE,"COVER1.XLS ";#N/A,#N/A,FALSE,"RACT1.XLS";#N/A,#N/A,FALSE,"RACT2.XLS";#N/A,#N/A,FALSE,"ECCMP";#N/A,#N/A,FALSE,"WELDER.XLS"}</definedName>
    <definedName name="nn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nmmkloiol">{#N/A,#N/A,FALSE,"COVER.XLS";#N/A,#N/A,FALSE,"RACT1.XLS";#N/A,#N/A,FALSE,"RACT2.XLS";#N/A,#N/A,FALSE,"ECCMP";#N/A,#N/A,FALSE,"WELDER.XLS"}</definedName>
    <definedName name="nnn">{"conso",#N/A,FALSE,"cash flow"}</definedName>
    <definedName name="nnnn">{#N/A,#N/A,FALSE,"COVER1.XLS ";#N/A,#N/A,FALSE,"RACT1.XLS";#N/A,#N/A,FALSE,"RACT2.XLS";#N/A,#N/A,FALSE,"ECCMP";#N/A,#N/A,FALSE,"WELDER.XLS"}</definedName>
    <definedName name="nnnnnnnnnnnnnnnnn">{#N/A,#N/A,FALSE,"COVER.XLS";#N/A,#N/A,FALSE,"RACT1.XLS";#N/A,#N/A,FALSE,"RACT2.XLS";#N/A,#N/A,FALSE,"ECCMP";#N/A,#N/A,FALSE,"WELDER.XLS"}</definedName>
    <definedName name="nodfj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oi">{#N/A,#N/A,FALSE,"COVER1.XLS ";#N/A,#N/A,FALSE,"RACT1.XLS";#N/A,#N/A,FALSE,"RACT2.XLS";#N/A,#N/A,FALSE,"ECCMP";#N/A,#N/A,FALSE,"WELDER.XLS"}</definedName>
    <definedName name="non">{#N/A,#N/A,FALSE,"COVER.XLS";#N/A,#N/A,FALSE,"RACT1.XLS";#N/A,#N/A,FALSE,"RACT2.XLS";#N/A,#N/A,FALSE,"ECCMP";#N/A,#N/A,FALSE,"WELDER.XLS"}</definedName>
    <definedName name="non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oo">{#N/A,#N/A,FALSE,"COVER.XLS";#N/A,#N/A,FALSE,"RACT1.XLS";#N/A,#N/A,FALSE,"RACT2.XLS";#N/A,#N/A,FALSE,"ECCMP";#N/A,#N/A,FALSE,"WELDER.XLS"}</definedName>
    <definedName name="noom08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oo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ooo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ooooo">{#N/A,#N/A,FALSE,"COVER1.XLS ";#N/A,#N/A,FALSE,"RACT1.XLS";#N/A,#N/A,FALSE,"RACT2.XLS";#N/A,#N/A,FALSE,"ECCMP";#N/A,#N/A,FALSE,"WELDER.XLS"}</definedName>
    <definedName name="nop">{#N/A,#N/A,FALSE,"COVER.XLS";#N/A,#N/A,FALSE,"RACT1.XLS";#N/A,#N/A,FALSE,"RACT2.XLS";#N/A,#N/A,FALSE,"ECCMP";#N/A,#N/A,FALSE,"WELDER.XLS"}</definedName>
    <definedName name="norl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oy">{#N/A,#N/A,FALSE,"COVER1.XLS ";#N/A,#N/A,FALSE,"RACT1.XLS";#N/A,#N/A,FALSE,"RACT2.XLS";#N/A,#N/A,FALSE,"ECCMP";#N/A,#N/A,FALSE,"WELDER.XLS"}</definedName>
    <definedName name="N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u">{"cashflow",#N/A,FALSE,"cash flow"}</definedName>
    <definedName name="nung">{#N/A,#N/A,FALSE,"COVER.XLS";#N/A,#N/A,FALSE,"RACT1.XLS";#N/A,#N/A,FALSE,"RACT2.XLS";#N/A,#N/A,FALSE,"ECCMP";#N/A,#N/A,FALSE,"WELDER.XLS"}</definedName>
    <definedName name="nv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vbbhjkkhhggfhk">{#N/A,#N/A,FALSE,"17MAY";#N/A,#N/A,FALSE,"24MAY"}</definedName>
    <definedName name="nvhgf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vhgyu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nvkihjjg">{#N/A,#N/A,FALSE,"COVER1.XLS ";#N/A,#N/A,FALSE,"RACT1.XLS";#N/A,#N/A,FALSE,"RACT2.XLS";#N/A,#N/A,FALSE,"ECCMP";#N/A,#N/A,FALSE,"WELDER.XLS"}</definedName>
    <definedName name="nvyhjjijuyftfij">{#N/A,#N/A,FALSE,"COVER.XLS";#N/A,#N/A,FALSE,"RACT1.XLS";#N/A,#N/A,FALSE,"RACT2.XLS";#N/A,#N/A,FALSE,"ECCMP";#N/A,#N/A,FALSE,"WELDER.XLS"}</definedName>
    <definedName name="o4iit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OC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oclnk">{#N/A,#N/A,FALSE,"COVER1.XLS ";#N/A,#N/A,FALSE,"RACT1.XLS";#N/A,#N/A,FALSE,"RACT2.XLS";#N/A,#N/A,FALSE,"ECCMP";#N/A,#N/A,FALSE,"WELDER.XLS"}</definedName>
    <definedName name="oeiuriowpeurwopeurwo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oepoti">{#N/A,#N/A,FALSE,"COVER1.XLS ";#N/A,#N/A,FALSE,"RACT1.XLS";#N/A,#N/A,FALSE,"RACT2.XLS";#N/A,#N/A,FALSE,"ECCMP";#N/A,#N/A,FALSE,"WELDER.XLS"}</definedName>
    <definedName name="Officer29_2">{#N/A,#N/A,FALSE,"COVER.XLS";#N/A,#N/A,FALSE,"RACT1.XLS";#N/A,#N/A,FALSE,"RACT2.XLS";#N/A,#N/A,FALSE,"ECCMP";#N/A,#N/A,FALSE,"WELDER.XLS"}</definedName>
    <definedName name="ohikjkr">{#N/A,#N/A,FALSE,"COVER.XLS";#N/A,#N/A,FALSE,"RACT1.XLS";#N/A,#N/A,FALSE,"RACT2.XLS";#N/A,#N/A,FALSE,"ECCMP";#N/A,#N/A,FALSE,"WELDER.XLS"}</definedName>
    <definedName name="oierpwoerpweir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oih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oiiuui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oil" localSheetId="1">#REF!</definedName>
    <definedName name="oil">#REF!</definedName>
    <definedName name="oilko">{#N/A,#N/A,FALSE,"COVER1.XLS ";#N/A,#N/A,FALSE,"RACT1.XLS";#N/A,#N/A,FALSE,"RACT2.XLS";#N/A,#N/A,FALSE,"ECCMP";#N/A,#N/A,FALSE,"WELDER.XLS"}</definedName>
    <definedName name="oioppl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oio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oipll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oipppp">{#N/A,#N/A,FALSE,"COVER1.XLS ";#N/A,#N/A,FALSE,"RACT1.XLS";#N/A,#N/A,FALSE,"RACT2.XLS";#N/A,#N/A,FALSE,"ECCMP";#N/A,#N/A,FALSE,"WELDER.XLS"}</definedName>
    <definedName name="oippppfkdi">{#N/A,#N/A,FALSE,"COVER1.XLS ";#N/A,#N/A,FALSE,"RACT1.XLS";#N/A,#N/A,FALSE,"RACT2.XLS";#N/A,#N/A,FALSE,"ECCMP";#N/A,#N/A,FALSE,"WELDER.XLS"}</definedName>
    <definedName name="oirjf">{#N/A,#N/A,FALSE,"COVER1.XLS ";#N/A,#N/A,FALSE,"RACT1.XLS";#N/A,#N/A,FALSE,"RACT2.XLS";#N/A,#N/A,FALSE,"ECCMP";#N/A,#N/A,FALSE,"WELDER.XLS"}</definedName>
    <definedName name="oiuoiiiu">{#N/A,#N/A,FALSE,"COVER1.XLS ";#N/A,#N/A,FALSE,"RACT1.XLS";#N/A,#N/A,FALSE,"RACT2.XLS";#N/A,#N/A,FALSE,"ECCMP";#N/A,#N/A,FALSE,"WELDER.XLS"}</definedName>
    <definedName name="oiuprwoepuroweirowperiowepriwiqoeruw">{#N/A,#N/A,FALSE,"17MAY";#N/A,#N/A,FALSE,"24MAY"}</definedName>
    <definedName name="oiurpoweuioweurowpi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oiuyd">{#N/A,#N/A,FALSE,"COVER1.XLS ";#N/A,#N/A,FALSE,"RACT1.XLS";#N/A,#N/A,FALSE,"RACT2.XLS";#N/A,#N/A,FALSE,"ECCMP";#N/A,#N/A,FALSE,"WELDER.XLS"}</definedName>
    <definedName name="okiu">{#N/A,#N/A,FALSE,"COVER.XLS";#N/A,#N/A,FALSE,"RACT1.XLS";#N/A,#N/A,FALSE,"RACT2.XLS";#N/A,#N/A,FALSE,"ECCMP";#N/A,#N/A,FALSE,"WELDER.XLS"}</definedName>
    <definedName name="ol">{#N/A,#N/A,FALSE,"COVER.XLS";#N/A,#N/A,FALSE,"RACT1.XLS";#N/A,#N/A,FALSE,"RACT2.XLS";#N/A,#N/A,FALSE,"ECCMP";#N/A,#N/A,FALSE,"WELDER.XLS"}</definedName>
    <definedName name="oll">{#N/A,#N/A,FALSE,"COVER.XLS";#N/A,#N/A,FALSE,"RACT1.XLS";#N/A,#N/A,FALSE,"RACT2.XLS";#N/A,#N/A,FALSE,"ECCMP";#N/A,#N/A,FALSE,"WELDER.XLS"}</definedName>
    <definedName name="olpi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ooei">{#N/A,#N/A,FALSE,"COVER1.XLS ";#N/A,#N/A,FALSE,"RACT1.XLS";#N/A,#N/A,FALSE,"RACT2.XLS";#N/A,#N/A,FALSE,"ECCMP";#N/A,#N/A,FALSE,"WELDER.XLS"}</definedName>
    <definedName name="ooo.xl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oooo">{#N/A,#N/A,FALSE,"COVER1.XLS ";#N/A,#N/A,FALSE,"RACT1.XLS";#N/A,#N/A,FALSE,"RACT2.XLS";#N/A,#N/A,FALSE,"ECCMP";#N/A,#N/A,FALSE,"WELDER.XLS"}</definedName>
    <definedName name="oooooo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oooopp">{#N/A,#N/A,FALSE,"17MAY";#N/A,#N/A,FALSE,"24MAY"}</definedName>
    <definedName name="opo">{#N/A,#N/A,FALSE,"COVER.XLS";#N/A,#N/A,FALSE,"RACT1.XLS";#N/A,#N/A,FALSE,"RACT2.XLS";#N/A,#N/A,FALSE,"ECCMP";#N/A,#N/A,FALSE,"WELDER.XLS"}</definedName>
    <definedName name="opp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oppihfk">{#N/A,#N/A,FALSE,"17MAY";#N/A,#N/A,FALSE,"24MAY"}</definedName>
    <definedName name="Orawa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ori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oriuy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orlr">{#N/A,#N/A,FALSE,"COVER1.XLS ";#N/A,#N/A,FALSE,"RACT1.XLS";#N/A,#N/A,FALSE,"RACT2.XLS";#N/A,#N/A,FALSE,"ECCMP";#N/A,#N/A,FALSE,"WELDER.XLS"}</definedName>
    <definedName name="oro">{#N/A,#N/A,FALSE,"COVER1.XLS ";#N/A,#N/A,FALSE,"RACT1.XLS";#N/A,#N/A,FALSE,"RACT2.XLS";#N/A,#N/A,FALSE,"ECCMP";#N/A,#N/A,FALSE,"WELDER.XLS"}</definedName>
    <definedName name="oukjkj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oy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paiboo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airoj">{#N/A,#N/A,FALSE,"COVER1.XLS ";#N/A,#N/A,FALSE,"RACT1.XLS";#N/A,#N/A,FALSE,"RACT2.XLS";#N/A,#N/A,FALSE,"ECCMP";#N/A,#N/A,FALSE,"WELDER.XLS"}</definedName>
    <definedName name="paperlab">{#N/A,#N/A,FALSE,"COVER1.XLS ";#N/A,#N/A,FALSE,"RACT1.XLS";#N/A,#N/A,FALSE,"RACT2.XLS";#N/A,#N/A,FALSE,"ECCMP";#N/A,#N/A,FALSE,"WELDER.XLS"}</definedName>
    <definedName name="philrada">{#N/A,#N/A,FALSE,"COVER1.XLS ";#N/A,#N/A,FALSE,"RACT1.XLS";#N/A,#N/A,FALSE,"RACT2.XLS";#N/A,#N/A,FALSE,"ECCMP";#N/A,#N/A,FALSE,"WELDER.XLS"}</definedName>
    <definedName name="philrada_w">{#N/A,#N/A,FALSE,"COVER.XLS";#N/A,#N/A,FALSE,"RACT1.XLS";#N/A,#N/A,FALSE,"RACT2.XLS";#N/A,#N/A,FALSE,"ECCMP";#N/A,#N/A,FALSE,"WELDER.XLS"}</definedName>
    <definedName name="pi">{#N/A,#N/A,FALSE,"COVER.XLS";#N/A,#N/A,FALSE,"RACT1.XLS";#N/A,#N/A,FALSE,"RACT2.XLS";#N/A,#N/A,FALSE,"ECCMP";#N/A,#N/A,FALSE,"WELDER.XLS"}</definedName>
    <definedName name="pik">{#N/A,#N/A,FALSE,"COVER1.XLS ";#N/A,#N/A,FALSE,"RACT1.XLS";#N/A,#N/A,FALSE,"RACT2.XLS";#N/A,#N/A,FALSE,"ECCMP";#N/A,#N/A,FALSE,"WELDER.XLS"}</definedName>
    <definedName name="pikka">{#N/A,#N/A,FALSE,"COVER.XLS";#N/A,#N/A,FALSE,"RACT1.XLS";#N/A,#N/A,FALSE,"RACT2.XLS";#N/A,#N/A,FALSE,"ECCMP";#N/A,#N/A,FALSE,"WELDER.XLS"}</definedName>
    <definedName name="pikkaa">{#N/A,#N/A,FALSE,"COVER1.XLS ";#N/A,#N/A,FALSE,"RACT1.XLS";#N/A,#N/A,FALSE,"RACT2.XLS";#N/A,#N/A,FALSE,"ECCMP";#N/A,#N/A,FALSE,"WELDER.XLS"}</definedName>
    <definedName name="pikkan">{#N/A,#N/A,FALSE,"COVER.XLS";#N/A,#N/A,FALSE,"RACT1.XLS";#N/A,#N/A,FALSE,"RACT2.XLS";#N/A,#N/A,FALSE,"ECCMP";#N/A,#N/A,FALSE,"WELDER.XLS"}</definedName>
    <definedName name="pikkk">{#N/A,#N/A,FALSE,"COVER1.XLS ";#N/A,#N/A,FALSE,"RACT1.XLS";#N/A,#N/A,FALSE,"RACT2.XLS";#N/A,#N/A,FALSE,"ECCMP";#N/A,#N/A,FALSE,"WELDER.XLS"}</definedName>
    <definedName name="pikkom">{#N/A,#N/A,FALSE,"COVER1.XLS ";#N/A,#N/A,FALSE,"RACT1.XLS";#N/A,#N/A,FALSE,"RACT2.XLS";#N/A,#N/A,FALSE,"ECCMP";#N/A,#N/A,FALSE,"WELDER.XLS"}</definedName>
    <definedName name="pikkon">{#N/A,#N/A,FALSE,"COVER1.XLS ";#N/A,#N/A,FALSE,"RACT1.XLS";#N/A,#N/A,FALSE,"RACT2.XLS";#N/A,#N/A,FALSE,"ECCMP";#N/A,#N/A,FALSE,"WELDER.XLS"}</definedName>
    <definedName name="pikkuu">{#N/A,#N/A,FALSE,"COVER1.XLS ";#N/A,#N/A,FALSE,"RACT1.XLS";#N/A,#N/A,FALSE,"RACT2.XLS";#N/A,#N/A,FALSE,"ECCMP";#N/A,#N/A,FALSE,"WELDER.XLS"}</definedName>
    <definedName name="pikky">{#N/A,#N/A,FALSE,"COVER1.XLS ";#N/A,#N/A,FALSE,"RACT1.XLS";#N/A,#N/A,FALSE,"RACT2.XLS";#N/A,#N/A,FALSE,"ECCMP";#N/A,#N/A,FALSE,"WELDER.XLS"}</definedName>
    <definedName name="pikmomm">{#N/A,#N/A,FALSE,"COVER1.XLS ";#N/A,#N/A,FALSE,"RACT1.XLS";#N/A,#N/A,FALSE,"RACT2.XLS";#N/A,#N/A,FALSE,"ECCMP";#N/A,#N/A,FALSE,"WELDER.XLS"}</definedName>
    <definedName name="pikmon">{#N/A,#N/A,FALSE,"COVER1.XLS ";#N/A,#N/A,FALSE,"RACT1.XLS";#N/A,#N/A,FALSE,"RACT2.XLS";#N/A,#N/A,FALSE,"ECCMP";#N/A,#N/A,FALSE,"WELDER.XLS"}</definedName>
    <definedName name="pikpa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ikpam">{#N/A,#N/A,FALSE,"COVER1.XLS ";#N/A,#N/A,FALSE,"RACT1.XLS";#N/A,#N/A,FALSE,"RACT2.XLS";#N/A,#N/A,FALSE,"ECCMP";#N/A,#N/A,FALSE,"WELDER.XLS"}</definedName>
    <definedName name="piu">{#N/A,#N/A,FALSE,"COVER.XLS";#N/A,#N/A,FALSE,"RACT1.XLS";#N/A,#N/A,FALSE,"RACT2.XLS";#N/A,#N/A,FALSE,"ECCMP";#N/A,#N/A,FALSE,"WELDER.XLS"}</definedName>
    <definedName name="piu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km">{#N/A,#N/A,FALSE,"COVER1.XLS ";#N/A,#N/A,FALSE,"RACT1.XLS";#N/A,#N/A,FALSE,"RACT2.XLS";#N/A,#N/A,FALSE,"ECCMP";#N/A,#N/A,FALSE,"WELDER.XLS"}</definedName>
    <definedName name="PL_3">{"'Eng (page2)'!$A$1:$D$52"}</definedName>
    <definedName name="PL_4">{"'Eng (page2)'!$A$1:$D$52"}</definedName>
    <definedName name="pla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le">{#N/A,#N/A,FALSE,"COVER1.XLS ";#N/A,#N/A,FALSE,"RACT1.XLS";#N/A,#N/A,FALSE,"RACT2.XLS";#N/A,#N/A,FALSE,"ECCMP";#N/A,#N/A,FALSE,"WELDER.XLS"}</definedName>
    <definedName name="plo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m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odghj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dkjd">{#N/A,#N/A,FALSE,"COVER1.XLS ";#N/A,#N/A,FALSE,"RACT1.XLS";#N/A,#N/A,FALSE,"RACT2.XLS";#N/A,#N/A,FALSE,"ECCMP";#N/A,#N/A,FALSE,"WELDER.XLS"}</definedName>
    <definedName name="poilk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oklo">{#N/A,#N/A,FALSE,"COVER.XLS";#N/A,#N/A,FALSE,"RACT1.XLS";#N/A,#N/A,FALSE,"RACT2.XLS";#N/A,#N/A,FALSE,"ECCMP";#N/A,#N/A,FALSE,"WELDER.XLS"}</definedName>
    <definedName name="polkooo">{#N/A,#N/A,FALSE,"COVER.XLS";#N/A,#N/A,FALSE,"RACT1.XLS";#N/A,#N/A,FALSE,"RACT2.XLS";#N/A,#N/A,FALSE,"ECCMP";#N/A,#N/A,FALSE,"WELDER.XLS"}</definedName>
    <definedName name="pollj">{#N/A,#N/A,FALSE,"COVER1.XLS ";#N/A,#N/A,FALSE,"RACT1.XLS";#N/A,#N/A,FALSE,"RACT2.XLS";#N/A,#N/A,FALSE,"ECCMP";#N/A,#N/A,FALSE,"WELDER.XLS"}</definedName>
    <definedName name="pookpi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ooo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oopry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poopy">{#N/A,#N/A,FALSE,"17MAY";#N/A,#N/A,FALSE,"24MAY"}</definedName>
    <definedName name="pop">{"cashflow",#N/A,FALSE,"cash flow"}</definedName>
    <definedName name="poppy">{#N/A,#N/A,FALSE,"COVER.XLS";#N/A,#N/A,FALSE,"RACT1.XLS";#N/A,#N/A,FALSE,"RACT2.XLS";#N/A,#N/A,FALSE,"ECCMP";#N/A,#N/A,FALSE,"WELDER.XLS"}</definedName>
    <definedName name="POR">{#N/A,#N/A,FALSE,"COVER.XLS";#N/A,#N/A,FALSE,"RACT1.XLS";#N/A,#N/A,FALSE,"RACT2.XLS";#N/A,#N/A,FALSE,"ECCMP";#N/A,#N/A,FALSE,"WELDER.XLS"}</definedName>
    <definedName name="porn" localSheetId="1">#REF!</definedName>
    <definedName name="porn">#REF!</definedName>
    <definedName name="ppppp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pppppppppppppp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ra">{#N/A,#N/A,FALSE,"COVER1.XLS ";#N/A,#N/A,FALSE,"RACT1.XLS";#N/A,#N/A,FALSE,"RACT2.XLS";#N/A,#N/A,FALSE,"ECCMP";#N/A,#N/A,FALSE,"WELDER.XLS"}</definedName>
    <definedName name="pric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ice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icetow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o">{#N/A,#N/A,FALSE,"COVER.XLS";#N/A,#N/A,FALSE,"RACT1.XLS";#N/A,#N/A,FALSE,"RACT2.XLS";#N/A,#N/A,FALSE,"ECCMP";#N/A,#N/A,FALSE,"WELDER.XLS"}</definedName>
    <definedName name="project">{#N/A,#N/A,FALSE,"COVER1.XLS ";#N/A,#N/A,FALSE,"RACT1.XLS";#N/A,#N/A,FALSE,"RACT2.XLS";#N/A,#N/A,FALSE,"ECCMP";#N/A,#N/A,FALSE,"WELDER.XLS"}</definedName>
    <definedName name="prov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pta">{"'Eng (page2)'!$A$1:$D$52"}</definedName>
    <definedName name="pukpi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1v2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a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qaaa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qaewf">{#N/A,#N/A,FALSE,"COVER.XLS";#N/A,#N/A,FALSE,"RACT1.XLS";#N/A,#N/A,FALSE,"RACT2.XLS";#N/A,#N/A,FALSE,"ECCMP";#N/A,#N/A,FALSE,"WELDER.XLS"}</definedName>
    <definedName name="qaqa">{"conso",#N/A,FALSE,"cash flow"}</definedName>
    <definedName name="qaqas">{"cashflow",#N/A,FALSE,"cash flow"}</definedName>
    <definedName name="qaqasa">{"conso",#N/A,FALSE,"cash flow"}</definedName>
    <definedName name="qaqass">{"conso",#N/A,FALSE,"cash flow"}</definedName>
    <definedName name="qawerfbjj">{#N/A,#N/A,FALSE,"COVER1.XLS ";#N/A,#N/A,FALSE,"RACT1.XLS";#N/A,#N/A,FALSE,"RACT2.XLS";#N/A,#N/A,FALSE,"ECCMP";#N/A,#N/A,FALSE,"WELDER.XLS"}</definedName>
    <definedName name="qawesssd">{#N/A,#N/A,FALSE,"COVER1.XLS ";#N/A,#N/A,FALSE,"RACT1.XLS";#N/A,#N/A,FALSE,"RACT2.XLS";#N/A,#N/A,FALSE,"ECCMP";#N/A,#N/A,FALSE,"WELDER.XLS"}</definedName>
    <definedName name="qe">{#N/A,#N/A,FALSE,"COVER.XLS";#N/A,#N/A,FALSE,"RACT1.XLS";#N/A,#N/A,FALSE,"RACT2.XLS";#N/A,#N/A,FALSE,"ECCMP";#N/A,#N/A,FALSE,"WELDER.XLS"}</definedName>
    <definedName name="qeerr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qerhmm">{#N/A,#N/A,FALSE,"COVER1.XLS ";#N/A,#N/A,FALSE,"RACT1.XLS";#N/A,#N/A,FALSE,"RACT2.XLS";#N/A,#N/A,FALSE,"ECCMP";#N/A,#N/A,FALSE,"WELDER.XLS"}</definedName>
    <definedName name="qesdrt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ew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ewq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qqqq">{"cashflow",#N/A,FALSE,"cash flow"}</definedName>
    <definedName name="qqqqqq">{"cashflow",#N/A,FALSE,"cash flow"}</definedName>
    <definedName name="qqqqqqqqqqqq">{#N/A,#N/A,FALSE,"17MAY";#N/A,#N/A,FALSE,"24MAY"}</definedName>
    <definedName name="qqqqqqqqqqqqqq">{#N/A,#N/A,FALSE,"COVER.XLS";#N/A,#N/A,FALSE,"RACT1.XLS";#N/A,#N/A,FALSE,"RACT2.XLS";#N/A,#N/A,FALSE,"ECCMP";#N/A,#N/A,FALSE,"WELDER.XLS"}</definedName>
    <definedName name="qqqqqqqqqqqqqqqqqqqqq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yy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r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QS_A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S_a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sasfg">{#N/A,#N/A,FALSE,"COVER1.XLS ";#N/A,#N/A,FALSE,"RACT1.XLS";#N/A,#N/A,FALSE,"RACT2.XLS";#N/A,#N/A,FALSE,"ECCMP";#N/A,#N/A,FALSE,"WELDER.XLS"}</definedName>
    <definedName name="qsder">{#N/A,#N/A,FALSE,"COVER1.XLS ";#N/A,#N/A,FALSE,"RACT1.XLS";#N/A,#N/A,FALSE,"RACT2.XLS";#N/A,#N/A,FALSE,"ECCMP";#N/A,#N/A,FALSE,"WELDER.XLS"}</definedName>
    <definedName name="qt">{#N/A,#N/A,FALSE,"COVER1.XLS ";#N/A,#N/A,FALSE,"RACT1.XLS";#N/A,#N/A,FALSE,"RACT2.XLS";#N/A,#N/A,FALSE,"ECCMP";#N/A,#N/A,FALSE,"WELDER.XLS"}</definedName>
    <definedName name="qwe">{#N/A,#N/A,FALSE,"COVER1.XLS ";#N/A,#N/A,FALSE,"RACT1.XLS";#N/A,#N/A,FALSE,"RACT2.XLS";#N/A,#N/A,FALSE,"ECCMP";#N/A,#N/A,FALSE,"WELDER.XLS"}</definedName>
    <definedName name="qwedrsf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qwqwq">{"cashflow",#N/A,FALSE,"cash flow"}</definedName>
    <definedName name="qy">{#N/A,#N/A,FALSE,"COVER1.XLS ";#N/A,#N/A,FALSE,"RACT1.XLS";#N/A,#N/A,FALSE,"RACT2.XLS";#N/A,#N/A,FALSE,"ECCMP";#N/A,#N/A,FALSE,"WELDER.XLS"}</definedName>
    <definedName name="RA">{#N/A,#N/A,FALSE,"COVER1.XLS ";#N/A,#N/A,FALSE,"RACT1.XLS";#N/A,#N/A,FALSE,"RACT2.XLS";#N/A,#N/A,FALSE,"ECCMP";#N/A,#N/A,FALSE,"WELDER.XLS"}</definedName>
    <definedName name="ra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a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cc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ck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e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edfgjbhphf">{#N/A,#N/A,FALSE,"COVER1.XLS ";#N/A,#N/A,FALSE,"RACT1.XLS";#N/A,#N/A,FALSE,"RACT2.XLS";#N/A,#N/A,FALSE,"ECCMP";#N/A,#N/A,FALSE,"WELDER.XLS"}</definedName>
    <definedName name="redsdwe">{#N/A,#N/A,FALSE,"COVER.XLS";#N/A,#N/A,FALSE,"RACT1.XLS";#N/A,#N/A,FALSE,"RACT2.XLS";#N/A,#N/A,FALSE,"ECCMP";#N/A,#N/A,FALSE,"WELDER.XLS"}</definedName>
    <definedName name="reiyjkgb">{#N/A,#N/A,FALSE,"17MAY";#N/A,#N/A,FALSE,"24MAY"}</definedName>
    <definedName name="reo">{#N/A,#N/A,FALSE,"COVER.XLS";#N/A,#N/A,FALSE,"RACT1.XLS";#N/A,#N/A,FALSE,"RACT2.XLS";#N/A,#N/A,FALSE,"ECCMP";#N/A,#N/A,FALSE,"WELDER.XLS"}</definedName>
    <definedName name="rer">{"cashflow",#N/A,FALSE,"cash flow"}</definedName>
    <definedName name="rere">{"conso",#N/A,FALSE,"cash flow"}</definedName>
    <definedName name="rerertyyyffddsg">{#N/A,#N/A,FALSE,"COVER1.XLS ";#N/A,#N/A,FALSE,"RACT1.XLS";#N/A,#N/A,FALSE,"RACT2.XLS";#N/A,#N/A,FALSE,"ECCMP";#N/A,#N/A,FALSE,"WELDER.XLS"}</definedName>
    <definedName name="rerkir">{#N/A,#N/A,FALSE,"COVER1.XLS ";#N/A,#N/A,FALSE,"RACT1.XLS";#N/A,#N/A,FALSE,"RACT2.XLS";#N/A,#N/A,FALSE,"ECCMP";#N/A,#N/A,FALSE,"WELDER.XLS"}</definedName>
    <definedName name="rertyu">{#N/A,#N/A,FALSE,"COVER1.XLS ";#N/A,#N/A,FALSE,"RACT1.XLS";#N/A,#N/A,FALSE,"RACT2.XLS";#N/A,#N/A,FALSE,"ECCMP";#N/A,#N/A,FALSE,"WELDER.XLS"}</definedName>
    <definedName name="rerw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s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_sum1">{#N/A,#N/A,FALSE,"COVER1.XLS ";#N/A,#N/A,FALSE,"RACT1.XLS";#N/A,#N/A,FALSE,"RACT2.XLS";#N/A,#N/A,FALSE,"ECCMP";#N/A,#N/A,FALSE,"WELDER.XLS"}</definedName>
    <definedName name="retgdf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ttyyh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etyyuilmhbb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ew">{#N/A,#N/A,FALSE,"COVER.XLS";#N/A,#N/A,FALSE,"RACT1.XLS";#N/A,#N/A,FALSE,"RACT2.XLS";#N/A,#N/A,FALSE,"ECCMP";#N/A,#N/A,FALSE,"WELDER.XLS"}</definedName>
    <definedName name="rewer1">{#N/A,#N/A,FALSE,"COVER1.XLS ";#N/A,#N/A,FALSE,"RACT1.XLS";#N/A,#N/A,FALSE,"RACT2.XLS";#N/A,#N/A,FALSE,"ECCMP";#N/A,#N/A,FALSE,"WELDER.XLS"}</definedName>
    <definedName name="rewgre">{#N/A,#N/A,FALSE,"COVER.XLS";#N/A,#N/A,FALSE,"RACT1.XLS";#N/A,#N/A,FALSE,"RACT2.XLS";#N/A,#N/A,FALSE,"ECCMP";#N/A,#N/A,FALSE,"WELDER.XLS"}</definedName>
    <definedName name="rewin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wwryu">{#N/A,#N/A,FALSE,"COVER1.XLS ";#N/A,#N/A,FALSE,"RACT1.XLS";#N/A,#N/A,FALSE,"RACT2.XLS";#N/A,#N/A,FALSE,"ECCMP";#N/A,#N/A,FALSE,"WELDER.XLS"}</definedName>
    <definedName name="rexcfhvbvyggkj">{#N/A,#N/A,FALSE,"COVER.XLS";#N/A,#N/A,FALSE,"RACT1.XLS";#N/A,#N/A,FALSE,"RACT2.XLS";#N/A,#N/A,FALSE,"ECCMP";#N/A,#N/A,FALSE,"WELDER.XLS"}</definedName>
    <definedName name="reyui">{#N/A,#N/A,FALSE,"COVER1.XLS ";#N/A,#N/A,FALSE,"RACT1.XLS";#N/A,#N/A,FALSE,"RACT2.XLS";#N/A,#N/A,FALSE,"ECCMP";#N/A,#N/A,FALSE,"WELDER.XLS"}</definedName>
    <definedName name="rffggh">{#N/A,#N/A,FALSE,"COVER1.XLS ";#N/A,#N/A,FALSE,"RACT1.XLS";#N/A,#N/A,FALSE,"RACT2.XLS";#N/A,#N/A,FALSE,"ECCMP";#N/A,#N/A,FALSE,"WELDER.XLS"}</definedName>
    <definedName name="rf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foikl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frew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fsd">{#N/A,#N/A,FALSE,"COVER.XLS";#N/A,#N/A,FALSE,"RACT1.XLS";#N/A,#N/A,FALSE,"RACT2.XLS";#N/A,#N/A,FALSE,"ECCMP";#N/A,#N/A,FALSE,"WELDER.XLS"}</definedName>
    <definedName name="rftikjdcvsz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gffdd">{#N/A,#N/A,FALSE,"COVER1.XLS ";#N/A,#N/A,FALSE,"RACT1.XLS";#N/A,#N/A,FALSE,"RACT2.XLS";#N/A,#N/A,FALSE,"ECCMP";#N/A,#N/A,FALSE,"WELDER.XLS"}</definedName>
    <definedName name="rg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guruyru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gvesrhbare">{#N/A,#N/A,FALSE,"COVER.XLS";#N/A,#N/A,FALSE,"RACT1.XLS";#N/A,#N/A,FALSE,"RACT2.XLS";#N/A,#N/A,FALSE,"ECCMP";#N/A,#N/A,FALSE,"WELDER.XLS"}</definedName>
    <definedName name="rherk">{#N/A,#N/A,FALSE,"17MAY";#N/A,#N/A,FALSE,"24MAY"}</definedName>
    <definedName name="rhgjfhmu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hhjll">{#N/A,#N/A,FALSE,"COVER1.XLS ";#N/A,#N/A,FALSE,"RACT1.XLS";#N/A,#N/A,FALSE,"RACT2.XLS";#N/A,#N/A,FALSE,"ECCMP";#N/A,#N/A,FALSE,"WELDER.XLS"}</definedName>
    <definedName name="rhhknt">{#N/A,#N/A,FALSE,"17MAY";#N/A,#N/A,FALSE,"24MAY"}</definedName>
    <definedName name="rhjuyh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hjyuu">{#N/A,#N/A,FALSE,"COVER.XLS";#N/A,#N/A,FALSE,"RACT1.XLS";#N/A,#N/A,FALSE,"RACT2.XLS";#N/A,#N/A,FALSE,"ECCMP";#N/A,#N/A,FALSE,"WELDER.XLS"}</definedName>
    <definedName name="rhriurki">{#N/A,#N/A,FALSE,"COVER1.XLS ";#N/A,#N/A,FALSE,"RACT1.XLS";#N/A,#N/A,FALSE,"RACT2.XLS";#N/A,#N/A,FALSE,"ECCMP";#N/A,#N/A,FALSE,"WELDER.XLS"}</definedName>
    <definedName name="rhtjhgu">{#N/A,#N/A,FALSE,"COVER1.XLS ";#N/A,#N/A,FALSE,"RACT1.XLS";#N/A,#N/A,FALSE,"RACT2.XLS";#N/A,#N/A,FALSE,"ECCMP";#N/A,#N/A,FALSE,"WELDER.XLS"}</definedName>
    <definedName name="rhtkl">{#N/A,#N/A,FALSE,"COVER1.XLS ";#N/A,#N/A,FALSE,"RACT1.XLS";#N/A,#N/A,FALSE,"RACT2.XLS";#N/A,#N/A,FALSE,"ECCMP";#N/A,#N/A,FALSE,"WELDER.XLS"}</definedName>
    <definedName name="rhyuik">{#N/A,#N/A,FALSE,"17MAY";#N/A,#N/A,FALSE,"24MAY"}</definedName>
    <definedName name="riefh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ijkrjm">{#N/A,#N/A,FALSE,"COVER.XLS";#N/A,#N/A,FALSE,"RACT1.XLS";#N/A,#N/A,FALSE,"RACT2.XLS";#N/A,#N/A,FALSE,"ECCMP";#N/A,#N/A,FALSE,"WELDER.XLS"}</definedName>
    <definedName name="rij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ilr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ioirp">{#N/A,#N/A,FALSE,"COVER1.XLS ";#N/A,#N/A,FALSE,"RACT1.XLS";#N/A,#N/A,FALSE,"RACT2.XLS";#N/A,#N/A,FALSE,"ECCMP";#N/A,#N/A,FALSE,"WELDER.XLS"}</definedName>
    <definedName name="riopp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iovo">{#N/A,#N/A,FALSE,"COVER1.XLS ";#N/A,#N/A,FALSE,"RACT1.XLS";#N/A,#N/A,FALSE,"RACT2.XLS";#N/A,#N/A,FALSE,"ECCMP";#N/A,#N/A,FALSE,"WELDER.XLS"}</definedName>
    <definedName name="rir">{#N/A,#N/A,FALSE,"COVER.XLS";#N/A,#N/A,FALSE,"RACT1.XLS";#N/A,#N/A,FALSE,"RACT2.XLS";#N/A,#N/A,FALSE,"ECCMP";#N/A,#N/A,FALSE,"WELDER.XLS"}</definedName>
    <definedName name="riruiryuyjr">{#N/A,#N/A,FALSE,"COVER1.XLS ";#N/A,#N/A,FALSE,"RACT1.XLS";#N/A,#N/A,FALSE,"RACT2.XLS";#N/A,#N/A,FALSE,"ECCMP";#N/A,#N/A,FALSE,"WELDER.XLS"}</definedName>
    <definedName name="riti4o">{#N/A,#N/A,FALSE,"COVER1.XLS ";#N/A,#N/A,FALSE,"RACT1.XLS";#N/A,#N/A,FALSE,"RACT2.XLS";#N/A,#N/A,FALSE,"ECCMP";#N/A,#N/A,FALSE,"WELDER.XLS"}</definedName>
    <definedName name="ritlki">{#N/A,#N/A,FALSE,"COVER.XLS";#N/A,#N/A,FALSE,"RACT1.XLS";#N/A,#N/A,FALSE,"RACT2.XLS";#N/A,#N/A,FALSE,"ECCMP";#N/A,#N/A,FALSE,"WELDER.XLS"}</definedName>
    <definedName name="riukitu">{#N/A,#N/A,FALSE,"COVER1.XLS ";#N/A,#N/A,FALSE,"RACT1.XLS";#N/A,#N/A,FALSE,"RACT2.XLS";#N/A,#N/A,FALSE,"ECCMP";#N/A,#N/A,FALSE,"WELDER.XLS"}</definedName>
    <definedName name="riwqeruqwioerowqeurwoqeir">{#N/A,#N/A,FALSE,"COVER1.XLS ";#N/A,#N/A,FALSE,"RACT1.XLS";#N/A,#N/A,FALSE,"RACT2.XLS";#N/A,#N/A,FALSE,"ECCMP";#N/A,#N/A,FALSE,"WELDER.XLS"}</definedName>
    <definedName name="riyi">{#N/A,#N/A,FALSE,"COVER1.XLS ";#N/A,#N/A,FALSE,"RACT1.XLS";#N/A,#N/A,FALSE,"RACT2.XLS";#N/A,#N/A,FALSE,"ECCMP";#N/A,#N/A,FALSE,"WELDER.XLS"}</definedName>
    <definedName name="riypy">{#N/A,#N/A,FALSE,"COVER.XLS";#N/A,#N/A,FALSE,"RACT1.XLS";#N/A,#N/A,FALSE,"RACT2.XLS";#N/A,#N/A,FALSE,"ECCMP";#N/A,#N/A,FALSE,"WELDER.XLS"}</definedName>
    <definedName name="rjhtjh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jilk">{#N/A,#N/A,FALSE,"COVER.XLS";#N/A,#N/A,FALSE,"RACT1.XLS";#N/A,#N/A,FALSE,"RACT2.XLS";#N/A,#N/A,FALSE,"ECCMP";#N/A,#N/A,FALSE,"WELDER.XLS"}</definedName>
    <definedName name="rjruhrjhrur">{#N/A,#N/A,FALSE,"COVER1.XLS ";#N/A,#N/A,FALSE,"RACT1.XLS";#N/A,#N/A,FALSE,"RACT2.XLS";#N/A,#N/A,FALSE,"ECCMP";#N/A,#N/A,FALSE,"WELDER.XLS"}</definedName>
    <definedName name="rjt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jyrtt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jytjth">{#N/A,#N/A,FALSE,"COVER1.XLS ";#N/A,#N/A,FALSE,"RACT1.XLS";#N/A,#N/A,FALSE,"RACT2.XLS";#N/A,#N/A,FALSE,"ECCMP";#N/A,#N/A,FALSE,"WELDER.XLS"}</definedName>
    <definedName name="rk">{#N/A,#N/A,FALSE,"COVER.XLS";#N/A,#N/A,FALSE,"RACT1.XLS";#N/A,#N/A,FALSE,"RACT2.XLS";#N/A,#N/A,FALSE,"ECCMP";#N/A,#N/A,FALSE,"WELDER.XLS"}</definedName>
    <definedName name="rkorilr">{#N/A,#N/A,FALSE,"COVER.XLS";#N/A,#N/A,FALSE,"RACT1.XLS";#N/A,#N/A,FALSE,"RACT2.XLS";#N/A,#N/A,FALSE,"ECCMP";#N/A,#N/A,FALSE,"WELDER.XLS"}</definedName>
    <definedName name="rkrl">{#N/A,#N/A,FALSE,"COVER1.XLS ";#N/A,#N/A,FALSE,"RACT1.XLS";#N/A,#N/A,FALSE,"RACT2.XLS";#N/A,#N/A,FALSE,"ECCMP";#N/A,#N/A,FALSE,"WELDER.XLS"}</definedName>
    <definedName name="rkurkj">{#N/A,#N/A,FALSE,"COVER.XLS";#N/A,#N/A,FALSE,"RACT1.XLS";#N/A,#N/A,FALSE,"RACT2.XLS";#N/A,#N/A,FALSE,"ECCMP";#N/A,#N/A,FALSE,"WELDER.XLS"}</definedName>
    <definedName name="rllrk">{#N/A,#N/A,FALSE,"COVER.XLS";#N/A,#N/A,FALSE,"RACT1.XLS";#N/A,#N/A,FALSE,"RACT2.XLS";#N/A,#N/A,FALSE,"ECCMP";#N/A,#N/A,FALSE,"WELDER.XLS"}</definedName>
    <definedName name="rltk">{#N/A,#N/A,FALSE,"COVER.XLS";#N/A,#N/A,FALSE,"RACT1.XLS";#N/A,#N/A,FALSE,"RACT2.XLS";#N/A,#N/A,FALSE,"ECCMP";#N/A,#N/A,FALSE,"WELDER.XLS"}</definedName>
    <definedName name="rltktl">{#N/A,#N/A,FALSE,"COVER1.XLS ";#N/A,#N/A,FALSE,"RACT1.XLS";#N/A,#N/A,FALSE,"RACT2.XLS";#N/A,#N/A,FALSE,"ECCMP";#N/A,#N/A,FALSE,"WELDER.XLS"}</definedName>
    <definedName name="ro">{#N/A,#N/A,FALSE,"17MAY";#N/A,#N/A,FALSE,"24MAY"}</definedName>
    <definedName name="roiikh">{#N/A,#N/A,FALSE,"COVER1.XLS ";#N/A,#N/A,FALSE,"RACT1.XLS";#N/A,#N/A,FALSE,"RACT2.XLS";#N/A,#N/A,FALSE,"ECCMP";#N/A,#N/A,FALSE,"WELDER.XLS"}</definedName>
    <definedName name="roku">{#N/A,#N/A,FALSE,"COVER1.XLS ";#N/A,#N/A,FALSE,"RACT1.XLS";#N/A,#N/A,FALSE,"RACT2.XLS";#N/A,#N/A,FALSE,"ECCMP";#N/A,#N/A,FALSE,"WELDER.XLS"}</definedName>
    <definedName name="rredsferfe4">{#N/A,#N/A,FALSE,"COVER1.XLS ";#N/A,#N/A,FALSE,"RACT1.XLS";#N/A,#N/A,FALSE,"RACT2.XLS";#N/A,#N/A,FALSE,"ECCMP";#N/A,#N/A,FALSE,"WELDER.XLS"}</definedName>
    <definedName name="rrrr">{#N/A,#N/A,FALSE,"COVER1.XLS ";#N/A,#N/A,FALSE,"RACT1.XLS";#N/A,#N/A,FALSE,"RACT2.XLS";#N/A,#N/A,FALSE,"ECCMP";#N/A,#N/A,FALSE,"WELDER.XLS"}</definedName>
    <definedName name="rrrr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rrrrr">{#N/A,#N/A,FALSE,"COVER1.XLS ";#N/A,#N/A,FALSE,"RACT1.XLS";#N/A,#N/A,FALSE,"RACT2.XLS";#N/A,#N/A,FALSE,"ECCMP";#N/A,#N/A,FALSE,"WELDER.XLS"}</definedName>
    <definedName name="rrtt">{#N/A,#N/A,FALSE,"COVER1.XLS ";#N/A,#N/A,FALSE,"RACT1.XLS";#N/A,#N/A,FALSE,"RACT2.XLS";#N/A,#N/A,FALSE,"ECCMP";#N/A,#N/A,FALSE,"WELDER.XLS"}</definedName>
    <definedName name="rt65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gtujudegcf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tgyhju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ti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tjvgohibrthgjkmh">{#N/A,#N/A,FALSE,"COVER.XLS";#N/A,#N/A,FALSE,"RACT1.XLS";#N/A,#N/A,FALSE,"RACT2.XLS";#N/A,#N/A,FALSE,"ECCMP";#N/A,#N/A,FALSE,"WELDER.XLS"}</definedName>
    <definedName name="rtkj">{#N/A,#N/A,FALSE,"COVER.XLS";#N/A,#N/A,FALSE,"RACT1.XLS";#N/A,#N/A,FALSE,"RACT2.XLS";#N/A,#N/A,FALSE,"ECCMP";#N/A,#N/A,FALSE,"WELDER.XLS"}</definedName>
    <definedName name="rtmchtng">{#N/A,#N/A,FALSE,"COVER1.XLS ";#N/A,#N/A,FALSE,"RACT1.XLS";#N/A,#N/A,FALSE,"RACT2.XLS";#N/A,#N/A,FALSE,"ECCMP";#N/A,#N/A,FALSE,"WELDER.XLS"}</definedName>
    <definedName name="rtret">{#N/A,#N/A,FALSE,"COVER1.XLS ";#N/A,#N/A,FALSE,"RACT1.XLS";#N/A,#N/A,FALSE,"RACT2.XLS";#N/A,#N/A,FALSE,"ECCMP";#N/A,#N/A,FALSE,"WELDER.XLS"}</definedName>
    <definedName name="rtrt">{#N/A,#N/A,FALSE,"COVER1.XLS ";#N/A,#N/A,FALSE,"RACT1.XLS";#N/A,#N/A,FALSE,"RACT2.XLS";#N/A,#N/A,FALSE,"ECCMP";#N/A,#N/A,FALSE,"WELDER.XLS"}</definedName>
    <definedName name="rtrtr">{#N/A,#N/A,FALSE,"COVER1.XLS ";#N/A,#N/A,FALSE,"RACT1.XLS";#N/A,#N/A,FALSE,"RACT2.XLS";#N/A,#N/A,FALSE,"ECCMP";#N/A,#N/A,FALSE,"WELDER.XLS"}</definedName>
    <definedName name="rtru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trwt">{#N/A,#N/A,FALSE,"COVER.XLS";#N/A,#N/A,FALSE,"RACT1.XLS";#N/A,#N/A,FALSE,"RACT2.XLS";#N/A,#N/A,FALSE,"ECCMP";#N/A,#N/A,FALSE,"WELDER.XLS"}</definedName>
    <definedName name="rtyuj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uhjrhu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uil">{#N/A,#N/A,FALSE,"COVER.XLS";#N/A,#N/A,FALSE,"RACT1.XLS";#N/A,#N/A,FALSE,"RACT2.XLS";#N/A,#N/A,FALSE,"ECCMP";#N/A,#N/A,FALSE,"WELDER.XLS"}</definedName>
    <definedName name="ruyejg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uyop">{#N/A,#N/A,FALSE,"COVER1.XLS ";#N/A,#N/A,FALSE,"RACT1.XLS";#N/A,#N/A,FALSE,"RACT2.XLS";#N/A,#N/A,FALSE,"ECCMP";#N/A,#N/A,FALSE,"WELDER.XLS"}</definedName>
    <definedName name="rwe">{#N/A,#N/A,FALSE,"COVER1.XLS ";#N/A,#N/A,FALSE,"RACT1.XLS";#N/A,#N/A,FALSE,"RACT2.XLS";#N/A,#N/A,FALSE,"ECCMP";#N/A,#N/A,FALSE,"WELDER.XLS"}</definedName>
    <definedName name="rwer">{#N/A,#N/A,FALSE,"COVER1.XLS ";#N/A,#N/A,FALSE,"RACT1.XLS";#N/A,#N/A,FALSE,"RACT2.XLS";#N/A,#N/A,FALSE,"ECCMP";#N/A,#N/A,FALSE,"WELDER.XLS"}</definedName>
    <definedName name="rwer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q">{#N/A,#N/A,FALSE,"COVER1.XLS ";#N/A,#N/A,FALSE,"RACT1.XLS";#N/A,#N/A,FALSE,"RACT2.XLS";#N/A,#N/A,FALSE,"ECCMP";#N/A,#N/A,FALSE,"WELDER.XLS"}</definedName>
    <definedName name="ryirir8ri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yi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yriryurrru">{#N/A,#N/A,FALSE,"17MAY";#N/A,#N/A,FALSE,"24MAY"}</definedName>
    <definedName name="ryruruyur7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yrutrur">{#N/A,#N/A,FALSE,"COVER.XLS";#N/A,#N/A,FALSE,"RACT1.XLS";#N/A,#N/A,FALSE,"RACT2.XLS";#N/A,#N/A,FALSE,"ECCMP";#N/A,#N/A,FALSE,"WELDER.XLS"}</definedName>
    <definedName name="rytr">{#N/A,#N/A,FALSE,"COVER1.XLS ";#N/A,#N/A,FALSE,"RACT1.XLS";#N/A,#N/A,FALSE,"RACT2.XLS";#N/A,#N/A,FALSE,"ECCMP";#N/A,#N/A,FALSE,"WELDER.XLS"}</definedName>
    <definedName name="rytyjt">{#N/A,#N/A,FALSE,"COVER1.XLS ";#N/A,#N/A,FALSE,"RACT1.XLS";#N/A,#N/A,FALSE,"RACT2.XLS";#N/A,#N/A,FALSE,"ECCMP";#N/A,#N/A,FALSE,"WELDER.XLS"}</definedName>
    <definedName name="ryuk">{#N/A,#N/A,FALSE,"COVER.XLS";#N/A,#N/A,FALSE,"RACT1.XLS";#N/A,#N/A,FALSE,"RACT2.XLS";#N/A,#N/A,FALSE,"ECCMP";#N/A,#N/A,FALSE,"WELDER.XLS"}</definedName>
    <definedName name="ryuryiruir">{#N/A,#N/A,FALSE,"COVER.XLS";#N/A,#N/A,FALSE,"RACT1.XLS";#N/A,#N/A,FALSE,"RACT2.XLS";#N/A,#N/A,FALSE,"ECCMP";#N/A,#N/A,FALSE,"WELDER.XLS"}</definedName>
    <definedName name="ryuyriri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yyi">{#N/A,#N/A,FALSE,"COVER1.XLS ";#N/A,#N/A,FALSE,"RACT1.XLS";#N/A,#N/A,FALSE,"RACT2.XLS";#N/A,#N/A,FALSE,"ECCMP";#N/A,#N/A,FALSE,"WELDER.XLS"}</definedName>
    <definedName name="ryyu6">{#N/A,#N/A,FALSE,"COVER.XLS";#N/A,#N/A,FALSE,"RACT1.XLS";#N/A,#N/A,FALSE,"RACT2.XLS";#N/A,#N/A,FALSE,"ECCMP";#N/A,#N/A,FALSE,"WELDER.XLS"}</definedName>
    <definedName name="sa">{#N/A,#N/A,FALSE,"COVER1.XLS ";#N/A,#N/A,FALSE,"RACT1.XLS";#N/A,#N/A,FALSE,"RACT2.XLS";#N/A,#N/A,FALSE,"ECCMP";#N/A,#N/A,FALSE,"WELDER.XLS"}</definedName>
    <definedName name="saa">{#N/A,#N/A,FALSE,"COVER.XLS";#N/A,#N/A,FALSE,"RACT1.XLS";#N/A,#N/A,FALSE,"RACT2.XLS";#N/A,#N/A,FALSE,"ECCMP";#N/A,#N/A,FALSE,"WELDER.XLS"}</definedName>
    <definedName name="sadl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advcsdav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aes">{#N/A,#N/A,FALSE,"COVER.XLS";#N/A,#N/A,FALSE,"RACT1.XLS";#N/A,#N/A,FALSE,"RACT2.XLS";#N/A,#N/A,FALSE,"ECCMP";#N/A,#N/A,FALSE,"WELDER.XLS"}</definedName>
    <definedName name="safa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afdsadsa">{#N/A,#N/A,FALSE,"COVER1.XLS ";#N/A,#N/A,FALSE,"RACT1.XLS";#N/A,#N/A,FALSE,"RACT2.XLS";#N/A,#N/A,FALSE,"ECCMP";#N/A,#N/A,FALSE,"WELDER.XLS"}</definedName>
    <definedName name="sakuojf">{#N/A,#N/A,FALSE,"COVER.XLS";#N/A,#N/A,FALSE,"RACT1.XLS";#N/A,#N/A,FALSE,"RACT2.XLS";#N/A,#N/A,FALSE,"ECCMP";#N/A,#N/A,FALSE,"WELDER.XLS"}</definedName>
    <definedName name="salal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APBEXdnldView">"3Y0T31REH35G7WOAIY0JRGBPH"</definedName>
    <definedName name="SAPBEXhrIndnt">1</definedName>
    <definedName name="SAPBEXrevision">1</definedName>
    <definedName name="SAPBEXsysID">"BW1"</definedName>
    <definedName name="SAPBEXwbID">"3QT0CREASQELGVIPBAZEILHZ2"</definedName>
    <definedName name="SAPsysID">"708C5W7SBKP804JT78WJ0JNKI"</definedName>
    <definedName name="SAPwbID">"ARS"</definedName>
    <definedName name="sarr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sa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aving">{#N/A,#N/A,FALSE,"COVER1.XLS ";#N/A,#N/A,FALSE,"RACT1.XLS";#N/A,#N/A,FALSE,"RACT2.XLS";#N/A,#N/A,FALSE,"ECCMP";#N/A,#N/A,FALSE,"WELDER.XLS"}</definedName>
    <definedName name="sb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scds">{#N/A,#N/A,FALSE,"COVER1.XLS ";#N/A,#N/A,FALSE,"RACT1.XLS";#N/A,#N/A,FALSE,"RACT2.XLS";#N/A,#N/A,FALSE,"ECCMP";#N/A,#N/A,FALSE,"WELDER.XLS"}</definedName>
    <definedName name="scs">{#N/A,#N/A,FALSE,"COVER.XLS";#N/A,#N/A,FALSE,"RACT1.XLS";#N/A,#N/A,FALSE,"RACT2.XLS";#N/A,#N/A,FALSE,"ECCMP";#N/A,#N/A,FALSE,"WELDER.XLS"}</definedName>
    <definedName name="scsdd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">{#N/A,#N/A,FALSE,"COVER1.XLS ";#N/A,#N/A,FALSE,"RACT1.XLS";#N/A,#N/A,FALSE,"RACT2.XLS";#N/A,#N/A,FALSE,"ECCMP";#N/A,#N/A,FALSE,"WELDER.XLS"}</definedName>
    <definedName name="sdad">{#N/A,#N/A,FALSE,"COVER.XLS";#N/A,#N/A,FALSE,"RACT1.XLS";#N/A,#N/A,FALSE,"RACT2.XLS";#N/A,#N/A,FALSE,"ECCMP";#N/A,#N/A,FALSE,"WELDER.XLS"}</definedName>
    <definedName name="sdafsdg">{#N/A,#N/A,FALSE,"COVER1.XLS ";#N/A,#N/A,FALSE,"RACT1.XLS";#N/A,#N/A,FALSE,"RACT2.XLS";#N/A,#N/A,FALSE,"ECCMP";#N/A,#N/A,FALSE,"WELDER.XLS"}</definedName>
    <definedName name="sdas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c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dccsd">{#N/A,#N/A,FALSE,"17MAY";#N/A,#N/A,FALSE,"24MAY"}</definedName>
    <definedName name="sdc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csd">{#N/A,#N/A,FALSE,"COVER.XLS";#N/A,#N/A,FALSE,"RACT1.XLS";#N/A,#N/A,FALSE,"RACT2.XLS";#N/A,#N/A,FALSE,"ECCMP";#N/A,#N/A,FALSE,"WELDER.XLS"}</definedName>
    <definedName name="sdcsdzcacas">{#N/A,#N/A,FALSE,"COVER.XLS";#N/A,#N/A,FALSE,"RACT1.XLS";#N/A,#N/A,FALSE,"RACT2.XLS";#N/A,#N/A,FALSE,"ECCMP";#N/A,#N/A,FALSE,"WELDER.XLS"}</definedName>
    <definedName name="sdcss">{#N/A,#N/A,FALSE,"COVER1.XLS ";#N/A,#N/A,FALSE,"RACT1.XLS";#N/A,#N/A,FALSE,"RACT2.XLS";#N/A,#N/A,FALSE,"ECCMP";#N/A,#N/A,FALSE,"WELDER.XLS"}</definedName>
    <definedName name="sddc">{#N/A,#N/A,FALSE,"COVER.XLS";#N/A,#N/A,FALSE,"RACT1.XLS";#N/A,#N/A,FALSE,"RACT2.XLS";#N/A,#N/A,FALSE,"ECCMP";#N/A,#N/A,FALSE,"WELDER.XLS"}</definedName>
    <definedName name="sdddd">{#N/A,#N/A,FALSE,"COVER1.XLS ";#N/A,#N/A,FALSE,"RACT1.XLS";#N/A,#N/A,FALSE,"RACT2.XLS";#N/A,#N/A,FALSE,"ECCMP";#N/A,#N/A,FALSE,"WELDER.XLS"}</definedName>
    <definedName name="sddf">{#N/A,#N/A,FALSE,"COVER1.XLS ";#N/A,#N/A,FALSE,"RACT1.XLS";#N/A,#N/A,FALSE,"RACT2.XLS";#N/A,#N/A,FALSE,"ECCMP";#N/A,#N/A,FALSE,"WELDER.XLS"}</definedName>
    <definedName name="sddsfs">{#N/A,#N/A,FALSE,"COVER1.XLS ";#N/A,#N/A,FALSE,"RACT1.XLS";#N/A,#N/A,FALSE,"RACT2.XLS";#N/A,#N/A,FALSE,"ECCMP";#N/A,#N/A,FALSE,"WELDER.XLS"}</definedName>
    <definedName name="sddy">{#N/A,#N/A,FALSE,"COVER1.XLS ";#N/A,#N/A,FALSE,"RACT1.XLS";#N/A,#N/A,FALSE,"RACT2.XLS";#N/A,#N/A,FALSE,"ECCMP";#N/A,#N/A,FALSE,"WELDER.XLS"}</definedName>
    <definedName name="sdf">{#N/A,#N/A,FALSE,"COVER.XLS";#N/A,#N/A,FALSE,"RACT1.XLS";#N/A,#N/A,FALSE,"RACT2.XLS";#N/A,#N/A,FALSE,"ECCMP";#N/A,#N/A,FALSE,"WELDER.XLS"}</definedName>
    <definedName name="sdfa">{#N/A,#N/A,FALSE,"COVER.XLS";#N/A,#N/A,FALSE,"RACT1.XLS";#N/A,#N/A,FALSE,"RACT2.XLS";#N/A,#N/A,FALSE,"ECCMP";#N/A,#N/A,FALSE,"WELDER.XLS"}</definedName>
    <definedName name="sdfaf">{#N/A,#N/A,FALSE,"COVER1.XLS ";#N/A,#N/A,FALSE,"RACT1.XLS";#N/A,#N/A,FALSE,"RACT2.XLS";#N/A,#N/A,FALSE,"ECCMP";#N/A,#N/A,FALSE,"WELDER.XLS"}</definedName>
    <definedName name="sdfartg">{#N/A,#N/A,FALSE,"17MAY";#N/A,#N/A,FALSE,"24MAY"}</definedName>
    <definedName name="sdfaw4t3egr">{#N/A,#N/A,FALSE,"COVER1.XLS ";#N/A,#N/A,FALSE,"RACT1.XLS";#N/A,#N/A,FALSE,"RACT2.XLS";#N/A,#N/A,FALSE,"ECCMP";#N/A,#N/A,FALSE,"WELDER.XLS"}</definedName>
    <definedName name="sdfdf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dsaf">{#N/A,#N/A,FALSE,"17MAY";#N/A,#N/A,FALSE,"24MAY"}</definedName>
    <definedName name="sdff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gdsrghsf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ghjk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df">{#N/A,#N/A,FALSE,"17MAY";#N/A,#N/A,FALSE,"24MAY"}</definedName>
    <definedName name="sdfsdgf">{#N/A,#N/A,FALSE,"17MAY";#N/A,#N/A,FALSE,"24MAY"}</definedName>
    <definedName name="sdfv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gd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gdfh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gfswga">{#N/A,#N/A,FALSE,"COVER.XLS";#N/A,#N/A,FALSE,"RACT1.XLS";#N/A,#N/A,FALSE,"RACT2.XLS";#N/A,#N/A,FALSE,"ECCMP";#N/A,#N/A,FALSE,"WELDER.XLS"}</definedName>
    <definedName name="SdS">{#N/A,#N/A,FALSE,"COVER.XLS";#N/A,#N/A,FALSE,"RACT1.XLS";#N/A,#N/A,FALSE,"RACT2.XLS";#N/A,#N/A,FALSE,"ECCMP";#N/A,#N/A,FALSE,"WELDER.XLS"}</definedName>
    <definedName name="sdsa">{#N/A,#N/A,FALSE,"COVER1.XLS ";#N/A,#N/A,FALSE,"RACT1.XLS";#N/A,#N/A,FALSE,"RACT2.XLS";#N/A,#N/A,FALSE,"ECCMP";#N/A,#N/A,FALSE,"WELDER.XLS"}</definedName>
    <definedName name="sdsdd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sdsdc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sv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v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vsd">{#N/A,#N/A,FALSE,"COVER1.XLS ";#N/A,#N/A,FALSE,"RACT1.XLS";#N/A,#N/A,FALSE,"RACT2.XLS";#N/A,#N/A,FALSE,"ECCMP";#N/A,#N/A,FALSE,"WELDER.XLS"}</definedName>
    <definedName name="sdvsdv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vsdvsdv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vvsd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ebtt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edf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ell">{"'Eng (page2)'!$A$1:$D$52"}</definedName>
    <definedName name="sencount">3</definedName>
    <definedName name="serc">{#N/A,#N/A,FALSE,"COVER1.XLS ";#N/A,#N/A,FALSE,"RACT1.XLS";#N/A,#N/A,FALSE,"RACT2.XLS";#N/A,#N/A,FALSE,"ECCMP";#N/A,#N/A,FALSE,"WELDER.XLS"}</definedName>
    <definedName name="sfd">{#N/A,#N/A,FALSE,"COVER.XLS";#N/A,#N/A,FALSE,"RACT1.XLS";#N/A,#N/A,FALSE,"RACT2.XLS";#N/A,#N/A,FALSE,"ECCMP";#N/A,#N/A,FALSE,"WELDER.XLS"}</definedName>
    <definedName name="sff">{#N/A,#N/A,FALSE,"COVER1.XLS ";#N/A,#N/A,FALSE,"RACT1.XLS";#N/A,#N/A,FALSE,"RACT2.XLS";#N/A,#N/A,FALSE,"ECCMP";#N/A,#N/A,FALSE,"WELDER.XLS"}</definedName>
    <definedName name="sfghu7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r4ryhgi">{#N/A,#N/A,FALSE,"17MAY";#N/A,#N/A,FALSE,"24MAY"}</definedName>
    <definedName name="sfs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h">{#N/A,#N/A,FALSE,"17MAY";#N/A,#N/A,FALSE,"24MAY"}</definedName>
    <definedName name="sheet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i">{#N/A,#N/A,FALSE,"COVER1.XLS ";#N/A,#N/A,FALSE,"RACT1.XLS";#N/A,#N/A,FALSE,"RACT2.XLS";#N/A,#N/A,FALSE,"ECCMP";#N/A,#N/A,FALSE,"WELDER.XLS"}</definedName>
    <definedName name="SIRAPHOP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jdflsdjfowurwoe">{#N/A,#N/A,FALSE,"COVER1.XLS ";#N/A,#N/A,FALSE,"RACT1.XLS";#N/A,#N/A,FALSE,"RACT2.XLS";#N/A,#N/A,FALSE,"ECCMP";#N/A,#N/A,FALSE,"WELDER.XLS"}</definedName>
    <definedName name="sles">{#N/A,#N/A,FALSE,"COVER.XLS";#N/A,#N/A,FALSE,"RACT1.XLS";#N/A,#N/A,FALSE,"RACT2.XLS";#N/A,#N/A,FALSE,"ECCMP";#N/A,#N/A,FALSE,"WELDER.XLS"}</definedName>
    <definedName name="sles.xls">{#N/A,#N/A,FALSE,"COVER.XLS";#N/A,#N/A,FALSE,"RACT1.XLS";#N/A,#N/A,FALSE,"RACT2.XLS";#N/A,#N/A,FALSE,"ECCMP";#N/A,#N/A,FALSE,"WELDER.XLS"}</definedName>
    <definedName name="slpoo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lrkgo0peu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l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o">{#N/A,#N/A,FALSE,"COVER1.XLS ";#N/A,#N/A,FALSE,"RACT1.XLS";#N/A,#N/A,FALSE,"RACT2.XLS";#N/A,#N/A,FALSE,"ECCMP";#N/A,#N/A,FALSE,"WELDER.XLS"}</definedName>
    <definedName name="software">{"'Eng (page2)'!$A$1:$D$52"}</definedName>
    <definedName name="sojkvjps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oo">{#N/A,#N/A,FALSE,"COVER1.XLS ";#N/A,#N/A,FALSE,"RACT1.XLS";#N/A,#N/A,FALSE,"RACT2.XLS";#N/A,#N/A,FALSE,"ECCMP";#N/A,#N/A,FALSE,"WELDER.XLS"}</definedName>
    <definedName name="soopy">{#N/A,#N/A,FALSE,"COVER1.XLS ";#N/A,#N/A,FALSE,"RACT1.XLS";#N/A,#N/A,FALSE,"RACT2.XLS";#N/A,#N/A,FALSE,"ECCMP";#N/A,#N/A,FALSE,"WELDER.XLS"}</definedName>
    <definedName name="sopho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ort" localSheetId="1">#REF!</definedName>
    <definedName name="Sort">#REF!</definedName>
    <definedName name="sp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ri">{#N/A,#N/A,FALSE,"17MAY";#N/A,#N/A,FALSE,"24MAY"}</definedName>
    <definedName name="SS">{"Physical Count Securities",#N/A,FALSE,"BFIT B&amp;D Valuation"}</definedName>
    <definedName name="ssd">{#N/A,#N/A,FALSE,"COVER.XLS";#N/A,#N/A,FALSE,"RACT1.XLS";#N/A,#N/A,FALSE,"RACT2.XLS";#N/A,#N/A,FALSE,"ECCMP";#N/A,#N/A,FALSE,"WELDER.XLS"}</definedName>
    <definedName name="ssdd">{#N/A,#N/A,FALSE,"COVER.XLS";#N/A,#N/A,FALSE,"RACT1.XLS";#N/A,#N/A,FALSE,"RACT2.XLS";#N/A,#N/A,FALSE,"ECCMP";#N/A,#N/A,FALSE,"WELDER.XLS"}</definedName>
    <definedName name="ssd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ssedfgy">{#N/A,#N/A,FALSE,"COVER.XLS";#N/A,#N/A,FALSE,"RACT1.XLS";#N/A,#N/A,FALSE,"RACT2.XLS";#N/A,#N/A,FALSE,"ECCMP";#N/A,#N/A,FALSE,"WELDER.XLS"}</definedName>
    <definedName name="ssfrg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fsf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ssss">{#N/A,#N/A,FALSE,"COVER.XLS";#N/A,#N/A,FALSE,"RACT1.XLS";#N/A,#N/A,FALSE,"RACT2.XLS";#N/A,#N/A,FALSE,"ECCMP";#N/A,#N/A,FALSE,"WELDER.XLS"}</definedName>
    <definedName name="ssss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sssss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sssssss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ssssssss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sssssssssss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sssssssssss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ssssssssssssss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tdh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lt">{#N/A,#N/A,FALSE,"COVER1.XLS ";#N/A,#N/A,FALSE,"RACT1.XLS";#N/A,#N/A,FALSE,"RACT2.XLS";#N/A,#N/A,FALSE,"ECCMP";#N/A,#N/A,FALSE,"WELDER.XLS"}</definedName>
    <definedName name="sun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up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svdsdv">{#N/A,#N/A,FALSE,"COVER1.XLS ";#N/A,#N/A,FALSE,"RACT1.XLS";#N/A,#N/A,FALSE,"RACT2.XLS";#N/A,#N/A,FALSE,"ECCMP";#N/A,#N/A,FALSE,"WELDER.XLS"}</definedName>
    <definedName name="swdtghjkl">{#N/A,#N/A,FALSE,"17MAY";#N/A,#N/A,FALSE,"24MAY"}</definedName>
    <definedName name="swedfbyazvrhghk">{#N/A,#N/A,FALSE,"COVER1.XLS ";#N/A,#N/A,FALSE,"RACT1.XLS";#N/A,#N/A,FALSE,"RACT2.XLS";#N/A,#N/A,FALSE,"ECCMP";#N/A,#N/A,FALSE,"WELDER.XLS"}</definedName>
    <definedName name="sxcfxcdfc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xcfxsdfc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xsxsfdcg">{#N/A,#N/A,FALSE,"COVER.XLS";#N/A,#N/A,FALSE,"RACT1.XLS";#N/A,#N/A,FALSE,"RACT2.XLS";#N/A,#N/A,FALSE,"ECCMP";#N/A,#N/A,FALSE,"WELDER.XLS"}</definedName>
    <definedName name="szas">{#N/A,#N/A,FALSE,"COVER.XLS";#N/A,#N/A,FALSE,"RACT1.XLS";#N/A,#N/A,FALSE,"RACT2.XLS";#N/A,#N/A,FALSE,"ECCMP";#N/A,#N/A,FALSE,"WELDER.XLS"}</definedName>
    <definedName name="szexsrf">{#N/A,#N/A,FALSE,"COVER.XLS";#N/A,#N/A,FALSE,"RACT1.XLS";#N/A,#N/A,FALSE,"RACT2.XLS";#N/A,#N/A,FALSE,"ECCMP";#N/A,#N/A,FALSE,"WELDER.XLS"}</definedName>
    <definedName name="t7uj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ack">{#N/A,#N/A,FALSE,"COVER1.XLS ";#N/A,#N/A,FALSE,"RACT1.XLS";#N/A,#N/A,FALSE,"RACT2.XLS";#N/A,#N/A,FALSE,"ECCMP";#N/A,#N/A,FALSE,"WELDER.XLS"}</definedName>
    <definedName name="tav">{#N/A,#N/A,FALSE,"COVER.XLS";#N/A,#N/A,FALSE,"RACT1.XLS";#N/A,#N/A,FALSE,"RACT2.XLS";#N/A,#N/A,FALSE,"ECCMP";#N/A,#N/A,FALSE,"WELDER.XLS"}</definedName>
    <definedName name="Tawa_Ja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tdy">{#N/A,#N/A,FALSE,"COVER1.XLS ";#N/A,#N/A,FALSE,"RACT1.XLS";#N/A,#N/A,FALSE,"RACT2.XLS";#N/A,#N/A,FALSE,"ECCMP";#N/A,#N/A,FALSE,"WELDER.XLS"}</definedName>
    <definedName name="teawsd">{#N/A,#N/A,FALSE,"COVER1.XLS ";#N/A,#N/A,FALSE,"RACT1.XLS";#N/A,#N/A,FALSE,"RACT2.XLS";#N/A,#N/A,FALSE,"ECCMP";#N/A,#N/A,FALSE,"WELDER.XLS"}</definedName>
    <definedName name="teddy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teddybare">{#N/A,#N/A,FALSE,"17MAY";#N/A,#N/A,FALSE,"24MAY"}</definedName>
    <definedName name="tem">{#N/A,#N/A,FALSE,"17MAY";#N/A,#N/A,FALSE,"24MAY"}</definedName>
    <definedName name="ter">{#N/A,#N/A,FALSE,"COVER.XLS";#N/A,#N/A,FALSE,"RACT1.XLS";#N/A,#N/A,FALSE,"RACT2.XLS";#N/A,#N/A,FALSE,"ECCMP";#N/A,#N/A,FALSE,"WELDER.XLS"}</definedName>
    <definedName name="tergefg">{#N/A,#N/A,FALSE,"COVER.XLS";#N/A,#N/A,FALSE,"RACT1.XLS";#N/A,#N/A,FALSE,"RACT2.XLS";#N/A,#N/A,FALSE,"ECCMP";#N/A,#N/A,FALSE,"WELDER.XLS"}</definedName>
    <definedName name="test">{#N/A,#N/A,FALSE,"COVER1.XLS ";#N/A,#N/A,FALSE,"RACT1.XLS";#N/A,#N/A,FALSE,"RACT2.XLS";#N/A,#N/A,FALSE,"ECCMP";#N/A,#N/A,FALSE,"WELDER.XLS"}</definedName>
    <definedName name="TextRefCopyRangeCount">5</definedName>
    <definedName name="tfgjgkjhl">{#N/A,#N/A,FALSE,"COVER.XLS";#N/A,#N/A,FALSE,"RACT1.XLS";#N/A,#N/A,FALSE,"RACT2.XLS";#N/A,#N/A,FALSE,"ECCMP";#N/A,#N/A,FALSE,"WELDER.XLS"}</definedName>
    <definedName name="tfyuifk">{#N/A,#N/A,FALSE,"COVER.XLS";#N/A,#N/A,FALSE,"RACT1.XLS";#N/A,#N/A,FALSE,"RACT2.XLS";#N/A,#N/A,FALSE,"ECCMP";#N/A,#N/A,FALSE,"WELDER.XLS"}</definedName>
    <definedName name="tgyuii">{#N/A,#N/A,FALSE,"17MAY";#N/A,#N/A,FALSE,"24MAY"}</definedName>
    <definedName name="th">{#N/A,#N/A,FALSE,"17MAY";#N/A,#N/A,FALSE,"24MAY"}</definedName>
    <definedName name="thjrh">{#N/A,#N/A,FALSE,"COVER.XLS";#N/A,#N/A,FALSE,"RACT1.XLS";#N/A,#N/A,FALSE,"RACT2.XLS";#N/A,#N/A,FALSE,"ECCMP";#N/A,#N/A,FALSE,"WELDER.XLS"}</definedName>
    <definedName name="tiookk">{#N/A,#N/A,FALSE,"COVER.XLS";#N/A,#N/A,FALSE,"RACT1.XLS";#N/A,#N/A,FALSE,"RACT2.XLS";#N/A,#N/A,FALSE,"ECCMP";#N/A,#N/A,FALSE,"WELDER.XLS"}</definedName>
    <definedName name="tiouy">{#N/A,#N/A,FALSE,"COVER.XLS";#N/A,#N/A,FALSE,"RACT1.XLS";#N/A,#N/A,FALSE,"RACT2.XLS";#N/A,#N/A,FALSE,"ECCMP";#N/A,#N/A,FALSE,"WELDER.XLS"}</definedName>
    <definedName name="tittjk">{#N/A,#N/A,FALSE,"COVER1.XLS ";#N/A,#N/A,FALSE,"RACT1.XLS";#N/A,#N/A,FALSE,"RACT2.XLS";#N/A,#N/A,FALSE,"ECCMP";#N/A,#N/A,FALSE,"WELDER.XLS"}</definedName>
    <definedName name="TIU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iuyyj">{#N/A,#N/A,FALSE,"COVER.XLS";#N/A,#N/A,FALSE,"RACT1.XLS";#N/A,#N/A,FALSE,"RACT2.XLS";#N/A,#N/A,FALSE,"ECCMP";#N/A,#N/A,FALSE,"WELDER.XLS"}</definedName>
    <definedName name="tjt">{#N/A,#N/A,FALSE,"COVER1.XLS ";#N/A,#N/A,FALSE,"RACT1.XLS";#N/A,#N/A,FALSE,"RACT2.XLS";#N/A,#N/A,FALSE,"ECCMP";#N/A,#N/A,FALSE,"WELDER.XLS"}</definedName>
    <definedName name="t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kiuyj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kk">{#N/A,#N/A,FALSE,"17MAY";#N/A,#N/A,FALSE,"24MAY"}</definedName>
    <definedName name="tkrk">{#N/A,#N/A,FALSE,"COVER1.XLS ";#N/A,#N/A,FALSE,"RACT1.XLS";#N/A,#N/A,FALSE,"RACT2.XLS";#N/A,#N/A,FALSE,"ECCMP";#N/A,#N/A,FALSE,"WELDER.XLS"}</definedName>
    <definedName name="tkyjkyh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TMT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tom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oo">{"conso",#N/A,FALSE,"cash flow"}</definedName>
    <definedName name="too_pop">{"conso",#N/A,FALSE,"cash flow"}</definedName>
    <definedName name="toooo">{"conso",#N/A,FALSE,"cash flow"}</definedName>
    <definedName name="tooopppp">{#N/A,#N/A,FALSE,"COVER1.XLS ";#N/A,#N/A,FALSE,"RACT1.XLS";#N/A,#N/A,FALSE,"RACT2.XLS";#N/A,#N/A,FALSE,"ECCMP";#N/A,#N/A,FALSE,"WELDER.XLS"}</definedName>
    <definedName name="top">{#N/A,#N/A,FALSE,"COVER.XLS";#N/A,#N/A,FALSE,"RACT1.XLS";#N/A,#N/A,FALSE,"RACT2.XLS";#N/A,#N/A,FALSE,"ECCMP";#N/A,#N/A,FALSE,"WELDER.XLS"}</definedName>
    <definedName name="topf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opi">{#N/A,#N/A,FALSE,"COVER1.XLS ";#N/A,#N/A,FALSE,"RACT1.XLS";#N/A,#N/A,FALSE,"RACT2.XLS";#N/A,#N/A,FALSE,"ECCMP";#N/A,#N/A,FALSE,"WELDER.XLS"}</definedName>
    <definedName name="toprtipreitoepr">{#N/A,#N/A,FALSE,"COVER1.XLS ";#N/A,#N/A,FALSE,"RACT1.XLS";#N/A,#N/A,FALSE,"RACT2.XLS";#N/A,#N/A,FALSE,"ECCMP";#N/A,#N/A,FALSE,"WELDER.XLS"}</definedName>
    <definedName name="topujkhg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or">{#N/A,#N/A,FALSE,"COVER.XLS";#N/A,#N/A,FALSE,"RACT1.XLS";#N/A,#N/A,FALSE,"RACT2.XLS";#N/A,#N/A,FALSE,"ECCMP";#N/A,#N/A,FALSE,"WELDER.XLS"}</definedName>
    <definedName name="total">{#N/A,#N/A,FALSE,"COVER.XLS";#N/A,#N/A,FALSE,"RACT1.XLS";#N/A,#N/A,FALSE,"RACT2.XLS";#N/A,#N/A,FALSE,"ECCMP";#N/A,#N/A,FALSE,"WELDER.XLS"}</definedName>
    <definedName name="tps">{#N/A,#N/A,FALSE,"COVER1.XLS ";#N/A,#N/A,FALSE,"RACT1.XLS";#N/A,#N/A,FALSE,"RACT2.XLS";#N/A,#N/A,FALSE,"ECCMP";#N/A,#N/A,FALSE,"WELDER.XLS"}</definedName>
    <definedName name="TPSPS">{#N/A,#N/A,FALSE,"COVER.XLS";#N/A,#N/A,FALSE,"RACT1.XLS";#N/A,#N/A,FALSE,"RACT2.XLS";#N/A,#N/A,FALSE,"ECCMP";#N/A,#N/A,FALSE,"WELDER.XLS"}</definedName>
    <definedName name="TPSSW">{#N/A,#N/A,FALSE,"COVER1.XLS ";#N/A,#N/A,FALSE,"RACT1.XLS";#N/A,#N/A,FALSE,"RACT2.XLS";#N/A,#N/A,FALSE,"ECCMP";#N/A,#N/A,FALSE,"WELDER.XLS"}</definedName>
    <definedName name="training">{#N/A,#N/A,FALSE,"COVER1.XLS ";#N/A,#N/A,FALSE,"RACT1.XLS";#N/A,#N/A,FALSE,"RACT2.XLS";#N/A,#N/A,FALSE,"ECCMP";#N/A,#N/A,FALSE,"WELDER.XLS"}</definedName>
    <definedName name="trans">{#N/A,#N/A,FALSE,"COVER.XLS";#N/A,#N/A,FALSE,"RACT1.XLS";#N/A,#N/A,FALSE,"RACT2.XLS";#N/A,#N/A,FALSE,"ECCMP";#N/A,#N/A,FALSE,"WELDER.XLS"}</definedName>
    <definedName name="trans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rans2">{#N/A,#N/A,FALSE,"COVER1.XLS ";#N/A,#N/A,FALSE,"RACT1.XLS";#N/A,#N/A,FALSE,"RACT2.XLS";#N/A,#N/A,FALSE,"ECCMP";#N/A,#N/A,FALSE,"WELDER.XLS"}</definedName>
    <definedName name="TRE">{"'Eng (page2)'!$A$1:$D$52"}</definedName>
    <definedName name="tredfsr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rfgds">{#N/A,#N/A,FALSE,"17MAY";#N/A,#N/A,FALSE,"24MAY"}</definedName>
    <definedName name="tri">{#N/A,#N/A,FALSE,"COVER.XLS";#N/A,#N/A,FALSE,"RACT1.XLS";#N/A,#N/A,FALSE,"RACT2.XLS";#N/A,#N/A,FALSE,"ECCMP";#N/A,#N/A,FALSE,"WELDER.XLS"}</definedName>
    <definedName name="trrret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trtukujkl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ruhry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ruyrjyru">{#N/A,#N/A,FALSE,"COVER.XLS";#N/A,#N/A,FALSE,"RACT1.XLS";#N/A,#N/A,FALSE,"RACT2.XLS";#N/A,#N/A,FALSE,"ECCMP";#N/A,#N/A,FALSE,"WELDER.XLS"}</definedName>
    <definedName name="tryertyr">{#N/A,#N/A,FALSE,"COVER.XLS";#N/A,#N/A,FALSE,"RACT1.XLS";#N/A,#N/A,FALSE,"RACT2.XLS";#N/A,#N/A,FALSE,"ECCMP";#N/A,#N/A,FALSE,"WELDER.XLS"}</definedName>
    <definedName name="trytruyrur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trytrytyt">{#N/A,#N/A,FALSE,"17MAY";#N/A,#N/A,FALSE,"24MAY"}</definedName>
    <definedName name="tryyui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strye">{#N/A,#N/A,FALSE,"COVER1.XLS ";#N/A,#N/A,FALSE,"RACT1.XLS";#N/A,#N/A,FALSE,"RACT2.XLS";#N/A,#N/A,FALSE,"ECCMP";#N/A,#N/A,FALSE,"WELDER.XLS"}</definedName>
    <definedName name="ttech">{#N/A,#N/A,FALSE,"COVER1.XLS ";#N/A,#N/A,FALSE,"RACT1.XLS";#N/A,#N/A,FALSE,"RACT2.XLS";#N/A,#N/A,FALSE,"ECCMP";#N/A,#N/A,FALSE,"WELDER.XLS"}</definedName>
    <definedName name="ttt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tttt">{#N/A,#N/A,FALSE,"COVER1.XLS ";#N/A,#N/A,FALSE,"RACT1.XLS";#N/A,#N/A,FALSE,"RACT2.XLS";#N/A,#N/A,FALSE,"ECCMP";#N/A,#N/A,FALSE,"WELDER.XLS"}</definedName>
    <definedName name="ttttt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ttttttttttttt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ttykutt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u7yj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uehj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uippll">{#N/A,#N/A,FALSE,"COVER1.XLS ";#N/A,#N/A,FALSE,"RACT1.XLS";#N/A,#N/A,FALSE,"RACT2.XLS";#N/A,#N/A,FALSE,"ECCMP";#N/A,#N/A,FALSE,"WELDER.XLS"}</definedName>
    <definedName name="tuj">{#N/A,#N/A,FALSE,"COVER1.XLS ";#N/A,#N/A,FALSE,"RACT1.XLS";#N/A,#N/A,FALSE,"RACT2.XLS";#N/A,#N/A,FALSE,"ECCMP";#N/A,#N/A,FALSE,"WELDER.XLS"}</definedName>
    <definedName name="tujo86">{#N/A,#N/A,FALSE,"COVER.XLS";#N/A,#N/A,FALSE,"RACT1.XLS";#N/A,#N/A,FALSE,"RACT2.XLS";#N/A,#N/A,FALSE,"ECCMP";#N/A,#N/A,FALSE,"WELDER.XLS"}</definedName>
    <definedName name="tukyl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um">{#N/A,#N/A,FALSE,"COVER1.XLS ";#N/A,#N/A,FALSE,"RACT1.XLS";#N/A,#N/A,FALSE,"RACT2.XLS";#N/A,#N/A,FALSE,"ECCMP";#N/A,#N/A,FALSE,"WELDER.XLS"}</definedName>
    <definedName name="tumm">{#N/A,#N/A,FALSE,"COVER1.XLS ";#N/A,#N/A,FALSE,"RACT1.XLS";#N/A,#N/A,FALSE,"RACT2.XLS";#N/A,#N/A,FALSE,"ECCMP";#N/A,#N/A,FALSE,"WELDER.XLS"}</definedName>
    <definedName name="tumm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upppppp">{#N/A,#N/A,FALSE,"COVER.XLS";#N/A,#N/A,FALSE,"RACT1.XLS";#N/A,#N/A,FALSE,"RACT2.XLS";#N/A,#N/A,FALSE,"ECCMP";#N/A,#N/A,FALSE,"WELDER.XLS"}</definedName>
    <definedName name="turhjt">{#N/A,#N/A,FALSE,"COVER1.XLS ";#N/A,#N/A,FALSE,"RACT1.XLS";#N/A,#N/A,FALSE,"RACT2.XLS";#N/A,#N/A,FALSE,"ECCMP";#N/A,#N/A,FALSE,"WELDER.XLS"}</definedName>
    <definedName name="turyjrur">{#N/A,#N/A,FALSE,"COVER1.XLS ";#N/A,#N/A,FALSE,"RACT1.XLS";#N/A,#N/A,FALSE,"RACT2.XLS";#N/A,#N/A,FALSE,"ECCMP";#N/A,#N/A,FALSE,"WELDER.XLS"}</definedName>
    <definedName name="tutt">{#N/A,#N/A,FALSE,"17MAY";#N/A,#N/A,FALSE,"24MAY"}</definedName>
    <definedName name="tuuryuryr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ty7ujr">{#N/A,#N/A,FALSE,"COVER.XLS";#N/A,#N/A,FALSE,"RACT1.XLS";#N/A,#N/A,FALSE,"RACT2.XLS";#N/A,#N/A,FALSE,"ECCMP";#N/A,#N/A,FALSE,"WELDER.XLS"}</definedName>
    <definedName name="tyfujjg">{#N/A,#N/A,FALSE,"17MAY";#N/A,#N/A,FALSE,"24MAY"}</definedName>
    <definedName name="tyghg">{#N/A,#N/A,FALSE,"17MAY";#N/A,#N/A,FALSE,"24MAY"}</definedName>
    <definedName name="tygjf">{#N/A,#N/A,FALSE,"COVER.XLS";#N/A,#N/A,FALSE,"RACT1.XLS";#N/A,#N/A,FALSE,"RACT2.XLS";#N/A,#N/A,FALSE,"ECCMP";#N/A,#N/A,FALSE,"WELDER.XLS"}</definedName>
    <definedName name="tyitk">{#N/A,#N/A,FALSE,"17MAY";#N/A,#N/A,FALSE,"24MAY"}</definedName>
    <definedName name="tykyo">{#N/A,#N/A,FALSE,"17MAY";#N/A,#N/A,FALSE,"24MAY"}</definedName>
    <definedName name="tyr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ytjkhyk">{#N/A,#N/A,FALSE,"COVER1.XLS ";#N/A,#N/A,FALSE,"RACT1.XLS";#N/A,#N/A,FALSE,"RACT2.XLS";#N/A,#N/A,FALSE,"ECCMP";#N/A,#N/A,FALSE,"WELDER.XLS"}</definedName>
    <definedName name="tyuij">{#N/A,#N/A,FALSE,"COVER1.XLS ";#N/A,#N/A,FALSE,"RACT1.XLS";#N/A,#N/A,FALSE,"RACT2.XLS";#N/A,#N/A,FALSE,"ECCMP";#N/A,#N/A,FALSE,"WELDER.XLS"}</definedName>
    <definedName name="tyuik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tyurktjhk">{#N/A,#N/A,FALSE,"COVER1.XLS ";#N/A,#N/A,FALSE,"RACT1.XLS";#N/A,#N/A,FALSE,"RACT2.XLS";#N/A,#N/A,FALSE,"ECCMP";#N/A,#N/A,FALSE,"WELDER.XLS"}</definedName>
    <definedName name="tyurytut">{#N/A,#N/A,FALSE,"COVER1.XLS ";#N/A,#N/A,FALSE,"RACT1.XLS";#N/A,#N/A,FALSE,"RACT2.XLS";#N/A,#N/A,FALSE,"ECCMP";#N/A,#N/A,FALSE,"WELDER.XLS"}</definedName>
    <definedName name="tyuuuu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">{#N/A,#N/A,FALSE,"COVER1.XLS ";#N/A,#N/A,FALSE,"RACT1.XLS";#N/A,#N/A,FALSE,"RACT2.XLS";#N/A,#N/A,FALSE,"ECCMP";#N/A,#N/A,FALSE,"WELDER.XLS"}</definedName>
    <definedName name="ubc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ubo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eyrjht">{#N/A,#N/A,FALSE,"COVER1.XLS ";#N/A,#N/A,FALSE,"RACT1.XLS";#N/A,#N/A,FALSE,"RACT2.XLS";#N/A,#N/A,FALSE,"ECCMP";#N/A,#N/A,FALSE,"WELDER.XLS"}</definedName>
    <definedName name="uhtu7">{#N/A,#N/A,FALSE,"COVER1.XLS ";#N/A,#N/A,FALSE,"RACT1.XLS";#N/A,#N/A,FALSE,"RACT2.XLS";#N/A,#N/A,FALSE,"ECCMP";#N/A,#N/A,FALSE,"WELDER.XLS"}</definedName>
    <definedName name="ui4kut">{#N/A,#N/A,FALSE,"COVER1.XLS ";#N/A,#N/A,FALSE,"RACT1.XLS";#N/A,#N/A,FALSE,"RACT2.XLS";#N/A,#N/A,FALSE,"ECCMP";#N/A,#N/A,FALSE,"WELDER.XLS"}</definedName>
    <definedName name="uiojjopedogfh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uiopllll">{#N/A,#N/A,FALSE,"COVER1.XLS ";#N/A,#N/A,FALSE,"RACT1.XLS";#N/A,#N/A,FALSE,"RACT2.XLS";#N/A,#N/A,FALSE,"ECCMP";#N/A,#N/A,FALSE,"WELDER.XLS"}</definedName>
    <definedName name="uipouio">{#N/A,#N/A,FALSE,"COVER1.XLS ";#N/A,#N/A,FALSE,"RACT1.XLS";#N/A,#N/A,FALSE,"RACT2.XLS";#N/A,#N/A,FALSE,"ECCMP";#N/A,#N/A,FALSE,"WELDER.XLS"}</definedName>
    <definedName name="uiroerpweoiruwepoirwoeprwpe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uirtit">{#N/A,#N/A,FALSE,"17MAY";#N/A,#N/A,FALSE,"24MAY"}</definedName>
    <definedName name="uirto4">{#N/A,#N/A,FALSE,"COVER1.XLS ";#N/A,#N/A,FALSE,"RACT1.XLS";#N/A,#N/A,FALSE,"RACT2.XLS";#N/A,#N/A,FALSE,"ECCMP";#N/A,#N/A,FALSE,"WELDER.XLS"}</definedName>
    <definedName name="uitl">{#N/A,#N/A,FALSE,"COVER1.XLS ";#N/A,#N/A,FALSE,"RACT1.XLS";#N/A,#N/A,FALSE,"RACT2.XLS";#N/A,#N/A,FALSE,"ECCMP";#N/A,#N/A,FALSE,"WELDER.XLS"}</definedName>
    <definedName name="uiuiruirui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iuity">{#N/A,#N/A,FALSE,"COVER1.XLS ";#N/A,#N/A,FALSE,"RACT1.XLS";#N/A,#N/A,FALSE,"RACT2.XLS";#N/A,#N/A,FALSE,"ECCMP";#N/A,#N/A,FALSE,"WELDER.XLS"}</definedName>
    <definedName name="uiuriir">{#N/A,#N/A,FALSE,"COVER.XLS";#N/A,#N/A,FALSE,"RACT1.XLS";#N/A,#N/A,FALSE,"RACT2.XLS";#N/A,#N/A,FALSE,"ECCMP";#N/A,#N/A,FALSE,"WELDER.XLS"}</definedName>
    <definedName name="ujkjyk" localSheetId="1">#REF!</definedName>
    <definedName name="ujkjyk">#REF!</definedName>
    <definedName name="ujrh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u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k5rtu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ki85oy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ukuu">{#N/A,#N/A,FALSE,"17MAY";#N/A,#N/A,FALSE,"24MAY"}</definedName>
    <definedName name="ukyjyo">{#N/A,#N/A,FALSE,"COVER1.XLS ";#N/A,#N/A,FALSE,"RACT1.XLS";#N/A,#N/A,FALSE,"RACT2.XLS";#N/A,#N/A,FALSE,"ECCMP";#N/A,#N/A,FALSE,"WELDER.XLS"}</definedName>
    <definedName name="uluklu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uoir5e">{#N/A,#N/A,FALSE,"COVER1.XLS ";#N/A,#N/A,FALSE,"RACT1.XLS";#N/A,#N/A,FALSE,"RACT2.XLS";#N/A,#N/A,FALSE,"ECCMP";#N/A,#N/A,FALSE,"WELDER.XLS"}</definedName>
    <definedName name="Uor">{"'Eng (page2)'!$A$1:$D$52"}</definedName>
    <definedName name="uoyu">{#N/A,#N/A,FALSE,"COVER1.XLS ";#N/A,#N/A,FALSE,"RACT1.XLS";#N/A,#N/A,FALSE,"RACT2.XLS";#N/A,#N/A,FALSE,"ECCMP";#N/A,#N/A,FALSE,"WELDER.XLS"}</definedName>
    <definedName name="urik">{#N/A,#N/A,FALSE,"COVER1.XLS ";#N/A,#N/A,FALSE,"RACT1.XLS";#N/A,#N/A,FALSE,"RACT2.XLS";#N/A,#N/A,FALSE,"ECCMP";#N/A,#N/A,FALSE,"WELDER.XLS"}</definedName>
    <definedName name="urktui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rtltk">{#N/A,#N/A,FALSE,"COVER1.XLS ";#N/A,#N/A,FALSE,"RACT1.XLS";#N/A,#N/A,FALSE,"RACT2.XLS";#N/A,#N/A,FALSE,"ECCMP";#N/A,#N/A,FALSE,"WELDER.XLS"}</definedName>
    <definedName name="urto">{#N/A,#N/A,FALSE,"17MAY";#N/A,#N/A,FALSE,"24MAY"}</definedName>
    <definedName name="urtrtu">{#N/A,#N/A,FALSE,"COVER.XLS";#N/A,#N/A,FALSE,"RACT1.XLS";#N/A,#N/A,FALSE,"RACT2.XLS";#N/A,#N/A,FALSE,"ECCMP";#N/A,#N/A,FALSE,"WELDER.XLS"}</definedName>
    <definedName name="urty8ty">{#N/A,#N/A,FALSE,"COVER1.XLS ";#N/A,#N/A,FALSE,"RACT1.XLS";#N/A,#N/A,FALSE,"RACT2.XLS";#N/A,#N/A,FALSE,"ECCMP";#N/A,#N/A,FALSE,"WELDER.XLS"}</definedName>
    <definedName name="urtyuyt">{#N/A,#N/A,FALSE,"COVER1.XLS ";#N/A,#N/A,FALSE,"RACT1.XLS";#N/A,#N/A,FALSE,"RACT2.XLS";#N/A,#N/A,FALSE,"ECCMP";#N/A,#N/A,FALSE,"WELDER.XLS"}</definedName>
    <definedName name="urut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iukt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tkjtt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tky9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uu">{#N/A,#N/A,FALSE,"COVER1.XLS ";#N/A,#N/A,FALSE,"RACT1.XLS";#N/A,#N/A,FALSE,"RACT2.XLS";#N/A,#N/A,FALSE,"ECCMP";#N/A,#N/A,FALSE,"WELDER.XLS"}</definedName>
    <definedName name="uuiiii">{#N/A,#N/A,FALSE,"COVER1.XLS ";#N/A,#N/A,FALSE,"RACT1.XLS";#N/A,#N/A,FALSE,"RACT2.XLS";#N/A,#N/A,FALSE,"ECCMP";#N/A,#N/A,FALSE,"WELDER.XLS"}</definedName>
    <definedName name="uuiio">{#N/A,#N/A,FALSE,"COVER.XLS";#N/A,#N/A,FALSE,"RACT1.XLS";#N/A,#N/A,FALSE,"RACT2.XLS";#N/A,#N/A,FALSE,"ECCMP";#N/A,#N/A,FALSE,"WELDER.XLS"}</definedName>
    <definedName name="uuojkhgytjhj">{#N/A,#N/A,FALSE,"COVER1.XLS ";#N/A,#N/A,FALSE,"RACT1.XLS";#N/A,#N/A,FALSE,"RACT2.XLS";#N/A,#N/A,FALSE,"ECCMP";#N/A,#N/A,FALSE,"WELDER.XLS"}</definedName>
    <definedName name="uuuuuu">{#N/A,#N/A,FALSE,"COVER1.XLS ";#N/A,#N/A,FALSE,"RACT1.XLS";#N/A,#N/A,FALSE,"RACT2.XLS";#N/A,#N/A,FALSE,"ECCMP";#N/A,#N/A,FALSE,"WELDER.XLS"}</definedName>
    <definedName name="uuuuuuuuuuu">{#N/A,#N/A,FALSE,"COVER1.XLS ";#N/A,#N/A,FALSE,"RACT1.XLS";#N/A,#N/A,FALSE,"RACT2.XLS";#N/A,#N/A,FALSE,"ECCMP";#N/A,#N/A,FALSE,"WELDER.XLS"}</definedName>
    <definedName name="uuuuuuuuuuuuu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uuyiuy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uvgodsfcdjmb">{#N/A,#N/A,FALSE,"COVER1.XLS ";#N/A,#N/A,FALSE,"RACT1.XLS";#N/A,#N/A,FALSE,"RACT2.XLS";#N/A,#N/A,FALSE,"ECCMP";#N/A,#N/A,FALSE,"WELDER.XLS"}</definedName>
    <definedName name="uwropweuroweuriowerwerwer">{#N/A,#N/A,FALSE,"17MAY";#N/A,#N/A,FALSE,"24MAY"}</definedName>
    <definedName name="u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yhgf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yhrkje">{#N/A,#N/A,FALSE,"COVER1.XLS ";#N/A,#N/A,FALSE,"RACT1.XLS";#N/A,#N/A,FALSE,"RACT2.XLS";#N/A,#N/A,FALSE,"ECCMP";#N/A,#N/A,FALSE,"WELDER.XLS"}</definedName>
    <definedName name="uyjjy">{#N/A,#N/A,FALSE,"COVER.XLS";#N/A,#N/A,FALSE,"RACT1.XLS";#N/A,#N/A,FALSE,"RACT2.XLS";#N/A,#N/A,FALSE,"ECCMP";#N/A,#N/A,FALSE,"WELDER.XLS"}</definedName>
    <definedName name="uyjyj7">{#N/A,#N/A,FALSE,"COVER1.XLS ";#N/A,#N/A,FALSE,"RACT1.XLS";#N/A,#N/A,FALSE,"RACT2.XLS";#N/A,#N/A,FALSE,"ECCMP";#N/A,#N/A,FALSE,"WELDER.XLS"}</definedName>
    <definedName name="uyrj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uyrty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uyt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uytg">{#N/A,#N/A,FALSE,"COVER1.XLS ";#N/A,#N/A,FALSE,"RACT1.XLS";#N/A,#N/A,FALSE,"RACT2.XLS";#N/A,#N/A,FALSE,"ECCMP";#N/A,#N/A,FALSE,"WELDER.XLS"}</definedName>
    <definedName name="v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vbbbb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c" localSheetId="1">#REF!</definedName>
    <definedName name="vc">#REF!</definedName>
    <definedName name="vcbfccryuhfg">{#N/A,#N/A,FALSE,"COVER.XLS";#N/A,#N/A,FALSE,"RACT1.XLS";#N/A,#N/A,FALSE,"RACT2.XLS";#N/A,#N/A,FALSE,"ECCMP";#N/A,#N/A,FALSE,"WELDER.XLS"}</definedName>
    <definedName name="vcbfgttjknghy">{#N/A,#N/A,FALSE,"COVER1.XLS ";#N/A,#N/A,FALSE,"RACT1.XLS";#N/A,#N/A,FALSE,"RACT2.XLS";#N/A,#N/A,FALSE,"ECCMP";#N/A,#N/A,FALSE,"WELDER.XLS"}</definedName>
    <definedName name="vcdgtregth">{#N/A,#N/A,FALSE,"COVER1.XLS ";#N/A,#N/A,FALSE,"RACT1.XLS";#N/A,#N/A,FALSE,"RACT2.XLS";#N/A,#N/A,FALSE,"ECCMP";#N/A,#N/A,FALSE,"WELDER.XLS"}</definedName>
    <definedName name="vcfdgrt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cfdrty">{#N/A,#N/A,FALSE,"COVER.XLS";#N/A,#N/A,FALSE,"RACT1.XLS";#N/A,#N/A,FALSE,"RACT2.XLS";#N/A,#N/A,FALSE,"ECCMP";#N/A,#N/A,FALSE,"WELDER.XLS"}</definedName>
    <definedName name="vcfgtgtt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cgtyi">{#N/A,#N/A,FALSE,"COVER.XLS";#N/A,#N/A,FALSE,"RACT1.XLS";#N/A,#N/A,FALSE,"RACT2.XLS";#N/A,#N/A,FALSE,"ECCMP";#N/A,#N/A,FALSE,"WELDER.XLS"}</definedName>
    <definedName name="vcxdnnjhgfv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cxvcxzvzcvx">{#N/A,#N/A,FALSE,"COVER.XLS";#N/A,#N/A,FALSE,"RACT1.XLS";#N/A,#N/A,FALSE,"RACT2.XLS";#N/A,#N/A,FALSE,"ECCMP";#N/A,#N/A,FALSE,"WELDER.XLS"}</definedName>
    <definedName name="vcxzvcxzvzx">{#N/A,#N/A,FALSE,"COVER1.XLS ";#N/A,#N/A,FALSE,"RACT1.XLS";#N/A,#N/A,FALSE,"RACT2.XLS";#N/A,#N/A,FALSE,"ECCMP";#N/A,#N/A,FALSE,"WELDER.XLS"}</definedName>
    <definedName name="vcxzvzxcv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dasdg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ddfvvv">{#N/A,#N/A,FALSE,"COVER.XLS";#N/A,#N/A,FALSE,"RACT1.XLS";#N/A,#N/A,FALSE,"RACT2.XLS";#N/A,#N/A,FALSE,"ECCMP";#N/A,#N/A,FALSE,"WELDER.XLS"}</definedName>
    <definedName name="vdegff4ghjicghjk">{#N/A,#N/A,FALSE,"17MAY";#N/A,#N/A,FALSE,"24MAY"}</definedName>
    <definedName name="vdereyyuysh">{#N/A,#N/A,FALSE,"COVER1.XLS ";#N/A,#N/A,FALSE,"RACT1.XLS";#N/A,#N/A,FALSE,"RACT2.XLS";#N/A,#N/A,FALSE,"ECCMP";#N/A,#N/A,FALSE,"WELDER.XLS"}</definedName>
    <definedName name="vdgct">{#N/A,#N/A,FALSE,"COVER1.XLS ";#N/A,#N/A,FALSE,"RACT1.XLS";#N/A,#N/A,FALSE,"RACT2.XLS";#N/A,#N/A,FALSE,"ECCMP";#N/A,#N/A,FALSE,"WELDER.XLS"}</definedName>
    <definedName name="vdgrt">{#N/A,#N/A,FALSE,"COVER1.XLS ";#N/A,#N/A,FALSE,"RACT1.XLS";#N/A,#N/A,FALSE,"RACT2.XLS";#N/A,#N/A,FALSE,"ECCMP";#N/A,#N/A,FALSE,"WELDER.XLS"}</definedName>
    <definedName name="vdsfbgdfha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dsvdsvds">{#N/A,#N/A,FALSE,"COVER1.XLS ";#N/A,#N/A,FALSE,"RACT1.XLS";#N/A,#N/A,FALSE,"RACT2.XLS";#N/A,#N/A,FALSE,"ECCMP";#N/A,#N/A,FALSE,"WELDER.XLS"}</definedName>
    <definedName name="vdsvsadv">{#N/A,#N/A,FALSE,"COVER1.XLS ";#N/A,#N/A,FALSE,"RACT1.XLS";#N/A,#N/A,FALSE,"RACT2.XLS";#N/A,#N/A,FALSE,"ECCMP";#N/A,#N/A,FALSE,"WELDER.XLS"}</definedName>
    <definedName name="veveev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f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fdghkiuugjj">{#N/A,#N/A,FALSE,"COVER1.XLS ";#N/A,#N/A,FALSE,"RACT1.XLS";#N/A,#N/A,FALSE,"RACT2.XLS";#N/A,#N/A,FALSE,"ECCMP";#N/A,#N/A,FALSE,"WELDER.XLS"}</definedName>
    <definedName name="vfdsadghgujjhhj">{#N/A,#N/A,FALSE,"17MAY";#N/A,#N/A,FALSE,"24MAY"}</definedName>
    <definedName name="vffddd">{#N/A,#N/A,FALSE,"COVER1.XLS ";#N/A,#N/A,FALSE,"RACT1.XLS";#N/A,#N/A,FALSE,"RACT2.XLS";#N/A,#N/A,FALSE,"ECCMP";#N/A,#N/A,FALSE,"WELDER.XLS"}</definedName>
    <definedName name="vffdjjjuhj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fgghhh">{#N/A,#N/A,FALSE,"COVER1.XLS ";#N/A,#N/A,FALSE,"RACT1.XLS";#N/A,#N/A,FALSE,"RACT2.XLS";#N/A,#N/A,FALSE,"ECCMP";#N/A,#N/A,FALSE,"WELDER.XLS"}</definedName>
    <definedName name="vfgh">{#N/A,#N/A,FALSE,"COVER1.XLS ";#N/A,#N/A,FALSE,"RACT1.XLS";#N/A,#N/A,FALSE,"RACT2.XLS";#N/A,#N/A,FALSE,"ECCMP";#N/A,#N/A,FALSE,"WELDER.XLS"}</definedName>
    <definedName name="vfgrt">{#N/A,#N/A,FALSE,"COVER.XLS";#N/A,#N/A,FALSE,"RACT1.XLS";#N/A,#N/A,FALSE,"RACT2.XLS";#N/A,#N/A,FALSE,"ECCMP";#N/A,#N/A,FALSE,"WELDER.XLS"}</definedName>
    <definedName name="v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gfd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vgffgg">{#N/A,#N/A,FALSE,"17MAY";#N/A,#N/A,FALSE,"24MAY"}</definedName>
    <definedName name="vghj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ghjy">{#N/A,#N/A,FALSE,"COVER1.XLS ";#N/A,#N/A,FALSE,"RACT1.XLS";#N/A,#N/A,FALSE,"RACT2.XLS";#N/A,#N/A,FALSE,"ECCMP";#N/A,#N/A,FALSE,"WELDER.XLS"}</definedName>
    <definedName name="vgtryoi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hgfttj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irus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vitee">{#N/A,#N/A,FALSE,"COVER1.XLS ";#N/A,#N/A,FALSE,"RACT1.XLS";#N/A,#N/A,FALSE,"RACT2.XLS";#N/A,#N/A,FALSE,"ECCMP";#N/A,#N/A,FALSE,"WELDER.XLS"}</definedName>
    <definedName name="vitgfh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jdi">{#N/A,#N/A,FALSE,"COVER1.XLS ";#N/A,#N/A,FALSE,"RACT1.XLS";#N/A,#N/A,FALSE,"RACT2.XLS";#N/A,#N/A,FALSE,"ECCMP";#N/A,#N/A,FALSE,"WELDER.XLS"}</definedName>
    <definedName name="vjvtguj">{#N/A,#N/A,FALSE,"COVER1.XLS ";#N/A,#N/A,FALSE,"RACT1.XLS";#N/A,#N/A,FALSE,"RACT2.XLS";#N/A,#N/A,FALSE,"ECCMP";#N/A,#N/A,FALSE,"WELDER.XLS"}</definedName>
    <definedName name="vor">{#N/A,#N/A,FALSE,"COVER.XLS";#N/A,#N/A,FALSE,"RACT1.XLS";#N/A,#N/A,FALSE,"RACT2.XLS";#N/A,#N/A,FALSE,"ECCMP";#N/A,#N/A,FALSE,"WELDER.XLS"}</definedName>
    <definedName name="vs">{#N/A,#N/A,FALSE,"COVER1.XLS ";#N/A,#N/A,FALSE,"RACT1.XLS";#N/A,#N/A,FALSE,"RACT2.XLS";#N/A,#N/A,FALSE,"ECCMP";#N/A,#N/A,FALSE,"WELDER.XLS"}</definedName>
    <definedName name="vsd">{#N/A,#N/A,FALSE,"17MAY";#N/A,#N/A,FALSE,"24MAY"}</definedName>
    <definedName name="vsdsdv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sv">{#N/A,#N/A,FALSE,"17MAY";#N/A,#N/A,FALSE,"24MAY"}</definedName>
    <definedName name="vv">{#N/A,#N/A,FALSE,"COVER1.XLS ";#N/A,#N/A,FALSE,"RACT1.XLS";#N/A,#N/A,FALSE,"RACT2.XLS";#N/A,#N/A,FALSE,"ECCMP";#N/A,#N/A,FALSE,"WELDER.XLS"}</definedName>
    <definedName name="vvgtreyuikbg">{#N/A,#N/A,FALSE,"COVER1.XLS ";#N/A,#N/A,FALSE,"RACT1.XLS";#N/A,#N/A,FALSE,"RACT2.XLS";#N/A,#N/A,FALSE,"ECCMP";#N/A,#N/A,FALSE,"WELDER.XLS"}</definedName>
    <definedName name="vvvvvv">{#N/A,#N/A,FALSE,"COVER.XLS";#N/A,#N/A,FALSE,"RACT1.XLS";#N/A,#N/A,FALSE,"RACT2.XLS";#N/A,#N/A,FALSE,"ECCMP";#N/A,#N/A,FALSE,"WELDER.XLS"}</definedName>
    <definedName name="vvvvvvvvvvvvvvvv">{#N/A,#N/A,FALSE,"COVER1.XLS ";#N/A,#N/A,FALSE,"RACT1.XLS";#N/A,#N/A,FALSE,"RACT2.XLS";#N/A,#N/A,FALSE,"ECCMP";#N/A,#N/A,FALSE,"WELDER.XLS"}</definedName>
    <definedName name="wa">{#N/A,#N/A,FALSE,"COVER1.XLS ";#N/A,#N/A,FALSE,"RACT1.XLS";#N/A,#N/A,FALSE,"RACT2.XLS";#N/A,#N/A,FALSE,"ECCMP";#N/A,#N/A,FALSE,"WELDER.XLS"}</definedName>
    <definedName name="waaa">{#N/A,#N/A,FALSE,"COVER1.XLS ";#N/A,#N/A,FALSE,"RACT1.XLS";#N/A,#N/A,FALSE,"RACT2.XLS";#N/A,#N/A,FALSE,"ECCMP";#N/A,#N/A,FALSE,"WELDER.XLS"}</definedName>
    <definedName name="waadsfg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adfgg">{#N/A,#N/A,FALSE,"COVER1.XLS ";#N/A,#N/A,FALSE,"RACT1.XLS";#N/A,#N/A,FALSE,"RACT2.XLS";#N/A,#N/A,FALSE,"ECCMP";#N/A,#N/A,FALSE,"WELDER.XLS"}</definedName>
    <definedName name="waeer">{#N/A,#N/A,FALSE,"COVER1.XLS ";#N/A,#N/A,FALSE,"RACT1.XLS";#N/A,#N/A,FALSE,"RACT2.XLS";#N/A,#N/A,FALSE,"ECCMP";#N/A,#N/A,FALSE,"WELDER.XLS"}</definedName>
    <definedName name="waeerrtyyu">{#N/A,#N/A,FALSE,"COVER1.XLS ";#N/A,#N/A,FALSE,"RACT1.XLS";#N/A,#N/A,FALSE,"RACT2.XLS";#N/A,#N/A,FALSE,"ECCMP";#N/A,#N/A,FALSE,"WELDER.XLS"}</definedName>
    <definedName name="waen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aeqsderr">{#N/A,#N/A,FALSE,"COVER1.XLS ";#N/A,#N/A,FALSE,"RACT1.XLS";#N/A,#N/A,FALSE,"RACT2.XLS";#N/A,#N/A,FALSE,"ECCMP";#N/A,#N/A,FALSE,"WELDER.XLS"}</definedName>
    <definedName name="waerds">{#N/A,#N/A,FALSE,"COVER1.XLS ";#N/A,#N/A,FALSE,"RACT1.XLS";#N/A,#N/A,FALSE,"RACT2.XLS";#N/A,#N/A,FALSE,"ECCMP";#N/A,#N/A,FALSE,"WELDER.XLS"}</definedName>
    <definedName name="waerfdd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aewdfh">{#N/A,#N/A,FALSE,"COVER1.XLS ";#N/A,#N/A,FALSE,"RACT1.XLS";#N/A,#N/A,FALSE,"RACT2.XLS";#N/A,#N/A,FALSE,"ECCMP";#N/A,#N/A,FALSE,"WELDER.XLS"}</definedName>
    <definedName name="walkthrough">{"'Eng (page2)'!$A$1:$D$52"}</definedName>
    <definedName name="wa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app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ara">{#N/A,#N/A,FALSE,"17MAY";#N/A,#N/A,FALSE,"24MAY"}</definedName>
    <definedName name="wasdde">{#N/A,#N/A,FALSE,"COVER1.XLS ";#N/A,#N/A,FALSE,"RACT1.XLS";#N/A,#N/A,FALSE,"RACT2.XLS";#N/A,#N/A,FALSE,"ECCMP";#N/A,#N/A,FALSE,"WELDER.XLS"}</definedName>
    <definedName name="wasdfggyuyjhjhk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asdrf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asdthj">{#N/A,#N/A,FALSE,"COVER.XLS";#N/A,#N/A,FALSE,"RACT1.XLS";#N/A,#N/A,FALSE,"RACT2.XLS";#N/A,#N/A,FALSE,"ECCMP";#N/A,#N/A,FALSE,"WELDER.XLS"}</definedName>
    <definedName name="wasee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aseffdgjjhj">{#N/A,#N/A,FALSE,"COVER1.XLS ";#N/A,#N/A,FALSE,"RACT1.XLS";#N/A,#N/A,FALSE,"RACT2.XLS";#N/A,#N/A,FALSE,"ECCMP";#N/A,#N/A,FALSE,"WELDER.XLS"}</definedName>
    <definedName name="wasfgfgg">{#N/A,#N/A,FALSE,"COVER.XLS";#N/A,#N/A,FALSE,"RACT1.XLS";#N/A,#N/A,FALSE,"RACT2.XLS";#N/A,#N/A,FALSE,"ECCMP";#N/A,#N/A,FALSE,"WELDER.XLS"}</definedName>
    <definedName name="wat">{#N/A,#N/A,FALSE,"COVER1.XLS ";#N/A,#N/A,FALSE,"RACT1.XLS";#N/A,#N/A,FALSE,"RACT2.XLS";#N/A,#N/A,FALSE,"ECCMP";#N/A,#N/A,FALSE,"WELDER.XLS"}</definedName>
    <definedName name="wax">{#N/A,#N/A,FALSE,"17MAY";#N/A,#N/A,FALSE,"24MAY"}</definedName>
    <definedName name="WCY">{"'Eng (page2)'!$A$1:$D$52"}</definedName>
    <definedName name="wddgtuukj">{#N/A,#N/A,FALSE,"COVER1.XLS ";#N/A,#N/A,FALSE,"RACT1.XLS";#N/A,#N/A,FALSE,"RACT2.XLS";#N/A,#N/A,FALSE,"ECCMP";#N/A,#N/A,FALSE,"WELDER.XLS"}</definedName>
    <definedName name="wdsioo">{#N/A,#N/A,FALSE,"COVER1.XLS ";#N/A,#N/A,FALSE,"RACT1.XLS";#N/A,#N/A,FALSE,"RACT2.XLS";#N/A,#N/A,FALSE,"ECCMP";#N/A,#N/A,FALSE,"WELDER.XLS"}</definedName>
    <definedName name="wedccojkl">{#N/A,#N/A,FALSE,"17MAY";#N/A,#N/A,FALSE,"24MAY"}</definedName>
    <definedName name="we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eeee">{#N/A,#N/A,FALSE,"17MAY";#N/A,#N/A,FALSE,"24MAY"}</definedName>
    <definedName name="ween">{#N/A,#N/A,FALSE,"COVER1.XLS ";#N/A,#N/A,FALSE,"RACT1.XLS";#N/A,#N/A,FALSE,"RACT2.XLS";#N/A,#N/A,FALSE,"ECCMP";#N/A,#N/A,FALSE,"WELDER.XLS"}</definedName>
    <definedName name="wer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ertfgd">{#N/A,#N/A,FALSE,"COVER1.XLS ";#N/A,#N/A,FALSE,"RACT1.XLS";#N/A,#N/A,FALSE,"RACT2.XLS";#N/A,#N/A,FALSE,"ECCMP";#N/A,#N/A,FALSE,"WELDER.XLS"}</definedName>
    <definedName name="wertyuiop">{#N/A,#N/A,FALSE,"COVER1.XLS ";#N/A,#N/A,FALSE,"RACT1.XLS";#N/A,#N/A,FALSE,"RACT2.XLS";#N/A,#N/A,FALSE,"ECCMP";#N/A,#N/A,FALSE,"WELDER.XLS"}</definedName>
    <definedName name="wetr">{#N/A,#N/A,FALSE,"COVER1.XLS ";#N/A,#N/A,FALSE,"RACT1.XLS";#N/A,#N/A,FALSE,"RACT2.XLS";#N/A,#N/A,FALSE,"ECCMP";#N/A,#N/A,FALSE,"WELDER.XLS"}</definedName>
    <definedName name="wfffss">{#N/A,#N/A,FALSE,"17MAY";#N/A,#N/A,FALSE,"24MAY"}</definedName>
    <definedName name="wgegewg">{#N/A,#N/A,FALSE,"COVER1.XLS ";#N/A,#N/A,FALSE,"RACT1.XLS";#N/A,#N/A,FALSE,"RACT2.XLS";#N/A,#N/A,FALSE,"ECCMP";#N/A,#N/A,FALSE,"WELDER.XLS"}</definedName>
    <definedName name="whoi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h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ine">{#N/A,#N/A,FALSE,"17MAY";#N/A,#N/A,FALSE,"24MAY"}</definedName>
    <definedName name="wjkej">{#N/A,#N/A,FALSE,"COVER.XLS";#N/A,#N/A,FALSE,"RACT1.XLS";#N/A,#N/A,FALSE,"RACT2.XLS";#N/A,#N/A,FALSE,"ECCMP";#N/A,#N/A,FALSE,"WELDER.XLS"}</definedName>
    <definedName name="wmku">{#N/A,#N/A,FALSE,"COVER.XLS";#N/A,#N/A,FALSE,"RACT1.XLS";#N/A,#N/A,FALSE,"RACT2.XLS";#N/A,#N/A,FALSE,"ECCMP";#N/A,#N/A,FALSE,"WELDER.XLS"}</definedName>
    <definedName name="wn">{#N/A,#N/A,FALSE,"COVER1.XLS ";#N/A,#N/A,FALSE,"RACT1.XLS";#N/A,#N/A,FALSE,"RACT2.XLS";#N/A,#N/A,FALSE,"ECCMP";#N/A,#N/A,FALSE,"WELDER.XLS"}</definedName>
    <definedName name="womohik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orn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qwqw">{"cashflow",#N/A,FALSE,"cash flow"}</definedName>
    <definedName name="wrety">{#N/A,#N/A,FALSE,"COVER.XLS";#N/A,#N/A,FALSE,"RACT1.XLS";#N/A,#N/A,FALSE,"RACT2.XLS";#N/A,#N/A,FALSE,"ECCMP";#N/A,#N/A,FALSE,"WELDER.XLS"}</definedName>
    <definedName name="wreutyy">{#N/A,#N/A,FALSE,"17MAY";#N/A,#N/A,FALSE,"24MAY"}</definedName>
    <definedName name="wrgvsdvdv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jkflsdjlguweiorfkdjroweujfd">{#N/A,#N/A,FALSE,"COVER1.XLS ";#N/A,#N/A,FALSE,"RACT1.XLS";#N/A,#N/A,FALSE,"RACT2.XLS";#N/A,#N/A,FALSE,"ECCMP";#N/A,#N/A,FALSE,"WELDER.XLS"}</definedName>
    <definedName name="wrl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>{#N/A,#N/A,FALSE,"17MAY";#N/A,#N/A,FALSE,"24MAY"}</definedName>
    <definedName name="wrn.2.2">{#N/A,#N/A,FALSE,"17MAY";#N/A,#N/A,FALSE,"24MAY"}</definedName>
    <definedName name="wrn.A.">{#N/A,#N/A,TRUE,"SUM";#N/A,#N/A,TRUE,"EE";#N/A,#N/A,TRUE,"AC";#N/A,#N/A,TRUE,"SN"}</definedName>
    <definedName name="wrn.Accounts._.schedules.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ll._.schedules.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print.">{"profit",#N/A,FALSE,"P&amp;L";"cap",#N/A,FALSE,"Capital";"cash",#N/A,FALSE,"Cash Flow";"bs",#N/A,FALSE,"Bal Sheet"}</definedName>
    <definedName name="wrn.balsheet.">{#N/A,#N/A,FALSE,"Bal Sheet"}</definedName>
    <definedName name="wrn.BILLS._.OF._.QUANTITY.">{#N/A,#N/A,TRUE,"Str.";#N/A,#N/A,TRUE,"Steel &amp; Roof";#N/A,#N/A,TRUE,"Arc.";#N/A,#N/A,TRUE,"Preliminary";#N/A,#N/A,TRUE,"Sum_Prelim"}</definedName>
    <definedName name="wrn.Board._.Report.">{#N/A,#N/A,FALSE,"p&amp;l sum";#N/A,#N/A,FALSE,"mth comment";#N/A,#N/A,FALSE,"ytd comment";#N/A,#N/A,FALSE,"p&amp;l";#N/A,#N/A,FALSE,"summary";#N/A,#N/A,FALSE,"ElecPerf";#N/A,#N/A,FALSE,"Sales Perf (Allgas)";#N/A,#N/A,FALSE,"ElecMargin";#N/A,#N/A,FALSE,"Segment Profit (Allgas)";#N/A,#N/A,FALSE,"Homesuite Report"}</definedName>
    <definedName name="wrn.capital.">{"cap",#N/A,FALSE,"Capital"}</definedName>
    <definedName name="wrn.cash.">{"cash",#N/A,FALSE,"Cash Flow"}</definedName>
    <definedName name="wrn.Cashflow.">{"cashflow",#N/A,FALSE,"cash flow"}</definedName>
    <definedName name="wrn.comsumable.2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o.">{"conso",#N/A,FALSE,"cash flow"}</definedName>
    <definedName name="wrn.consumabl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BITDA._.Print._.Range.">{"EBITDA Print Range",#N/A,FALSE,"EBITDA"}</definedName>
    <definedName name="wrn.elect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Informe_modelo.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rn.Landscape._.schs.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MgtReport.">{#N/A,#N/A,FALSE,"Summary RA";#N/A,#N/A,FALSE,"EleF";#N/A,#N/A,FALSE,"ElefSum";#N/A,#N/A,FALSE,"Elec TOT";#N/A,#N/A,FALSE,"Elec QLD";#N/A,#N/A,FALSE,"Elec SEQ";#N/A,#N/A,FALSE,"Elec ROQ";#N/A,#N/A,FALSE,"Elec INT";#N/A,#N/A,FALSE,"Elec NSW";#N/A,#N/A,FALSE,"Elec VIC";#N/A,#N/A,FALSE,"TOT SEQ";#N/A,#N/A,FALSE,"NGF";#N/A,#N/A,FALSE,"NGC SEQ";#N/A,#N/A,FALSE,"NGC TOT";#N/A,#N/A,FALSE,"NGC ROQ";#N/A,#N/A,FALSE,"NGC INT";#N/A,#N/A,FALSE,"NGC NSW";#N/A,#N/A,FALSE,"NGC VIC";#N/A,#N/A,FALSE,"LPG";#N/A,#N/A,FALSE,"vap2";#N/A,#N/A,FALSE,"vap"}</definedName>
    <definedName name="wrn.Physical._.Count._.Securities.">{"Physical Count Securities",#N/A,FALSE,"BFIT B&amp;D Valuation"}</definedName>
    <definedName name="wrn.pipin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.">{"profit",#N/A,FALSE,"P&amp;L"}</definedName>
    <definedName name="wrn.PL._.trend.">{"Jan-June",#N/A,FALSE,"Sheet4";"Jul-Dec",#N/A,FALSE,"Sheet4"}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>{#N/A,#N/A,FALSE,"COVER.XLS";#N/A,#N/A,FALSE,"RACT1.XLS";#N/A,#N/A,FALSE,"RACT2.XLS";#N/A,#N/A,FALSE,"ECCMP";#N/A,#N/A,FALSE,"WELDER.XLS"}</definedName>
    <definedName name="wrn.RPLINS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ection._.D.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um">{#N/A,#N/A,FALSE,"COVER1.XLS ";#N/A,#N/A,FALSE,"RACT1.XLS";#N/A,#N/A,FALSE,"RACT2.XLS";#N/A,#N/A,FALSE,"ECCMP";#N/A,#N/A,FALSE,"WELDER.XLS"}</definedName>
    <definedName name="wrn.summ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ax._.schedules.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1.opm">{"Index",#N/A,FALSE,"Header Pages";"Commercial Header",#N/A,FALSE,"Header Pages";"Staff Header",#N/A,FALSE,"Header Pages";"Staff Page 1",#N/A,FALSE,"Employee Safety";"Staff Page 2",#N/A,FALSE,"Sales";"Staff Page 3",#N/A,FALSE,"Productivity";"Customer Header",#N/A,FALSE,"Header Pages";"Customer Page 1",#N/A,FALSE,"Service Quality";"Customer Page 2",#N/A,FALSE,"Price, Corporate";"Customer Page 3",#N/A,FALSE,"Customer Numbers";"Customer Page 4",#N/A,FALSE,"Product Quality";"Improvement Header",#N/A,FALSE,"Header Pages";"Improvement Page 1",#N/A,FALSE,"Safety";"Improvement Page 2",#N/A,FALSE,"Demand"}</definedName>
    <definedName name="wrn2.3">{#N/A,#N/A,FALSE,"17MAY";#N/A,#N/A,FALSE,"24MAY"}</definedName>
    <definedName name="wrn2.allprint">{"profit",#N/A,FALSE,"P&amp;L";"cap",#N/A,FALSE,"Capital";"cash",#N/A,FALSE,"Cash Flow";"bs",#N/A,FALSE,"Bal Sheet"}</definedName>
    <definedName name="wrndkd">{#N/A,#N/A,FALSE,"17MAY";#N/A,#N/A,FALSE,"24MAY"}</definedName>
    <definedName name="wrnypyoh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rr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vavFAWRG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sadet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sasd">{#N/A,#N/A,FALSE,"COVER1.XLS ";#N/A,#N/A,FALSE,"RACT1.XLS";#N/A,#N/A,FALSE,"RACT2.XLS";#N/A,#N/A,FALSE,"ECCMP";#N/A,#N/A,FALSE,"WELDER.XLS"}</definedName>
    <definedName name="wsedry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sessws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sfwff">{#N/A,#N/A,FALSE,"COVER.XLS";#N/A,#N/A,FALSE,"RACT1.XLS";#N/A,#N/A,FALSE,"RACT2.XLS";#N/A,#N/A,FALSE,"ECCMP";#N/A,#N/A,FALSE,"WELDER.XLS"}</definedName>
    <definedName name="ws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uohjl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wqq">{"cashflow",#N/A,FALSE,"cash flow"}</definedName>
    <definedName name="www">{#N/A,#N/A,FALSE,"17MAY";#N/A,#N/A,FALSE,"24MAY"}</definedName>
    <definedName name="wwwwwwwwww">{#N/A,#N/A,FALSE,"17MAY";#N/A,#N/A,FALSE,"24MAY"}</definedName>
    <definedName name="x">{#N/A,#N/A,FALSE,"COVER.XLS";#N/A,#N/A,FALSE,"RACT1.XLS";#N/A,#N/A,FALSE,"RACT2.XLS";#N/A,#N/A,FALSE,"ECCMP";#N/A,#N/A,FALSE,"WELDER.XLS"}</definedName>
    <definedName name="xa">{#N/A,#N/A,FALSE,"COVER1.XLS ";#N/A,#N/A,FALSE,"RACT1.XLS";#N/A,#N/A,FALSE,"RACT2.XLS";#N/A,#N/A,FALSE,"ECCMP";#N/A,#N/A,FALSE,"WELDER.XLS"}</definedName>
    <definedName name="xaxa">{"cashflow",#N/A,FALSE,"cash flow"}</definedName>
    <definedName name="xaxasa">{"cashflow",#N/A,FALSE,"cash flow"}</definedName>
    <definedName name="xaxax">{"cashflow",#N/A,FALSE,"cash flow"}</definedName>
    <definedName name="xazz">{"cashflow",#N/A,FALSE,"cash flow"}</definedName>
    <definedName name="xbdfxbdfbd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cdf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csdrf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CZZC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dertcfvu">{#N/A,#N/A,FALSE,"COVER1.XLS ";#N/A,#N/A,FALSE,"RACT1.XLS";#N/A,#N/A,FALSE,"RACT2.XLS";#N/A,#N/A,FALSE,"ECCMP";#N/A,#N/A,FALSE,"WELDER.XLS"}</definedName>
    <definedName name="xiukojf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REF_COLUMN_1" localSheetId="1">#REF!</definedName>
    <definedName name="XREF_COLUMN_1">#REF!</definedName>
    <definedName name="XRefColumnsCount">1</definedName>
    <definedName name="XRefCopy1" localSheetId="1">'[3]Wkgs_BS Lead'!#REF!</definedName>
    <definedName name="XRefCopy1">'[3]Wkgs_BS Lead'!#REF!</definedName>
    <definedName name="XRefCopyRangeCount">1</definedName>
    <definedName name="xsaaazdsdf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sadfhm">{#N/A,#N/A,FALSE,"17MAY";#N/A,#N/A,FALSE,"24MAY"}</definedName>
    <definedName name="xsazzz">{#N/A,#N/A,FALSE,"COVER1.XLS ";#N/A,#N/A,FALSE,"RACT1.XLS";#N/A,#N/A,FALSE,"RACT2.XLS";#N/A,#N/A,FALSE,"ECCMP";#N/A,#N/A,FALSE,"WELDER.XLS"}</definedName>
    <definedName name="xsdddswasd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sder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xxx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xxxxx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xxxxxxxxxxxxx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xxxxxxxxxxxxxxxxxx">{#N/A,#N/A,FALSE,"COVER.XLS";#N/A,#N/A,FALSE,"RACT1.XLS";#N/A,#N/A,FALSE,"RACT2.XLS";#N/A,#N/A,FALSE,"ECCMP";#N/A,#N/A,FALSE,"WELDER.XLS"}</definedName>
    <definedName name="xzsasdfyugy">{#N/A,#N/A,FALSE,"COVER.XLS";#N/A,#N/A,FALSE,"RACT1.XLS";#N/A,#N/A,FALSE,"RACT2.XLS";#N/A,#N/A,FALSE,"ECCMP";#N/A,#N/A,FALSE,"WELDER.XLS"}</definedName>
    <definedName name="xzsfhjkooijuhj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y4i">{#N/A,#N/A,FALSE,"COVER.XLS";#N/A,#N/A,FALSE,"RACT1.XLS";#N/A,#N/A,FALSE,"RACT2.XLS";#N/A,#N/A,FALSE,"ECCMP";#N/A,#N/A,FALSE,"WELDER.XLS"}</definedName>
    <definedName name="y5kj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7uik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yd">{#N/A,#N/A,FALSE,"COVER1.XLS ";#N/A,#N/A,FALSE,"RACT1.XLS";#N/A,#N/A,FALSE,"RACT2.XLS";#N/A,#N/A,FALSE,"ECCMP";#N/A,#N/A,FALSE,"WELDER.XLS"}</definedName>
    <definedName name="ydtye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ee">{#N/A,#N/A,FALSE,"COVER.XLS";#N/A,#N/A,FALSE,"RACT1.XLS";#N/A,#N/A,FALSE,"RACT2.XLS";#N/A,#N/A,FALSE,"ECCMP";#N/A,#N/A,FALSE,"WELDER.XLS"}</definedName>
    <definedName name="yert7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yertdf">{#N/A,#N/A,FALSE,"17MAY";#N/A,#N/A,FALSE,"24MAY"}</definedName>
    <definedName name="yes">{#N/A,#N/A,FALSE,"COVER1.XLS ";#N/A,#N/A,FALSE,"RACT1.XLS";#N/A,#N/A,FALSE,"RACT2.XLS";#N/A,#N/A,FALSE,"ECCMP";#N/A,#N/A,FALSE,"WELDER.XLS"}</definedName>
    <definedName name="yeujyt">{#N/A,#N/A,FALSE,"COVER.XLS";#N/A,#N/A,FALSE,"RACT1.XLS";#N/A,#N/A,FALSE,"RACT2.XLS";#N/A,#N/A,FALSE,"ECCMP";#N/A,#N/A,FALSE,"WELDER.XLS"}</definedName>
    <definedName name="yeyur">{#N/A,#N/A,FALSE,"COVER1.XLS ";#N/A,#N/A,FALSE,"RACT1.XLS";#N/A,#N/A,FALSE,"RACT2.XLS";#N/A,#N/A,FALSE,"ECCMP";#N/A,#N/A,FALSE,"WELDER.XLS"}</definedName>
    <definedName name="yf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gg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yhjuo">{#N/A,#N/A,FALSE,"COVER1.XLS ";#N/A,#N/A,FALSE,"RACT1.XLS";#N/A,#N/A,FALSE,"RACT2.XLS";#N/A,#N/A,FALSE,"ECCMP";#N/A,#N/A,FALSE,"WELDER.XLS"}</definedName>
    <definedName name="yi5uy">{#N/A,#N/A,FALSE,"COVER1.XLS ";#N/A,#N/A,FALSE,"RACT1.XLS";#N/A,#N/A,FALSE,"RACT2.XLS";#N/A,#N/A,FALSE,"ECCMP";#N/A,#N/A,FALSE,"WELDER.XLS"}</definedName>
    <definedName name="yiirru8r">{#N/A,#N/A,FALSE,"COVER.XLS";#N/A,#N/A,FALSE,"RACT1.XLS";#N/A,#N/A,FALSE,"RACT2.XLS";#N/A,#N/A,FALSE,"ECCMP";#N/A,#N/A,FALSE,"WELDER.XLS"}</definedName>
    <definedName name="yiri">{#N/A,#N/A,FALSE,"COVER.XLS";#N/A,#N/A,FALSE,"RACT1.XLS";#N/A,#N/A,FALSE,"RACT2.XLS";#N/A,#N/A,FALSE,"ECCMP";#N/A,#N/A,FALSE,"WELDER.XLS"}</definedName>
    <definedName name="yitjuop9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jigfdrty">{#N/A,#N/A,FALSE,"COVER1.XLS ";#N/A,#N/A,FALSE,"RACT1.XLS";#N/A,#N/A,FALSE,"RACT2.XLS";#N/A,#N/A,FALSE,"ECCMP";#N/A,#N/A,FALSE,"WELDER.XLS"}</definedName>
    <definedName name="yjyt">{#N/A,#N/A,FALSE,"COVER1.XLS ";#N/A,#N/A,FALSE,"RACT1.XLS";#N/A,#N/A,FALSE,"RACT2.XLS";#N/A,#N/A,FALSE,"ECCMP";#N/A,#N/A,FALSE,"WELDER.XLS"}</definedName>
    <definedName name="yjyukjhkt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kktyidyj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yllyuklk">{#N/A,#N/A,FALSE,"COVER1.XLS ";#N/A,#N/A,FALSE,"RACT1.XLS";#N/A,#N/A,FALSE,"RACT2.XLS";#N/A,#N/A,FALSE,"ECCMP";#N/A,#N/A,FALSE,"WELDER.XLS"}</definedName>
    <definedName name="yloyo">{#N/A,#N/A,FALSE,"COVER1.XLS ";#N/A,#N/A,FALSE,"RACT1.XLS";#N/A,#N/A,FALSE,"RACT2.XLS";#N/A,#N/A,FALSE,"ECCMP";#N/A,#N/A,FALSE,"WELDER.XLS"}</definedName>
    <definedName name="yo">{#N/A,#N/A,FALSE,"COVER1.XLS ";#N/A,#N/A,FALSE,"RACT1.XLS";#N/A,#N/A,FALSE,"RACT2.XLS";#N/A,#N/A,FALSE,"ECCMP";#N/A,#N/A,FALSE,"WELDER.XLS"}</definedName>
    <definedName name="yok">{#N/A,#N/A,FALSE,"COVER.XLS";#N/A,#N/A,FALSE,"RACT1.XLS";#N/A,#N/A,FALSE,"RACT2.XLS";#N/A,#N/A,FALSE,"ECCMP";#N/A,#N/A,FALSE,"WELDER.XLS"}</definedName>
    <definedName name="yoo">{#N/A,#N/A,FALSE,"COVER1.XLS ";#N/A,#N/A,FALSE,"RACT1.XLS";#N/A,#N/A,FALSE,"RACT2.XLS";#N/A,#N/A,FALSE,"ECCMP";#N/A,#N/A,FALSE,"WELDER.XLS"}</definedName>
    <definedName name="Yoot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yoppgup">{#N/A,#N/A,FALSE,"COVER1.XLS ";#N/A,#N/A,FALSE,"RACT1.XLS";#N/A,#N/A,FALSE,"RACT2.XLS";#N/A,#N/A,FALSE,"ECCMP";#N/A,#N/A,FALSE,"WELDER.XLS"}</definedName>
    <definedName name="yothin">{#N/A,#N/A,FALSE,"COVER1.XLS ";#N/A,#N/A,FALSE,"RACT1.XLS";#N/A,#N/A,FALSE,"RACT2.XLS";#N/A,#N/A,FALSE,"ECCMP";#N/A,#N/A,FALSE,"WELDER.XLS"}</definedName>
    <definedName name="yothin1">{#N/A,#N/A,FALSE,"COVER1.XLS ";#N/A,#N/A,FALSE,"RACT1.XLS";#N/A,#N/A,FALSE,"RACT2.XLS";#N/A,#N/A,FALSE,"ECCMP";#N/A,#N/A,FALSE,"WELDER.XLS"}</definedName>
    <definedName name="yr5ij6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yrfhfgjh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yrrrrr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rt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yrtifn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ruth">{#N/A,#N/A,FALSE,"COVER.XLS";#N/A,#N/A,FALSE,"RACT1.XLS";#N/A,#N/A,FALSE,"RACT2.XLS";#N/A,#N/A,FALSE,"ECCMP";#N/A,#N/A,FALSE,"WELDER.XLS"}</definedName>
    <definedName name="yruyruyrury">{#N/A,#N/A,FALSE,"COVER1.XLS ";#N/A,#N/A,FALSE,"RACT1.XLS";#N/A,#N/A,FALSE,"RACT2.XLS";#N/A,#N/A,FALSE,"ECCMP";#N/A,#N/A,FALSE,"WELDER.XLS"}</definedName>
    <definedName name="ythgj">{#N/A,#N/A,FALSE,"COVER.XLS";#N/A,#N/A,FALSE,"RACT1.XLS";#N/A,#N/A,FALSE,"RACT2.XLS";#N/A,#N/A,FALSE,"ECCMP";#N/A,#N/A,FALSE,"WELDER.XLS"}</definedName>
    <definedName name="ythy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ytkj">{#N/A,#N/A,FALSE,"COVER1.XLS ";#N/A,#N/A,FALSE,"RACT1.XLS";#N/A,#N/A,FALSE,"RACT2.XLS";#N/A,#N/A,FALSE,"ECCMP";#N/A,#N/A,FALSE,"WELDER.XLS"}</definedName>
    <definedName name="ytrh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tttoi">{#N/A,#N/A,FALSE,"COVER1.XLS ";#N/A,#N/A,FALSE,"RACT1.XLS";#N/A,#N/A,FALSE,"RACT2.XLS";#N/A,#N/A,FALSE,"ECCMP";#N/A,#N/A,FALSE,"WELDER.XLS"}</definedName>
    <definedName name="ytuhu">{#N/A,#N/A,FALSE,"COVER1.XLS ";#N/A,#N/A,FALSE,"RACT1.XLS";#N/A,#N/A,FALSE,"RACT2.XLS";#N/A,#N/A,FALSE,"ECCMP";#N/A,#N/A,FALSE,"WELDER.XLS"}</definedName>
    <definedName name="ytui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yuetyry">{#N/A,#N/A,FALSE,"COVER.XLS";#N/A,#N/A,FALSE,"RACT1.XLS";#N/A,#N/A,FALSE,"RACT2.XLS";#N/A,#N/A,FALSE,"ECCMP";#N/A,#N/A,FALSE,"WELDER.XLS"}</definedName>
    <definedName name="yuhjdgyhjh">{#N/A,#N/A,FALSE,"COVER1.XLS ";#N/A,#N/A,FALSE,"RACT1.XLS";#N/A,#N/A,FALSE,"RACT2.XLS";#N/A,#N/A,FALSE,"ECCMP";#N/A,#N/A,FALSE,"WELDER.XLS"}</definedName>
    <definedName name="yuhuyu">{#N/A,#N/A,FALSE,"COVER1.XLS ";#N/A,#N/A,FALSE,"RACT1.XLS";#N/A,#N/A,FALSE,"RACT2.XLS";#N/A,#N/A,FALSE,"ECCMP";#N/A,#N/A,FALSE,"WELDER.XLS"}</definedName>
    <definedName name="yui">{#N/A,#N/A,FALSE,"COVER.XLS";#N/A,#N/A,FALSE,"RACT1.XLS";#N/A,#N/A,FALSE,"RACT2.XLS";#N/A,#N/A,FALSE,"ECCMP";#N/A,#N/A,FALSE,"WELDER.XLS"}</definedName>
    <definedName name="yuik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yuit">{#N/A,#N/A,FALSE,"COVER1.XLS ";#N/A,#N/A,FALSE,"RACT1.XLS";#N/A,#N/A,FALSE,"RACT2.XLS";#N/A,#N/A,FALSE,"ECCMP";#N/A,#N/A,FALSE,"WELDER.XLS"}</definedName>
    <definedName name="yurghrgyr">{#N/A,#N/A,FALSE,"COVER.XLS";#N/A,#N/A,FALSE,"RACT1.XLS";#N/A,#N/A,FALSE,"RACT2.XLS";#N/A,#N/A,FALSE,"ECCMP";#N/A,#N/A,FALSE,"WELDER.XLS"}</definedName>
    <definedName name="yurkriri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uryu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utr8t">{#N/A,#N/A,FALSE,"COVER.XLS";#N/A,#N/A,FALSE,"RACT1.XLS";#N/A,#N/A,FALSE,"RACT2.XLS";#N/A,#N/A,FALSE,"ECCMP";#N/A,#N/A,FALSE,"WELDER.XLS"}</definedName>
    <definedName name="YUTRY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yrfhjkj">{#N/A,#N/A,FALSE,"COVER1.XLS ";#N/A,#N/A,FALSE,"RACT1.XLS";#N/A,#N/A,FALSE,"RACT2.XLS";#N/A,#N/A,FALSE,"ECCMP";#N/A,#N/A,FALSE,"WELDER.XLS"}</definedName>
    <definedName name="yyur7irkr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yyhhhgfffgghh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yyuijkkll">{#N/A,#N/A,FALSE,"17MAY";#N/A,#N/A,FALSE,"24MAY"}</definedName>
    <definedName name="yyyy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yyyyyyyyyyyyyy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axa">{"conso",#N/A,FALSE,"cash flow"}</definedName>
    <definedName name="zaza">{"conso",#N/A,FALSE,"cash flow"}</definedName>
    <definedName name="ZXC">{"'Eng (page2)'!$A$1:$D$52"}</definedName>
    <definedName name="zxcv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z">{"cashflow",#N/A,FALSE,"cash flow"}</definedName>
    <definedName name="zzzzz">{#N/A,#N/A,FALSE,"COVER1.XLS ";#N/A,#N/A,FALSE,"RACT1.XLS";#N/A,#N/A,FALSE,"RACT2.XLS";#N/A,#N/A,FALSE,"ECCMP";#N/A,#N/A,FALSE,"WELDER.XLS"}</definedName>
    <definedName name="zzzzzz">{#N/A,#N/A,FALSE,"COVER.XLS";#N/A,#N/A,FALSE,"RACT1.XLS";#N/A,#N/A,FALSE,"RACT2.XLS";#N/A,#N/A,FALSE,"ECCMP";#N/A,#N/A,FALSE,"WELDER.XLS"}</definedName>
    <definedName name="ZZzzzzz">{#N/A,#N/A,FALSE,"COVER1.XLS ";#N/A,#N/A,FALSE,"RACT1.XLS";#N/A,#N/A,FALSE,"RACT2.XLS";#N/A,#N/A,FALSE,"ECCMP";#N/A,#N/A,FALSE,"WELDER.XLS"}</definedName>
    <definedName name="zzzzzzzz">{#N/A,#N/A,FALSE,"COVER1.XLS ";#N/A,#N/A,FALSE,"RACT1.XLS";#N/A,#N/A,FALSE,"RACT2.XLS";#N/A,#N/A,FALSE,"ECCMP";#N/A,#N/A,FALSE,"WELDER.XLS"}</definedName>
    <definedName name="zzzzzzzzz">{#N/A,#N/A,FALSE,"COVER1.XLS ";#N/A,#N/A,FALSE,"RACT1.XLS";#N/A,#N/A,FALSE,"RACT2.XLS";#N/A,#N/A,FALSE,"ECCMP";#N/A,#N/A,FALSE,"WELDER.XLS"}</definedName>
    <definedName name="zzzzzzzzzzzzzz">{#N/A,#N/A,FALSE,"COVER.XLS";#N/A,#N/A,FALSE,"RACT1.XLS";#N/A,#N/A,FALSE,"RACT2.XLS";#N/A,#N/A,FALSE,"ECCMP";#N/A,#N/A,FALSE,"WELDER.XLS"}</definedName>
    <definedName name="zzzzzzzzzzzzzzzzzzzzzzzzzzzzzzzzzzzzzzzzzzzzzzzzzzzzzzzzzzzzzzzzzzzzzzzzzzzzzzzzzzzzzzzzzzzzzzzzzzzzzzzzzzzzz">{#N/A,#N/A,FALSE,"COVER1.XLS ";#N/A,#N/A,FALSE,"RACT1.XLS";#N/A,#N/A,FALSE,"RACT2.XLS";#N/A,#N/A,FALSE,"ECCMP";#N/A,#N/A,FALSE,"WELDER.XLS"}</definedName>
    <definedName name="เกพะหปพห">{#N/A,#N/A,FALSE,"COVER1.XLS ";#N/A,#N/A,FALSE,"RACT1.XLS";#N/A,#N/A,FALSE,"RACT2.XLS";#N/A,#N/A,FALSE,"ECCMP";#N/A,#N/A,FALSE,"WELDER.XLS"}</definedName>
    <definedName name="เกสร">{#N/A,#N/A,FALSE,"COVER1.XLS ";#N/A,#N/A,FALSE,"RACT1.XLS";#N/A,#N/A,FALSE,"RACT2.XLS";#N/A,#N/A,FALSE,"ECCMP";#N/A,#N/A,FALSE,"WELDER.XLS"}</definedName>
    <definedName name="เกห">{#N/A,#N/A,FALSE,"COVER.XLS";#N/A,#N/A,FALSE,"RACT1.XLS";#N/A,#N/A,FALSE,"RACT2.XLS";#N/A,#N/A,FALSE,"ECCMP";#N/A,#N/A,FALSE,"WELDER.XLS"}</definedName>
    <definedName name="เกหเ">{#N/A,#N/A,FALSE,"COVER.XLS";#N/A,#N/A,FALSE,"RACT1.XLS";#N/A,#N/A,FALSE,"RACT2.XLS";#N/A,#N/A,FALSE,"ECCMP";#N/A,#N/A,FALSE,"WELDER.XLS"}</definedName>
    <definedName name="เดก">{#N/A,#N/A,FALSE,"COVER1.XLS ";#N/A,#N/A,FALSE,"RACT1.XLS";#N/A,#N/A,FALSE,"RACT2.XLS";#N/A,#N/A,FALSE,"ECCMP";#N/A,#N/A,FALSE,"WELDER.XLS"}</definedName>
    <definedName name="เดกหด">{#N/A,#N/A,FALSE,"COVER1.XLS ";#N/A,#N/A,FALSE,"RACT1.XLS";#N/A,#N/A,FALSE,"RACT2.XLS";#N/A,#N/A,FALSE,"ECCMP";#N/A,#N/A,FALSE,"WELDER.XLS"}</definedName>
    <definedName name="เดา">{#N/A,#N/A,FALSE,"COVER.XLS";#N/A,#N/A,FALSE,"RACT1.XLS";#N/A,#N/A,FALSE,"RACT2.XLS";#N/A,#N/A,FALSE,"ECCMP";#N/A,#N/A,FALSE,"WELDER.XLS"}</definedName>
    <definedName name="เนก">{#N/A,#N/A,FALSE,"COVER.XLS";#N/A,#N/A,FALSE,"RACT1.XLS";#N/A,#N/A,FALSE,"RACT2.XLS";#N/A,#N/A,FALSE,"ECCMP";#N/A,#N/A,FALSE,"WELDER.XLS"}</definedName>
    <definedName name="เฟหกเ">{#N/A,#N/A,FALSE,"COVER.XLS";#N/A,#N/A,FALSE,"RACT1.XLS";#N/A,#N/A,FALSE,"RACT2.XLS";#N/A,#N/A,FALSE,"ECCMP";#N/A,#N/A,FALSE,"WELDER.XLS"}</definedName>
    <definedName name="เรมสบยง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เวสวว">{#N/A,#N/A,FALSE,"COVER.XLS";#N/A,#N/A,FALSE,"RACT1.XLS";#N/A,#N/A,FALSE,"RACT2.XLS";#N/A,#N/A,FALSE,"ECCMP";#N/A,#N/A,FALSE,"WELDER.XLS"}</definedName>
    <definedName name="เอกสารแนบ">{#N/A,#N/A,FALSE,"COVER1.XLS ";#N/A,#N/A,FALSE,"RACT1.XLS";#N/A,#N/A,FALSE,"RACT2.XLS";#N/A,#N/A,FALSE,"ECCMP";#N/A,#N/A,FALSE,"WELDER.XLS"}</definedName>
    <definedName name="เอกสารแนบ3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แบบ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แป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แปผ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แผ">{#N/A,#N/A,FALSE,"COVER1.XLS ";#N/A,#N/A,FALSE,"RACT1.XLS";#N/A,#N/A,FALSE,"RACT2.XLS";#N/A,#N/A,FALSE,"ECCMP";#N/A,#N/A,FALSE,"WELDER.XLS"}</definedName>
    <definedName name="แหก">{#N/A,#N/A,FALSE,"COVER1.XLS ";#N/A,#N/A,FALSE,"RACT1.XLS";#N/A,#N/A,FALSE,"RACT2.XLS";#N/A,#N/A,FALSE,"ECCMP";#N/A,#N/A,FALSE,"WELDER.XLS"}</definedName>
    <definedName name="โครงการ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ใ">{#N/A,#N/A,FALSE,"COVER.XLS";#N/A,#N/A,FALSE,"RACT1.XLS";#N/A,#N/A,FALSE,"RACT2.XLS";#N/A,#N/A,FALSE,"ECCMP";#N/A,#N/A,FALSE,"WELDER.XLS"}</definedName>
    <definedName name="ในง">{#N/A,#N/A,FALSE,"COVER1.XLS ";#N/A,#N/A,FALSE,"RACT1.XLS";#N/A,#N/A,FALSE,"RACT2.XLS";#N/A,#N/A,FALSE,"ECCMP";#N/A,#N/A,FALSE,"WELDER.XLS"}</definedName>
    <definedName name="ไ">{#N/A,#N/A,FALSE,"COVER.XLS";#N/A,#N/A,FALSE,"RACT1.XLS";#N/A,#N/A,FALSE,"RACT2.XLS";#N/A,#N/A,FALSE,"ECCMP";#N/A,#N/A,FALSE,"WELDER.XLS"}</definedName>
    <definedName name="ไก">{#N/A,#N/A,FALSE,"COVER.XLS";#N/A,#N/A,FALSE,"RACT1.XLS";#N/A,#N/A,FALSE,"RACT2.XLS";#N/A,#N/A,FALSE,"ECCMP";#N/A,#N/A,FALSE,"WELDER.XLS"}</definedName>
    <definedName name="ไกสสบำพน">{#N/A,#N/A,FALSE,"COVER.XLS";#N/A,#N/A,FALSE,"RACT1.XLS";#N/A,#N/A,FALSE,"RACT2.XLS";#N/A,#N/A,FALSE,"ECCMP";#N/A,#N/A,FALSE,"WELDER.XLS"}</definedName>
    <definedName name="ไดเทมใสน">{#N/A,#N/A,FALSE,"COVER.XLS";#N/A,#N/A,FALSE,"RACT1.XLS";#N/A,#N/A,FALSE,"RACT2.XLS";#N/A,#N/A,FALSE,"ECCMP";#N/A,#N/A,FALSE,"WELDER.XLS"}</definedName>
    <definedName name="ไฟหสไย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ไหดฟ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กแกดเ">{#N/A,#N/A,FALSE,"COVER.XLS";#N/A,#N/A,FALSE,"RACT1.XLS";#N/A,#N/A,FALSE,"RACT2.XLS";#N/A,#N/A,FALSE,"ECCMP";#N/A,#N/A,FALSE,"WELDER.XLS"}</definedName>
    <definedName name="กก">{#N/A,#N/A,FALSE,"COVER1.XLS ";#N/A,#N/A,FALSE,"RACT1.XLS";#N/A,#N/A,FALSE,"RACT2.XLS";#N/A,#N/A,FALSE,"ECCMP";#N/A,#N/A,FALSE,"WELDER.XLS"}</definedName>
    <definedName name="กกก">{#N/A,#N/A,FALSE,"COVER.XLS";#N/A,#N/A,FALSE,"RACT1.XLS";#N/A,#N/A,FALSE,"RACT2.XLS";#N/A,#N/A,FALSE,"ECCMP";#N/A,#N/A,FALSE,"WELDER.XLS"}</definedName>
    <definedName name="กกกกก">{#N/A,#N/A,FALSE,"COVER1.XLS ";#N/A,#N/A,FALSE,"RACT1.XLS";#N/A,#N/A,FALSE,"RACT2.XLS";#N/A,#N/A,FALSE,"ECCMP";#N/A,#N/A,FALSE,"WELDER.XLS"}</definedName>
    <definedName name="กด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กดแล" localSheetId="1">#REF!</definedName>
    <definedName name="กดแล">#REF!</definedName>
    <definedName name="กดกกดกด">{#N/A,#N/A,FALSE,"COVER1.XLS ";#N/A,#N/A,FALSE,"RACT1.XLS";#N/A,#N/A,FALSE,"RACT2.XLS";#N/A,#N/A,FALSE,"ECCMP";#N/A,#N/A,FALSE,"WELDER.XLS"}</definedName>
    <definedName name="กดกดกด">{#N/A,#N/A,FALSE,"COVER.XLS";#N/A,#N/A,FALSE,"RACT1.XLS";#N/A,#N/A,FALSE,"RACT2.XLS";#N/A,#N/A,FALSE,"ECCMP";#N/A,#N/A,FALSE,"WELDER.XLS"}</definedName>
    <definedName name="กดดก">{#N/A,#N/A,FALSE,"COVER.XLS";#N/A,#N/A,FALSE,"RACT1.XLS";#N/A,#N/A,FALSE,"RACT2.XLS";#N/A,#N/A,FALSE,"ECCMP";#N/A,#N/A,FALSE,"WELDER.XLS"}</definedName>
    <definedName name="กดดกดกกด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กดฟด">{#N/A,#N/A,FALSE,"COVER.XLS";#N/A,#N/A,FALSE,"RACT1.XLS";#N/A,#N/A,FALSE,"RACT2.XLS";#N/A,#N/A,FALSE,"ECCMP";#N/A,#N/A,FALSE,"WELDER.XLS"}</definedName>
    <definedName name="กดฟอ">{#N/A,#N/A,FALSE,"COVER1.XLS ";#N/A,#N/A,FALSE,"RACT1.XLS";#N/A,#N/A,FALSE,"RACT2.XLS";#N/A,#N/A,FALSE,"ECCMP";#N/A,#N/A,FALSE,"WELDER.XLS"}</definedName>
    <definedName name="กดอ">{#N/A,#N/A,FALSE,"COVER1.XLS ";#N/A,#N/A,FALSE,"RACT1.XLS";#N/A,#N/A,FALSE,"RACT2.XLS";#N/A,#N/A,FALSE,"ECCMP";#N/A,#N/A,FALSE,"WELDER.XLS"}</definedName>
    <definedName name="กทรำรห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กทำพาบไ">{#N/A,#N/A,FALSE,"COVER1.XLS ";#N/A,#N/A,FALSE,"RACT1.XLS";#N/A,#N/A,FALSE,"RACT2.XLS";#N/A,#N/A,FALSE,"ECCMP";#N/A,#N/A,FALSE,"WELDER.XLS"}</definedName>
    <definedName name="กนสกห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กฟ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กมล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กรกฎาคม">{#N/A,#N/A,FALSE,"COVER1.XLS ";#N/A,#N/A,FALSE,"RACT1.XLS";#N/A,#N/A,FALSE,"RACT2.XLS";#N/A,#N/A,FALSE,"ECCMP";#N/A,#N/A,FALSE,"WELDER.XLS"}</definedName>
    <definedName name="กราหก">{#N/A,#N/A,FALSE,"COVER.XLS";#N/A,#N/A,FALSE,"RACT1.XLS";#N/A,#N/A,FALSE,"RACT2.XLS";#N/A,#N/A,FALSE,"ECCMP";#N/A,#N/A,FALSE,"WELDER.XLS"}</definedName>
    <definedName name="กว">{#N/A,#N/A,FALSE,"COVER1.XLS ";#N/A,#N/A,FALSE,"RACT1.XLS";#N/A,#N/A,FALSE,"RACT2.XLS";#N/A,#N/A,FALSE,"ECCMP";#N/A,#N/A,FALSE,"WELDER.XLS"}</definedName>
    <definedName name="กวางทอง">{#N/A,#N/A,FALSE,"COVER.XLS";#N/A,#N/A,FALSE,"RACT1.XLS";#N/A,#N/A,FALSE,"RACT2.XLS";#N/A,#N/A,FALSE,"ECCMP";#N/A,#N/A,FALSE,"WELDER.XLS"}</definedName>
    <definedName name="กสหาหสำพยรนำ">{#N/A,#N/A,FALSE,"COVER.XLS";#N/A,#N/A,FALSE,"RACT1.XLS";#N/A,#N/A,FALSE,"RACT2.XLS";#N/A,#N/A,FALSE,"ECCMP";#N/A,#N/A,FALSE,"WELDER.XLS"}</definedName>
    <definedName name="กสำยรดยำร">{#N/A,#N/A,FALSE,"COVER1.XLS ";#N/A,#N/A,FALSE,"RACT1.XLS";#N/A,#N/A,FALSE,"RACT2.XLS";#N/A,#N/A,FALSE,"ECCMP";#N/A,#N/A,FALSE,"WELDER.XLS"}</definedName>
    <definedName name="กหก">{#N/A,#N/A,FALSE,"COVER.XLS";#N/A,#N/A,FALSE,"RACT1.XLS";#N/A,#N/A,FALSE,"RACT2.XLS";#N/A,#N/A,FALSE,"ECCMP";#N/A,#N/A,FALSE,"WELDER.XLS"}</definedName>
    <definedName name="กอ">{#N/A,#N/A,FALSE,"COVER.XLS";#N/A,#N/A,FALSE,"RACT1.XLS";#N/A,#N/A,FALSE,"RACT2.XLS";#N/A,#N/A,FALSE,"ECCMP";#N/A,#N/A,FALSE,"WELDER.XLS"}</definedName>
    <definedName name="การ" localSheetId="1">#REF!</definedName>
    <definedName name="การ">#REF!</definedName>
    <definedName name="กำไกห">{#N/A,#N/A,FALSE,"COVER1.XLS ";#N/A,#N/A,FALSE,"RACT1.XLS";#N/A,#N/A,FALSE,"RACT2.XLS";#N/A,#N/A,FALSE,"ECCMP";#N/A,#N/A,FALSE,"WELDER.XLS"}</definedName>
    <definedName name="กำหนด">{#N/A,#N/A,FALSE,"COVER.XLS";#N/A,#N/A,FALSE,"RACT1.XLS";#N/A,#N/A,FALSE,"RACT2.XLS";#N/A,#N/A,FALSE,"ECCMP";#N/A,#N/A,FALSE,"WELDER.XLS"}</definedName>
    <definedName name="ฃล">{#N/A,#N/A,FALSE,"COVER1.XLS ";#N/A,#N/A,FALSE,"RACT1.XLS";#N/A,#N/A,FALSE,"RACT2.XLS";#N/A,#N/A,FALSE,"ECCMP";#N/A,#N/A,FALSE,"WELDER.XLS"}</definedName>
    <definedName name="ฆฆฆ">{"'Eng (page2)'!$A$1:$D$52"}</definedName>
    <definedName name="งง" localSheetId="1">#REF!</definedName>
    <definedName name="งง">#REF!</definedName>
    <definedName name="งาน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งานสำราญ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จจจ">{#N/A,#N/A,FALSE,"COVER1.XLS ";#N/A,#N/A,FALSE,"RACT1.XLS";#N/A,#N/A,FALSE,"RACT2.XLS";#N/A,#N/A,FALSE,"ECCMP";#N/A,#N/A,FALSE,"WELDER.XLS"}</definedName>
    <definedName name="ช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ชชช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ฏณษธณฯศษธ">{#N/A,#N/A,FALSE,"17MAY";#N/A,#N/A,FALSE,"24MAY"}</definedName>
    <definedName name="ด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ดเ">{#N/A,#N/A,FALSE,"COVER1.XLS ";#N/A,#N/A,FALSE,"RACT1.XLS";#N/A,#N/A,FALSE,"RACT2.XLS";#N/A,#N/A,FALSE,"ECCMP";#N/A,#N/A,FALSE,"WELDER.XLS"}</definedName>
    <definedName name="ดแกห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ดกเ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ดกกด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ดกดก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ดกดกกดก">{#N/A,#N/A,FALSE,"17MAY";#N/A,#N/A,FALSE,"24MAY"}</definedName>
    <definedName name="ดกดกด">{#N/A,#N/A,FALSE,"COVER1.XLS ";#N/A,#N/A,FALSE,"RACT1.XLS";#N/A,#N/A,FALSE,"RACT2.XLS";#N/A,#N/A,FALSE,"ECCMP";#N/A,#N/A,FALSE,"WELDER.XLS"}</definedName>
    <definedName name="ดกฟหด">{#N/A,#N/A,FALSE,"COVER.XLS";#N/A,#N/A,FALSE,"RACT1.XLS";#N/A,#N/A,FALSE,"RACT2.XLS";#N/A,#N/A,FALSE,"ECCMP";#N/A,#N/A,FALSE,"WELDER.XLS"}</definedName>
    <definedName name="ดกหผ">{#N/A,#N/A,FALSE,"COVER.XLS";#N/A,#N/A,FALSE,"RACT1.XLS";#N/A,#N/A,FALSE,"RACT2.XLS";#N/A,#N/A,FALSE,"ECCMP";#N/A,#N/A,FALSE,"WELDER.XLS"}</definedName>
    <definedName name="ดกอ">{#N/A,#N/A,FALSE,"COVER1.XLS ";#N/A,#N/A,FALSE,"RACT1.XLS";#N/A,#N/A,FALSE,"RACT2.XLS";#N/A,#N/A,FALSE,"ECCMP";#N/A,#N/A,FALSE,"WELDER.XLS"}</definedName>
    <definedName name="ดดเ">{#N/A,#N/A,FALSE,"COVER1.XLS ";#N/A,#N/A,FALSE,"RACT1.XLS";#N/A,#N/A,FALSE,"RACT2.XLS";#N/A,#N/A,FALSE,"ECCMP";#N/A,#N/A,FALSE,"WELDER.XLS"}</definedName>
    <definedName name="ดดดด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ดพ">{#N/A,#N/A,FALSE,"COVER.XLS";#N/A,#N/A,FALSE,"RACT1.XLS";#N/A,#N/A,FALSE,"RACT2.XLS";#N/A,#N/A,FALSE,"ECCMP";#N/A,#N/A,FALSE,"WELDER.XLS"}</definedName>
    <definedName name="ดพพ">{#N/A,#N/A,FALSE,"COVER1.XLS ";#N/A,#N/A,FALSE,"RACT1.XLS";#N/A,#N/A,FALSE,"RACT2.XLS";#N/A,#N/A,FALSE,"ECCMP";#N/A,#N/A,FALSE,"WELDER.XLS"}</definedName>
    <definedName name="ดฟทเ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ดหฟ">{#N/A,#N/A,FALSE,"COVER1.XLS ";#N/A,#N/A,FALSE,"RACT1.XLS";#N/A,#N/A,FALSE,"RACT2.XLS";#N/A,#N/A,FALSE,"ECCMP";#N/A,#N/A,FALSE,"WELDER.XLS"}</definedName>
    <definedName name="ตต">{#N/A,#N/A,FALSE,"COVER.XLS";#N/A,#N/A,FALSE,"RACT1.XLS";#N/A,#N/A,FALSE,"RACT2.XLS";#N/A,#N/A,FALSE,"ECCMP";#N/A,#N/A,FALSE,"WELDER.XLS"}</definedName>
    <definedName name="ตตตตต">{#N/A,#N/A,FALSE,"COVER.XLS";#N/A,#N/A,FALSE,"RACT1.XLS";#N/A,#N/A,FALSE,"RACT2.XLS";#N/A,#N/A,FALSE,"ECCMP";#N/A,#N/A,FALSE,"WELDER.XLS"}</definedName>
    <definedName name="ถ">{#N/A,#N/A,FALSE,"COVER.XLS";#N/A,#N/A,FALSE,"RACT1.XLS";#N/A,#N/A,FALSE,"RACT2.XLS";#N/A,#N/A,FALSE,"ECCMP";#N/A,#N/A,FALSE,"WELDER.XLS"}</definedName>
    <definedName name="ถร">{#N/A,#N/A,FALSE,"COVER1.XLS ";#N/A,#N/A,FALSE,"RACT1.XLS";#N/A,#N/A,FALSE,"RACT2.XLS";#N/A,#N/A,FALSE,"ECCMP";#N/A,#N/A,FALSE,"WELDER.XLS"}</definedName>
    <definedName name="ททททท">{#N/A,#N/A,FALSE,"17MAY";#N/A,#N/A,FALSE,"24MAY"}</definedName>
    <definedName name="ทศพร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นดแ">{#N/A,#N/A,FALSE,"COVER.XLS";#N/A,#N/A,FALSE,"RACT1.XLS";#N/A,#N/A,FALSE,"RACT2.XLS";#N/A,#N/A,FALSE,"ECCMP";#N/A,#N/A,FALSE,"WELDER.XLS"}</definedName>
    <definedName name="นยบ">{"'Eng (page2)'!$A$1:$D$52"}</definedName>
    <definedName name="นรยรา">{#N/A,#N/A,FALSE,"COVER.XLS";#N/A,#N/A,FALSE,"RACT1.XLS";#N/A,#N/A,FALSE,"RACT2.XLS";#N/A,#N/A,FALSE,"ECCMP";#N/A,#N/A,FALSE,"WELDER.XLS"}</definedName>
    <definedName name="บ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บบบบบบ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บรอด">{#N/A,#N/A,FALSE,"COVER.XLS";#N/A,#N/A,FALSE,"RACT1.XLS";#N/A,#N/A,FALSE,"RACT2.XLS";#N/A,#N/A,FALSE,"ECCMP";#N/A,#N/A,FALSE,"WELDER.XLS"}</definedName>
    <definedName name="บลย">{"'Eng (page2)'!$A$1:$D$52"}</definedName>
    <definedName name="ปป">{#N/A,#N/A,FALSE,"17MAY";#N/A,#N/A,FALSE,"24MAY"}</definedName>
    <definedName name="ปปป">{#N/A,#N/A,FALSE,"COVER.XLS";#N/A,#N/A,FALSE,"RACT1.XLS";#N/A,#N/A,FALSE,"RACT2.XLS";#N/A,#N/A,FALSE,"ECCMP";#N/A,#N/A,FALSE,"WELDER.XLS"}</definedName>
    <definedName name="ปปปป" localSheetId="1">#REF!</definedName>
    <definedName name="ปปปป">#REF!</definedName>
    <definedName name="ปผเ">{#N/A,#N/A,FALSE,"COVER1.XLS ";#N/A,#N/A,FALSE,"RACT1.XLS";#N/A,#N/A,FALSE,"RACT2.XLS";#N/A,#N/A,FALSE,"ECCMP";#N/A,#N/A,FALSE,"WELDER.XLS"}</definedName>
    <definedName name="ประทานพร">{#N/A,#N/A,FALSE,"COVER.XLS";#N/A,#N/A,FALSE,"RACT1.XLS";#N/A,#N/A,FALSE,"RACT2.XLS";#N/A,#N/A,FALSE,"ECCMP";#N/A,#N/A,FALSE,"WELDER.XLS"}</definedName>
    <definedName name="ผลงาน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พ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พดอ">{#N/A,#N/A,FALSE,"COVER1.XLS ";#N/A,#N/A,FALSE,"RACT1.XLS";#N/A,#N/A,FALSE,"RACT2.XLS";#N/A,#N/A,FALSE,"ECCMP";#N/A,#N/A,FALSE,"WELDER.XLS"}</definedName>
    <definedName name="พท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พพพพ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พรพนา">{#N/A,#N/A,FALSE,"COVER.XLS";#N/A,#N/A,FALSE,"RACT1.XLS";#N/A,#N/A,FALSE,"RACT2.XLS";#N/A,#N/A,FALSE,"ECCMP";#N/A,#N/A,FALSE,"WELDER.XLS"}</definedName>
    <definedName name="พฤษภาคม">{#N/A,#N/A,FALSE,"COVER.XLS";#N/A,#N/A,FALSE,"RACT1.XLS";#N/A,#N/A,FALSE,"RACT2.XLS";#N/A,#N/A,FALSE,"ECCMP";#N/A,#N/A,FALSE,"WELDER.XLS"}</definedName>
    <definedName name="พสยกำบำบ">{#N/A,#N/A,FALSE,"COVER.XLS";#N/A,#N/A,FALSE,"RACT1.XLS";#N/A,#N/A,FALSE,"RACT2.XLS";#N/A,#N/A,FALSE,"ECCMP";#N/A,#N/A,FALSE,"WELDER.XLS"}</definedName>
    <definedName name="พะไ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ฟ">{"conso",#N/A,FALSE,"cash flow"}</definedName>
    <definedName name="ฟไ">{#N/A,#N/A,FALSE,"COVER1.XLS ";#N/A,#N/A,FALSE,"RACT1.XLS";#N/A,#N/A,FALSE,"RACT2.XLS";#N/A,#N/A,FALSE,"ECCMP";#N/A,#N/A,FALSE,"WELDER.XLS"}</definedName>
    <definedName name="ฟดดฟ">{#N/A,#N/A,FALSE,"COVER.XLS";#N/A,#N/A,FALSE,"RACT1.XLS";#N/A,#N/A,FALSE,"RACT2.XLS";#N/A,#N/A,FALSE,"ECCMP";#N/A,#N/A,FALSE,"WELDER.XLS"}</definedName>
    <definedName name="ฟดอก">{#N/A,#N/A,FALSE,"COVER1.XLS ";#N/A,#N/A,FALSE,"RACT1.XLS";#N/A,#N/A,FALSE,"RACT2.XLS";#N/A,#N/A,FALSE,"ECCMP";#N/A,#N/A,FALSE,"WELDER.XLS"}</definedName>
    <definedName name="ฟฟ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ฟฟฟฟ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ฟฟฟฟฟฟฟฟฟฟฟ">{#N/A,#N/A,FALSE,"COVER1.XLS ";#N/A,#N/A,FALSE,"RACT1.XLS";#N/A,#N/A,FALSE,"RACT2.XLS";#N/A,#N/A,FALSE,"ECCMP";#N/A,#N/A,FALSE,"WELDER.XLS"}</definedName>
    <definedName name="ฟฟฟฟฟฟฟฟฟฟฟฟฟฟฟฟฟฟฟฟฟฟฟฟฟฟฟฟฟฟ">{#N/A,#N/A,FALSE,"COVER.XLS";#N/A,#N/A,FALSE,"RACT1.XLS";#N/A,#N/A,FALSE,"RACT2.XLS";#N/A,#N/A,FALSE,"ECCMP";#N/A,#N/A,FALSE,"WELDER.XLS"}</definedName>
    <definedName name="ฟฟห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ฟหก">{"'Eng (page2)'!$A$1:$D$52"}</definedName>
    <definedName name="ฟหดฟ">{#N/A,#N/A,FALSE,"COVER1.XLS ";#N/A,#N/A,FALSE,"RACT1.XLS";#N/A,#N/A,FALSE,"RACT2.XLS";#N/A,#N/A,FALSE,"ECCMP";#N/A,#N/A,FALSE,"WELDER.XLS"}</definedName>
    <definedName name="ฟหฟ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ฟหหฟ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ฟอดกด">{#N/A,#N/A,FALSE,"COVER1.XLS ";#N/A,#N/A,FALSE,"RACT1.XLS";#N/A,#N/A,FALSE,"RACT2.XLS";#N/A,#N/A,FALSE,"ECCMP";#N/A,#N/A,FALSE,"WELDER.XLS"}</definedName>
    <definedName name="ฟอดฟ">{#N/A,#N/A,FALSE,"COVER.XLS";#N/A,#N/A,FALSE,"RACT1.XLS";#N/A,#N/A,FALSE,"RACT2.XLS";#N/A,#N/A,FALSE,"ECCMP";#N/A,#N/A,FALSE,"WELDER.XLS"}</definedName>
    <definedName name="ฟาง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ภาพรวม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มล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มา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ยบ" localSheetId="1">#REF!</definedName>
    <definedName name="ยบ">#REF!</definedName>
    <definedName name="ยยย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ยยยยย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ยากฟห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รใบสวฝง">{#N/A,#N/A,FALSE,"COVER1.XLS ";#N/A,#N/A,FALSE,"RACT1.XLS";#N/A,#N/A,FALSE,"RACT2.XLS";#N/A,#N/A,FALSE,"ECCMP";#N/A,#N/A,FALSE,"WELDER.XLS"}</definedName>
    <definedName name="รน">{#N/A,#N/A,FALSE,"COVER.XLS";#N/A,#N/A,FALSE,"RACT1.XLS";#N/A,#N/A,FALSE,"RACT2.XLS";#N/A,#N/A,FALSE,"ECCMP";#N/A,#N/A,FALSE,"WELDER.XLS"}</definedName>
    <definedName name="รนนยยย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รภ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รายการ">{#N/A,#N/A,FALSE,"COVER.XLS";#N/A,#N/A,FALSE,"RACT1.XLS";#N/A,#N/A,FALSE,"RACT2.XLS";#N/A,#N/A,FALSE,"ECCMP";#N/A,#N/A,FALSE,"WELDER.XLS"}</definedName>
    <definedName name="ฤฆฏ">{"'Eng (page2)'!$A$1:$D$52"}</definedName>
    <definedName name="ล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ลง">{#N/A,#N/A,FALSE,"COVER1.XLS ";#N/A,#N/A,FALSE,"RACT1.XLS";#N/A,#N/A,FALSE,"RACT2.XLS";#N/A,#N/A,FALSE,"ECCMP";#N/A,#N/A,FALSE,"WELDER.XLS"}</definedName>
    <definedName name="ลลล">{#N/A,#N/A,FALSE,"17MAY";#N/A,#N/A,FALSE,"24MAY"}</definedName>
    <definedName name="ลลลลลลลลลล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ลลลลลลลลลลล">{#N/A,#N/A,FALSE,"17MAY";#N/A,#N/A,FALSE,"24MAY"}</definedName>
    <definedName name="วนนส">{#N/A,#N/A,FALSE,"17MAY";#N/A,#N/A,FALSE,"24MAY"}</definedName>
    <definedName name="วยง">{#N/A,#N/A,FALSE,"COVER1.XLS ";#N/A,#N/A,FALSE,"RACT1.XLS";#N/A,#N/A,FALSE,"RACT2.XLS";#N/A,#N/A,FALSE,"ECCMP";#N/A,#N/A,FALSE,"WELDER.XLS"}</definedName>
    <definedName name="วราพ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วว">{#N/A,#N/A,FALSE,"COVER.XLS";#N/A,#N/A,FALSE,"RACT1.XLS";#N/A,#N/A,FALSE,"RACT2.XLS";#N/A,#N/A,FALSE,"ECCMP";#N/A,#N/A,FALSE,"WELDER.XLS"}</definedName>
    <definedName name="ววส">{#N/A,#N/A,FALSE,"COVER1.XLS ";#N/A,#N/A,FALSE,"RACT1.XLS";#N/A,#N/A,FALSE,"RACT2.XLS";#N/A,#N/A,FALSE,"ECCMP";#N/A,#N/A,FALSE,"WELDER.XLS"}</definedName>
    <definedName name="วส" localSheetId="1">#REF!</definedName>
    <definedName name="วส">#REF!</definedName>
    <definedName name="วาระ5.4">{#N/A,#N/A,FALSE,"COVER.XLS";#N/A,#N/A,FALSE,"RACT1.XLS";#N/A,#N/A,FALSE,"RACT2.XLS";#N/A,#N/A,FALSE,"ECCMP";#N/A,#N/A,FALSE,"WELDER.XLS"}</definedName>
    <definedName name="สกราก">{#N/A,#N/A,FALSE,"COVER.XLS";#N/A,#N/A,FALSE,"RACT1.XLS";#N/A,#N/A,FALSE,"RACT2.XLS";#N/A,#N/A,FALSE,"ECCMP";#N/A,#N/A,FALSE,"WELDER.XLS"}</definedName>
    <definedName name="สการากสว">{#N/A,#N/A,FALSE,"COVER.XLS";#N/A,#N/A,FALSE,"RACT1.XLS";#N/A,#N/A,FALSE,"RACT2.XLS";#N/A,#N/A,FALSE,"ECCMP";#N/A,#N/A,FALSE,"WELDER.XLS"}</definedName>
    <definedName name="สถานะโครงการ">{#N/A,#N/A,FALSE,"COVER.XLS";#N/A,#N/A,FALSE,"RACT1.XLS";#N/A,#N/A,FALSE,"RACT2.XLS";#N/A,#N/A,FALSE,"ECCMP";#N/A,#N/A,FALSE,"WELDER.XLS"}</definedName>
    <definedName name="สมเด">{#N/A,#N/A,FALSE,"COVER1.XLS ";#N/A,#N/A,FALSE,"RACT1.XLS";#N/A,#N/A,FALSE,"RACT2.XLS";#N/A,#N/A,FALSE,"ECCMP";#N/A,#N/A,FALSE,"WELDER.XLS"}</definedName>
    <definedName name="สมสสน">{#N/A,#N/A,FALSE,"COVER.XLS";#N/A,#N/A,FALSE,"RACT1.XLS";#N/A,#N/A,FALSE,"RACT2.XLS";#N/A,#N/A,FALSE,"ECCMP";#N/A,#N/A,FALSE,"WELDER.XLS"}</definedName>
    <definedName name="สร">{#N/A,#N/A,FALSE,"COVER1.XLS ";#N/A,#N/A,FALSE,"RACT1.XLS";#N/A,#N/A,FALSE,"RACT2.XLS";#N/A,#N/A,FALSE,"ECCMP";#N/A,#N/A,FALSE,"WELDER.XLS"}</definedName>
    <definedName name="สส">{#N/A,#N/A,FALSE,"COVER1.XLS ";#N/A,#N/A,FALSE,"RACT1.XLS";#N/A,#N/A,FALSE,"RACT2.XLS";#N/A,#N/A,FALSE,"ECCMP";#N/A,#N/A,FALSE,"WELDER.XLS"}</definedName>
    <definedName name="สสส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สา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สาเ">{#N/A,#N/A,FALSE,"COVER.XLS";#N/A,#N/A,FALSE,"RACT1.XLS";#N/A,#N/A,FALSE,"RACT2.XLS";#N/A,#N/A,FALSE,"ECCMP";#N/A,#N/A,FALSE,"WELDER.XLS"}</definedName>
    <definedName name="สานน">{#N/A,#N/A,FALSE,"COVER1.XLS ";#N/A,#N/A,FALSE,"RACT1.XLS";#N/A,#N/A,FALSE,"RACT2.XLS";#N/A,#N/A,FALSE,"ECCMP";#N/A,#N/A,FALSE,"WELDER.XLS"}</definedName>
    <definedName name="สานนน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สามารถ">{#N/A,#N/A,FALSE,"COVER1.XLS ";#N/A,#N/A,FALSE,"RACT1.XLS";#N/A,#N/A,FALSE,"RACT2.XLS";#N/A,#N/A,FALSE,"ECCMP";#N/A,#N/A,FALSE,"WELDER.XLS"}</definedName>
    <definedName name="สาส">{#N/A,#N/A,FALSE,"COVER1.XLS ";#N/A,#N/A,FALSE,"RACT1.XLS";#N/A,#N/A,FALSE,"RACT2.XLS";#N/A,#N/A,FALSE,"ECCMP";#N/A,#N/A,FALSE,"WELDER.XLS"}</definedName>
    <definedName name="สาสนส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สำราญ">{#N/A,#N/A,FALSE,"COVER1.XLS ";#N/A,#N/A,FALSE,"RACT1.XLS";#N/A,#N/A,FALSE,"RACT2.XLS";#N/A,#N/A,FALSE,"ECCMP";#N/A,#N/A,FALSE,"WELDER.XLS"}</definedName>
    <definedName name="ห">{"conso",#N/A,FALSE,"cash flow"}</definedName>
    <definedName name="หไ">{#N/A,#N/A,FALSE,"COVER1.XLS ";#N/A,#N/A,FALSE,"RACT1.XLS";#N/A,#N/A,FALSE,"RACT2.XLS";#N/A,#N/A,FALSE,"ECCMP";#N/A,#N/A,FALSE,"WELDER.XLS"}</definedName>
    <definedName name="หกแ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หกแหก">{#N/A,#N/A,FALSE,"COVER.XLS";#N/A,#N/A,FALSE,"RACT1.XLS";#N/A,#N/A,FALSE,"RACT2.XLS";#N/A,#N/A,FALSE,"ECCMP";#N/A,#N/A,FALSE,"WELDER.XLS"}</definedName>
    <definedName name="หกแหกแ">{#N/A,#N/A,FALSE,"COVER1.XLS ";#N/A,#N/A,FALSE,"RACT1.XLS";#N/A,#N/A,FALSE,"RACT2.XLS";#N/A,#N/A,FALSE,"ECCMP";#N/A,#N/A,FALSE,"WELDER.XLS"}</definedName>
    <definedName name="หกกอ">{#N/A,#N/A,FALSE,"COVER1.XLS ";#N/A,#N/A,FALSE,"RACT1.XLS";#N/A,#N/A,FALSE,"RACT2.XLS";#N/A,#N/A,FALSE,"ECCMP";#N/A,#N/A,FALSE,"WELDER.XLS"}</definedName>
    <definedName name="หกด">{#N/A,#N/A,FALSE,"COVER1.XLS ";#N/A,#N/A,FALSE,"RACT1.XLS";#N/A,#N/A,FALSE,"RACT2.XLS";#N/A,#N/A,FALSE,"ECCMP";#N/A,#N/A,FALSE,"WELDER.XLS"}</definedName>
    <definedName name="หกดกห">{#N/A,#N/A,FALSE,"COVER1.XLS ";#N/A,#N/A,FALSE,"RACT1.XLS";#N/A,#N/A,FALSE,"RACT2.XLS";#N/A,#N/A,FALSE,"ECCMP";#N/A,#N/A,FALSE,"WELDER.XLS"}</definedName>
    <definedName name="หกดกหดกดหกด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หกหก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หกหกอ">{#N/A,#N/A,FALSE,"COVER1.XLS ";#N/A,#N/A,FALSE,"RACT1.XLS";#N/A,#N/A,FALSE,"RACT2.XLS";#N/A,#N/A,FALSE,"ECCMP";#N/A,#N/A,FALSE,"WELDER.XLS"}</definedName>
    <definedName name="หกอ">{#N/A,#N/A,FALSE,"COVER.XLS";#N/A,#N/A,FALSE,"RACT1.XLS";#N/A,#N/A,FALSE,"RACT2.XLS";#N/A,#N/A,FALSE,"ECCMP";#N/A,#N/A,FALSE,"WELDER.XLS"}</definedName>
    <definedName name="หกอหก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หกอหกอ">{#N/A,#N/A,FALSE,"COVER.XLS";#N/A,#N/A,FALSE,"RACT1.XLS";#N/A,#N/A,FALSE,"RACT2.XLS";#N/A,#N/A,FALSE,"ECCMP";#N/A,#N/A,FALSE,"WELDER.XLS"}</definedName>
    <definedName name="หดเ">{#N/A,#N/A,FALSE,"COVER1.XLS ";#N/A,#N/A,FALSE,"RACT1.XLS";#N/A,#N/A,FALSE,"RACT2.XLS";#N/A,#N/A,FALSE,"ECCMP";#N/A,#N/A,FALSE,"WELDER.XLS"}</definedName>
    <definedName name="หพกแ">{#N/A,#N/A,FALSE,"COVER.XLS";#N/A,#N/A,FALSE,"RACT1.XLS";#N/A,#N/A,FALSE,"RACT2.XLS";#N/A,#N/A,FALSE,"ECCMP";#N/A,#N/A,FALSE,"WELDER.XLS"}</definedName>
    <definedName name="หฟด">{#N/A,#N/A,FALSE,"COVER.XLS";#N/A,#N/A,FALSE,"RACT1.XLS";#N/A,#N/A,FALSE,"RACT2.XLS";#N/A,#N/A,FALSE,"ECCMP";#N/A,#N/A,FALSE,"WELDER.XLS"}</definedName>
    <definedName name="หรนลบากสำน">{#N/A,#N/A,FALSE,"COVER.XLS";#N/A,#N/A,FALSE,"RACT1.XLS";#N/A,#N/A,FALSE,"RACT2.XLS";#N/A,#N/A,FALSE,"ECCMP";#N/A,#N/A,FALSE,"WELDER.XLS"}</definedName>
    <definedName name="หห">{#N/A,#N/A,FALSE,"17MAY";#N/A,#N/A,FALSE,"24MAY"}</definedName>
    <definedName name="หหกหก">{#N/A,#N/A,FALSE,"COVER.XLS";#N/A,#N/A,FALSE,"RACT1.XLS";#N/A,#N/A,FALSE,"RACT2.XLS";#N/A,#N/A,FALSE,"ECCMP";#N/A,#N/A,FALSE,"WELDER.XLS"}</definedName>
    <definedName name="หหห">{#N/A,#N/A,FALSE,"COVER1.XLS ";#N/A,#N/A,FALSE,"RACT1.XLS";#N/A,#N/A,FALSE,"RACT2.XLS";#N/A,#N/A,FALSE,"ECCMP";#N/A,#N/A,FALSE,"WELDER.XLS"}</definedName>
    <definedName name="หหหห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หอ">{#N/A,#N/A,FALSE,"17MAY";#N/A,#N/A,FALSE,"24MAY"}</definedName>
    <definedName name="หอห">{#N/A,#N/A,FALSE,"COVER1.XLS ";#N/A,#N/A,FALSE,"RACT1.XLS";#N/A,#N/A,FALSE,"RACT2.XLS";#N/A,#N/A,FALSE,"ECCMP";#N/A,#N/A,FALSE,"WELDER.XLS"}</definedName>
    <definedName name="หากร">{#N/A,#N/A,FALSE,"COVER1.XLS ";#N/A,#N/A,FALSE,"RACT1.XLS";#N/A,#N/A,FALSE,"RACT2.XLS";#N/A,#N/A,FALSE,"ECCMP";#N/A,#N/A,FALSE,"WELDER.XLS"}</definedName>
    <definedName name="หางา">{#N/A,#N/A,FALSE,"COVER1.XLS ";#N/A,#N/A,FALSE,"RACT1.XLS";#N/A,#N/A,FALSE,"RACT2.XLS";#N/A,#N/A,FALSE,"ECCMP";#N/A,#N/A,FALSE,"WELDER.XLS"}</definedName>
    <definedName name="อก">{#N/A,#N/A,FALSE,"COVER1.XLS ";#N/A,#N/A,FALSE,"RACT1.XLS";#N/A,#N/A,FALSE,"RACT2.XLS";#N/A,#N/A,FALSE,"ECCMP";#N/A,#N/A,FALSE,"WELDER.XLS"}</definedName>
    <definedName name="อกห">{#N/A,#N/A,FALSE,"COVER1.XLS ";#N/A,#N/A,FALSE,"RACT1.XLS";#N/A,#N/A,FALSE,"RACT2.XLS";#N/A,#N/A,FALSE,"ECCMP";#N/A,#N/A,FALSE,"WELDER.XLS"}</definedName>
    <definedName name="อฟอดก">{#N/A,#N/A,FALSE,"COVER1.XLS ";#N/A,#N/A,FALSE,"RACT1.XLS";#N/A,#N/A,FALSE,"RACT2.XLS";#N/A,#N/A,FALSE,"ECCMP";#N/A,#N/A,FALSE,"WELDER.XLS"}</definedName>
    <definedName name="อหก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อหกกอห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อหกห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อหกหกอหกอ">{#N/A,#N/A,FALSE,"COVER1.XLS ";#N/A,#N/A,FALSE,"RACT1.XLS";#N/A,#N/A,FALSE,"RACT2.XLS";#N/A,#N/A,FALSE,"ECCMP";#N/A,#N/A,FALSE,"WELDER.XLS"}</definedName>
    <definedName name="อหกอ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อหกอหกอ">{#N/A,#N/A,FALSE,"COVER.XLS";#N/A,#N/A,FALSE,"RACT1.XLS";#N/A,#N/A,FALSE,"RACT2.XLS";#N/A,#N/A,FALSE,"ECCMP";#N/A,#N/A,FALSE,"WELDER.XLS"}</definedName>
    <definedName name="อา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อำนาจ">{#N/A,#N/A,FALSE,"COVER1.XLS ";#N/A,#N/A,FALSE,"RACT1.XLS";#N/A,#N/A,FALSE,"RACT2.XLS";#N/A,#N/A,FALSE,"ECCMP";#N/A,#N/A,FALSE,"WELDER.XLS"}</definedName>
    <definedName name="ๆ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ๆฟไ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ๆๆๆๆๆๆ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ๆๆๆๆๆๆๆๆๆ">{#N/A,#N/A,FALSE,"COVER1.XLS ";#N/A,#N/A,FALSE,"RACT1.XLS";#N/A,#N/A,FALSE,"RACT2.XLS";#N/A,#N/A,FALSE,"ECCMP";#N/A,#N/A,FALSE,"WELDER.XLS"}</definedName>
    <definedName name="이소영" localSheetId="1">#REF!</definedName>
    <definedName name="이소영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8" i="4" l="1"/>
  <c r="E165" i="4"/>
  <c r="G236" i="3" l="1"/>
  <c r="H236" i="3" s="1"/>
  <c r="I236" i="3" s="1"/>
  <c r="H185" i="3"/>
  <c r="I185" i="3" s="1"/>
  <c r="G33" i="3"/>
  <c r="H33" i="3" s="1"/>
  <c r="I33" i="3" s="1"/>
  <c r="G194" i="4" l="1"/>
  <c r="H194" i="4" s="1"/>
  <c r="I194" i="4" s="1"/>
  <c r="G192" i="4" l="1"/>
  <c r="H192" i="4" s="1"/>
  <c r="I192" i="4" s="1"/>
  <c r="G187" i="4"/>
  <c r="H187" i="4" s="1"/>
  <c r="I187" i="4" s="1"/>
  <c r="G183" i="4"/>
  <c r="H183" i="4" s="1"/>
  <c r="I183" i="4" s="1"/>
  <c r="G176" i="4"/>
  <c r="H176" i="4" s="1"/>
  <c r="I176" i="4" s="1"/>
  <c r="G168" i="4"/>
  <c r="H168" i="4" s="1"/>
  <c r="I168" i="4" s="1"/>
  <c r="G165" i="4"/>
  <c r="H165" i="4" s="1"/>
  <c r="I165" i="4" s="1"/>
  <c r="G163" i="4"/>
  <c r="G159" i="4"/>
  <c r="H159" i="4" s="1"/>
  <c r="I159" i="4" s="1"/>
  <c r="G154" i="4"/>
  <c r="H154" i="4" s="1"/>
  <c r="I154" i="4" s="1"/>
  <c r="G152" i="4"/>
  <c r="H152" i="4" s="1"/>
  <c r="I152" i="4" s="1"/>
  <c r="G149" i="4"/>
  <c r="H149" i="4" s="1"/>
  <c r="I149" i="4" s="1"/>
  <c r="G146" i="4"/>
  <c r="H146" i="4" s="1"/>
  <c r="I146" i="4" s="1"/>
  <c r="G143" i="4"/>
  <c r="H143" i="4" s="1"/>
  <c r="I143" i="4" s="1"/>
  <c r="G140" i="4"/>
  <c r="H140" i="4" s="1"/>
  <c r="I140" i="4" s="1"/>
  <c r="G137" i="4"/>
  <c r="H137" i="4" s="1"/>
  <c r="I137" i="4" s="1"/>
  <c r="G132" i="4"/>
  <c r="H132" i="4" s="1"/>
  <c r="I132" i="4" s="1"/>
  <c r="G130" i="4"/>
  <c r="H130" i="4" s="1"/>
  <c r="I130" i="4" s="1"/>
  <c r="G126" i="4"/>
  <c r="H126" i="4" s="1"/>
  <c r="I126" i="4" s="1"/>
  <c r="G117" i="4"/>
  <c r="H117" i="4" s="1"/>
  <c r="I117" i="4" s="1"/>
  <c r="G115" i="4"/>
  <c r="H115" i="4" s="1"/>
  <c r="I115" i="4" s="1"/>
  <c r="G110" i="4"/>
  <c r="H110" i="4" s="1"/>
  <c r="I110" i="4" s="1"/>
  <c r="G107" i="4"/>
  <c r="H107" i="4" s="1"/>
  <c r="I107" i="4" s="1"/>
  <c r="G104" i="4"/>
  <c r="H104" i="4" s="1"/>
  <c r="I104" i="4" s="1"/>
  <c r="G99" i="4"/>
  <c r="H99" i="4" s="1"/>
  <c r="I99" i="4" s="1"/>
  <c r="G95" i="4"/>
  <c r="H95" i="4" s="1"/>
  <c r="I95" i="4" s="1"/>
  <c r="G92" i="4"/>
  <c r="H92" i="4" s="1"/>
  <c r="I92" i="4" s="1"/>
  <c r="G89" i="4"/>
  <c r="H89" i="4" s="1"/>
  <c r="I89" i="4" s="1"/>
  <c r="G86" i="4"/>
  <c r="H86" i="4" s="1"/>
  <c r="I86" i="4" s="1"/>
  <c r="G83" i="4"/>
  <c r="H83" i="4" s="1"/>
  <c r="I83" i="4" s="1"/>
  <c r="G80" i="4"/>
  <c r="H80" i="4" s="1"/>
  <c r="I80" i="4" s="1"/>
  <c r="G75" i="4"/>
  <c r="H75" i="4" s="1"/>
  <c r="I75" i="4" s="1"/>
  <c r="G70" i="4"/>
  <c r="H70" i="4" s="1"/>
  <c r="I70" i="4" s="1"/>
  <c r="G62" i="4"/>
  <c r="H62" i="4" s="1"/>
  <c r="I62" i="4" s="1"/>
  <c r="G51" i="4"/>
  <c r="H51" i="4" s="1"/>
  <c r="I51" i="4" s="1"/>
  <c r="G49" i="4"/>
  <c r="H49" i="4" s="1"/>
  <c r="I49" i="4" s="1"/>
  <c r="G47" i="4"/>
  <c r="H47" i="4" s="1"/>
  <c r="I47" i="4" s="1"/>
  <c r="G45" i="4" l="1"/>
  <c r="H45" i="4" s="1"/>
  <c r="I45" i="4" s="1"/>
  <c r="G43" i="4"/>
  <c r="H43" i="4" s="1"/>
  <c r="I43" i="4" s="1"/>
  <c r="G30" i="4"/>
  <c r="H30" i="4" s="1"/>
  <c r="I30" i="4" s="1"/>
  <c r="G25" i="4"/>
  <c r="H25" i="4" s="1"/>
  <c r="I25" i="4" s="1"/>
  <c r="G20" i="4"/>
  <c r="H20" i="4" s="1"/>
  <c r="I20" i="4" s="1"/>
  <c r="G17" i="4"/>
  <c r="H17" i="4" s="1"/>
  <c r="I17" i="4" s="1"/>
  <c r="G9" i="4"/>
  <c r="H9" i="4" s="1"/>
  <c r="I9" i="4" s="1"/>
  <c r="G7" i="4"/>
  <c r="H7" i="4" s="1"/>
  <c r="I7" i="4" s="1"/>
  <c r="G3" i="4"/>
  <c r="H3" i="4" s="1"/>
  <c r="I3" i="4" s="1"/>
  <c r="G9" i="1" l="1"/>
  <c r="G3" i="1"/>
  <c r="G66" i="1"/>
  <c r="G61" i="1"/>
  <c r="G249" i="3"/>
  <c r="H249" i="3" s="1"/>
  <c r="I249" i="3" s="1"/>
  <c r="G246" i="3"/>
  <c r="H246" i="3" s="1"/>
  <c r="I246" i="3" s="1"/>
  <c r="G244" i="3"/>
  <c r="H244" i="3" s="1"/>
  <c r="I244" i="3" s="1"/>
  <c r="G229" i="3"/>
  <c r="H229" i="3" s="1"/>
  <c r="I229" i="3" s="1"/>
  <c r="G225" i="3"/>
  <c r="H225" i="3" s="1"/>
  <c r="I225" i="3" s="1"/>
  <c r="G223" i="3"/>
  <c r="H223" i="3" s="1"/>
  <c r="I223" i="3" s="1"/>
  <c r="G218" i="3"/>
  <c r="H218" i="3" s="1"/>
  <c r="I218" i="3" s="1"/>
  <c r="G215" i="3"/>
  <c r="H215" i="3" s="1"/>
  <c r="I215" i="3" s="1"/>
  <c r="G213" i="3"/>
  <c r="H213" i="3" s="1"/>
  <c r="I213" i="3" s="1"/>
  <c r="G207" i="3"/>
  <c r="H207" i="3" s="1"/>
  <c r="I207" i="3" s="1"/>
  <c r="G205" i="3"/>
  <c r="H205" i="3" s="1"/>
  <c r="I205" i="3" s="1"/>
  <c r="G199" i="3" l="1"/>
  <c r="H199" i="3" s="1"/>
  <c r="I199" i="3" s="1"/>
  <c r="G197" i="3"/>
  <c r="H197" i="3" s="1"/>
  <c r="I197" i="3" s="1"/>
  <c r="G194" i="3"/>
  <c r="H194" i="3" s="1"/>
  <c r="I194" i="3" s="1"/>
  <c r="G192" i="3"/>
  <c r="H192" i="3" s="1"/>
  <c r="I192" i="3" s="1"/>
  <c r="G190" i="3"/>
  <c r="H190" i="3" s="1"/>
  <c r="I190" i="3" s="1"/>
  <c r="G188" i="3"/>
  <c r="H188" i="3" s="1"/>
  <c r="I188" i="3" s="1"/>
  <c r="G186" i="3"/>
  <c r="H186" i="3" s="1"/>
  <c r="I186" i="3" s="1"/>
  <c r="G183" i="3"/>
  <c r="H183" i="3" s="1"/>
  <c r="I183" i="3" s="1"/>
  <c r="G181" i="3"/>
  <c r="H181" i="3" s="1"/>
  <c r="I181" i="3" s="1"/>
  <c r="G174" i="3"/>
  <c r="H174" i="3" s="1"/>
  <c r="I174" i="3" s="1"/>
  <c r="G172" i="3"/>
  <c r="H172" i="3" s="1"/>
  <c r="I172" i="3" s="1"/>
  <c r="G170" i="3"/>
  <c r="H170" i="3" s="1"/>
  <c r="I170" i="3" s="1"/>
  <c r="G168" i="3"/>
  <c r="H168" i="3" s="1"/>
  <c r="I168" i="3" s="1"/>
  <c r="G166" i="3"/>
  <c r="H166" i="3" s="1"/>
  <c r="I166" i="3" s="1"/>
  <c r="G164" i="3"/>
  <c r="H164" i="3" s="1"/>
  <c r="I164" i="3" s="1"/>
  <c r="G162" i="3"/>
  <c r="H162" i="3" s="1"/>
  <c r="I162" i="3" s="1"/>
  <c r="G160" i="3"/>
  <c r="H160" i="3" s="1"/>
  <c r="I160" i="3" s="1"/>
  <c r="G158" i="3"/>
  <c r="H158" i="3" s="1"/>
  <c r="I158" i="3" s="1"/>
  <c r="G156" i="3"/>
  <c r="H156" i="3" s="1"/>
  <c r="I156" i="3" s="1"/>
  <c r="G154" i="3"/>
  <c r="H154" i="3" s="1"/>
  <c r="I154" i="3" s="1"/>
  <c r="G152" i="3"/>
  <c r="H152" i="3" s="1"/>
  <c r="I152" i="3" s="1"/>
  <c r="G150" i="3"/>
  <c r="H150" i="3" s="1"/>
  <c r="I150" i="3" s="1"/>
  <c r="G148" i="3"/>
  <c r="H148" i="3" s="1"/>
  <c r="I148" i="3" s="1"/>
  <c r="G146" i="3"/>
  <c r="H146" i="3" s="1"/>
  <c r="I146" i="3" s="1"/>
  <c r="G144" i="3"/>
  <c r="H144" i="3" s="1"/>
  <c r="I144" i="3" s="1"/>
  <c r="G141" i="3"/>
  <c r="H141" i="3" s="1"/>
  <c r="I141" i="3" s="1"/>
  <c r="G139" i="3"/>
  <c r="H139" i="3" s="1"/>
  <c r="I139" i="3" s="1"/>
  <c r="G137" i="3"/>
  <c r="H137" i="3" s="1"/>
  <c r="I137" i="3" s="1"/>
  <c r="G135" i="3"/>
  <c r="H135" i="3" s="1"/>
  <c r="I135" i="3" s="1"/>
  <c r="G133" i="3"/>
  <c r="H133" i="3" s="1"/>
  <c r="I133" i="3" s="1"/>
  <c r="G131" i="3"/>
  <c r="H131" i="3" s="1"/>
  <c r="I131" i="3" s="1"/>
  <c r="G129" i="3"/>
  <c r="H129" i="3" s="1"/>
  <c r="I129" i="3" s="1"/>
  <c r="G127" i="3"/>
  <c r="H127" i="3" s="1"/>
  <c r="I127" i="3" s="1"/>
  <c r="G125" i="3"/>
  <c r="H125" i="3" s="1"/>
  <c r="I125" i="3" s="1"/>
  <c r="G123" i="3"/>
  <c r="H123" i="3" s="1"/>
  <c r="I123" i="3" s="1"/>
  <c r="G121" i="3"/>
  <c r="H121" i="3" s="1"/>
  <c r="I121" i="3" s="1"/>
  <c r="G119" i="3"/>
  <c r="H119" i="3" s="1"/>
  <c r="I119" i="3" s="1"/>
  <c r="G117" i="3"/>
  <c r="H117" i="3" s="1"/>
  <c r="I117" i="3" s="1"/>
  <c r="G115" i="3"/>
  <c r="H115" i="3" s="1"/>
  <c r="I115" i="3" s="1"/>
  <c r="G113" i="3"/>
  <c r="H113" i="3" s="1"/>
  <c r="I113" i="3" s="1"/>
  <c r="G111" i="3"/>
  <c r="H111" i="3" s="1"/>
  <c r="I111" i="3" s="1"/>
  <c r="G102" i="3"/>
  <c r="H102" i="3" s="1"/>
  <c r="I102" i="3" s="1"/>
  <c r="G98" i="3"/>
  <c r="H98" i="3" s="1"/>
  <c r="I98" i="3" s="1"/>
  <c r="G93" i="3"/>
  <c r="H93" i="3" s="1"/>
  <c r="I93" i="3" s="1"/>
  <c r="G89" i="3"/>
  <c r="H89" i="3" s="1"/>
  <c r="I89" i="3" s="1"/>
  <c r="G87" i="3"/>
  <c r="H87" i="3" s="1"/>
  <c r="I87" i="3" s="1"/>
  <c r="G84" i="3"/>
  <c r="H84" i="3" s="1"/>
  <c r="I84" i="3" s="1"/>
  <c r="G81" i="3"/>
  <c r="H81" i="3" s="1"/>
  <c r="I81" i="3" s="1"/>
  <c r="G78" i="3"/>
  <c r="H78" i="3" s="1"/>
  <c r="I78" i="3" s="1"/>
  <c r="G75" i="3"/>
  <c r="H75" i="3" s="1"/>
  <c r="I75" i="3" s="1"/>
  <c r="G72" i="3"/>
  <c r="H72" i="3" s="1"/>
  <c r="I72" i="3" s="1"/>
  <c r="G69" i="3"/>
  <c r="H69" i="3" s="1"/>
  <c r="I69" i="3" s="1"/>
  <c r="G60" i="3"/>
  <c r="H60" i="3" s="1"/>
  <c r="I60" i="3" s="1"/>
  <c r="G57" i="3"/>
  <c r="H57" i="3" s="1"/>
  <c r="I57" i="3" s="1"/>
  <c r="G54" i="3"/>
  <c r="H54" i="3" s="1"/>
  <c r="I54" i="3" s="1"/>
  <c r="G51" i="3"/>
  <c r="H51" i="3" s="1"/>
  <c r="I51" i="3" s="1"/>
  <c r="G48" i="3"/>
  <c r="H48" i="3" s="1"/>
  <c r="I48" i="3" s="1"/>
  <c r="G45" i="3"/>
  <c r="H45" i="3" s="1"/>
  <c r="I45" i="3" s="1"/>
  <c r="G42" i="3"/>
  <c r="H42" i="3" s="1"/>
  <c r="I42" i="3" s="1"/>
  <c r="G39" i="3"/>
  <c r="H39" i="3" s="1"/>
  <c r="I39" i="3" s="1"/>
  <c r="G36" i="3"/>
  <c r="H36" i="3" s="1"/>
  <c r="I36" i="3" s="1"/>
  <c r="G31" i="3" l="1"/>
  <c r="H31" i="3" s="1"/>
  <c r="I31" i="3" s="1"/>
  <c r="G28" i="3"/>
  <c r="H28" i="3" s="1"/>
  <c r="I28" i="3" s="1"/>
  <c r="G23" i="3"/>
  <c r="H23" i="3" s="1"/>
  <c r="I23" i="3" s="1"/>
  <c r="G17" i="3"/>
  <c r="H17" i="3" s="1"/>
  <c r="I17" i="3" s="1"/>
  <c r="G13" i="3"/>
  <c r="H13" i="3" s="1"/>
  <c r="I13" i="3" s="1"/>
  <c r="G10" i="3"/>
  <c r="H10" i="3" s="1"/>
  <c r="I10" i="3" s="1"/>
  <c r="G3" i="3"/>
  <c r="H3" i="3" s="1"/>
  <c r="I3" i="3" s="1"/>
</calcChain>
</file>

<file path=xl/sharedStrings.xml><?xml version="1.0" encoding="utf-8"?>
<sst xmlns="http://schemas.openxmlformats.org/spreadsheetml/2006/main" count="1271" uniqueCount="597">
  <si>
    <t>No</t>
  </si>
  <si>
    <t>SO</t>
  </si>
  <si>
    <t>_Projectunit_</t>
  </si>
  <si>
    <t>Voucher</t>
  </si>
  <si>
    <t>RV</t>
  </si>
  <si>
    <t xml:space="preserve"> Note From ACC</t>
  </si>
  <si>
    <t>WAG-SONO26-000023</t>
  </si>
  <si>
    <t>WAG-SONO26-000038</t>
  </si>
  <si>
    <t>WAG-SONO26-000161</t>
  </si>
  <si>
    <t>WAG-SONO26-000039</t>
  </si>
  <si>
    <t>WAG-SONO26-000014</t>
  </si>
  <si>
    <t>WAG-SONO25-000949</t>
  </si>
  <si>
    <t>WAG-SONO25-000931</t>
  </si>
  <si>
    <t>WAG-SONO26-000288</t>
  </si>
  <si>
    <t>WAG-SONO26-000606</t>
  </si>
  <si>
    <t>WAG-SONO26-000162</t>
  </si>
  <si>
    <t>WAG-SONO26-000276</t>
  </si>
  <si>
    <t>WAG-SONO23-000464</t>
  </si>
  <si>
    <t>WAG-SONO26-000141</t>
  </si>
  <si>
    <t>WAG-SONO25-000674</t>
  </si>
  <si>
    <t>WAG-SONO26-000216</t>
  </si>
  <si>
    <t>WAG-SONO25-000948</t>
  </si>
  <si>
    <t>WAG-SONO26-000188</t>
  </si>
  <si>
    <t>WAG-SONO25-000762</t>
  </si>
  <si>
    <t>WAG-SONO26-000031</t>
  </si>
  <si>
    <t>WAG-SONO26-000080</t>
  </si>
  <si>
    <t>WAG-SONO25-000756</t>
  </si>
  <si>
    <t>WAG-SONO25-000885</t>
  </si>
  <si>
    <t>WAG-SONO26-000414</t>
  </si>
  <si>
    <t>WAG-SONO26-000252</t>
  </si>
  <si>
    <t>WAG-SONO26-000305</t>
  </si>
  <si>
    <t>WAG-SONO26-000145</t>
  </si>
  <si>
    <t>WAG-SONO26-000533</t>
  </si>
  <si>
    <t>WAG-SONO26-000547</t>
  </si>
  <si>
    <t>WAG-SONO25-000651</t>
  </si>
  <si>
    <t>WAG-SONO25-000795</t>
  </si>
  <si>
    <t>WAG-SONO26-000535</t>
  </si>
  <si>
    <t>WAG-SONO25-000922</t>
  </si>
  <si>
    <t>WAG-SONO26-000184</t>
  </si>
  <si>
    <t>WAG-SONO26-000001</t>
  </si>
  <si>
    <t>WAG-SONO26-000060</t>
  </si>
  <si>
    <t>WAG-SONO26-000426</t>
  </si>
  <si>
    <t>WAG-SONO26-000133</t>
  </si>
  <si>
    <t>WAG-SONO25-000246</t>
  </si>
  <si>
    <t>WAG-SONO24-000588</t>
  </si>
  <si>
    <t>WAG-SONO26-000268</t>
  </si>
  <si>
    <t>WAG-SONO25-000859</t>
  </si>
  <si>
    <t>WAG-SONO26-000320</t>
  </si>
  <si>
    <t>WAG-SONO26-000316</t>
  </si>
  <si>
    <t>WAG-SONO26-000359</t>
  </si>
  <si>
    <t>WAG-SONO26-000476</t>
  </si>
  <si>
    <t>WAG-SONO26-000152</t>
  </si>
  <si>
    <t>Cost</t>
  </si>
  <si>
    <t>PO</t>
  </si>
  <si>
    <t>Vendor name</t>
  </si>
  <si>
    <t>Add</t>
  </si>
  <si>
    <t>WAG-PONO26-000227</t>
  </si>
  <si>
    <t>WAG-PONO26-000228</t>
  </si>
  <si>
    <t>บริษัท สิริ เดคคอร์ อินเตอร์เนชั่นแนล จำกัด</t>
  </si>
  <si>
    <t>บริษัท มิสเตอร์ เดคคอร์ จำกัด</t>
  </si>
  <si>
    <t>WAG-PONO26-000388</t>
  </si>
  <si>
    <t>WAG-PONO26-000389</t>
  </si>
  <si>
    <t>บริษัท ไอเดียคอร์เปอร์เรชั่น (2006) จำกัด</t>
  </si>
  <si>
    <t>นาย วัฒน์ธรกรณ์ รุ่งพรทวีวัฒน์</t>
  </si>
  <si>
    <t>บริษัท สมาร์ทพลัส กรุ๊ป จำกัด</t>
  </si>
  <si>
    <t>บริษัท อินเด็กซ์ ลิฟวิ่งมอลล์ จำกัด (มหาชน)</t>
  </si>
  <si>
    <t>บริษัท ไทย ลอง ติง โฮเต็ล ซัพพลาย จำกัด</t>
  </si>
  <si>
    <t>บริษัท อิคาโน่ (ประเทศไทย) จำกัด</t>
  </si>
  <si>
    <t>บริษัท เอ็ม-เวิลด์ โลจิสติกส์ (ประเทศไทย) จำกัด</t>
  </si>
  <si>
    <t>บริษัท โฮม โปรดักส์ เซ็นเตอร์ จำกัด (มหาชน) (สาขาศูนย์การค้าแฟชั่นไอส์แลนด์))</t>
  </si>
  <si>
    <t>WAG-PONO26-000722</t>
  </si>
  <si>
    <t>WAG-PONO26-000723</t>
  </si>
  <si>
    <t>WAG-PONO26-000724</t>
  </si>
  <si>
    <t>WAG-PONO26-000725</t>
  </si>
  <si>
    <t>WAG-PONO26-000729</t>
  </si>
  <si>
    <t>WAG-PONO26-000730</t>
  </si>
  <si>
    <t>WAG-PONO26-000731</t>
  </si>
  <si>
    <t>WAG-PONO26-000733</t>
  </si>
  <si>
    <t>บริษัท นันท์นลินอินทีเรียดีไซน์ จำกัด</t>
  </si>
  <si>
    <t>WAG-PONO26-000209</t>
  </si>
  <si>
    <t>บริษัท ดีพ แวลู จำกัด</t>
  </si>
  <si>
    <t>บริษัท เฮเฟเล่ (ประเทศไทย) จำกัด</t>
  </si>
  <si>
    <t>WAG-PONO26-001226</t>
  </si>
  <si>
    <t>WAG-PONO26-001245</t>
  </si>
  <si>
    <t>WAG-PONO26-001455</t>
  </si>
  <si>
    <t>ห้างหุ้นส่วนจำกัด เพอร์เฟค ลัคซูรี่ เดคอร์</t>
  </si>
  <si>
    <t>WAG-PONO26-001193</t>
  </si>
  <si>
    <t>WAG-PONO26-001243</t>
  </si>
  <si>
    <t>WAG-PONO26-001454</t>
  </si>
  <si>
    <t>WAG-PONO26-001488</t>
  </si>
  <si>
    <t>บริษัท ล้านเจริญ เฟอร์นิเจอร์ จำกัด</t>
  </si>
  <si>
    <t>บริษัท ชิค รีพับบลิค จำกัด (มหาชน)</t>
  </si>
  <si>
    <t>บริษัท เยลโลแฟคทอรี่ จำกัด</t>
  </si>
  <si>
    <t>WAG-PONO26-001291</t>
  </si>
  <si>
    <t>WAG-PONO26-001376</t>
  </si>
  <si>
    <t>WAG-PONO26-001386</t>
  </si>
  <si>
    <t>WAG-PONO26-001444</t>
  </si>
  <si>
    <t>บริษัท อีเลคโทรลักซ์ ประเทศไทย จำกัด</t>
  </si>
  <si>
    <t>WAG-PONO26-001306</t>
  </si>
  <si>
    <t>WAG-PONO26-001317</t>
  </si>
  <si>
    <t>WAG-PONO26-001319</t>
  </si>
  <si>
    <t>WAG-PONO26-001334</t>
  </si>
  <si>
    <t>WAG-PONO26-001342</t>
  </si>
  <si>
    <t>WAG-PONO26-001403</t>
  </si>
  <si>
    <t>WAG-SONO26-000264</t>
  </si>
  <si>
    <t>C728</t>
  </si>
  <si>
    <t>C726</t>
  </si>
  <si>
    <t>B417</t>
  </si>
  <si>
    <t>A816</t>
  </si>
  <si>
    <t>B613</t>
  </si>
  <si>
    <t>C205</t>
  </si>
  <si>
    <t>C310</t>
  </si>
  <si>
    <t>C414</t>
  </si>
  <si>
    <t>Project</t>
  </si>
  <si>
    <t>A828</t>
  </si>
  <si>
    <t>A308</t>
  </si>
  <si>
    <t>A605</t>
  </si>
  <si>
    <t>A707</t>
  </si>
  <si>
    <t>A608</t>
  </si>
  <si>
    <t>12A07</t>
  </si>
  <si>
    <t>12A06</t>
  </si>
  <si>
    <t>B231</t>
  </si>
  <si>
    <t>B531</t>
  </si>
  <si>
    <t>A333</t>
  </si>
  <si>
    <t>B611</t>
  </si>
  <si>
    <t>B729</t>
  </si>
  <si>
    <t>A228</t>
  </si>
  <si>
    <t>A202</t>
  </si>
  <si>
    <t>The Origin Kathu-Patong</t>
  </si>
  <si>
    <t>The Origin Sukhumvit Praksa</t>
  </si>
  <si>
    <t>The Origin Bangkae</t>
  </si>
  <si>
    <t>Origin Play Bangsaen</t>
  </si>
  <si>
    <t>The Origin Phahol 57</t>
  </si>
  <si>
    <t>Origin Play Bangkhunnon</t>
  </si>
  <si>
    <t>Origin Place Khon Kaen-Kanlapaphruek</t>
  </si>
  <si>
    <t>Park Origin Ratchathewi</t>
  </si>
  <si>
    <t>Origin Plug &amp; Play Srinakarin</t>
  </si>
  <si>
    <t>So Origin Kaset Interchange</t>
  </si>
  <si>
    <t>Origin Place Bangna</t>
  </si>
  <si>
    <t>Park Origin Chula Samyan</t>
  </si>
  <si>
    <t>So Phahol 69 Station</t>
  </si>
  <si>
    <t>Origin Plug&amp;Play E22 Station</t>
  </si>
  <si>
    <t>C631</t>
  </si>
  <si>
    <t>BELGRAVIA Exclusive Pool Villa บางนา-พระราม9</t>
  </si>
  <si>
    <t>98/33</t>
  </si>
  <si>
    <t>A724</t>
  </si>
  <si>
    <t>C628</t>
  </si>
  <si>
    <t>B623</t>
  </si>
  <si>
    <t>A223</t>
  </si>
  <si>
    <t>B405</t>
  </si>
  <si>
    <t>B315</t>
  </si>
  <si>
    <t>B305</t>
  </si>
  <si>
    <t>B313</t>
  </si>
  <si>
    <t>B219</t>
  </si>
  <si>
    <t>C608</t>
  </si>
  <si>
    <t>B703</t>
  </si>
  <si>
    <t>B704</t>
  </si>
  <si>
    <t>B705</t>
  </si>
  <si>
    <t>B706</t>
  </si>
  <si>
    <t>B707</t>
  </si>
  <si>
    <t>B333</t>
  </si>
  <si>
    <t>B314</t>
  </si>
  <si>
    <t>A514</t>
  </si>
  <si>
    <t>A516</t>
  </si>
  <si>
    <t>A517</t>
  </si>
  <si>
    <t>C605</t>
  </si>
  <si>
    <t>A325</t>
  </si>
  <si>
    <t>B806</t>
  </si>
  <si>
    <t>B432</t>
  </si>
  <si>
    <t>B217</t>
  </si>
  <si>
    <t>B431</t>
  </si>
  <si>
    <t>C208</t>
  </si>
  <si>
    <t>WAG-SONO26-000265</t>
  </si>
  <si>
    <t>WAG-SONO26-000504</t>
  </si>
  <si>
    <t>WAG-SONO25-000937</t>
  </si>
  <si>
    <t>WAG-SONO26-000351</t>
  </si>
  <si>
    <t>WAG-SONO26-000286</t>
  </si>
  <si>
    <t>WAG-SONO26-000222</t>
  </si>
  <si>
    <t>WAG-SONO26-000282</t>
  </si>
  <si>
    <t>WAG-SONO26-000321</t>
  </si>
  <si>
    <t>WAG-SONO26-000266</t>
  </si>
  <si>
    <t>WAG-SONO26-000311</t>
  </si>
  <si>
    <t>WAG-SONO26-000256</t>
  </si>
  <si>
    <t>WAG-SONO26-000350</t>
  </si>
  <si>
    <t>WAG-SONO26-000322</t>
  </si>
  <si>
    <t>WAG-SONO26-000323</t>
  </si>
  <si>
    <t>WAG-SONO26-000324</t>
  </si>
  <si>
    <t>WAG-SONO26-000325</t>
  </si>
  <si>
    <t>WAG-SONO26-000326</t>
  </si>
  <si>
    <t>WAG-SONO26-000158</t>
  </si>
  <si>
    <t>WAG-SONO26-000224</t>
  </si>
  <si>
    <t>WAG-SONO26-000156</t>
  </si>
  <si>
    <t>WAG-SONO26-000157</t>
  </si>
  <si>
    <t>WAG-SONO26-000261</t>
  </si>
  <si>
    <t>WAG-SONO26-000262</t>
  </si>
  <si>
    <t>WAG-SONO26-000337</t>
  </si>
  <si>
    <t>WAG-SONO26-000399</t>
  </si>
  <si>
    <t>WAG-SONO26-000226</t>
  </si>
  <si>
    <t>WAG-SONO26-000253</t>
  </si>
  <si>
    <t>WAG-SONO26-000255</t>
  </si>
  <si>
    <t>WAG-SONO26-000287</t>
  </si>
  <si>
    <t>WAG-SONO26-000303</t>
  </si>
  <si>
    <t>A414</t>
  </si>
  <si>
    <t>B526</t>
  </si>
  <si>
    <t>A533</t>
  </si>
  <si>
    <t>The Origin Campus Khonkaen</t>
  </si>
  <si>
    <t>B534</t>
  </si>
  <si>
    <t>B516</t>
  </si>
  <si>
    <t>D617</t>
  </si>
  <si>
    <t>A818</t>
  </si>
  <si>
    <t>A427</t>
  </si>
  <si>
    <t>Park 24 Juristic Person 1</t>
  </si>
  <si>
    <t>21 Rooms</t>
  </si>
  <si>
    <t>KNB Space Sukhumvit Rama 4</t>
  </si>
  <si>
    <t>A216</t>
  </si>
  <si>
    <t>12A27</t>
  </si>
  <si>
    <t>The Origin Ramintra83 Station</t>
  </si>
  <si>
    <t>H517</t>
  </si>
  <si>
    <t>A832</t>
  </si>
  <si>
    <t>A505</t>
  </si>
  <si>
    <t>A802</t>
  </si>
  <si>
    <t>A603</t>
  </si>
  <si>
    <t>D611</t>
  </si>
  <si>
    <t>A233</t>
  </si>
  <si>
    <t>Park Oigin Phayathai</t>
  </si>
  <si>
    <t>B505</t>
  </si>
  <si>
    <t>Origin Plug&amp;Play Ramintra</t>
  </si>
  <si>
    <t>E801</t>
  </si>
  <si>
    <t>A630</t>
  </si>
  <si>
    <t>Grand Britania Chaiyapruek-Chaengwattana</t>
  </si>
  <si>
    <t>222/41</t>
  </si>
  <si>
    <t>B402</t>
  </si>
  <si>
    <t>B401</t>
  </si>
  <si>
    <t>D803</t>
  </si>
  <si>
    <t>WAG-SONO25-000753</t>
  </si>
  <si>
    <t>WAG-SONO25-000675</t>
  </si>
  <si>
    <t>WAG-SONO25-000635</t>
  </si>
  <si>
    <t>WAG-SONO25-000760</t>
  </si>
  <si>
    <t>WAG-SONO25-000758</t>
  </si>
  <si>
    <t>WAG-SONO25-000658</t>
  </si>
  <si>
    <t>WAG-SONO25-000855</t>
  </si>
  <si>
    <t>WAG-SONO26-000105</t>
  </si>
  <si>
    <t>WAG-SONO26-000022</t>
  </si>
  <si>
    <t>WAG-SONO26-000142</t>
  </si>
  <si>
    <t>WAG-SONO26-000062</t>
  </si>
  <si>
    <t>WAG-SONO26-000072</t>
  </si>
  <si>
    <t>WAG-SONO26-000029</t>
  </si>
  <si>
    <t>WAG-SONO26-000396</t>
  </si>
  <si>
    <t>WAG-SONO26-000306</t>
  </si>
  <si>
    <t>WAG-SONO25-000754</t>
  </si>
  <si>
    <t>WAG-SONO25-000755</t>
  </si>
  <si>
    <t>WAG-SONO26-000173</t>
  </si>
  <si>
    <t>WAG-SONO25-000933</t>
  </si>
  <si>
    <t>WAG-SONO26-000470</t>
  </si>
  <si>
    <t>WAG-SONO25-000828</t>
  </si>
  <si>
    <t>WAG-SONO25-000827</t>
  </si>
  <si>
    <t>WAG-SONO25-000798</t>
  </si>
  <si>
    <t>WAG-SONO25-000194</t>
  </si>
  <si>
    <t>WAG-SONO25-000801</t>
  </si>
  <si>
    <t>WAG-SONO26-000272</t>
  </si>
  <si>
    <t>WAG-SONO26-000149</t>
  </si>
  <si>
    <t>WAG-SONO26-000042</t>
  </si>
  <si>
    <t>WAG-SONO26-000332</t>
  </si>
  <si>
    <t>WAG-SONO26-000380</t>
  </si>
  <si>
    <t>WAG-SONO26-000367</t>
  </si>
  <si>
    <t>WAG-SONO26-000517</t>
  </si>
  <si>
    <t>WAG-SONO26-000446</t>
  </si>
  <si>
    <t>WAG-SONO25-000831</t>
  </si>
  <si>
    <t>WAG-SONO26-000073</t>
  </si>
  <si>
    <t>WAG-SONO23-000463</t>
  </si>
  <si>
    <t>WAG-SONO24-000585</t>
  </si>
  <si>
    <t>WAG-SONO25-000862</t>
  </si>
  <si>
    <t>WAG-SONO23-000652</t>
  </si>
  <si>
    <t>WAG-SONO26-000409</t>
  </si>
  <si>
    <t>WAG-SONO26-000417</t>
  </si>
  <si>
    <t>WAG-SONO26-000125</t>
  </si>
  <si>
    <t>WAG-SONO25-000868</t>
  </si>
  <si>
    <t>WAG-SONO26-000297</t>
  </si>
  <si>
    <t>WAG-SONO26-000529</t>
  </si>
  <si>
    <t>WAG-SONO23-001940</t>
  </si>
  <si>
    <t>WAG-SONO26-000078</t>
  </si>
  <si>
    <t>WAG-SONO25-000512</t>
  </si>
  <si>
    <t>WAG-SONO26-000079</t>
  </si>
  <si>
    <t>WAG-SONO26-000560</t>
  </si>
  <si>
    <t>WAG-SONO25-000929</t>
  </si>
  <si>
    <t>WAG-SONO25-000790</t>
  </si>
  <si>
    <t>WAG-SONO25-000761</t>
  </si>
  <si>
    <t>WAG-SONO25-000850</t>
  </si>
  <si>
    <t>WAG-SONO25-000844</t>
  </si>
  <si>
    <t>WAG-PONO26-001211</t>
  </si>
  <si>
    <t>WAG-PONO26-001215</t>
  </si>
  <si>
    <t>บริษัท เวโลบิส จำกัด</t>
  </si>
  <si>
    <t>WAG-PONO26-001216</t>
  </si>
  <si>
    <t>บริษัท ฮิลดิ้ง แอนเดอร์ส (ประเทศไทย) จำกัด</t>
  </si>
  <si>
    <t>WAG-PONO26-001217</t>
  </si>
  <si>
    <t>WAG-PONO26-001287</t>
  </si>
  <si>
    <t>WAG-PONO26-001438</t>
  </si>
  <si>
    <t>WAG-PONO26-001544</t>
  </si>
  <si>
    <t>WAG-PONO26-001545</t>
  </si>
  <si>
    <t>WAG-PONO26-001440</t>
  </si>
  <si>
    <t>WAG-PONO26-001008</t>
  </si>
  <si>
    <t>อยู่ใน SO : WAG-SONO26-000476</t>
  </si>
  <si>
    <t>WAG-PONO26-001480</t>
  </si>
  <si>
    <t>WAG-PONO26-001201</t>
  </si>
  <si>
    <t>WAG-PONO26-001203</t>
  </si>
  <si>
    <t>WAG-PONO26-001288</t>
  </si>
  <si>
    <t>WAG-PONO26-001443</t>
  </si>
  <si>
    <t>WAG-PONO26-001351</t>
  </si>
  <si>
    <t>WAG-PONO26-001029</t>
  </si>
  <si>
    <t>ยังไม่เปิด PO</t>
  </si>
  <si>
    <t>WAG-PONO26-001244</t>
  </si>
  <si>
    <t>WAG-PONO26-001195</t>
  </si>
  <si>
    <t>WAG-PONO26-001489</t>
  </si>
  <si>
    <t>WAG-PONO26-001460</t>
  </si>
  <si>
    <t>นายสุธน เหลืองเกียรติคุณ</t>
  </si>
  <si>
    <t>WAG-PONO26-000652</t>
  </si>
  <si>
    <t>WAG-PONO26-000612</t>
  </si>
  <si>
    <t>WAG-PONO26-001459</t>
  </si>
  <si>
    <t>WAG-PONO26-000766</t>
  </si>
  <si>
    <t>บริษัท สยามไดกิ้นเซลส์ จำกัด</t>
  </si>
  <si>
    <t>WAG-PONO26-000616</t>
  </si>
  <si>
    <t>WAG-PONO26-001458</t>
  </si>
  <si>
    <t>บริษัท อรรคพล เฟอร์นิช จำกัด</t>
  </si>
  <si>
    <t>WAG-PONO26-000648</t>
  </si>
  <si>
    <t>WAG-PONO26-000828</t>
  </si>
  <si>
    <t>WAG-PONO26-000150</t>
  </si>
  <si>
    <t>WAG-PONO26-001590</t>
  </si>
  <si>
    <t>WAG-PONO26-000728</t>
  </si>
  <si>
    <t>WAG-PONO26-001580</t>
  </si>
  <si>
    <t>เป็นยอดชำระมัดจำ 5,000 บาท</t>
  </si>
  <si>
    <t>WAG-PONO26-000333</t>
  </si>
  <si>
    <t>บริษัท แสงมณีรุ่งโรจน์ จำกัด</t>
  </si>
  <si>
    <t>WAG-PONO26-001327</t>
  </si>
  <si>
    <t>WAG-SONO25-000756 Rv. 5,000 (มัดจำ) นามบุคคล
WAG-SONO26-000473 Rv. 7,503.55 (ยอดที่เหลือ) นามบริษัท</t>
  </si>
  <si>
    <t>WAG-PONO26-001391</t>
  </si>
  <si>
    <t>เบิกสินค้า EDH ไม่มีเปิด PO</t>
  </si>
  <si>
    <t>WAG-PONO26-001096</t>
  </si>
  <si>
    <t>บริษัท อัมพัน พาวเวอร์ โซลูชั่น จำกัด</t>
  </si>
  <si>
    <t>WAG-PONO26-000867</t>
  </si>
  <si>
    <t>WAG-PONO26-001435</t>
  </si>
  <si>
    <t>WAG-PONO26-000864</t>
  </si>
  <si>
    <t>WAG-PONO26-001345</t>
  </si>
  <si>
    <t>WAG-PONO26-001661</t>
  </si>
  <si>
    <t>WAG-PONO26-001452</t>
  </si>
  <si>
    <t>WAG-PONO26-001190</t>
  </si>
  <si>
    <t>WAG-PONO26-001232</t>
  </si>
  <si>
    <t>บริษัท พร้อม เซอร์วิส ซี แอล กรุ๊ป จำกัด</t>
  </si>
  <si>
    <t>บริษัท พีเอฟ69 คอนสตรัคชั่น จำกัด</t>
  </si>
  <si>
    <t>WAG-PONO26-000721</t>
  </si>
  <si>
    <t>WAG-PONO26-001122</t>
  </si>
  <si>
    <t>WAG-PONO26-001121</t>
  </si>
  <si>
    <t>WAG-PONO26-001617</t>
  </si>
  <si>
    <t>WAG-PONO26-001241</t>
  </si>
  <si>
    <t>บริษัท เฟอร์-ไนน์ จำกัด</t>
  </si>
  <si>
    <t>WAG-PONO26-001179</t>
  </si>
  <si>
    <t>WAG-PONO26-001178</t>
  </si>
  <si>
    <t>WAG-PONO26-001219</t>
  </si>
  <si>
    <t>WAG-PONO26-001450</t>
  </si>
  <si>
    <t>WAG-PONO26-001560</t>
  </si>
  <si>
    <t>WAG-PONO26-001328</t>
  </si>
  <si>
    <t>WAG-PONO26-001463</t>
  </si>
  <si>
    <t>WAG-PONO26-001097</t>
  </si>
  <si>
    <t>WAG-PONO26-001196</t>
  </si>
  <si>
    <t>WAG-PONO26-001247</t>
  </si>
  <si>
    <t>WAG-PONO26-001098</t>
  </si>
  <si>
    <t>WAG-PONO26-001503</t>
  </si>
  <si>
    <t>WAG-PONO26-001395</t>
  </si>
  <si>
    <t>บริษัท เพื่อภูมิ จำกัด</t>
  </si>
  <si>
    <t>WAG-PONO26-001111</t>
  </si>
  <si>
    <t>บริษัท บุญถาวร ไลฟ์สไตล์ เฟอร์นิเจอร์ จำกัด</t>
  </si>
  <si>
    <t>WAG-PONO26-001521</t>
  </si>
  <si>
    <t>WAG-PONO26-000644</t>
  </si>
  <si>
    <t>ลูกค้าทิ้งเงินจอง</t>
  </si>
  <si>
    <t>บริษัท เอสไอ เดคคอเรท จำกัด สำนักงานใหญ่</t>
  </si>
  <si>
    <t>WAG-PONO26-001274</t>
  </si>
  <si>
    <t>WAG-PONO26-001037</t>
  </si>
  <si>
    <t>WAG-PONO26-001276</t>
  </si>
  <si>
    <t>บริษัท แมส อินเวนท์ เอ็นจิเนียริ่ง จำกัด</t>
  </si>
  <si>
    <t>WAG-PONO26-001335</t>
  </si>
  <si>
    <t>WAG-PONO26-001036</t>
  </si>
  <si>
    <t>WAG-PONO26-001275</t>
  </si>
  <si>
    <t>WAG-PONO26-001035</t>
  </si>
  <si>
    <t>WAG-PONO26-001482</t>
  </si>
  <si>
    <t>WAG-PONO26-001392</t>
  </si>
  <si>
    <t>บริษัท ดีดี อินทีเรีย จำกัด</t>
  </si>
  <si>
    <t>WAG-PONO26-001321</t>
  </si>
  <si>
    <t>WAG-PONO26-000321</t>
  </si>
  <si>
    <t>WAG-PONO26-000322</t>
  </si>
  <si>
    <t>WAG-PONO26-000319</t>
  </si>
  <si>
    <t>WAG-PONO26-000320</t>
  </si>
  <si>
    <t>WAG-PONO26-001412</t>
  </si>
  <si>
    <t>WAG-PONO26-001032</t>
  </si>
  <si>
    <t>WAG-PONO26-000863</t>
  </si>
  <si>
    <t>WAG-PONO26-000875</t>
  </si>
  <si>
    <t>WAG-PONO26-000891</t>
  </si>
  <si>
    <t>WAG-PONO26-000892</t>
  </si>
  <si>
    <t>WAG-PONO26-001522</t>
  </si>
  <si>
    <t>เงินสำรองจ่าย</t>
  </si>
  <si>
    <t xml:space="preserve"> -</t>
  </si>
  <si>
    <t>D Condo Campus Khon Kaen</t>
  </si>
  <si>
    <t>งานนอก</t>
  </si>
  <si>
    <t>Park Origin Thonglor</t>
  </si>
  <si>
    <t>B2110</t>
  </si>
  <si>
    <t>B3910</t>
  </si>
  <si>
    <t>Origin Plug and Play Sirindhorn Station</t>
  </si>
  <si>
    <t>C1209</t>
  </si>
  <si>
    <t>Origin Plug &amp; Play E22 Station</t>
  </si>
  <si>
    <t>A311</t>
  </si>
  <si>
    <t>So Origin Siriraj</t>
  </si>
  <si>
    <t>12A03</t>
  </si>
  <si>
    <t>Knightsbridge Collage 107</t>
  </si>
  <si>
    <t>B720</t>
  </si>
  <si>
    <t>A402</t>
  </si>
  <si>
    <t>A502</t>
  </si>
  <si>
    <t>B606</t>
  </si>
  <si>
    <t>WAG-SONO26-000250</t>
  </si>
  <si>
    <t>WAG-SONO25-000907</t>
  </si>
  <si>
    <t>WAG-SONO26-000397</t>
  </si>
  <si>
    <t>WAG-SONO26-000294</t>
  </si>
  <si>
    <t>WAG-SONO26-000308</t>
  </si>
  <si>
    <t>WAG-SONO26-000644</t>
  </si>
  <si>
    <t>WAG-SONO26-000645</t>
  </si>
  <si>
    <t>WAG-SONO23-000546</t>
  </si>
  <si>
    <t>WAG-SONO24-001157</t>
  </si>
  <si>
    <t>WAG-SONO26-000572</t>
  </si>
  <si>
    <t>WAG-SONO25-000839</t>
  </si>
  <si>
    <t>WAG-SONO25-000746</t>
  </si>
  <si>
    <t>WAG-SONO26-000485</t>
  </si>
  <si>
    <t>WAG-SONO26-000122</t>
  </si>
  <si>
    <t>WAG-SONO26-000514</t>
  </si>
  <si>
    <t>WAG-SONO26-000521</t>
  </si>
  <si>
    <t>WAG-SONO25-000825</t>
  </si>
  <si>
    <t>WAG-SONO26-000678</t>
  </si>
  <si>
    <t>WAG-SONO26-000584</t>
  </si>
  <si>
    <t>WAG-SONO25-000833</t>
  </si>
  <si>
    <t>WAG-SONO26-000627</t>
  </si>
  <si>
    <t>WAG-SONO25-000924</t>
  </si>
  <si>
    <t>WAG-SONO26-000530</t>
  </si>
  <si>
    <t>WAG-SONO26-000355</t>
  </si>
  <si>
    <t>WAG-SONO23-000544</t>
  </si>
  <si>
    <t>WAG-SONO26-000546</t>
  </si>
  <si>
    <t>WAG-SONO25-000930</t>
  </si>
  <si>
    <t>WAG-SONO26-000273</t>
  </si>
  <si>
    <t>C422</t>
  </si>
  <si>
    <t>Origin Place Phetkasem</t>
  </si>
  <si>
    <t>C130</t>
  </si>
  <si>
    <t>C822</t>
  </si>
  <si>
    <t>C820</t>
  </si>
  <si>
    <t>C206</t>
  </si>
  <si>
    <t>B512</t>
  </si>
  <si>
    <t>C531</t>
  </si>
  <si>
    <t>C821</t>
  </si>
  <si>
    <t>WAG-SONO26-000271</t>
  </si>
  <si>
    <t>WAG-SONO26-000538</t>
  </si>
  <si>
    <t>WAG-SONO26-000500</t>
  </si>
  <si>
    <t>WAG-SONO26-000354</t>
  </si>
  <si>
    <t>WAG-SONO26-000356</t>
  </si>
  <si>
    <t>WAG-SONO26-000469</t>
  </si>
  <si>
    <t>WAG-SONO26-000257</t>
  </si>
  <si>
    <t>WAG-SONO26-000259</t>
  </si>
  <si>
    <t>WAG-SONO26-000573</t>
  </si>
  <si>
    <t>WAG-PONO26-001261</t>
  </si>
  <si>
    <t>WAG-PONO26-001262</t>
  </si>
  <si>
    <t>WAG-PONO26-001034</t>
  </si>
  <si>
    <t>WAG-PONO26-000688</t>
  </si>
  <si>
    <t>WAG-PONO26-001251</t>
  </si>
  <si>
    <t>WAG-PONO26-001070</t>
  </si>
  <si>
    <t>WAG-PONO26-001069</t>
  </si>
  <si>
    <t>WAG-PONO26-001252</t>
  </si>
  <si>
    <t>WAG-PONO26-001253</t>
  </si>
  <si>
    <t>WAG-PONO26-001068</t>
  </si>
  <si>
    <t>WAG-PONO26-000865</t>
  </si>
  <si>
    <t>ต้นทุนอยู่ใน SO WAG-SONO26-000584</t>
  </si>
  <si>
    <t>ยึดเงินจอง</t>
  </si>
  <si>
    <t>บริษัท คาบินี จำกัด</t>
  </si>
  <si>
    <t>WAG-PONO25-001586</t>
  </si>
  <si>
    <t>บริษัท ฟูลเฟอร์ จำกัด</t>
  </si>
  <si>
    <t>WAG-PONO26-001082</t>
  </si>
  <si>
    <t>WAG-PONO25-001588</t>
  </si>
  <si>
    <t>WAG-PONO25-001587</t>
  </si>
  <si>
    <t>WAG-PONO25-001583</t>
  </si>
  <si>
    <t>WAG-PONO26-001102</t>
  </si>
  <si>
    <t>WAG-PONO25-001585</t>
  </si>
  <si>
    <t>WAG-PONO25-001584</t>
  </si>
  <si>
    <t>WAG-PONO26-001589</t>
  </si>
  <si>
    <t>WAG-PONO26-001268</t>
  </si>
  <si>
    <t>WAG-PONO26-001078</t>
  </si>
  <si>
    <t>WAG-PONO26-001270</t>
  </si>
  <si>
    <t>WAG-PONO26-001466</t>
  </si>
  <si>
    <t>WAG-PONO26-001079</t>
  </si>
  <si>
    <t>WAG-PONO26-001493</t>
  </si>
  <si>
    <t>WAG-PONO26-001077</t>
  </si>
  <si>
    <t>WAG-PONO26-001269</t>
  </si>
  <si>
    <t>WAG-PONO26-001076</t>
  </si>
  <si>
    <t>WAG-PONO26-001468</t>
  </si>
  <si>
    <t>WAG-PONO26-001737</t>
  </si>
  <si>
    <t>WAG-PONO26-001583</t>
  </si>
  <si>
    <t>WAG-PONO26-001575</t>
  </si>
  <si>
    <t>WAG-PONO26-001584</t>
  </si>
  <si>
    <t>WAG-PONO26-001476</t>
  </si>
  <si>
    <t>WAG-PONO26-001373</t>
  </si>
  <si>
    <t>WAG-PONO26-001380</t>
  </si>
  <si>
    <t>WAG-PONO26-001370</t>
  </si>
  <si>
    <t>WAG-PONO26-001369</t>
  </si>
  <si>
    <t>WAG-PONO26-001371</t>
  </si>
  <si>
    <t>WAG-PONO26-001475</t>
  </si>
  <si>
    <t>WAG-PONO26-001473</t>
  </si>
  <si>
    <t>WAG-PONO26-001474</t>
  </si>
  <si>
    <t>WAG-PONO26-001372</t>
  </si>
  <si>
    <t>WAG-PONO26-001453</t>
  </si>
  <si>
    <t>WAG-PONO26-001366</t>
  </si>
  <si>
    <t>WAG-PONO26-001248</t>
  </si>
  <si>
    <t>WAG-PONO26-001249</t>
  </si>
  <si>
    <t>WAG-PONO26-001250</t>
  </si>
  <si>
    <t>WAG-PONO26-001367</t>
  </si>
  <si>
    <t>WAG-PONO26-001506</t>
  </si>
  <si>
    <t>WAG-PONO26-001505</t>
  </si>
  <si>
    <t>WAG-PONO26-001553</t>
  </si>
  <si>
    <t>WAG-PONO26-001507</t>
  </si>
  <si>
    <t>WAG-PONO26-000634</t>
  </si>
  <si>
    <t>WAG-PONO26-001416</t>
  </si>
  <si>
    <t>WAG-PONO26-001549</t>
  </si>
  <si>
    <t>WAG-PONO26-001548</t>
  </si>
  <si>
    <t>WAG-PONO26-001500</t>
  </si>
  <si>
    <t>WAG-PONO26-001487</t>
  </si>
  <si>
    <t>WAG-PONO26-001502</t>
  </si>
  <si>
    <t>WAG-PONO26-001501</t>
  </si>
  <si>
    <t>WAG-PONO26-001599</t>
  </si>
  <si>
    <t>WAG-PONO26-001600</t>
  </si>
  <si>
    <t>WAG-PONO26-001734</t>
  </si>
  <si>
    <t>แพ็คเกจเดียวกันกับ SO WAG-SONO26-000584</t>
  </si>
  <si>
    <t>WAG-PONO26-001586</t>
  </si>
  <si>
    <t>WAG-PONO26-001588</t>
  </si>
  <si>
    <t>WAG-PONO26-001497</t>
  </si>
  <si>
    <t>WAG-PONO26-001587</t>
  </si>
  <si>
    <t>WAG-PONO26-001736</t>
  </si>
  <si>
    <t>WAG-PONO26-001339</t>
  </si>
  <si>
    <t>WAG-PONO26-001338</t>
  </si>
  <si>
    <t>WAG-PONO26-001340</t>
  </si>
  <si>
    <t>WAG-PONO26-001341</t>
  </si>
  <si>
    <t>WAG-PONO26-001336</t>
  </si>
  <si>
    <t>WAG-PONO26-001337</t>
  </si>
  <si>
    <t>WAG-PONO26-001362</t>
  </si>
  <si>
    <t>WAG-PONO26-001344</t>
  </si>
  <si>
    <t>WAG-PONO26-001393</t>
  </si>
  <si>
    <t>WAG-PONO26-001315</t>
  </si>
  <si>
    <t>WAG-PONO26-001316</t>
  </si>
  <si>
    <t>WAG-PONO26-001071</t>
  </si>
  <si>
    <t>บริษัท สิปเอเซีย จำกัด</t>
  </si>
  <si>
    <t>WAG-PONO26-001271</t>
  </si>
  <si>
    <t>WAG-PONO26-001273</t>
  </si>
  <si>
    <t>WAG-PONO26-001272</t>
  </si>
  <si>
    <t>WAG-PONO26-001514</t>
  </si>
  <si>
    <t>WAG-PONO26-001517</t>
  </si>
  <si>
    <t>WAG-PONO26-001451</t>
  </si>
  <si>
    <t>WAG-PONO26-001510</t>
  </si>
  <si>
    <t>WAG-PONO26-001511</t>
  </si>
  <si>
    <t>WAG-PONO26-001542</t>
  </si>
  <si>
    <t>WAG-PONO26-001442</t>
  </si>
  <si>
    <t>WAG-PONO26-001056</t>
  </si>
  <si>
    <t>WAG-PONO26-001654</t>
  </si>
  <si>
    <t>บริษัท อูโน่ เซอร์วิส จำกัด</t>
  </si>
  <si>
    <t>เงินค่าออกแบบ วายด์ออกแบบเอง</t>
  </si>
  <si>
    <t>WAG-PONO26-001361</t>
  </si>
  <si>
    <t>WAG-PONO26-001360</t>
  </si>
  <si>
    <t>WAG-PONO26-001406</t>
  </si>
  <si>
    <t>WAG-PONO26-001004</t>
  </si>
  <si>
    <t>WAG-PONO26-001001</t>
  </si>
  <si>
    <t>WAG-PONO26-001003</t>
  </si>
  <si>
    <t>WAG-PONO26-001067</t>
  </si>
  <si>
    <t>WAG-PONO26-001005</t>
  </si>
  <si>
    <t>WAG-PONO26-001002</t>
  </si>
  <si>
    <t>WAG-PONO26-000999</t>
  </si>
  <si>
    <t>WAG-PONO26-000996</t>
  </si>
  <si>
    <t>WAG-PONO26-000998</t>
  </si>
  <si>
    <t>WAG-PONO26-001064</t>
  </si>
  <si>
    <t>WAG-PONO26-001000</t>
  </si>
  <si>
    <t>WAG-PONO26-000997</t>
  </si>
  <si>
    <t>WAG-PONO26-001478</t>
  </si>
  <si>
    <t>WAG-PONO26-001352</t>
  </si>
  <si>
    <t>WAG-PONO26-001353</t>
  </si>
  <si>
    <t>WAG-PONO26-001358</t>
  </si>
  <si>
    <t>WAG-PONO26-001357</t>
  </si>
  <si>
    <t>WAG-PONO26-001461</t>
  </si>
  <si>
    <t>WAG-PONO26-001350</t>
  </si>
  <si>
    <t>WAG-PONO26-001495</t>
  </si>
  <si>
    <t>WAG-PONO26-001740</t>
  </si>
  <si>
    <t>WAG-PONO26-001730</t>
  </si>
  <si>
    <t>WAG-PONO26-001735</t>
  </si>
  <si>
    <t>GP</t>
  </si>
  <si>
    <t>Baht</t>
  </si>
  <si>
    <t>%</t>
  </si>
  <si>
    <t>ห้องคอมมิท โปรโอน ออริ เมื่อ3ปีที่แล้ว</t>
  </si>
  <si>
    <t>ต้นทุนอยู่ที่เลข SO WAG-SONO25-000490 / งาน EQ (สอบถามพี่บูอีกที ดึงต้นทุนมาจากระบบ AX)</t>
  </si>
  <si>
    <t>ต้นทุนอยู่ที่เลข SO WAG-SONO25-000492 /  / งาน EQ (สอบถามพี่บูอีกที ดึงต้นทุนมาจากระบบ AX)</t>
  </si>
  <si>
    <t>ห้องเคสแดงลูกค้าจะเรียกค่าปรับ อรรคพลไม่เข้างานเนื่องจากติดยอดค้าง จึงต้องเปิด PO ให้ เอสไอเพิ่ม โดยนำยอดจ่ายของอรรคพลไปหักลบกับยอดค้างห้อง IP Place บางนา</t>
  </si>
  <si>
    <t>ติดวอลเปเปอร์ผิดสี ทำให้มีต้นทุนติดวอลใหม่เพิ่ม ทางเราเลือกสีผิดจากที่ลูกค้าคอนเฟิร์ม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</si>
</sst>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3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3" fontId="5" fillId="0" borderId="0" xfId="1" applyFont="1" applyAlignment="1">
      <alignment horizontal="center" vertical="center"/>
    </xf>
    <xf numFmtId="43" fontId="6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3" fontId="6" fillId="2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7" fillId="0" borderId="1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8" fillId="0" borderId="1" xfId="1" applyFont="1" applyBorder="1" applyAlignment="1">
      <alignment horizontal="center" vertical="center"/>
    </xf>
    <xf numFmtId="43" fontId="5" fillId="0" borderId="0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9" fillId="0" borderId="0" xfId="0" applyNumberFormat="1" applyFont="1" applyFill="1" applyBorder="1" applyAlignment="1" applyProtection="1">
      <alignment horizontal="left"/>
    </xf>
    <xf numFmtId="49" fontId="9" fillId="0" borderId="1" xfId="0" applyNumberFormat="1" applyFont="1" applyFill="1" applyBorder="1" applyAlignment="1" applyProtection="1">
      <alignment horizontal="left"/>
    </xf>
    <xf numFmtId="43" fontId="0" fillId="0" borderId="0" xfId="0" applyNumberFormat="1" applyAlignment="1">
      <alignment horizontal="center" vertical="center"/>
    </xf>
    <xf numFmtId="43" fontId="6" fillId="3" borderId="2" xfId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6" fillId="3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 vertical="center"/>
    </xf>
    <xf numFmtId="10" fontId="3" fillId="2" borderId="1" xfId="2" applyNumberFormat="1" applyFont="1" applyFill="1" applyBorder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/>
    </xf>
    <xf numFmtId="10" fontId="3" fillId="4" borderId="1" xfId="2" applyNumberFormat="1" applyFont="1" applyFill="1" applyBorder="1" applyAlignment="1">
      <alignment horizontal="center" vertical="center"/>
    </xf>
    <xf numFmtId="10" fontId="5" fillId="0" borderId="0" xfId="2" applyNumberFormat="1" applyFont="1" applyAlignment="1">
      <alignment horizontal="center" vertical="center"/>
    </xf>
    <xf numFmtId="10" fontId="7" fillId="0" borderId="1" xfId="2" applyNumberFormat="1" applyFont="1" applyBorder="1" applyAlignment="1">
      <alignment horizontal="center" vertical="center"/>
    </xf>
    <xf numFmtId="10" fontId="3" fillId="5" borderId="1" xfId="2" applyNumberFormat="1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fir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ll%20Users\Documents\AWS\Engagements\Modernform%20Group%20Plc\Modernform2003\Documents\TPP-C%20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\d\Financial%20Statements\LeadQ2-2003%20for%20e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ซื้อ-ขาย(30-8-42) "/>
      <sheetName val="B&amp;S 1999"/>
      <sheetName val="B&amp;S 1998"/>
      <sheetName val="NPAT"/>
      <sheetName val="Market To Mkt"/>
      <sheetName val="ชื่อหุ้น"/>
      <sheetName val="SHORT TO LONG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GL_06_11_2"/>
      <sheetName val="GL_12_11"/>
      <sheetName val="SCB 1 - Current"/>
      <sheetName val="SCB 2 - Current"/>
      <sheetName val="TrialBalance Q3-2002"/>
      <sheetName val="K001"/>
      <sheetName val="detail(sum)"/>
      <sheetName val="ซื้อ-ขาย(30-8-42)_"/>
      <sheetName val="B&amp;S_1999"/>
      <sheetName val="B&amp;S_1998"/>
      <sheetName val="Market_To_Mkt"/>
      <sheetName val="SHORT_TO_LONG"/>
      <sheetName val="TrialBalance_Q3-2002"/>
      <sheetName val="SCB_1_-_Current"/>
      <sheetName val="SCB_2_-_Current"/>
      <sheetName val="BAL"/>
      <sheetName val="EST-FOOTING (G)"/>
      <sheetName val="ELEC45-01"/>
      <sheetName val="Province"/>
      <sheetName val="K-1A"/>
      <sheetName val="acc.depre-report-old"/>
      <sheetName val="เงินกู้ MGC"/>
      <sheetName val="SCB_1_-_Current5"/>
      <sheetName val="SCB_2_-_Current5"/>
      <sheetName val="บริษัท"/>
      <sheetName val="FS-YTD"/>
      <sheetName val="1201"/>
      <sheetName val="BS"/>
      <sheetName val="SAN REDUCED 1"/>
      <sheetName val=" IB-PL-YTD"/>
      <sheetName val="????????"/>
      <sheetName val="CRITERIA1"/>
      <sheetName val="Exchange"/>
      <sheetName val="เงินกู้ธนชาติ"/>
      <sheetName val="登録データ"/>
      <sheetName val="Trial Balance"/>
      <sheetName val="2002"/>
      <sheetName val="SAN_REDUCED_1"/>
      <sheetName val="ซื้อ-ขาย(30-8-42)_1"/>
      <sheetName val="B&amp;S_19991"/>
      <sheetName val="B&amp;S_19981"/>
      <sheetName val="Market_To_Mkt1"/>
      <sheetName val="SHORT_TO_LONG1"/>
      <sheetName val="SCB_1_-_Current1"/>
      <sheetName val="SCB_2_-_Current1"/>
      <sheetName val="TrialBalance_Q3-20021"/>
      <sheetName val="SAN_REDUCED_11"/>
      <sheetName val="ซื้อ-ขาย(30-8-42)_2"/>
      <sheetName val="B&amp;S_19992"/>
      <sheetName val="B&amp;S_19982"/>
      <sheetName val="Market_To_Mkt2"/>
      <sheetName val="SHORT_TO_LONG2"/>
      <sheetName val="SCB_1_-_Current2"/>
      <sheetName val="SCB_2_-_Current2"/>
      <sheetName val="TrialBalance_Q3-20022"/>
      <sheetName val="SAN_REDUCED_12"/>
      <sheetName val="TB 30.6.06"/>
      <sheetName val="B_S 1999"/>
      <sheetName val="TrialBalance Q3_2002"/>
      <sheetName val="EST-FOOTING_(G)1"/>
      <sheetName val="EST-FOOTING_(G)"/>
      <sheetName val="ซื้อ-ขาย(30-8-42)_3"/>
      <sheetName val="B&amp;S_19993"/>
      <sheetName val="B&amp;S_19983"/>
      <sheetName val="Market_To_Mkt3"/>
      <sheetName val="SHORT_TO_LONG3"/>
      <sheetName val="SCB_1_-_Current3"/>
      <sheetName val="SCB_2_-_Current3"/>
      <sheetName val="TrialBalance_Q3-20023"/>
      <sheetName val="EST-FOOTING_(G)2"/>
      <sheetName val="GL06"/>
      <sheetName val="P&amp;LFINAL - 44"/>
      <sheetName val="sumdata"/>
      <sheetName val="PGM_2LEVYTD"/>
      <sheetName val="ซื้อ-ขาย(30-8-42)_4"/>
      <sheetName val="B&amp;S_19994"/>
      <sheetName val="B&amp;S_19984"/>
      <sheetName val="Market_To_Mkt4"/>
      <sheetName val="SHORT_TO_LONG4"/>
      <sheetName val="SCB_1_-_Current4"/>
      <sheetName val="SCB_2_-_Current4"/>
      <sheetName val="TrialBalance_Q3-20024"/>
      <sheetName val="EST-FOOTING_(G)3"/>
      <sheetName val="acc_depre-report-old"/>
      <sheetName val="เงินกู้_MGC"/>
      <sheetName val="SAN_REDUCED_13"/>
      <sheetName val="_IB-PL-YTD"/>
      <sheetName val="Trial_Balance"/>
      <sheetName val="B_S_1999"/>
      <sheetName val="TrialBalance_Q3_2002"/>
      <sheetName val="TB_30_6_06"/>
      <sheetName val="P&amp;LFINAL_-_44"/>
      <sheetName val="MM"/>
      <sheetName val="Types for รายacc."/>
      <sheetName val="Action"/>
      <sheetName val="acc_depre-report-old1"/>
      <sheetName val="เงินกู้_MGC1"/>
      <sheetName val="_IB-PL-YTD1"/>
      <sheetName val="Tbบางนา"/>
      <sheetName val="Tbสนญ"/>
      <sheetName val="TAMARAC SPANISH With GREY"/>
      <sheetName val="MOTO"/>
      <sheetName val="acc_depre-report-old2"/>
      <sheetName val="เงินกู้_MGC2"/>
      <sheetName val="_IB-PL-YTD2"/>
      <sheetName val="#REF"/>
      <sheetName val="ตั๋วเงินรับ"/>
      <sheetName val="6.ข้อมูลวัสดุ-ค่าดำเนิน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 refreshError="1"/>
      <sheetData sheetId="122" refreshError="1"/>
      <sheetData sheetId="1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"/>
      <sheetName val="C-3"/>
      <sheetName val="C-5"/>
      <sheetName val="C-11"/>
      <sheetName val="#REF"/>
      <sheetName val="TPP-C 2003"/>
      <sheetName val="ตั๋วเงินรับ"/>
      <sheetName val="K120"/>
      <sheetName val="K-1A"/>
      <sheetName val="Trial Balance"/>
      <sheetName val="เงินกู้ธนชาติ"/>
      <sheetName val="TrialBalance Q3-2002"/>
      <sheetName val="PA"/>
      <sheetName val="ELEC45-01"/>
      <sheetName val="Macro1"/>
      <sheetName val="O400"/>
      <sheetName val="CRITERIA2"/>
      <sheetName val="desc"/>
      <sheetName val="type"/>
      <sheetName val="BUILD95"/>
      <sheetName val="FS_Projection"/>
      <sheetName val="fr"/>
      <sheetName val="vendor currency"/>
      <sheetName val="Sheet1"/>
      <sheetName val="SCB 1 - Current"/>
      <sheetName val="SCB 2 - Current"/>
      <sheetName val="MENU"/>
      <sheetName val="Exp"/>
      <sheetName val="TPP-C_2003"/>
      <sheetName val="TPP-C_20031"/>
      <sheetName val="Trial_Balance"/>
      <sheetName val="TrialBalance_Q3-2002"/>
      <sheetName val="Trial_Balance1"/>
      <sheetName val="TrialBalance_Q3-20021"/>
      <sheetName val="TPP-C_20032"/>
      <sheetName val="Trial_Balance2"/>
      <sheetName val="TrialBalance_Q3-20022"/>
      <sheetName val="TPP-C_20033"/>
      <sheetName val="TPP-C_20034"/>
      <sheetName val="Trial_Balance3"/>
      <sheetName val="TrialBalance_Q3-20023"/>
      <sheetName val="HOTEL MENU"/>
      <sheetName val="P&amp;L DEPT"/>
      <sheetName val="SCB-C"/>
      <sheetName val="BAY-C"/>
    </sheetNames>
    <sheetDataSet>
      <sheetData sheetId="0">
        <row r="1">
          <cell r="F1" t="str">
            <v>Ref :-</v>
          </cell>
        </row>
      </sheetData>
      <sheetData sheetId="1">
        <row r="1">
          <cell r="F1" t="str">
            <v>Ref :-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&amp;cash flow"/>
      <sheetName val="conso-PL"/>
      <sheetName val="asimar cf"/>
      <sheetName val="conso cf "/>
      <sheetName val="eliminate_BS"/>
      <sheetName val="eliminate_PL"/>
      <sheetName val="BS"/>
      <sheetName val="PL"/>
      <sheetName val="pending"/>
      <sheetName val="PM &amp; TE-calculation"/>
      <sheetName val="REC"/>
      <sheetName val="SAD"/>
      <sheetName val="ADJ"/>
      <sheetName val="Sum lead"/>
      <sheetName val="C-Cash&amp;Bank"/>
      <sheetName val="E-Accounts Receivable"/>
      <sheetName val="F-Inventory"/>
      <sheetName val="G-Other CA"/>
      <sheetName val="H-Investment"/>
      <sheetName val="H-3"/>
      <sheetName val="I-Intercompany"/>
      <sheetName val="J-Other Assets"/>
      <sheetName val="K-Fixed Asset"/>
      <sheetName val="M-Accounts Payable"/>
      <sheetName val="N-Other CL"/>
      <sheetName val="Q-Other Liabilities"/>
      <sheetName val="Q-3"/>
      <sheetName val="T-Equity"/>
      <sheetName val="U-Profit&amp;Loss"/>
      <sheetName val="U-1.1_GP by Seg"/>
      <sheetName val="U-Service Income"/>
      <sheetName val="U-Other Income"/>
      <sheetName val="U-Cost of Service"/>
      <sheetName val="U-4-1"/>
      <sheetName val="U-Selling&amp;Admin"/>
      <sheetName val="U-Interest Exp"/>
      <sheetName val="Trial Balance"/>
      <sheetName val="เงินกู้ MGC"/>
      <sheetName val="TB"/>
      <sheetName val="Approved Renov Payment Schedule"/>
      <sheetName val="TrialBalance Q3-2002"/>
      <sheetName val="C-3"/>
      <sheetName val="U-5"/>
      <sheetName val="ตั๋วเงินรับ"/>
      <sheetName val="เงินกู้ธนชาติ"/>
      <sheetName val="Input_Undue"/>
      <sheetName val="Deposit_Other"/>
      <sheetName val="Wkgs_BS Lead"/>
      <sheetName val="Tiers"/>
      <sheetName val="Macro1"/>
      <sheetName val="Data Salary"/>
      <sheetName val="K-1A"/>
      <sheetName val="PA"/>
      <sheetName val="KPI48"/>
      <sheetName val="Cashflow"/>
      <sheetName val="노무비"/>
      <sheetName val="Exp"/>
      <sheetName val="2002"/>
      <sheetName val="Masterประเภท"/>
      <sheetName val="input"/>
      <sheetName val="code"/>
      <sheetName val="10-1 Media"/>
      <sheetName val="10-cut"/>
      <sheetName val=""/>
      <sheetName val="TB-BAC"/>
      <sheetName val="conso&amp;cash_flow"/>
      <sheetName val="asimar_cf"/>
      <sheetName val="conso_cf_"/>
      <sheetName val="PM_&amp;_TE-calculation"/>
      <sheetName val="Sum_lead"/>
      <sheetName val="E-Accounts_Receivable"/>
      <sheetName val="G-Other_CA"/>
      <sheetName val="J-Other_Assets"/>
      <sheetName val="K-Fixed_Asset"/>
      <sheetName val="M-Accounts_Payable"/>
      <sheetName val="N-Other_CL"/>
      <sheetName val="Q-Other_Liabilities"/>
      <sheetName val="U-1_1_GP_by_Seg"/>
      <sheetName val="U-Service_Income"/>
      <sheetName val="U-Other_Income"/>
      <sheetName val="U-Cost_of_Service"/>
      <sheetName val="U-Interest_Exp"/>
      <sheetName val="Trial_Balance"/>
      <sheetName val="เงินกู้_MGC"/>
      <sheetName val=" IB-PL-YTD"/>
      <sheetName val="trfc02-26(Fes+Ses)"/>
      <sheetName val="BS ATTACH"/>
      <sheetName val="S001"/>
      <sheetName val="CostCtr"/>
      <sheetName val="Legal"/>
      <sheetName val="acc.depre-report-old"/>
      <sheetName val="securities movement"/>
      <sheetName val="Worksheet"/>
      <sheetName val="conso&amp;cash_flow1"/>
      <sheetName val="asimar_cf1"/>
      <sheetName val="conso_cf_1"/>
      <sheetName val="PM_&amp;_TE-calculation1"/>
      <sheetName val="Sum_lead1"/>
      <sheetName val="E-Accounts_Receivable1"/>
      <sheetName val="G-Other_CA1"/>
      <sheetName val="J-Other_Assets1"/>
      <sheetName val="K-Fixed_Asset1"/>
      <sheetName val="M-Accounts_Payable1"/>
      <sheetName val="N-Other_CL1"/>
      <sheetName val="Q-Other_Liabilities1"/>
      <sheetName val="U-1_1_GP_by_Seg1"/>
      <sheetName val="U-Service_Income1"/>
      <sheetName val="U-Other_Income1"/>
      <sheetName val="U-Cost_of_Service1"/>
      <sheetName val="U-Interest_Exp1"/>
      <sheetName val="Trial_Balance1"/>
      <sheetName val="เงินกู้_MGC1"/>
      <sheetName val="Approved_Renov_Payment_Schedule"/>
      <sheetName val="TrialBalance_Q3-2002"/>
      <sheetName val="Wkgs_BS_Lead"/>
      <sheetName val="Data_Salary"/>
      <sheetName val="10-1_Media"/>
      <sheetName val="_IB-PL-YTD"/>
      <sheetName val="BS_ATTACH"/>
      <sheetName val="acc_depre-report-old"/>
      <sheetName val="securities_movement"/>
      <sheetName val="Int. SanRam"/>
      <sheetName val="ประมาณการประตูหน้าต่าง "/>
      <sheetName val="Aging"/>
      <sheetName val="V310"/>
      <sheetName val="DEP12"/>
      <sheetName val="BUILD95"/>
      <sheetName val="workbook control"/>
      <sheetName val="I-203"/>
      <sheetName val="Month v YTD"/>
      <sheetName val="손익계산서"/>
      <sheetName val="Hidden"/>
      <sheetName val="Assumptions"/>
      <sheetName val="Memo"/>
      <sheetName val="InputPO_Del"/>
      <sheetName val="(1b)Company"/>
      <sheetName val="(4A)J-Market"/>
      <sheetName val="(10) ProdType"/>
      <sheetName val="BW"/>
      <sheetName val="Working Capital "/>
      <sheetName val="ราคาไม้"/>
      <sheetName val="consol"/>
      <sheetName val="FF-6"/>
      <sheetName val="conso&amp;cash_flow5"/>
      <sheetName val="asimar_cf5"/>
      <sheetName val="conso_cf_5"/>
      <sheetName val="PM_&amp;_TE-calculation5"/>
      <sheetName val="Sum_lead5"/>
      <sheetName val="E-Accounts_Receivable5"/>
      <sheetName val="G-Other_CA5"/>
      <sheetName val="J-Other_Assets5"/>
      <sheetName val="K-Fixed_Asset5"/>
      <sheetName val="M-Accounts_Payable5"/>
      <sheetName val="N-Other_CL5"/>
      <sheetName val="Q-Other_Liabilities5"/>
      <sheetName val="U-1_1_GP_by_Seg5"/>
      <sheetName val="U-Service_Income5"/>
      <sheetName val="U-Other_Income5"/>
      <sheetName val="U-Cost_of_Service5"/>
      <sheetName val="U-Interest_Exp5"/>
      <sheetName val="Trial_Balance5"/>
      <sheetName val="เงินกู้_MGC5"/>
      <sheetName val="TrialBalance_Q3-20024"/>
      <sheetName val="Approved_Renov_Payment_Schedul4"/>
      <sheetName val="Wkgs_BS_Lead4"/>
      <sheetName val="Data_Salary4"/>
      <sheetName val="10-1_Media4"/>
      <sheetName val="_IB-PL-YTD4"/>
      <sheetName val="BS_ATTACH4"/>
      <sheetName val="acc_depre-report-old4"/>
      <sheetName val="securities_movement4"/>
      <sheetName val="Int__SanRam3"/>
      <sheetName val="workbook_control3"/>
      <sheetName val="ประมาณการประตูหน้าต่าง_3"/>
      <sheetName val="conso&amp;cash_flow2"/>
      <sheetName val="asimar_cf2"/>
      <sheetName val="conso_cf_2"/>
      <sheetName val="PM_&amp;_TE-calculation2"/>
      <sheetName val="Sum_lead2"/>
      <sheetName val="E-Accounts_Receivable2"/>
      <sheetName val="G-Other_CA2"/>
      <sheetName val="J-Other_Assets2"/>
      <sheetName val="K-Fixed_Asset2"/>
      <sheetName val="M-Accounts_Payable2"/>
      <sheetName val="N-Other_CL2"/>
      <sheetName val="Q-Other_Liabilities2"/>
      <sheetName val="U-1_1_GP_by_Seg2"/>
      <sheetName val="U-Service_Income2"/>
      <sheetName val="U-Other_Income2"/>
      <sheetName val="U-Cost_of_Service2"/>
      <sheetName val="U-Interest_Exp2"/>
      <sheetName val="Trial_Balance2"/>
      <sheetName val="เงินกู้_MGC2"/>
      <sheetName val="Approved_Renov_Payment_Schedul1"/>
      <sheetName val="TrialBalance_Q3-20021"/>
      <sheetName val="Wkgs_BS_Lead1"/>
      <sheetName val="Data_Salary1"/>
      <sheetName val="10-1_Media1"/>
      <sheetName val="_IB-PL-YTD1"/>
      <sheetName val="BS_ATTACH1"/>
      <sheetName val="acc_depre-report-old1"/>
      <sheetName val="securities_movement1"/>
      <sheetName val="Int__SanRam"/>
      <sheetName val="workbook_control"/>
      <sheetName val="ประมาณการประตูหน้าต่าง_"/>
      <sheetName val="conso&amp;cash_flow3"/>
      <sheetName val="asimar_cf3"/>
      <sheetName val="conso_cf_3"/>
      <sheetName val="PM_&amp;_TE-calculation3"/>
      <sheetName val="Sum_lead3"/>
      <sheetName val="E-Accounts_Receivable3"/>
      <sheetName val="G-Other_CA3"/>
      <sheetName val="J-Other_Assets3"/>
      <sheetName val="K-Fixed_Asset3"/>
      <sheetName val="M-Accounts_Payable3"/>
      <sheetName val="N-Other_CL3"/>
      <sheetName val="Q-Other_Liabilities3"/>
      <sheetName val="U-1_1_GP_by_Seg3"/>
      <sheetName val="U-Service_Income3"/>
      <sheetName val="U-Other_Income3"/>
      <sheetName val="U-Cost_of_Service3"/>
      <sheetName val="U-Interest_Exp3"/>
      <sheetName val="Trial_Balance3"/>
      <sheetName val="เงินกู้_MGC3"/>
      <sheetName val="Approved_Renov_Payment_Schedul2"/>
      <sheetName val="TrialBalance_Q3-20022"/>
      <sheetName val="Wkgs_BS_Lead2"/>
      <sheetName val="Data_Salary2"/>
      <sheetName val="10-1_Media2"/>
      <sheetName val="_IB-PL-YTD2"/>
      <sheetName val="BS_ATTACH2"/>
      <sheetName val="acc_depre-report-old2"/>
      <sheetName val="securities_movement2"/>
      <sheetName val="Int__SanRam1"/>
      <sheetName val="workbook_control1"/>
      <sheetName val="ประมาณการประตูหน้าต่าง_1"/>
      <sheetName val="conso&amp;cash_flow4"/>
      <sheetName val="asimar_cf4"/>
      <sheetName val="conso_cf_4"/>
      <sheetName val="PM_&amp;_TE-calculation4"/>
      <sheetName val="Sum_lead4"/>
      <sheetName val="E-Accounts_Receivable4"/>
      <sheetName val="G-Other_CA4"/>
      <sheetName val="J-Other_Assets4"/>
      <sheetName val="K-Fixed_Asset4"/>
      <sheetName val="M-Accounts_Payable4"/>
      <sheetName val="N-Other_CL4"/>
      <sheetName val="Q-Other_Liabilities4"/>
      <sheetName val="U-1_1_GP_by_Seg4"/>
      <sheetName val="U-Service_Income4"/>
      <sheetName val="U-Other_Income4"/>
      <sheetName val="U-Cost_of_Service4"/>
      <sheetName val="U-Interest_Exp4"/>
      <sheetName val="Trial_Balance4"/>
      <sheetName val="เงินกู้_MGC4"/>
      <sheetName val="Approved_Renov_Payment_Schedul3"/>
      <sheetName val="TrialBalance_Q3-20023"/>
      <sheetName val="Wkgs_BS_Lead3"/>
      <sheetName val="Data_Salary3"/>
      <sheetName val="10-1_Media3"/>
      <sheetName val="_IB-PL-YTD3"/>
      <sheetName val="BS_ATTACH3"/>
      <sheetName val="acc_depre-report-old3"/>
      <sheetName val="securities_movement3"/>
      <sheetName val="Int__SanRam2"/>
      <sheetName val="workbook_control2"/>
      <sheetName val="ประมาณการประตูหน้าต่าง_2"/>
      <sheetName val="conso&amp;cash_flow7"/>
      <sheetName val="asimar_cf7"/>
      <sheetName val="conso_cf_7"/>
      <sheetName val="PM_&amp;_TE-calculation7"/>
      <sheetName val="Sum_lead7"/>
      <sheetName val="E-Accounts_Receivable7"/>
      <sheetName val="G-Other_CA7"/>
      <sheetName val="J-Other_Assets7"/>
      <sheetName val="K-Fixed_Asset7"/>
      <sheetName val="M-Accounts_Payable7"/>
      <sheetName val="N-Other_CL7"/>
      <sheetName val="Q-Other_Liabilities7"/>
      <sheetName val="U-1_1_GP_by_Seg7"/>
      <sheetName val="U-Service_Income7"/>
      <sheetName val="U-Other_Income7"/>
      <sheetName val="U-Cost_of_Service7"/>
      <sheetName val="U-Interest_Exp7"/>
      <sheetName val="Trial_Balance7"/>
      <sheetName val="เงินกู้_MGC7"/>
      <sheetName val="Approved_Renov_Payment_Schedul6"/>
      <sheetName val="TrialBalance_Q3-20026"/>
      <sheetName val="Wkgs_BS_Lead6"/>
      <sheetName val="Data_Salary6"/>
      <sheetName val="10-1_Media6"/>
      <sheetName val="_IB-PL-YTD6"/>
      <sheetName val="BS_ATTACH6"/>
      <sheetName val="acc_depre-report-old6"/>
      <sheetName val="securities_movement6"/>
      <sheetName val="Int__SanRam5"/>
      <sheetName val="workbook_control5"/>
      <sheetName val="ประมาณการประตูหน้าต่าง_5"/>
      <sheetName val="Month_v_YTD1"/>
      <sheetName val="Working_Capital_1"/>
      <sheetName val="(10)_ProdType1"/>
      <sheetName val="conso&amp;cash_flow6"/>
      <sheetName val="asimar_cf6"/>
      <sheetName val="conso_cf_6"/>
      <sheetName val="PM_&amp;_TE-calculation6"/>
      <sheetName val="Sum_lead6"/>
      <sheetName val="E-Accounts_Receivable6"/>
      <sheetName val="G-Other_CA6"/>
      <sheetName val="J-Other_Assets6"/>
      <sheetName val="K-Fixed_Asset6"/>
      <sheetName val="M-Accounts_Payable6"/>
      <sheetName val="N-Other_CL6"/>
      <sheetName val="Q-Other_Liabilities6"/>
      <sheetName val="U-1_1_GP_by_Seg6"/>
      <sheetName val="U-Service_Income6"/>
      <sheetName val="U-Other_Income6"/>
      <sheetName val="U-Cost_of_Service6"/>
      <sheetName val="U-Interest_Exp6"/>
      <sheetName val="Trial_Balance6"/>
      <sheetName val="เงินกู้_MGC6"/>
      <sheetName val="Approved_Renov_Payment_Schedul5"/>
      <sheetName val="TrialBalance_Q3-20025"/>
      <sheetName val="Wkgs_BS_Lead5"/>
      <sheetName val="Data_Salary5"/>
      <sheetName val="10-1_Media5"/>
      <sheetName val="_IB-PL-YTD5"/>
      <sheetName val="BS_ATTACH5"/>
      <sheetName val="acc_depre-report-old5"/>
      <sheetName val="securities_movement5"/>
      <sheetName val="Int__SanRam4"/>
      <sheetName val="workbook_control4"/>
      <sheetName val="ประมาณการประตูหน้าต่าง_4"/>
      <sheetName val="Month_v_YTD"/>
      <sheetName val="Working_Capital_"/>
      <sheetName val="(10)_ProdType"/>
      <sheetName val="conso&amp;cash_flow8"/>
      <sheetName val="asimar_cf8"/>
      <sheetName val="conso_cf_8"/>
      <sheetName val="PM_&amp;_TE-calculation8"/>
      <sheetName val="Sum_lead8"/>
      <sheetName val="E-Accounts_Receivable8"/>
      <sheetName val="G-Other_CA8"/>
      <sheetName val="J-Other_Assets8"/>
      <sheetName val="K-Fixed_Asset8"/>
      <sheetName val="M-Accounts_Payable8"/>
      <sheetName val="N-Other_CL8"/>
      <sheetName val="Q-Other_Liabilities8"/>
      <sheetName val="U-1_1_GP_by_Seg8"/>
      <sheetName val="U-Service_Income8"/>
      <sheetName val="U-Other_Income8"/>
      <sheetName val="U-Cost_of_Service8"/>
      <sheetName val="U-Interest_Exp8"/>
      <sheetName val="Trial_Balance8"/>
      <sheetName val="เงินกู้_MGC8"/>
      <sheetName val="Approved_Renov_Payment_Schedul7"/>
      <sheetName val="TrialBalance_Q3-20027"/>
      <sheetName val="Wkgs_BS_Lead7"/>
      <sheetName val="Data_Salary7"/>
      <sheetName val="10-1_Media7"/>
      <sheetName val="_IB-PL-YTD7"/>
      <sheetName val="BS_ATTACH7"/>
      <sheetName val="acc_depre-report-old7"/>
      <sheetName val="securities_movement7"/>
      <sheetName val="Int__SanRam6"/>
      <sheetName val="workbook_control6"/>
      <sheetName val="ประมาณการประตูหน้าต่าง_6"/>
      <sheetName val="Month_v_YTD2"/>
      <sheetName val="Working_Capital_2"/>
      <sheetName val="(10)_ProdType2"/>
      <sheetName val="conso&amp;cash_flow9"/>
      <sheetName val="asimar_cf9"/>
      <sheetName val="conso_cf_9"/>
      <sheetName val="PM_&amp;_TE-calculation9"/>
      <sheetName val="Sum_lead9"/>
      <sheetName val="E-Accounts_Receivable9"/>
      <sheetName val="G-Other_CA9"/>
      <sheetName val="J-Other_Assets9"/>
      <sheetName val="K-Fixed_Asset9"/>
      <sheetName val="M-Accounts_Payable9"/>
      <sheetName val="N-Other_CL9"/>
      <sheetName val="Q-Other_Liabilities9"/>
      <sheetName val="U-1_1_GP_by_Seg9"/>
      <sheetName val="U-Service_Income9"/>
      <sheetName val="U-Other_Income9"/>
      <sheetName val="U-Cost_of_Service9"/>
      <sheetName val="U-Interest_Exp9"/>
      <sheetName val="Trial_Balance9"/>
      <sheetName val="เงินกู้_MGC9"/>
      <sheetName val="Approved_Renov_Payment_Schedul8"/>
      <sheetName val="TrialBalance_Q3-20028"/>
      <sheetName val="Wkgs_BS_Lead8"/>
      <sheetName val="Data_Salary8"/>
      <sheetName val="10-1_Media8"/>
      <sheetName val="_IB-PL-YTD8"/>
      <sheetName val="BS_ATTACH8"/>
      <sheetName val="acc_depre-report-old8"/>
      <sheetName val="securities_movement8"/>
      <sheetName val="Int__SanRam7"/>
      <sheetName val="workbook_control7"/>
      <sheetName val="ประมาณการประตูหน้าต่าง_7"/>
      <sheetName val="Month_v_YTD3"/>
      <sheetName val="Working_Capital_3"/>
      <sheetName val="(10)_ProdType3"/>
      <sheetName val="conso&amp;cash_flow10"/>
      <sheetName val="asimar_cf10"/>
      <sheetName val="conso_cf_10"/>
      <sheetName val="PM_&amp;_TE-calculation10"/>
      <sheetName val="Sum_lead10"/>
      <sheetName val="E-Accounts_Receivable10"/>
      <sheetName val="G-Other_CA10"/>
      <sheetName val="J-Other_Assets10"/>
      <sheetName val="K-Fixed_Asset10"/>
      <sheetName val="M-Accounts_Payable10"/>
      <sheetName val="N-Other_CL10"/>
      <sheetName val="Q-Other_Liabilities10"/>
      <sheetName val="U-1_1_GP_by_Seg10"/>
      <sheetName val="U-Service_Income10"/>
      <sheetName val="U-Other_Income10"/>
      <sheetName val="U-Cost_of_Service10"/>
      <sheetName val="U-Interest_Exp10"/>
      <sheetName val="Trial_Balance10"/>
      <sheetName val="เงินกู้_MGC10"/>
      <sheetName val="Approved_Renov_Payment_Schedul9"/>
      <sheetName val="TrialBalance_Q3-20029"/>
      <sheetName val="Wkgs_BS_Lead9"/>
      <sheetName val="Data_Salary9"/>
      <sheetName val="10-1_Media9"/>
      <sheetName val="_IB-PL-YTD9"/>
      <sheetName val="BS_ATTACH9"/>
      <sheetName val="acc_depre-report-old9"/>
      <sheetName val="securities_movement9"/>
      <sheetName val="Int__SanRam8"/>
      <sheetName val="workbook_control8"/>
      <sheetName val="ประมาณการประตูหน้าต่าง_8"/>
      <sheetName val="Month_v_YTD4"/>
      <sheetName val="Working_Capital_4"/>
      <sheetName val="(10)_ProdType4"/>
      <sheetName val="conso&amp;cash_flow11"/>
      <sheetName val="asimar_cf11"/>
      <sheetName val="conso_cf_11"/>
      <sheetName val="PM_&amp;_TE-calculation11"/>
      <sheetName val="Sum_lead11"/>
      <sheetName val="E-Accounts_Receivable11"/>
      <sheetName val="G-Other_CA11"/>
      <sheetName val="J-Other_Assets11"/>
      <sheetName val="K-Fixed_Asset11"/>
      <sheetName val="M-Accounts_Payable11"/>
      <sheetName val="N-Other_CL11"/>
      <sheetName val="Q-Other_Liabilities11"/>
      <sheetName val="U-1_1_GP_by_Seg11"/>
      <sheetName val="U-Service_Income11"/>
      <sheetName val="U-Other_Income11"/>
      <sheetName val="U-Cost_of_Service11"/>
      <sheetName val="U-Interest_Exp11"/>
      <sheetName val="Trial_Balance11"/>
      <sheetName val="เงินกู้_MGC11"/>
      <sheetName val="Approved_Renov_Payment_Schedu10"/>
      <sheetName val="TrialBalance_Q3-200210"/>
      <sheetName val="Wkgs_BS_Lead10"/>
      <sheetName val="Data_Salary10"/>
      <sheetName val="10-1_Media10"/>
      <sheetName val="_IB-PL-YTD10"/>
      <sheetName val="BS_ATTACH10"/>
      <sheetName val="acc_depre-report-old10"/>
      <sheetName val="securities_movement10"/>
      <sheetName val="Int__SanRam9"/>
      <sheetName val="workbook_control9"/>
      <sheetName val="ประมาณการประตูหน้าต่าง_9"/>
      <sheetName val="Month_v_YTD5"/>
      <sheetName val="Working_Capital_5"/>
      <sheetName val="(10)_ProdType5"/>
      <sheetName val="conso&amp;cash_flow12"/>
      <sheetName val="asimar_cf12"/>
      <sheetName val="conso_cf_12"/>
      <sheetName val="PM_&amp;_TE-calculation12"/>
      <sheetName val="Sum_lead12"/>
      <sheetName val="E-Accounts_Receivable12"/>
      <sheetName val="G-Other_CA12"/>
      <sheetName val="J-Other_Assets12"/>
      <sheetName val="K-Fixed_Asset12"/>
      <sheetName val="M-Accounts_Payable12"/>
      <sheetName val="N-Other_CL12"/>
      <sheetName val="Q-Other_Liabilities12"/>
      <sheetName val="U-1_1_GP_by_Seg12"/>
      <sheetName val="U-Service_Income12"/>
      <sheetName val="U-Other_Income12"/>
      <sheetName val="U-Cost_of_Service12"/>
      <sheetName val="U-Interest_Exp12"/>
      <sheetName val="Trial_Balance12"/>
      <sheetName val="เงินกู้_MGC12"/>
      <sheetName val="Approved_Renov_Payment_Schedu11"/>
      <sheetName val="TrialBalance_Q3-200211"/>
      <sheetName val="Wkgs_BS_Lead11"/>
      <sheetName val="Data_Salary11"/>
      <sheetName val="10-1_Media11"/>
      <sheetName val="_IB-PL-YTD11"/>
      <sheetName val="BS_ATTACH11"/>
      <sheetName val="acc_depre-report-old11"/>
      <sheetName val="securities_movement11"/>
      <sheetName val="Int__SanRam10"/>
      <sheetName val="workbook_control10"/>
      <sheetName val="ประมาณการประตูหน้าต่าง_10"/>
      <sheetName val="Month_v_YTD6"/>
      <sheetName val="Working_Capital_6"/>
      <sheetName val="(10)_ProdType6"/>
      <sheetName val="conso&amp;cash_flow13"/>
      <sheetName val="asimar_cf13"/>
      <sheetName val="conso_cf_13"/>
      <sheetName val="PM_&amp;_TE-calculation13"/>
      <sheetName val="Sum_lead13"/>
      <sheetName val="E-Accounts_Receivable13"/>
      <sheetName val="G-Other_CA13"/>
      <sheetName val="J-Other_Assets13"/>
      <sheetName val="K-Fixed_Asset13"/>
      <sheetName val="M-Accounts_Payable13"/>
      <sheetName val="N-Other_CL13"/>
      <sheetName val="Q-Other_Liabilities13"/>
      <sheetName val="U-1_1_GP_by_Seg13"/>
      <sheetName val="U-Service_Income13"/>
      <sheetName val="U-Other_Income13"/>
      <sheetName val="U-Cost_of_Service13"/>
      <sheetName val="U-Interest_Exp13"/>
      <sheetName val="Trial_Balance13"/>
      <sheetName val="เงินกู้_MGC13"/>
      <sheetName val="Approved_Renov_Payment_Schedu12"/>
      <sheetName val="TrialBalance_Q3-200212"/>
      <sheetName val="Wkgs_BS_Lead12"/>
      <sheetName val="Data_Salary12"/>
      <sheetName val="10-1_Media12"/>
      <sheetName val="_IB-PL-YTD12"/>
      <sheetName val="BS_ATTACH12"/>
      <sheetName val="acc_depre-report-old12"/>
      <sheetName val="securities_movement12"/>
      <sheetName val="Int__SanRam11"/>
      <sheetName val="workbook_control11"/>
      <sheetName val="ประมาณการประตูหน้าต่าง_11"/>
      <sheetName val="Month_v_YTD7"/>
      <sheetName val="Working_Capital_7"/>
      <sheetName val="(10)_ProdType7"/>
      <sheetName val="conso&amp;cash_flow14"/>
      <sheetName val="asimar_cf14"/>
      <sheetName val="conso_cf_14"/>
      <sheetName val="PM_&amp;_TE-calculation14"/>
      <sheetName val="Sum_lead14"/>
      <sheetName val="E-Accounts_Receivable14"/>
      <sheetName val="G-Other_CA14"/>
      <sheetName val="J-Other_Assets14"/>
      <sheetName val="K-Fixed_Asset14"/>
      <sheetName val="M-Accounts_Payable14"/>
      <sheetName val="N-Other_CL14"/>
      <sheetName val="Q-Other_Liabilities14"/>
      <sheetName val="U-1_1_GP_by_Seg14"/>
      <sheetName val="U-Service_Income14"/>
      <sheetName val="U-Other_Income14"/>
      <sheetName val="U-Cost_of_Service14"/>
      <sheetName val="U-Interest_Exp14"/>
      <sheetName val="Trial_Balance14"/>
      <sheetName val="เงินกู้_MGC14"/>
      <sheetName val="Approved_Renov_Payment_Schedu13"/>
      <sheetName val="TrialBalance_Q3-200213"/>
      <sheetName val="Wkgs_BS_Lead13"/>
      <sheetName val="Data_Salary13"/>
      <sheetName val="10-1_Media13"/>
      <sheetName val="_IB-PL-YTD13"/>
      <sheetName val="BS_ATTACH13"/>
      <sheetName val="acc_depre-report-old13"/>
      <sheetName val="securities_movement13"/>
      <sheetName val="Int__SanRam12"/>
      <sheetName val="workbook_control12"/>
      <sheetName val="ประมาณการประตูหน้าต่าง_12"/>
      <sheetName val="Month_v_YTD8"/>
      <sheetName val="Working_Capital_8"/>
      <sheetName val="(10)_ProdType8"/>
      <sheetName val="Sheet1"/>
      <sheetName val="P&amp;L INPUT"/>
      <sheetName val="vat"/>
      <sheetName val="Assumtion"/>
      <sheetName val="FASTables Austria at1SC Retirem"/>
      <sheetName val="Vendor"/>
      <sheetName val="設計通知"/>
      <sheetName val="ID"/>
      <sheetName val="CJEs"/>
      <sheetName val="Validation"/>
      <sheetName val="Entity"/>
      <sheetName val="Sale0406"/>
      <sheetName val="Budget-Bal"/>
      <sheetName val="K001 - Lead example"/>
      <sheetName val="163040 LC_TR"/>
      <sheetName val="รายวันขาย53"/>
      <sheetName val="erl_table"/>
      <sheetName val="VERIFICATION PAYE"/>
      <sheetName val="conso&amp;cash_flow15"/>
      <sheetName val="asimar_cf15"/>
      <sheetName val="conso_cf_15"/>
      <sheetName val="PM_&amp;_TE-calculation15"/>
      <sheetName val="Sum_lead15"/>
      <sheetName val="E-Accounts_Receivable15"/>
      <sheetName val="G-Other_CA15"/>
      <sheetName val="J-Other_Assets15"/>
      <sheetName val="K-Fixed_Asset15"/>
      <sheetName val="M-Accounts_Payable15"/>
      <sheetName val="N-Other_CL15"/>
      <sheetName val="Q-Other_Liabilities15"/>
      <sheetName val="U-1_1_GP_by_Seg15"/>
      <sheetName val="U-Service_Income15"/>
      <sheetName val="U-Other_Income15"/>
      <sheetName val="U-Cost_of_Service15"/>
      <sheetName val="U-Interest_Exp15"/>
      <sheetName val="Trial_Balance15"/>
      <sheetName val="เงินกู้_MGC15"/>
      <sheetName val="Approved_Renov_Payment_Schedu14"/>
      <sheetName val="TrialBalance_Q3-200214"/>
      <sheetName val="Wkgs_BS_Lead14"/>
      <sheetName val="Data_Salary14"/>
      <sheetName val="10-1_Media14"/>
      <sheetName val="_IB-PL-YTD14"/>
      <sheetName val="BS_ATTACH14"/>
      <sheetName val="acc_depre-report-old14"/>
      <sheetName val="securities_movement14"/>
      <sheetName val="Int__SanRam13"/>
      <sheetName val="workbook_control13"/>
      <sheetName val="ประมาณการประตูหน้าต่าง_13"/>
      <sheetName val="Month_v_YTD9"/>
      <sheetName val="Working_Capital_9"/>
      <sheetName val="(10)_ProdType9"/>
      <sheetName val="conso&amp;cash_flow16"/>
      <sheetName val="asimar_cf16"/>
      <sheetName val="conso_cf_16"/>
      <sheetName val="PM_&amp;_TE-calculation16"/>
      <sheetName val="Sum_lead16"/>
      <sheetName val="E-Accounts_Receivable16"/>
      <sheetName val="G-Other_CA16"/>
      <sheetName val="J-Other_Assets16"/>
      <sheetName val="K-Fixed_Asset16"/>
      <sheetName val="M-Accounts_Payable16"/>
      <sheetName val="N-Other_CL16"/>
      <sheetName val="Q-Other_Liabilities16"/>
      <sheetName val="U-1_1_GP_by_Seg16"/>
      <sheetName val="U-Service_Income16"/>
      <sheetName val="U-Other_Income16"/>
      <sheetName val="U-Cost_of_Service16"/>
      <sheetName val="U-Interest_Exp16"/>
      <sheetName val="Trial_Balance16"/>
      <sheetName val="เงินกู้_MGC16"/>
      <sheetName val="Approved_Renov_Payment_Schedu15"/>
      <sheetName val="TrialBalance_Q3-200215"/>
      <sheetName val="Wkgs_BS_Lead15"/>
      <sheetName val="Data_Salary15"/>
      <sheetName val="10-1_Media15"/>
      <sheetName val="_IB-PL-YTD15"/>
      <sheetName val="BS_ATTACH15"/>
      <sheetName val="acc_depre-report-old15"/>
      <sheetName val="securities_movement15"/>
      <sheetName val="Int__SanRam14"/>
      <sheetName val="workbook_control14"/>
      <sheetName val="ประมาณการประตูหน้าต่าง_14"/>
      <sheetName val="Month_v_YTD10"/>
      <sheetName val="Working_Capital_10"/>
      <sheetName val="(10)_ProdType10"/>
      <sheetName val="AAG"/>
      <sheetName val="T_NFS "/>
      <sheetName val="FSP_worksheet 31.12.63"/>
      <sheetName val="Note # 8 cash "/>
      <sheetName val="31.12.62"/>
      <sheetName val="VHC_Adjustment"/>
      <sheetName val="VHC_SFP worksheet"/>
      <sheetName val="VHC_SCI worksheet"/>
      <sheetName val="DATABASE -sumifTB"/>
      <sheetName val="163040_LC_TR"/>
      <sheetName val="SBM DATA"/>
      <sheetName val="Unit Price"/>
      <sheetName val="生産台数内訳"/>
      <sheetName val="クライテリア"/>
      <sheetName val="XLR_NoRangeSheet"/>
      <sheetName val="31.12.04"/>
      <sheetName val="Cash Flow Statement in millions"/>
      <sheetName val=".1 Summary"/>
      <sheetName val="XREF"/>
      <sheetName val="TH-XL"/>
      <sheetName val="Q 1"/>
      <sheetName val="Q 2"/>
      <sheetName val="Q 3.1 (รายได้)"/>
      <sheetName val="Q 3.2(ค่าใช้จ่าย)"/>
      <sheetName val="Q 4"/>
      <sheetName val="Q 5 "/>
      <sheetName val="Q 6"/>
      <sheetName val="เอกสารแนบ 1"/>
      <sheetName val="เอกสารแนบ2"/>
      <sheetName val="Schedule A1-5"/>
      <sheetName val="Steps"/>
      <sheetName val="Order_Oct_w40"/>
      <sheetName val="Order_Oct_w41"/>
      <sheetName val="legal_h"/>
      <sheetName val="P&amp;LFINAL - 44"/>
      <sheetName val="GMI"/>
      <sheetName val="Gia vat tu"/>
      <sheetName val="Dinh nghia"/>
      <sheetName val="xlSVH_T"/>
      <sheetName val="BO"/>
      <sheetName val="final"/>
      <sheetName val="aug action on npl"/>
      <sheetName val="aug action on pl"/>
      <sheetName val="P&amp;L_INPUT1"/>
      <sheetName val="FASTables_Austria_at1SC_Retire1"/>
      <sheetName val="K001_-_Lead_example1"/>
      <sheetName val="_1_Summary1"/>
      <sheetName val="31_12_041"/>
      <sheetName val="Cash_Flow_Statement_in_million1"/>
      <sheetName val="P&amp;LFINAL_-_44"/>
      <sheetName val="P&amp;L_INPUT"/>
      <sheetName val="FASTables_Austria_at1SC_Retirem"/>
      <sheetName val="K001_-_Lead_example"/>
      <sheetName val="_1_Summary"/>
      <sheetName val="31_12_04"/>
      <sheetName val="Cash_Flow_Statement_in_millions"/>
      <sheetName val="P&amp;L_INPUT2"/>
      <sheetName val="FASTables_Austria_at1SC_Retire2"/>
      <sheetName val="K001_-_Lead_example2"/>
      <sheetName val="_1_Summary2"/>
      <sheetName val="31_12_042"/>
      <sheetName val="Cash_Flow_Statement_in_million2"/>
      <sheetName val="03中"/>
      <sheetName val="P&amp;L_INPUT3"/>
      <sheetName val="FASTables_Austria_at1SC_Retire3"/>
      <sheetName val="K001_-_Lead_example3"/>
      <sheetName val="_1_Summary3"/>
      <sheetName val="31_12_043"/>
      <sheetName val="Cash_Flow_Statement_in_million3"/>
      <sheetName val="P&amp;LFINAL_-_441"/>
      <sheetName val="P&amp;L_INPUT4"/>
      <sheetName val="FASTables_Austria_at1SC_Retire4"/>
      <sheetName val="K001_-_Lead_example4"/>
      <sheetName val="_1_Summary4"/>
      <sheetName val="31_12_044"/>
      <sheetName val="Cash_Flow_Statement_in_million4"/>
      <sheetName val="P&amp;LFINAL_-_442"/>
      <sheetName val="Customize Your Purchase Order"/>
      <sheetName val="conso&amp;cash_flow17"/>
      <sheetName val="asimar_cf17"/>
      <sheetName val="conso_cf_17"/>
      <sheetName val="PM_&amp;_TE-calculation17"/>
      <sheetName val="Sum_lead17"/>
      <sheetName val="E-Accounts_Receivable17"/>
      <sheetName val="G-Other_CA17"/>
      <sheetName val="J-Other_Assets17"/>
      <sheetName val="K-Fixed_Asset17"/>
      <sheetName val="M-Accounts_Payable17"/>
      <sheetName val="N-Other_CL17"/>
      <sheetName val="Q-Other_Liabilities17"/>
      <sheetName val="U-1_1_GP_by_Seg17"/>
      <sheetName val="U-Service_Income17"/>
      <sheetName val="U-Other_Income17"/>
      <sheetName val="U-Cost_of_Service17"/>
      <sheetName val="U-Interest_Exp17"/>
      <sheetName val="Trial_Balance17"/>
      <sheetName val="เงินกู้_MGC17"/>
      <sheetName val="TrialBalance_Q3-200216"/>
      <sheetName val="Approved_Renov_Payment_Schedu16"/>
      <sheetName val="Wkgs_BS_Lead16"/>
      <sheetName val="Data_Salary16"/>
      <sheetName val="10-1_Media16"/>
      <sheetName val="BS_ATTACH16"/>
      <sheetName val="_IB-PL-YTD16"/>
      <sheetName val="acc_depre-report-old16"/>
      <sheetName val="workbook_control15"/>
      <sheetName val="Month_v_YTD11"/>
      <sheetName val="securities_movement16"/>
      <sheetName val="Int__SanRam15"/>
      <sheetName val="ประมาณการประตูหน้าต่าง_15"/>
      <sheetName val="Working_Capital_11"/>
      <sheetName val="(10)_ProdType11"/>
      <sheetName val="P&amp;L_INPUT5"/>
      <sheetName val="FASTables_Austria_at1SC_Retire5"/>
      <sheetName val="K001_-_Lead_example5"/>
      <sheetName val="_1_Summary5"/>
      <sheetName val="31_12_045"/>
      <sheetName val="Cash_Flow_Statement_in_million5"/>
      <sheetName val="P&amp;LFINAL_-_443"/>
      <sheetName val="T_NFS_"/>
      <sheetName val="FSP_worksheet_31_12_63"/>
      <sheetName val="Note_#_8_cash_"/>
      <sheetName val="31_12_62"/>
      <sheetName val="VHC_SFP_worksheet"/>
      <sheetName val="VHC_SCI_worksheet"/>
      <sheetName val="DATABASE_-sumifTB"/>
      <sheetName val="163040_LC_TR1"/>
      <sheetName val="VERIFICATION_PAYE"/>
      <sheetName val="SBM_DATA"/>
      <sheetName val="Gia_vat_tu"/>
      <sheetName val="Dinh_nghia"/>
      <sheetName val="BAL"/>
      <sheetName val="ANTICIPO DE IMPUESTOS (1355)"/>
      <sheetName val="D. VARIOS (1380)"/>
      <sheetName val="PROVISIONES (1399)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315"/>
      <sheetData sheetId="316"/>
      <sheetData sheetId="317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318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319"/>
      <sheetData sheetId="320"/>
      <sheetData sheetId="321"/>
      <sheetData sheetId="322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323"/>
      <sheetData sheetId="324"/>
      <sheetData sheetId="325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>
        <row r="1">
          <cell r="A1" t="str">
            <v>(หน่วย: ล้านบาท)</v>
          </cell>
        </row>
      </sheetData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 refreshError="1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>
        <row r="1">
          <cell r="A1" t="str">
            <v xml:space="preserve">บริษัท เอเชียน มารีน เซอร์วิสส์ จำกัด (มหาชน) </v>
          </cell>
        </row>
      </sheetData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BA25-CA21-48F1-AD00-CBB935E89E87}">
  <dimension ref="A1:J115"/>
  <sheetViews>
    <sheetView workbookViewId="0">
      <pane ySplit="2" topLeftCell="A3" activePane="bottomLeft" state="frozen"/>
      <selection activeCell="G27" sqref="G27"/>
      <selection pane="bottomLeft" activeCell="C23" sqref="C23"/>
    </sheetView>
  </sheetViews>
  <sheetFormatPr defaultColWidth="8.88671875" defaultRowHeight="14.4" x14ac:dyDescent="0.3"/>
  <cols>
    <col min="1" max="1" width="7.88671875" style="6" bestFit="1" customWidth="1"/>
    <col min="2" max="2" width="19.77734375" style="6" bestFit="1" customWidth="1"/>
    <col min="3" max="3" width="42.77734375" style="6" bestFit="1" customWidth="1"/>
    <col min="4" max="4" width="16.77734375" style="6" bestFit="1" customWidth="1"/>
    <col min="5" max="5" width="12.5546875" style="6" bestFit="1" customWidth="1"/>
    <col min="6" max="7" width="11.44140625" style="7" bestFit="1" customWidth="1"/>
    <col min="8" max="8" width="19.6640625" style="6" bestFit="1" customWidth="1"/>
    <col min="9" max="9" width="38" style="6" bestFit="1" customWidth="1"/>
    <col min="10" max="10" width="18.77734375" style="6" bestFit="1" customWidth="1"/>
    <col min="11" max="16384" width="8.88671875" style="6"/>
  </cols>
  <sheetData>
    <row r="1" spans="1:10" x14ac:dyDescent="0.3">
      <c r="G1" s="35" t="s">
        <v>55</v>
      </c>
      <c r="H1" s="36" t="s">
        <v>55</v>
      </c>
      <c r="I1" s="36" t="s">
        <v>55</v>
      </c>
    </row>
    <row r="2" spans="1:10" x14ac:dyDescent="0.3">
      <c r="A2" s="8" t="s">
        <v>0</v>
      </c>
      <c r="B2" s="8" t="s">
        <v>1</v>
      </c>
      <c r="C2" s="8"/>
      <c r="D2" s="8" t="s">
        <v>2</v>
      </c>
      <c r="E2" s="8" t="s">
        <v>3</v>
      </c>
      <c r="F2" s="9" t="s">
        <v>4</v>
      </c>
      <c r="G2" s="35" t="s">
        <v>52</v>
      </c>
      <c r="H2" s="36" t="s">
        <v>53</v>
      </c>
      <c r="I2" s="36" t="s">
        <v>54</v>
      </c>
      <c r="J2" s="8" t="s">
        <v>5</v>
      </c>
    </row>
    <row r="3" spans="1:10" s="40" customFormat="1" ht="16.2" x14ac:dyDescent="0.3">
      <c r="A3" s="37">
        <v>1</v>
      </c>
      <c r="B3" s="37" t="s">
        <v>172</v>
      </c>
      <c r="C3" s="37" t="s">
        <v>128</v>
      </c>
      <c r="D3" s="37" t="s">
        <v>142</v>
      </c>
      <c r="E3" s="37"/>
      <c r="F3" s="39">
        <v>140186.92000000001</v>
      </c>
      <c r="G3" s="26">
        <f>SUM(G4:G8)</f>
        <v>76105</v>
      </c>
      <c r="H3" s="37"/>
      <c r="I3" s="37"/>
      <c r="J3" s="37"/>
    </row>
    <row r="4" spans="1:10" x14ac:dyDescent="0.3">
      <c r="A4" s="10"/>
      <c r="B4" s="10"/>
      <c r="C4" s="10"/>
      <c r="D4" s="10"/>
      <c r="E4" s="10"/>
      <c r="F4" s="11"/>
      <c r="G4" s="11">
        <v>27200</v>
      </c>
      <c r="H4" s="10" t="s">
        <v>391</v>
      </c>
      <c r="I4" s="10" t="s">
        <v>63</v>
      </c>
      <c r="J4" s="10"/>
    </row>
    <row r="5" spans="1:10" x14ac:dyDescent="0.3">
      <c r="A5" s="10"/>
      <c r="B5" s="10"/>
      <c r="C5" s="10"/>
      <c r="D5" s="10"/>
      <c r="E5" s="10"/>
      <c r="F5" s="11"/>
      <c r="G5" s="11">
        <v>6900</v>
      </c>
      <c r="H5" s="10" t="s">
        <v>392</v>
      </c>
      <c r="I5" s="10" t="s">
        <v>291</v>
      </c>
      <c r="J5" s="10"/>
    </row>
    <row r="6" spans="1:10" x14ac:dyDescent="0.3">
      <c r="A6" s="10"/>
      <c r="B6" s="10"/>
      <c r="C6" s="10"/>
      <c r="D6" s="10"/>
      <c r="E6" s="10"/>
      <c r="F6" s="11"/>
      <c r="G6" s="11">
        <v>35900</v>
      </c>
      <c r="H6" s="10" t="s">
        <v>393</v>
      </c>
      <c r="I6" s="10" t="s">
        <v>331</v>
      </c>
      <c r="J6" s="10"/>
    </row>
    <row r="7" spans="1:10" x14ac:dyDescent="0.3">
      <c r="A7" s="10"/>
      <c r="B7" s="10"/>
      <c r="C7" s="10"/>
      <c r="D7" s="10"/>
      <c r="E7" s="10"/>
      <c r="F7" s="11"/>
      <c r="G7" s="11">
        <v>2755</v>
      </c>
      <c r="H7" s="10" t="s">
        <v>394</v>
      </c>
      <c r="I7" s="10" t="s">
        <v>66</v>
      </c>
      <c r="J7" s="10"/>
    </row>
    <row r="8" spans="1:10" x14ac:dyDescent="0.3">
      <c r="A8" s="10"/>
      <c r="B8" s="10"/>
      <c r="C8" s="10"/>
      <c r="D8" s="10"/>
      <c r="E8" s="10"/>
      <c r="F8" s="11"/>
      <c r="G8" s="11">
        <v>3350</v>
      </c>
      <c r="H8" s="10" t="s">
        <v>395</v>
      </c>
      <c r="I8" s="10" t="s">
        <v>293</v>
      </c>
      <c r="J8" s="10"/>
    </row>
    <row r="9" spans="1:10" s="40" customFormat="1" ht="16.2" x14ac:dyDescent="0.3">
      <c r="A9" s="37">
        <v>2</v>
      </c>
      <c r="B9" s="37" t="s">
        <v>173</v>
      </c>
      <c r="C9" s="37" t="s">
        <v>143</v>
      </c>
      <c r="D9" s="37" t="s">
        <v>144</v>
      </c>
      <c r="E9" s="37"/>
      <c r="F9" s="39">
        <v>214953.27</v>
      </c>
      <c r="G9" s="26">
        <f>SUM(G10:G11)</f>
        <v>183823.92</v>
      </c>
      <c r="H9" s="37"/>
      <c r="I9" s="37"/>
      <c r="J9" s="37"/>
    </row>
    <row r="10" spans="1:10" x14ac:dyDescent="0.3">
      <c r="A10" s="10"/>
      <c r="B10" s="10"/>
      <c r="C10" s="10"/>
      <c r="D10" s="10"/>
      <c r="E10" s="10"/>
      <c r="F10" s="11"/>
      <c r="G10" s="11">
        <v>8500</v>
      </c>
      <c r="H10" s="10" t="s">
        <v>396</v>
      </c>
      <c r="I10" s="10" t="s">
        <v>63</v>
      </c>
      <c r="J10" s="10"/>
    </row>
    <row r="11" spans="1:10" x14ac:dyDescent="0.3">
      <c r="A11" s="10"/>
      <c r="B11" s="10"/>
      <c r="C11" s="10"/>
      <c r="D11" s="10"/>
      <c r="E11" s="10"/>
      <c r="F11" s="11"/>
      <c r="G11" s="11">
        <v>175323.92</v>
      </c>
      <c r="H11" s="10" t="s">
        <v>398</v>
      </c>
      <c r="I11" s="10" t="s">
        <v>397</v>
      </c>
      <c r="J11" s="10"/>
    </row>
    <row r="12" spans="1:10" x14ac:dyDescent="0.3">
      <c r="A12" s="10">
        <v>3</v>
      </c>
      <c r="B12" s="10" t="s">
        <v>174</v>
      </c>
      <c r="C12" s="10" t="s">
        <v>128</v>
      </c>
      <c r="D12" s="10" t="s">
        <v>145</v>
      </c>
      <c r="E12" s="10"/>
      <c r="F12" s="11">
        <v>76076.639999999999</v>
      </c>
      <c r="G12" s="11"/>
      <c r="H12" s="10"/>
      <c r="I12" s="10"/>
      <c r="J12" s="10"/>
    </row>
    <row r="13" spans="1:10" x14ac:dyDescent="0.3">
      <c r="A13" s="10">
        <v>4</v>
      </c>
      <c r="B13" s="10" t="s">
        <v>175</v>
      </c>
      <c r="C13" s="10" t="s">
        <v>128</v>
      </c>
      <c r="D13" s="10" t="s">
        <v>146</v>
      </c>
      <c r="E13" s="10"/>
      <c r="F13" s="11">
        <v>129816.82</v>
      </c>
      <c r="G13" s="11"/>
      <c r="H13" s="10"/>
      <c r="I13" s="10"/>
      <c r="J13" s="10"/>
    </row>
    <row r="14" spans="1:10" x14ac:dyDescent="0.3">
      <c r="A14" s="10">
        <v>5</v>
      </c>
      <c r="B14" s="10" t="s">
        <v>176</v>
      </c>
      <c r="C14" s="10" t="s">
        <v>128</v>
      </c>
      <c r="D14" s="10" t="s">
        <v>147</v>
      </c>
      <c r="E14" s="10"/>
      <c r="F14" s="11">
        <v>19065.419999999998</v>
      </c>
      <c r="G14" s="11"/>
      <c r="H14" s="10"/>
      <c r="I14" s="10"/>
      <c r="J14" s="10"/>
    </row>
    <row r="15" spans="1:10" x14ac:dyDescent="0.3">
      <c r="A15" s="10">
        <v>6</v>
      </c>
      <c r="B15" s="10" t="s">
        <v>177</v>
      </c>
      <c r="C15" s="10" t="s">
        <v>128</v>
      </c>
      <c r="D15" s="10" t="s">
        <v>148</v>
      </c>
      <c r="E15" s="10"/>
      <c r="F15" s="11">
        <v>25233.64</v>
      </c>
      <c r="G15" s="11"/>
      <c r="H15" s="10"/>
      <c r="I15" s="10"/>
      <c r="J15" s="10"/>
    </row>
    <row r="16" spans="1:10" x14ac:dyDescent="0.3">
      <c r="A16" s="10">
        <v>7</v>
      </c>
      <c r="B16" s="10" t="s">
        <v>178</v>
      </c>
      <c r="C16" s="10" t="s">
        <v>128</v>
      </c>
      <c r="D16" s="10" t="s">
        <v>149</v>
      </c>
      <c r="E16" s="10"/>
      <c r="F16" s="11">
        <v>24953.27</v>
      </c>
      <c r="G16" s="11"/>
      <c r="H16" s="10"/>
      <c r="I16" s="10"/>
      <c r="J16" s="10"/>
    </row>
    <row r="17" spans="1:10" x14ac:dyDescent="0.3">
      <c r="A17" s="10">
        <v>8</v>
      </c>
      <c r="B17" s="10" t="s">
        <v>179</v>
      </c>
      <c r="C17" s="10" t="s">
        <v>128</v>
      </c>
      <c r="D17" s="10" t="s">
        <v>150</v>
      </c>
      <c r="E17" s="10"/>
      <c r="F17" s="11">
        <v>3271.03</v>
      </c>
      <c r="G17" s="11"/>
      <c r="H17" s="10"/>
      <c r="I17" s="10"/>
      <c r="J17" s="10"/>
    </row>
    <row r="18" spans="1:10" x14ac:dyDescent="0.3">
      <c r="A18" s="10">
        <v>9</v>
      </c>
      <c r="B18" s="10" t="s">
        <v>180</v>
      </c>
      <c r="C18" s="10" t="s">
        <v>128</v>
      </c>
      <c r="D18" s="10" t="s">
        <v>151</v>
      </c>
      <c r="E18" s="10"/>
      <c r="F18" s="11">
        <v>126261.68</v>
      </c>
      <c r="G18" s="11"/>
      <c r="H18" s="10"/>
      <c r="I18" s="10"/>
      <c r="J18" s="10"/>
    </row>
    <row r="19" spans="1:10" x14ac:dyDescent="0.3">
      <c r="A19" s="10">
        <v>10</v>
      </c>
      <c r="B19" s="10" t="s">
        <v>181</v>
      </c>
      <c r="C19" s="10" t="s">
        <v>128</v>
      </c>
      <c r="D19" s="10" t="s">
        <v>152</v>
      </c>
      <c r="E19" s="10"/>
      <c r="F19" s="11">
        <v>3271.03</v>
      </c>
      <c r="G19" s="11"/>
      <c r="H19" s="10"/>
      <c r="I19" s="10"/>
      <c r="J19" s="10"/>
    </row>
    <row r="20" spans="1:10" x14ac:dyDescent="0.3">
      <c r="A20" s="10">
        <v>11</v>
      </c>
      <c r="B20" s="10" t="s">
        <v>182</v>
      </c>
      <c r="C20" s="10" t="s">
        <v>128</v>
      </c>
      <c r="D20" s="10" t="s">
        <v>153</v>
      </c>
      <c r="E20" s="10"/>
      <c r="F20" s="11">
        <v>51588.79</v>
      </c>
      <c r="G20" s="11"/>
      <c r="H20" s="10"/>
      <c r="I20" s="10"/>
      <c r="J20" s="10"/>
    </row>
    <row r="21" spans="1:10" x14ac:dyDescent="0.3">
      <c r="A21" s="10">
        <v>12</v>
      </c>
      <c r="B21" s="10" t="s">
        <v>183</v>
      </c>
      <c r="C21" s="10" t="s">
        <v>128</v>
      </c>
      <c r="D21" s="10" t="s">
        <v>154</v>
      </c>
      <c r="E21" s="10"/>
      <c r="F21" s="11">
        <v>52233.64</v>
      </c>
      <c r="G21" s="11"/>
      <c r="H21" s="10"/>
      <c r="I21" s="10"/>
      <c r="J21" s="10"/>
    </row>
    <row r="22" spans="1:10" x14ac:dyDescent="0.3">
      <c r="A22" s="10">
        <v>13</v>
      </c>
      <c r="B22" s="10" t="s">
        <v>184</v>
      </c>
      <c r="C22" s="10" t="s">
        <v>128</v>
      </c>
      <c r="D22" s="10" t="s">
        <v>155</v>
      </c>
      <c r="E22" s="10"/>
      <c r="F22" s="11">
        <v>40093.46</v>
      </c>
      <c r="G22" s="11"/>
      <c r="H22" s="10"/>
      <c r="I22" s="10"/>
      <c r="J22" s="10"/>
    </row>
    <row r="23" spans="1:10" x14ac:dyDescent="0.3">
      <c r="A23" s="10">
        <v>14</v>
      </c>
      <c r="B23" s="10" t="s">
        <v>185</v>
      </c>
      <c r="C23" s="10" t="s">
        <v>128</v>
      </c>
      <c r="D23" s="10" t="s">
        <v>156</v>
      </c>
      <c r="E23" s="10"/>
      <c r="F23" s="11">
        <v>40093.46</v>
      </c>
      <c r="G23" s="11"/>
      <c r="H23" s="10"/>
      <c r="I23" s="10"/>
      <c r="J23" s="10"/>
    </row>
    <row r="24" spans="1:10" x14ac:dyDescent="0.3">
      <c r="A24" s="10">
        <v>15</v>
      </c>
      <c r="B24" s="10" t="s">
        <v>186</v>
      </c>
      <c r="C24" s="10" t="s">
        <v>128</v>
      </c>
      <c r="D24" s="10" t="s">
        <v>157</v>
      </c>
      <c r="E24" s="10"/>
      <c r="F24" s="11">
        <v>40093.46</v>
      </c>
      <c r="G24" s="11"/>
      <c r="H24" s="10"/>
      <c r="I24" s="10"/>
      <c r="J24" s="10"/>
    </row>
    <row r="25" spans="1:10" x14ac:dyDescent="0.3">
      <c r="A25" s="10">
        <v>16</v>
      </c>
      <c r="B25" s="10" t="s">
        <v>187</v>
      </c>
      <c r="C25" s="10" t="s">
        <v>128</v>
      </c>
      <c r="D25" s="10" t="s">
        <v>158</v>
      </c>
      <c r="E25" s="10"/>
      <c r="F25" s="11">
        <v>40093.46</v>
      </c>
      <c r="G25" s="11"/>
      <c r="H25" s="10"/>
      <c r="I25" s="10"/>
      <c r="J25" s="10"/>
    </row>
    <row r="26" spans="1:10" x14ac:dyDescent="0.3">
      <c r="A26" s="10">
        <v>17</v>
      </c>
      <c r="B26" s="10" t="s">
        <v>188</v>
      </c>
      <c r="C26" s="10" t="s">
        <v>128</v>
      </c>
      <c r="D26" s="10" t="s">
        <v>159</v>
      </c>
      <c r="E26" s="10"/>
      <c r="F26" s="11">
        <v>40093.46</v>
      </c>
      <c r="G26" s="11"/>
      <c r="H26" s="10"/>
      <c r="I26" s="10"/>
      <c r="J26" s="10"/>
    </row>
    <row r="27" spans="1:10" x14ac:dyDescent="0.3">
      <c r="A27" s="10">
        <v>18</v>
      </c>
      <c r="B27" s="10" t="s">
        <v>189</v>
      </c>
      <c r="C27" s="10" t="s">
        <v>128</v>
      </c>
      <c r="D27" s="10" t="s">
        <v>160</v>
      </c>
      <c r="E27" s="10"/>
      <c r="F27" s="11">
        <v>52233.64</v>
      </c>
      <c r="G27" s="11"/>
      <c r="H27" s="10"/>
      <c r="I27" s="10"/>
      <c r="J27" s="10"/>
    </row>
    <row r="28" spans="1:10" x14ac:dyDescent="0.3">
      <c r="A28" s="10">
        <v>19</v>
      </c>
      <c r="B28" s="10" t="s">
        <v>190</v>
      </c>
      <c r="C28" s="10" t="s">
        <v>128</v>
      </c>
      <c r="D28" s="10" t="s">
        <v>161</v>
      </c>
      <c r="E28" s="10"/>
      <c r="F28" s="11">
        <v>30084.11</v>
      </c>
      <c r="G28" s="11"/>
      <c r="H28" s="10"/>
      <c r="I28" s="10"/>
      <c r="J28" s="10"/>
    </row>
    <row r="29" spans="1:10" x14ac:dyDescent="0.3">
      <c r="A29" s="10">
        <v>20</v>
      </c>
      <c r="B29" s="10" t="s">
        <v>191</v>
      </c>
      <c r="C29" s="10" t="s">
        <v>128</v>
      </c>
      <c r="D29" s="10" t="s">
        <v>162</v>
      </c>
      <c r="E29" s="10"/>
      <c r="F29" s="11">
        <v>52233.64</v>
      </c>
      <c r="G29" s="11"/>
      <c r="H29" s="10"/>
      <c r="I29" s="10"/>
      <c r="J29" s="10"/>
    </row>
    <row r="30" spans="1:10" x14ac:dyDescent="0.3">
      <c r="A30" s="10">
        <v>21</v>
      </c>
      <c r="B30" s="10" t="s">
        <v>192</v>
      </c>
      <c r="C30" s="10" t="s">
        <v>128</v>
      </c>
      <c r="D30" s="10" t="s">
        <v>163</v>
      </c>
      <c r="E30" s="10"/>
      <c r="F30" s="11">
        <v>52233.64</v>
      </c>
      <c r="G30" s="11"/>
      <c r="H30" s="10"/>
      <c r="I30" s="10"/>
      <c r="J30" s="10"/>
    </row>
    <row r="31" spans="1:10" s="31" customFormat="1" x14ac:dyDescent="0.3">
      <c r="A31" s="10">
        <v>22</v>
      </c>
      <c r="B31" s="12" t="s">
        <v>193</v>
      </c>
      <c r="C31" s="10" t="s">
        <v>128</v>
      </c>
      <c r="D31" s="12" t="s">
        <v>164</v>
      </c>
      <c r="E31" s="12"/>
      <c r="F31" s="13">
        <v>118797.2</v>
      </c>
      <c r="G31" s="13"/>
      <c r="H31" s="12"/>
      <c r="I31" s="12"/>
      <c r="J31" s="12"/>
    </row>
    <row r="32" spans="1:10" x14ac:dyDescent="0.3">
      <c r="A32" s="10">
        <v>23</v>
      </c>
      <c r="B32" s="10" t="s">
        <v>194</v>
      </c>
      <c r="C32" s="10" t="s">
        <v>128</v>
      </c>
      <c r="D32" s="10" t="s">
        <v>165</v>
      </c>
      <c r="E32" s="10"/>
      <c r="F32" s="11">
        <v>52373.83</v>
      </c>
      <c r="G32" s="11"/>
      <c r="H32" s="10"/>
      <c r="I32" s="10"/>
      <c r="J32" s="10"/>
    </row>
    <row r="33" spans="1:10" x14ac:dyDescent="0.3">
      <c r="A33" s="10">
        <v>24</v>
      </c>
      <c r="B33" s="10" t="s">
        <v>195</v>
      </c>
      <c r="C33" s="10" t="s">
        <v>128</v>
      </c>
      <c r="D33" s="10" t="s">
        <v>166</v>
      </c>
      <c r="E33" s="10"/>
      <c r="F33" s="11">
        <v>39448.6</v>
      </c>
      <c r="G33" s="11"/>
      <c r="H33" s="10"/>
      <c r="I33" s="10"/>
      <c r="J33" s="10"/>
    </row>
    <row r="34" spans="1:10" x14ac:dyDescent="0.3">
      <c r="A34" s="10">
        <v>25</v>
      </c>
      <c r="B34" s="10" t="s">
        <v>196</v>
      </c>
      <c r="C34" s="10" t="s">
        <v>128</v>
      </c>
      <c r="D34" s="10" t="s">
        <v>167</v>
      </c>
      <c r="E34" s="10"/>
      <c r="F34" s="11">
        <v>21682.240000000002</v>
      </c>
      <c r="G34" s="11"/>
      <c r="H34" s="10"/>
      <c r="I34" s="10"/>
      <c r="J34" s="10"/>
    </row>
    <row r="35" spans="1:10" x14ac:dyDescent="0.3">
      <c r="A35" s="10">
        <v>26</v>
      </c>
      <c r="B35" s="10" t="s">
        <v>197</v>
      </c>
      <c r="C35" s="10" t="s">
        <v>128</v>
      </c>
      <c r="D35" s="10" t="s">
        <v>168</v>
      </c>
      <c r="E35" s="10"/>
      <c r="F35" s="11">
        <v>68121.5</v>
      </c>
      <c r="G35" s="11"/>
      <c r="H35" s="10"/>
      <c r="I35" s="10"/>
      <c r="J35" s="10"/>
    </row>
    <row r="36" spans="1:10" x14ac:dyDescent="0.3">
      <c r="A36" s="10">
        <v>27</v>
      </c>
      <c r="B36" s="10" t="s">
        <v>198</v>
      </c>
      <c r="C36" s="10" t="s">
        <v>128</v>
      </c>
      <c r="D36" s="10" t="s">
        <v>112</v>
      </c>
      <c r="E36" s="10"/>
      <c r="F36" s="11">
        <v>244894.39</v>
      </c>
      <c r="G36" s="11"/>
      <c r="H36" s="10"/>
      <c r="I36" s="10"/>
      <c r="J36" s="10"/>
    </row>
    <row r="37" spans="1:10" s="31" customFormat="1" x14ac:dyDescent="0.3">
      <c r="A37" s="10">
        <v>28</v>
      </c>
      <c r="B37" s="12" t="s">
        <v>199</v>
      </c>
      <c r="C37" s="10" t="s">
        <v>128</v>
      </c>
      <c r="D37" s="12" t="s">
        <v>169</v>
      </c>
      <c r="E37" s="12"/>
      <c r="F37" s="13">
        <v>93457.94</v>
      </c>
      <c r="G37" s="13"/>
      <c r="H37" s="12"/>
      <c r="I37" s="12"/>
      <c r="J37" s="12"/>
    </row>
    <row r="38" spans="1:10" x14ac:dyDescent="0.3">
      <c r="A38" s="10">
        <v>29</v>
      </c>
      <c r="B38" s="10" t="s">
        <v>200</v>
      </c>
      <c r="C38" s="10" t="s">
        <v>128</v>
      </c>
      <c r="D38" s="10" t="s">
        <v>170</v>
      </c>
      <c r="E38" s="10"/>
      <c r="F38" s="11">
        <v>38401.870000000003</v>
      </c>
      <c r="G38" s="11"/>
      <c r="H38" s="10"/>
      <c r="I38" s="10"/>
      <c r="J38" s="10"/>
    </row>
    <row r="39" spans="1:10" x14ac:dyDescent="0.3">
      <c r="A39" s="10">
        <v>30</v>
      </c>
      <c r="B39" s="10" t="s">
        <v>201</v>
      </c>
      <c r="C39" s="10" t="s">
        <v>128</v>
      </c>
      <c r="D39" s="10" t="s">
        <v>171</v>
      </c>
      <c r="E39" s="10"/>
      <c r="F39" s="11">
        <v>14682.24</v>
      </c>
      <c r="G39" s="11"/>
      <c r="H39" s="10"/>
      <c r="I39" s="10"/>
      <c r="J39" s="10"/>
    </row>
    <row r="40" spans="1:10" x14ac:dyDescent="0.3">
      <c r="A40" s="10">
        <v>31</v>
      </c>
      <c r="B40" s="10" t="s">
        <v>234</v>
      </c>
      <c r="C40" s="10" t="s">
        <v>129</v>
      </c>
      <c r="D40" s="10">
        <v>2211</v>
      </c>
      <c r="E40" s="14"/>
      <c r="F40" s="11">
        <v>86915.89</v>
      </c>
      <c r="G40" s="11"/>
      <c r="H40" s="10"/>
      <c r="I40" s="10"/>
      <c r="J40" s="10"/>
    </row>
    <row r="41" spans="1:10" x14ac:dyDescent="0.3">
      <c r="A41" s="10">
        <v>32</v>
      </c>
      <c r="B41" s="10" t="s">
        <v>235</v>
      </c>
      <c r="C41" s="10" t="s">
        <v>129</v>
      </c>
      <c r="D41" s="10">
        <v>2916</v>
      </c>
      <c r="E41" s="14"/>
      <c r="F41" s="11">
        <v>116822.43</v>
      </c>
      <c r="G41" s="11"/>
      <c r="H41" s="10"/>
      <c r="I41" s="10"/>
      <c r="J41" s="10"/>
    </row>
    <row r="42" spans="1:10" x14ac:dyDescent="0.3">
      <c r="A42" s="10">
        <v>33</v>
      </c>
      <c r="B42" s="10" t="s">
        <v>236</v>
      </c>
      <c r="C42" s="10" t="s">
        <v>129</v>
      </c>
      <c r="D42" s="10">
        <v>3104</v>
      </c>
      <c r="E42" s="14"/>
      <c r="F42" s="11">
        <v>80747.66</v>
      </c>
      <c r="G42" s="11"/>
      <c r="H42" s="10"/>
      <c r="I42" s="10"/>
      <c r="J42" s="10"/>
    </row>
    <row r="43" spans="1:10" x14ac:dyDescent="0.3">
      <c r="A43" s="10">
        <v>34</v>
      </c>
      <c r="B43" s="10" t="s">
        <v>237</v>
      </c>
      <c r="C43" s="10" t="s">
        <v>133</v>
      </c>
      <c r="D43" s="10">
        <v>1512</v>
      </c>
      <c r="E43" s="14"/>
      <c r="F43" s="11">
        <v>12149.53</v>
      </c>
      <c r="G43" s="11"/>
      <c r="H43" s="10"/>
      <c r="I43" s="10"/>
      <c r="J43" s="10"/>
    </row>
    <row r="44" spans="1:10" x14ac:dyDescent="0.3">
      <c r="A44" s="10">
        <v>35</v>
      </c>
      <c r="B44" s="10" t="s">
        <v>238</v>
      </c>
      <c r="C44" s="10" t="s">
        <v>133</v>
      </c>
      <c r="D44" s="10">
        <v>1507</v>
      </c>
      <c r="E44" s="14"/>
      <c r="F44" s="11">
        <v>42056.07</v>
      </c>
      <c r="G44" s="11"/>
      <c r="H44" s="10"/>
      <c r="I44" s="10"/>
      <c r="J44" s="10"/>
    </row>
    <row r="45" spans="1:10" x14ac:dyDescent="0.3">
      <c r="A45" s="10">
        <v>36</v>
      </c>
      <c r="B45" s="10" t="s">
        <v>239</v>
      </c>
      <c r="C45" s="10" t="s">
        <v>131</v>
      </c>
      <c r="D45" s="10">
        <v>1501</v>
      </c>
      <c r="E45" s="14"/>
      <c r="F45" s="11">
        <v>4672.8999999999996</v>
      </c>
      <c r="G45" s="11"/>
      <c r="H45" s="10"/>
      <c r="I45" s="10"/>
      <c r="J45" s="10"/>
    </row>
    <row r="46" spans="1:10" x14ac:dyDescent="0.3">
      <c r="A46" s="10">
        <v>37</v>
      </c>
      <c r="B46" s="10" t="s">
        <v>240</v>
      </c>
      <c r="C46" s="10" t="s">
        <v>131</v>
      </c>
      <c r="D46" s="10">
        <v>1615</v>
      </c>
      <c r="E46" s="14"/>
      <c r="F46" s="11">
        <v>172074.77</v>
      </c>
      <c r="G46" s="11"/>
      <c r="H46" s="10"/>
      <c r="I46" s="10"/>
      <c r="J46" s="10"/>
    </row>
    <row r="47" spans="1:10" x14ac:dyDescent="0.3">
      <c r="A47" s="10">
        <v>38</v>
      </c>
      <c r="B47" s="10" t="s">
        <v>241</v>
      </c>
      <c r="C47" s="10" t="s">
        <v>129</v>
      </c>
      <c r="D47" s="10">
        <v>2011</v>
      </c>
      <c r="E47" s="14"/>
      <c r="F47" s="11">
        <v>7476.64</v>
      </c>
      <c r="G47" s="11"/>
      <c r="H47" s="10"/>
      <c r="I47" s="10"/>
      <c r="J47" s="10"/>
    </row>
    <row r="48" spans="1:10" x14ac:dyDescent="0.3">
      <c r="A48" s="10">
        <v>39</v>
      </c>
      <c r="B48" s="14" t="s">
        <v>6</v>
      </c>
      <c r="C48" s="10" t="s">
        <v>129</v>
      </c>
      <c r="D48" s="10" t="s">
        <v>120</v>
      </c>
      <c r="E48" s="14"/>
      <c r="F48" s="11">
        <v>7476.64</v>
      </c>
      <c r="G48" s="11"/>
      <c r="H48" s="10"/>
      <c r="I48" s="10"/>
      <c r="J48" s="10"/>
    </row>
    <row r="49" spans="1:10" x14ac:dyDescent="0.3">
      <c r="A49" s="10">
        <v>40</v>
      </c>
      <c r="B49" s="14" t="s">
        <v>6</v>
      </c>
      <c r="C49" s="10" t="s">
        <v>129</v>
      </c>
      <c r="D49" s="10">
        <v>1507</v>
      </c>
      <c r="E49" s="14"/>
      <c r="F49" s="11">
        <v>7476.64</v>
      </c>
      <c r="G49" s="11"/>
      <c r="H49" s="10"/>
      <c r="I49" s="10"/>
      <c r="J49" s="10"/>
    </row>
    <row r="50" spans="1:10" x14ac:dyDescent="0.3">
      <c r="A50" s="10">
        <v>41</v>
      </c>
      <c r="B50" s="14" t="s">
        <v>6</v>
      </c>
      <c r="C50" s="10" t="s">
        <v>129</v>
      </c>
      <c r="D50" s="10">
        <v>2103</v>
      </c>
      <c r="E50" s="14"/>
      <c r="F50" s="11">
        <v>7476.64</v>
      </c>
      <c r="G50" s="11"/>
      <c r="H50" s="10"/>
      <c r="I50" s="10"/>
      <c r="J50" s="10"/>
    </row>
    <row r="51" spans="1:10" x14ac:dyDescent="0.3">
      <c r="A51" s="10">
        <v>42</v>
      </c>
      <c r="B51" s="14" t="s">
        <v>6</v>
      </c>
      <c r="C51" s="10" t="s">
        <v>129</v>
      </c>
      <c r="D51" s="10">
        <v>2511</v>
      </c>
      <c r="E51" s="14"/>
      <c r="F51" s="11">
        <v>7476.64</v>
      </c>
      <c r="G51" s="11"/>
      <c r="H51" s="10"/>
      <c r="I51" s="10"/>
      <c r="J51" s="10"/>
    </row>
    <row r="52" spans="1:10" x14ac:dyDescent="0.3">
      <c r="A52" s="10">
        <v>43</v>
      </c>
      <c r="B52" s="14" t="s">
        <v>6</v>
      </c>
      <c r="C52" s="10" t="s">
        <v>129</v>
      </c>
      <c r="D52" s="10">
        <v>2611</v>
      </c>
      <c r="E52" s="14"/>
      <c r="F52" s="11">
        <v>7476.64</v>
      </c>
      <c r="G52" s="11"/>
      <c r="H52" s="10"/>
      <c r="I52" s="10"/>
      <c r="J52" s="10"/>
    </row>
    <row r="53" spans="1:10" x14ac:dyDescent="0.3">
      <c r="A53" s="10">
        <v>44</v>
      </c>
      <c r="B53" s="14" t="s">
        <v>6</v>
      </c>
      <c r="C53" s="10" t="s">
        <v>129</v>
      </c>
      <c r="D53" s="10">
        <v>2714</v>
      </c>
      <c r="E53" s="14"/>
      <c r="F53" s="11">
        <v>7476.64</v>
      </c>
      <c r="G53" s="11"/>
      <c r="H53" s="10"/>
      <c r="I53" s="10"/>
      <c r="J53" s="10"/>
    </row>
    <row r="54" spans="1:10" x14ac:dyDescent="0.3">
      <c r="A54" s="10">
        <v>45</v>
      </c>
      <c r="B54" s="14" t="s">
        <v>6</v>
      </c>
      <c r="C54" s="10" t="s">
        <v>129</v>
      </c>
      <c r="D54" s="10">
        <v>2801</v>
      </c>
      <c r="E54" s="14"/>
      <c r="F54" s="11">
        <v>7476.64</v>
      </c>
      <c r="G54" s="11"/>
      <c r="H54" s="10"/>
      <c r="I54" s="10"/>
      <c r="J54" s="10"/>
    </row>
    <row r="55" spans="1:10" x14ac:dyDescent="0.3">
      <c r="A55" s="10">
        <v>46</v>
      </c>
      <c r="B55" s="14" t="s">
        <v>6</v>
      </c>
      <c r="C55" s="10" t="s">
        <v>129</v>
      </c>
      <c r="D55" s="10">
        <v>2816</v>
      </c>
      <c r="E55" s="14"/>
      <c r="F55" s="11">
        <v>7476.64</v>
      </c>
      <c r="G55" s="11"/>
      <c r="H55" s="10"/>
      <c r="I55" s="10"/>
      <c r="J55" s="10"/>
    </row>
    <row r="56" spans="1:10" x14ac:dyDescent="0.3">
      <c r="A56" s="10">
        <v>47</v>
      </c>
      <c r="B56" s="14" t="s">
        <v>242</v>
      </c>
      <c r="C56" s="10" t="s">
        <v>129</v>
      </c>
      <c r="D56" s="10">
        <v>1305</v>
      </c>
      <c r="E56" s="14"/>
      <c r="F56" s="11">
        <v>7476.64</v>
      </c>
      <c r="G56" s="11"/>
      <c r="H56" s="10"/>
      <c r="I56" s="10"/>
      <c r="J56" s="10"/>
    </row>
    <row r="57" spans="1:10" x14ac:dyDescent="0.3">
      <c r="A57" s="10">
        <v>48</v>
      </c>
      <c r="B57" s="14" t="s">
        <v>242</v>
      </c>
      <c r="C57" s="10" t="s">
        <v>129</v>
      </c>
      <c r="D57" s="10">
        <v>1522</v>
      </c>
      <c r="E57" s="14"/>
      <c r="F57" s="11">
        <v>7476.64</v>
      </c>
      <c r="G57" s="11"/>
      <c r="H57" s="10"/>
      <c r="I57" s="10"/>
      <c r="J57" s="10"/>
    </row>
    <row r="58" spans="1:10" x14ac:dyDescent="0.3">
      <c r="A58" s="10">
        <v>49</v>
      </c>
      <c r="B58" s="14" t="s">
        <v>9</v>
      </c>
      <c r="C58" s="10" t="s">
        <v>129</v>
      </c>
      <c r="D58" s="10">
        <v>2121</v>
      </c>
      <c r="E58" s="14"/>
      <c r="F58" s="11">
        <v>7476.64</v>
      </c>
      <c r="G58" s="11"/>
      <c r="H58" s="10"/>
      <c r="I58" s="10"/>
      <c r="J58" s="10"/>
    </row>
    <row r="59" spans="1:10" x14ac:dyDescent="0.3">
      <c r="A59" s="10">
        <v>50</v>
      </c>
      <c r="B59" s="14" t="s">
        <v>9</v>
      </c>
      <c r="C59" s="10" t="s">
        <v>129</v>
      </c>
      <c r="D59" s="10">
        <v>2616</v>
      </c>
      <c r="E59" s="14"/>
      <c r="F59" s="11">
        <v>7476.64</v>
      </c>
      <c r="G59" s="11"/>
      <c r="H59" s="10"/>
      <c r="I59" s="10"/>
      <c r="J59" s="10"/>
    </row>
    <row r="60" spans="1:10" x14ac:dyDescent="0.3">
      <c r="A60" s="10">
        <v>51</v>
      </c>
      <c r="B60" s="14" t="s">
        <v>9</v>
      </c>
      <c r="C60" s="10" t="s">
        <v>129</v>
      </c>
      <c r="D60" s="10">
        <v>3010</v>
      </c>
      <c r="E60" s="14"/>
      <c r="F60" s="11">
        <v>7476.64</v>
      </c>
      <c r="G60" s="11"/>
      <c r="H60" s="10"/>
      <c r="I60" s="10"/>
      <c r="J60" s="10"/>
    </row>
    <row r="61" spans="1:10" s="40" customFormat="1" ht="16.2" x14ac:dyDescent="0.3">
      <c r="A61" s="10">
        <v>52</v>
      </c>
      <c r="B61" s="38" t="s">
        <v>19</v>
      </c>
      <c r="C61" s="37" t="s">
        <v>129</v>
      </c>
      <c r="D61" s="37">
        <v>2418</v>
      </c>
      <c r="E61" s="38"/>
      <c r="F61" s="39">
        <v>52336.45</v>
      </c>
      <c r="G61" s="26">
        <f>SUM(G62:G65)</f>
        <v>43601.96</v>
      </c>
      <c r="H61" s="37"/>
      <c r="I61" s="37"/>
      <c r="J61" s="37"/>
    </row>
    <row r="62" spans="1:10" x14ac:dyDescent="0.3">
      <c r="A62" s="10">
        <v>53</v>
      </c>
      <c r="B62" s="14"/>
      <c r="C62" s="10"/>
      <c r="D62" s="10"/>
      <c r="E62" s="14"/>
      <c r="F62" s="11"/>
      <c r="G62" s="11">
        <v>4500</v>
      </c>
      <c r="H62" s="10" t="s">
        <v>386</v>
      </c>
      <c r="I62" s="10" t="s">
        <v>314</v>
      </c>
      <c r="J62" s="10"/>
    </row>
    <row r="63" spans="1:10" x14ac:dyDescent="0.3">
      <c r="A63" s="10">
        <v>54</v>
      </c>
      <c r="B63" s="14"/>
      <c r="C63" s="10"/>
      <c r="D63" s="10"/>
      <c r="E63" s="14"/>
      <c r="F63" s="11"/>
      <c r="G63" s="11">
        <v>1030</v>
      </c>
      <c r="H63" s="10" t="s">
        <v>387</v>
      </c>
      <c r="I63" s="10" t="s">
        <v>81</v>
      </c>
      <c r="J63" s="10"/>
    </row>
    <row r="64" spans="1:10" x14ac:dyDescent="0.3">
      <c r="A64" s="10">
        <v>55</v>
      </c>
      <c r="B64" s="14"/>
      <c r="C64" s="10"/>
      <c r="D64" s="10"/>
      <c r="E64" s="14"/>
      <c r="F64" s="11"/>
      <c r="G64" s="11">
        <v>9100</v>
      </c>
      <c r="H64" s="10" t="s">
        <v>388</v>
      </c>
      <c r="I64" s="10" t="s">
        <v>319</v>
      </c>
      <c r="J64" s="10"/>
    </row>
    <row r="65" spans="1:10" x14ac:dyDescent="0.3">
      <c r="A65" s="10">
        <v>56</v>
      </c>
      <c r="B65" s="14"/>
      <c r="C65" s="10"/>
      <c r="D65" s="10"/>
      <c r="E65" s="14"/>
      <c r="F65" s="11"/>
      <c r="G65" s="11">
        <v>28971.96</v>
      </c>
      <c r="H65" s="10" t="s">
        <v>389</v>
      </c>
      <c r="I65" s="10" t="s">
        <v>322</v>
      </c>
      <c r="J65" s="10"/>
    </row>
    <row r="66" spans="1:10" s="40" customFormat="1" ht="16.2" x14ac:dyDescent="0.3">
      <c r="A66" s="10">
        <v>57</v>
      </c>
      <c r="B66" s="37" t="s">
        <v>243</v>
      </c>
      <c r="C66" s="37" t="s">
        <v>134</v>
      </c>
      <c r="D66" s="37" t="s">
        <v>202</v>
      </c>
      <c r="E66" s="38"/>
      <c r="F66" s="39">
        <v>18317.759999999998</v>
      </c>
      <c r="G66" s="26">
        <f>SUM(G67)</f>
        <v>8000</v>
      </c>
      <c r="H66" s="37"/>
      <c r="I66" s="37"/>
      <c r="J66" s="37"/>
    </row>
    <row r="67" spans="1:10" x14ac:dyDescent="0.3">
      <c r="A67" s="10">
        <v>58</v>
      </c>
      <c r="B67" s="10"/>
      <c r="C67" s="10"/>
      <c r="D67" s="10"/>
      <c r="E67" s="14"/>
      <c r="F67" s="11"/>
      <c r="G67" s="11">
        <v>8000</v>
      </c>
      <c r="H67" s="10" t="s">
        <v>390</v>
      </c>
      <c r="I67" s="10" t="s">
        <v>63</v>
      </c>
      <c r="J67" s="10"/>
    </row>
    <row r="68" spans="1:10" x14ac:dyDescent="0.3">
      <c r="A68" s="10">
        <v>59</v>
      </c>
      <c r="B68" s="10" t="s">
        <v>244</v>
      </c>
      <c r="C68" s="10" t="s">
        <v>134</v>
      </c>
      <c r="D68" s="10" t="s">
        <v>203</v>
      </c>
      <c r="E68" s="14"/>
      <c r="F68" s="11">
        <v>65310.28</v>
      </c>
      <c r="G68" s="11"/>
      <c r="H68" s="10"/>
      <c r="I68" s="10"/>
      <c r="J68" s="10"/>
    </row>
    <row r="69" spans="1:10" x14ac:dyDescent="0.3">
      <c r="A69" s="10">
        <v>60</v>
      </c>
      <c r="B69" s="10" t="s">
        <v>245</v>
      </c>
      <c r="C69" s="10" t="s">
        <v>134</v>
      </c>
      <c r="D69" s="10" t="s">
        <v>204</v>
      </c>
      <c r="E69" s="14"/>
      <c r="F69" s="11">
        <v>214803.74</v>
      </c>
      <c r="G69" s="11"/>
      <c r="H69" s="10"/>
      <c r="I69" s="10"/>
      <c r="J69" s="10"/>
    </row>
    <row r="70" spans="1:10" x14ac:dyDescent="0.3">
      <c r="A70" s="10">
        <v>61</v>
      </c>
      <c r="B70" s="10" t="s">
        <v>246</v>
      </c>
      <c r="C70" s="10" t="s">
        <v>131</v>
      </c>
      <c r="D70" s="10">
        <v>2308</v>
      </c>
      <c r="E70" s="14"/>
      <c r="F70" s="11">
        <v>193457.94</v>
      </c>
      <c r="G70" s="11"/>
      <c r="H70" s="10"/>
      <c r="I70" s="10"/>
      <c r="J70" s="10"/>
    </row>
    <row r="71" spans="1:10" x14ac:dyDescent="0.3">
      <c r="A71" s="10">
        <v>62</v>
      </c>
      <c r="B71" s="10" t="s">
        <v>247</v>
      </c>
      <c r="C71" s="10" t="s">
        <v>205</v>
      </c>
      <c r="D71" s="10" t="s">
        <v>206</v>
      </c>
      <c r="E71" s="14"/>
      <c r="F71" s="11">
        <v>93084.11</v>
      </c>
      <c r="G71" s="11"/>
      <c r="H71" s="10"/>
      <c r="I71" s="10"/>
      <c r="J71" s="10"/>
    </row>
    <row r="72" spans="1:10" x14ac:dyDescent="0.3">
      <c r="A72" s="10">
        <v>63</v>
      </c>
      <c r="B72" s="10" t="s">
        <v>248</v>
      </c>
      <c r="C72" s="10" t="s">
        <v>134</v>
      </c>
      <c r="D72" s="10" t="s">
        <v>207</v>
      </c>
      <c r="E72" s="14"/>
      <c r="F72" s="11">
        <v>81682.240000000005</v>
      </c>
      <c r="G72" s="11"/>
      <c r="H72" s="10"/>
      <c r="I72" s="10"/>
      <c r="J72" s="10"/>
    </row>
    <row r="73" spans="1:10" x14ac:dyDescent="0.3">
      <c r="A73" s="10">
        <v>64</v>
      </c>
      <c r="B73" s="10" t="s">
        <v>249</v>
      </c>
      <c r="C73" s="10" t="s">
        <v>130</v>
      </c>
      <c r="D73" s="10" t="s">
        <v>208</v>
      </c>
      <c r="E73" s="14"/>
      <c r="F73" s="11">
        <v>23925.23</v>
      </c>
      <c r="G73" s="11"/>
      <c r="H73" s="10"/>
      <c r="I73" s="10"/>
      <c r="J73" s="10"/>
    </row>
    <row r="74" spans="1:10" x14ac:dyDescent="0.3">
      <c r="A74" s="10">
        <v>65</v>
      </c>
      <c r="B74" s="10" t="s">
        <v>250</v>
      </c>
      <c r="C74" s="10" t="s">
        <v>130</v>
      </c>
      <c r="D74" s="10" t="s">
        <v>209</v>
      </c>
      <c r="E74" s="14"/>
      <c r="F74" s="11">
        <v>4672.8999999999996</v>
      </c>
      <c r="G74" s="11"/>
      <c r="H74" s="10"/>
      <c r="I74" s="10"/>
      <c r="J74" s="10"/>
    </row>
    <row r="75" spans="1:10" x14ac:dyDescent="0.3">
      <c r="A75" s="10">
        <v>66</v>
      </c>
      <c r="B75" s="10" t="s">
        <v>251</v>
      </c>
      <c r="C75" s="10" t="s">
        <v>134</v>
      </c>
      <c r="D75" s="10" t="s">
        <v>210</v>
      </c>
      <c r="E75" s="14"/>
      <c r="F75" s="11">
        <v>65420.56</v>
      </c>
      <c r="G75" s="11"/>
      <c r="H75" s="10"/>
      <c r="I75" s="10"/>
      <c r="J75" s="10"/>
    </row>
    <row r="76" spans="1:10" x14ac:dyDescent="0.3">
      <c r="A76" s="10">
        <v>67</v>
      </c>
      <c r="B76" s="10"/>
      <c r="C76" s="10"/>
      <c r="D76" s="10"/>
      <c r="E76" s="10"/>
      <c r="F76" s="11"/>
      <c r="G76" s="11"/>
      <c r="H76" s="10"/>
      <c r="I76" s="10"/>
      <c r="J76" s="10"/>
    </row>
    <row r="77" spans="1:10" x14ac:dyDescent="0.3">
      <c r="A77" s="10">
        <v>68</v>
      </c>
      <c r="B77" s="10" t="s">
        <v>252</v>
      </c>
      <c r="C77" s="10" t="s">
        <v>211</v>
      </c>
      <c r="D77" s="10" t="s">
        <v>212</v>
      </c>
      <c r="E77" s="14"/>
      <c r="F77" s="11">
        <v>143364.49</v>
      </c>
      <c r="G77" s="11"/>
      <c r="H77" s="10"/>
      <c r="I77" s="10"/>
      <c r="J77" s="10"/>
    </row>
    <row r="78" spans="1:10" x14ac:dyDescent="0.3">
      <c r="A78" s="10">
        <v>69</v>
      </c>
      <c r="B78" s="10" t="s">
        <v>253</v>
      </c>
      <c r="C78" s="10" t="s">
        <v>133</v>
      </c>
      <c r="D78" s="10">
        <v>2708</v>
      </c>
      <c r="E78" s="14"/>
      <c r="F78" s="11">
        <v>31775.7</v>
      </c>
      <c r="G78" s="11"/>
      <c r="H78" s="10"/>
      <c r="I78" s="10"/>
      <c r="J78" s="10"/>
    </row>
    <row r="79" spans="1:10" x14ac:dyDescent="0.3">
      <c r="A79" s="10">
        <v>70</v>
      </c>
      <c r="B79" s="10" t="s">
        <v>254</v>
      </c>
      <c r="C79" s="10" t="s">
        <v>133</v>
      </c>
      <c r="D79" s="10">
        <v>2513</v>
      </c>
      <c r="E79" s="15"/>
      <c r="F79" s="7">
        <v>24299.07</v>
      </c>
      <c r="G79" s="11"/>
      <c r="H79" s="10"/>
      <c r="I79" s="10"/>
      <c r="J79" s="10"/>
    </row>
    <row r="80" spans="1:10" x14ac:dyDescent="0.3">
      <c r="A80" s="10">
        <v>71</v>
      </c>
      <c r="B80" s="10" t="s">
        <v>255</v>
      </c>
      <c r="C80" s="10" t="s">
        <v>133</v>
      </c>
      <c r="D80" s="10">
        <v>2412</v>
      </c>
      <c r="E80" s="14"/>
      <c r="F80" s="11">
        <v>4672.8999999999996</v>
      </c>
      <c r="G80" s="11"/>
      <c r="H80" s="10"/>
      <c r="I80" s="10"/>
      <c r="J80" s="10"/>
    </row>
    <row r="81" spans="1:10" x14ac:dyDescent="0.3">
      <c r="A81" s="10">
        <v>72</v>
      </c>
      <c r="B81" s="10" t="s">
        <v>256</v>
      </c>
      <c r="C81" s="10" t="s">
        <v>133</v>
      </c>
      <c r="D81" s="10">
        <v>1909</v>
      </c>
      <c r="E81" s="15"/>
      <c r="F81" s="7">
        <v>358607.48</v>
      </c>
      <c r="G81" s="11"/>
      <c r="H81" s="10"/>
      <c r="I81" s="10"/>
      <c r="J81" s="10"/>
    </row>
    <row r="82" spans="1:10" x14ac:dyDescent="0.3">
      <c r="A82" s="10">
        <v>73</v>
      </c>
      <c r="B82" s="10" t="s">
        <v>257</v>
      </c>
      <c r="C82" s="10" t="s">
        <v>213</v>
      </c>
      <c r="D82" s="10">
        <v>2008</v>
      </c>
      <c r="E82" s="14"/>
      <c r="F82" s="11">
        <v>687327.1</v>
      </c>
      <c r="G82" s="11"/>
      <c r="H82" s="10"/>
      <c r="I82" s="10"/>
      <c r="J82" s="10"/>
    </row>
    <row r="83" spans="1:10" x14ac:dyDescent="0.3">
      <c r="A83" s="10">
        <v>74</v>
      </c>
      <c r="B83" s="10" t="s">
        <v>258</v>
      </c>
      <c r="C83" s="10" t="s">
        <v>133</v>
      </c>
      <c r="D83" s="10">
        <v>2207</v>
      </c>
      <c r="E83" s="14"/>
      <c r="F83" s="11">
        <v>213084.11</v>
      </c>
      <c r="G83" s="11"/>
      <c r="H83" s="10"/>
      <c r="I83" s="10"/>
      <c r="J83" s="10"/>
    </row>
    <row r="84" spans="1:10" x14ac:dyDescent="0.3">
      <c r="A84" s="10">
        <v>75</v>
      </c>
      <c r="B84" s="10" t="s">
        <v>259</v>
      </c>
      <c r="C84" s="10" t="s">
        <v>134</v>
      </c>
      <c r="D84" s="10" t="s">
        <v>214</v>
      </c>
      <c r="E84" s="14"/>
      <c r="F84" s="11">
        <v>62616.82</v>
      </c>
      <c r="G84" s="11"/>
      <c r="H84" s="10"/>
      <c r="I84" s="10"/>
      <c r="J84" s="10"/>
    </row>
    <row r="85" spans="1:10" x14ac:dyDescent="0.3">
      <c r="A85" s="10">
        <v>76</v>
      </c>
      <c r="B85" s="10" t="s">
        <v>260</v>
      </c>
      <c r="C85" s="10" t="s">
        <v>141</v>
      </c>
      <c r="D85" s="10" t="s">
        <v>215</v>
      </c>
      <c r="E85" s="14"/>
      <c r="F85" s="11">
        <v>181568.13</v>
      </c>
      <c r="G85" s="11"/>
      <c r="H85" s="10"/>
      <c r="I85" s="10"/>
      <c r="J85" s="10"/>
    </row>
    <row r="86" spans="1:10" x14ac:dyDescent="0.3">
      <c r="A86" s="10">
        <v>77</v>
      </c>
      <c r="B86" s="10" t="s">
        <v>261</v>
      </c>
      <c r="C86" s="10" t="s">
        <v>129</v>
      </c>
      <c r="D86" s="10">
        <v>2817</v>
      </c>
      <c r="E86" s="14"/>
      <c r="F86" s="11">
        <v>22429.91</v>
      </c>
      <c r="G86" s="11"/>
      <c r="H86" s="10"/>
      <c r="I86" s="10"/>
      <c r="J86" s="10"/>
    </row>
    <row r="87" spans="1:10" x14ac:dyDescent="0.3">
      <c r="A87" s="10">
        <v>78</v>
      </c>
      <c r="B87" s="10" t="s">
        <v>262</v>
      </c>
      <c r="C87" s="10" t="s">
        <v>216</v>
      </c>
      <c r="D87" s="10" t="s">
        <v>217</v>
      </c>
      <c r="E87" s="14"/>
      <c r="F87" s="11">
        <v>9345.7900000000009</v>
      </c>
      <c r="G87" s="11"/>
      <c r="H87" s="10"/>
      <c r="I87" s="10"/>
      <c r="J87" s="10"/>
    </row>
    <row r="88" spans="1:10" x14ac:dyDescent="0.3">
      <c r="A88" s="10">
        <v>79</v>
      </c>
      <c r="B88" s="10" t="s">
        <v>263</v>
      </c>
      <c r="C88" s="10" t="s">
        <v>216</v>
      </c>
      <c r="D88" s="10" t="s">
        <v>217</v>
      </c>
      <c r="E88" s="14"/>
      <c r="F88" s="11">
        <v>140186.92000000001</v>
      </c>
      <c r="G88" s="11"/>
      <c r="H88" s="10"/>
      <c r="I88" s="10"/>
      <c r="J88" s="10"/>
    </row>
    <row r="89" spans="1:10" x14ac:dyDescent="0.3">
      <c r="A89" s="10">
        <v>80</v>
      </c>
      <c r="B89" s="10" t="s">
        <v>264</v>
      </c>
      <c r="C89" s="10" t="s">
        <v>134</v>
      </c>
      <c r="D89" s="10" t="s">
        <v>218</v>
      </c>
      <c r="E89" s="14"/>
      <c r="F89" s="11">
        <v>85794.39</v>
      </c>
      <c r="G89" s="11"/>
      <c r="H89" s="10"/>
      <c r="I89" s="10"/>
      <c r="J89" s="10"/>
    </row>
    <row r="90" spans="1:10" x14ac:dyDescent="0.3">
      <c r="A90" s="10">
        <v>81</v>
      </c>
      <c r="B90" s="10" t="s">
        <v>265</v>
      </c>
      <c r="C90" s="10" t="s">
        <v>132</v>
      </c>
      <c r="D90" s="10" t="s">
        <v>219</v>
      </c>
      <c r="E90" s="14"/>
      <c r="F90" s="11">
        <v>14112.15</v>
      </c>
      <c r="G90" s="11"/>
      <c r="H90" s="10"/>
      <c r="I90" s="10"/>
      <c r="J90" s="10"/>
    </row>
    <row r="91" spans="1:10" x14ac:dyDescent="0.3">
      <c r="A91" s="10">
        <v>82</v>
      </c>
      <c r="B91" s="10" t="s">
        <v>266</v>
      </c>
      <c r="C91" s="10" t="s">
        <v>133</v>
      </c>
      <c r="D91" s="10">
        <v>809</v>
      </c>
      <c r="E91" s="14"/>
      <c r="F91" s="11">
        <v>13934.58</v>
      </c>
      <c r="G91" s="11"/>
      <c r="H91" s="10"/>
      <c r="I91" s="10"/>
      <c r="J91" s="10"/>
    </row>
    <row r="92" spans="1:10" x14ac:dyDescent="0.3">
      <c r="A92" s="10">
        <v>83</v>
      </c>
      <c r="B92" s="10" t="s">
        <v>267</v>
      </c>
      <c r="C92" s="10" t="s">
        <v>133</v>
      </c>
      <c r="D92" s="10">
        <v>1525</v>
      </c>
      <c r="E92" s="14"/>
      <c r="F92" s="11">
        <v>17757.009999999998</v>
      </c>
      <c r="G92" s="11"/>
      <c r="H92" s="10"/>
      <c r="I92" s="10"/>
      <c r="J92" s="10"/>
    </row>
    <row r="93" spans="1:10" x14ac:dyDescent="0.3">
      <c r="A93" s="10">
        <v>84</v>
      </c>
      <c r="B93" s="6" t="s">
        <v>268</v>
      </c>
      <c r="C93" s="10" t="s">
        <v>134</v>
      </c>
      <c r="D93" s="6" t="s">
        <v>220</v>
      </c>
      <c r="E93" s="16"/>
      <c r="F93" s="7">
        <v>4672.8999999999996</v>
      </c>
    </row>
    <row r="94" spans="1:10" x14ac:dyDescent="0.3">
      <c r="A94" s="10">
        <v>85</v>
      </c>
      <c r="B94" s="6" t="s">
        <v>269</v>
      </c>
      <c r="C94" s="10" t="s">
        <v>130</v>
      </c>
      <c r="D94" s="6" t="s">
        <v>221</v>
      </c>
      <c r="E94" s="16"/>
      <c r="F94" s="7">
        <v>5004.67</v>
      </c>
    </row>
    <row r="95" spans="1:10" x14ac:dyDescent="0.3">
      <c r="A95" s="10">
        <v>86</v>
      </c>
      <c r="B95" s="6" t="s">
        <v>270</v>
      </c>
      <c r="C95" s="10" t="s">
        <v>137</v>
      </c>
      <c r="D95" s="6">
        <v>2219</v>
      </c>
      <c r="E95" s="16"/>
      <c r="F95" s="7">
        <v>21466.36</v>
      </c>
    </row>
    <row r="96" spans="1:10" x14ac:dyDescent="0.3">
      <c r="A96" s="10">
        <v>87</v>
      </c>
      <c r="B96" s="6" t="s">
        <v>271</v>
      </c>
      <c r="C96" s="10" t="s">
        <v>131</v>
      </c>
      <c r="D96" s="6">
        <v>1720</v>
      </c>
      <c r="E96" s="16"/>
      <c r="F96" s="7">
        <v>43710.28</v>
      </c>
    </row>
    <row r="97" spans="1:6" x14ac:dyDescent="0.3">
      <c r="A97" s="10">
        <v>88</v>
      </c>
      <c r="B97" s="6" t="s">
        <v>36</v>
      </c>
      <c r="C97" s="10" t="s">
        <v>133</v>
      </c>
      <c r="D97" s="6">
        <v>1510</v>
      </c>
      <c r="E97" s="16"/>
      <c r="F97" s="7">
        <v>11121.5</v>
      </c>
    </row>
    <row r="98" spans="1:6" x14ac:dyDescent="0.3">
      <c r="A98" s="10">
        <v>89</v>
      </c>
      <c r="B98" s="6" t="s">
        <v>272</v>
      </c>
      <c r="C98" s="10" t="s">
        <v>130</v>
      </c>
      <c r="D98" s="6" t="s">
        <v>222</v>
      </c>
      <c r="E98" s="16"/>
      <c r="F98" s="7">
        <v>64850.47</v>
      </c>
    </row>
    <row r="99" spans="1:6" x14ac:dyDescent="0.3">
      <c r="A99" s="10">
        <v>90</v>
      </c>
      <c r="B99" s="6" t="s">
        <v>273</v>
      </c>
      <c r="C99" s="10" t="s">
        <v>130</v>
      </c>
      <c r="D99" s="6" t="s">
        <v>222</v>
      </c>
      <c r="E99" s="16"/>
      <c r="F99" s="7">
        <v>6635.51</v>
      </c>
    </row>
    <row r="100" spans="1:6" x14ac:dyDescent="0.3">
      <c r="A100" s="10">
        <v>91</v>
      </c>
      <c r="B100" s="6" t="s">
        <v>274</v>
      </c>
      <c r="C100" s="10" t="s">
        <v>130</v>
      </c>
      <c r="D100" s="6" t="s">
        <v>223</v>
      </c>
      <c r="E100" s="16"/>
      <c r="F100" s="7">
        <v>61504.67</v>
      </c>
    </row>
    <row r="101" spans="1:6" x14ac:dyDescent="0.3">
      <c r="A101" s="10">
        <v>92</v>
      </c>
      <c r="B101" s="6" t="s">
        <v>275</v>
      </c>
      <c r="C101" s="10" t="s">
        <v>224</v>
      </c>
      <c r="D101" s="6">
        <v>924</v>
      </c>
      <c r="E101" s="16"/>
      <c r="F101" s="7">
        <v>145327.1</v>
      </c>
    </row>
    <row r="102" spans="1:6" x14ac:dyDescent="0.3">
      <c r="A102" s="10">
        <v>93</v>
      </c>
      <c r="B102" s="6" t="s">
        <v>276</v>
      </c>
      <c r="C102" s="10" t="s">
        <v>131</v>
      </c>
      <c r="D102" s="6">
        <v>2212</v>
      </c>
      <c r="E102" s="16"/>
      <c r="F102" s="7">
        <v>9345.7900000000009</v>
      </c>
    </row>
    <row r="103" spans="1:6" x14ac:dyDescent="0.3">
      <c r="A103" s="10">
        <v>94</v>
      </c>
      <c r="B103" s="6" t="s">
        <v>277</v>
      </c>
      <c r="C103" s="10" t="s">
        <v>134</v>
      </c>
      <c r="D103" s="6" t="s">
        <v>225</v>
      </c>
      <c r="E103" s="16"/>
      <c r="F103" s="7">
        <v>129906.54</v>
      </c>
    </row>
    <row r="104" spans="1:6" x14ac:dyDescent="0.3">
      <c r="A104" s="10">
        <v>95</v>
      </c>
      <c r="B104" s="6" t="s">
        <v>278</v>
      </c>
      <c r="C104" s="10" t="s">
        <v>132</v>
      </c>
      <c r="D104" s="6" t="s">
        <v>114</v>
      </c>
      <c r="E104" s="16"/>
      <c r="F104" s="7">
        <v>11308.41</v>
      </c>
    </row>
    <row r="105" spans="1:6" x14ac:dyDescent="0.3">
      <c r="A105" s="10">
        <v>96</v>
      </c>
      <c r="B105" s="6" t="s">
        <v>279</v>
      </c>
      <c r="C105" s="10" t="s">
        <v>226</v>
      </c>
      <c r="D105" s="6" t="s">
        <v>227</v>
      </c>
      <c r="E105" s="16"/>
      <c r="F105" s="7">
        <v>37383.18</v>
      </c>
    </row>
    <row r="106" spans="1:6" x14ac:dyDescent="0.3">
      <c r="A106" s="10">
        <v>97</v>
      </c>
      <c r="B106" s="6" t="s">
        <v>280</v>
      </c>
      <c r="C106" s="10" t="s">
        <v>134</v>
      </c>
      <c r="D106" s="6" t="s">
        <v>228</v>
      </c>
      <c r="E106" s="16"/>
      <c r="F106" s="7">
        <v>130841.12</v>
      </c>
    </row>
    <row r="107" spans="1:6" x14ac:dyDescent="0.3">
      <c r="A107" s="10">
        <v>98</v>
      </c>
      <c r="B107" s="6" t="s">
        <v>281</v>
      </c>
      <c r="C107" s="10" t="s">
        <v>229</v>
      </c>
      <c r="D107" s="6" t="s">
        <v>230</v>
      </c>
      <c r="E107" s="16"/>
      <c r="F107" s="7">
        <v>62598.13</v>
      </c>
    </row>
    <row r="108" spans="1:6" x14ac:dyDescent="0.3">
      <c r="A108" s="10">
        <v>99</v>
      </c>
      <c r="B108" s="6" t="s">
        <v>282</v>
      </c>
      <c r="C108" s="10" t="s">
        <v>134</v>
      </c>
      <c r="D108" s="6" t="s">
        <v>231</v>
      </c>
      <c r="E108" s="16"/>
      <c r="F108" s="7">
        <v>18504.669999999998</v>
      </c>
    </row>
    <row r="109" spans="1:6" x14ac:dyDescent="0.3">
      <c r="A109" s="10">
        <v>100</v>
      </c>
      <c r="B109" s="6" t="s">
        <v>283</v>
      </c>
      <c r="C109" s="10" t="s">
        <v>132</v>
      </c>
      <c r="D109" s="6" t="s">
        <v>232</v>
      </c>
      <c r="E109" s="16"/>
      <c r="F109" s="7">
        <v>15607.48</v>
      </c>
    </row>
    <row r="110" spans="1:6" x14ac:dyDescent="0.3">
      <c r="A110" s="10">
        <v>101</v>
      </c>
      <c r="B110" s="6" t="s">
        <v>284</v>
      </c>
      <c r="C110" s="10" t="s">
        <v>130</v>
      </c>
      <c r="D110" s="6" t="s">
        <v>233</v>
      </c>
      <c r="E110" s="16"/>
      <c r="F110" s="7">
        <v>4672.8999999999996</v>
      </c>
    </row>
    <row r="111" spans="1:6" x14ac:dyDescent="0.3">
      <c r="A111" s="10">
        <v>102</v>
      </c>
      <c r="B111" s="6" t="s">
        <v>285</v>
      </c>
      <c r="C111" s="10" t="s">
        <v>133</v>
      </c>
      <c r="D111" s="6">
        <v>1113</v>
      </c>
      <c r="E111" s="16"/>
      <c r="F111" s="7">
        <v>74766.36</v>
      </c>
    </row>
    <row r="112" spans="1:6" x14ac:dyDescent="0.3">
      <c r="A112" s="10">
        <v>103</v>
      </c>
      <c r="B112" s="6" t="s">
        <v>286</v>
      </c>
      <c r="C112" s="10" t="s">
        <v>133</v>
      </c>
      <c r="D112" s="6">
        <v>1205</v>
      </c>
      <c r="E112" s="16"/>
      <c r="F112" s="7">
        <v>11214.95</v>
      </c>
    </row>
    <row r="113" spans="1:6" x14ac:dyDescent="0.3">
      <c r="A113" s="10">
        <v>104</v>
      </c>
      <c r="B113" s="6" t="s">
        <v>287</v>
      </c>
      <c r="C113" s="6" t="s">
        <v>131</v>
      </c>
      <c r="D113" s="6">
        <v>1713</v>
      </c>
      <c r="E113" s="16"/>
      <c r="F113" s="7">
        <v>4672.8999999999996</v>
      </c>
    </row>
    <row r="114" spans="1:6" x14ac:dyDescent="0.3">
      <c r="A114" s="10">
        <v>105</v>
      </c>
      <c r="B114" s="6" t="s">
        <v>6</v>
      </c>
      <c r="C114" s="6" t="s">
        <v>129</v>
      </c>
      <c r="D114" s="6">
        <v>1404</v>
      </c>
      <c r="E114" s="16"/>
      <c r="F114" s="7">
        <v>7476.64</v>
      </c>
    </row>
    <row r="115" spans="1:6" x14ac:dyDescent="0.3">
      <c r="A115" s="10">
        <v>106</v>
      </c>
      <c r="B115" s="6" t="s">
        <v>288</v>
      </c>
      <c r="C115" s="6" t="s">
        <v>131</v>
      </c>
      <c r="D115" s="6">
        <v>1606</v>
      </c>
      <c r="E115" s="16"/>
      <c r="F115" s="7">
        <v>170560.75</v>
      </c>
    </row>
  </sheetData>
  <autoFilter ref="A2:J93" xr:uid="{51179626-FC68-4442-A647-0560D80F07CC}"/>
  <conditionalFormatting sqref="B3:B9 B66:B92 B12:B47">
    <cfRule type="duplicateValues" dxfId="1" priority="15"/>
  </conditionalFormatting>
  <conditionalFormatting sqref="B10:B11">
    <cfRule type="duplicateValues" dxfId="0" priority="1"/>
  </conditionalFormatting>
  <pageMargins left="0.7" right="0.7" top="0.75" bottom="0.75" header="0.3" footer="0.3"/>
  <pageSetup orientation="portrait" horizontalDpi="2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A227-0427-4AC7-B04A-BEE3D25B9CB6}">
  <dimension ref="A1:L251"/>
  <sheetViews>
    <sheetView zoomScale="85" zoomScaleNormal="85" workbookViewId="0">
      <pane ySplit="2" topLeftCell="A168" activePane="bottomLeft" state="frozen"/>
      <selection activeCell="G27" sqref="G27"/>
      <selection pane="bottomLeft" activeCell="I2" sqref="I1:I1048576"/>
    </sheetView>
  </sheetViews>
  <sheetFormatPr defaultColWidth="8.88671875" defaultRowHeight="14.4" x14ac:dyDescent="0.3"/>
  <cols>
    <col min="1" max="1" width="8.88671875" style="1"/>
    <col min="2" max="2" width="20.44140625" style="1" bestFit="1" customWidth="1"/>
    <col min="3" max="3" width="34" style="1" bestFit="1" customWidth="1"/>
    <col min="4" max="4" width="13.88671875" style="1" customWidth="1"/>
    <col min="5" max="5" width="11.5546875" style="19" bestFit="1" customWidth="1"/>
    <col min="6" max="6" width="21.44140625" style="19" customWidth="1"/>
    <col min="7" max="7" width="15.88671875" style="19" customWidth="1"/>
    <col min="8" max="8" width="13.21875" style="19" customWidth="1"/>
    <col min="9" max="9" width="13.21875" style="52" customWidth="1"/>
    <col min="10" max="10" width="19.6640625" style="1" bestFit="1" customWidth="1"/>
    <col min="11" max="11" width="68.33203125" style="1" bestFit="1" customWidth="1"/>
    <col min="12" max="12" width="52.5546875" style="1" bestFit="1" customWidth="1"/>
    <col min="13" max="16384" width="8.88671875" style="1"/>
  </cols>
  <sheetData>
    <row r="1" spans="1:12" x14ac:dyDescent="0.3">
      <c r="G1" s="20" t="s">
        <v>55</v>
      </c>
      <c r="H1" s="44" t="s">
        <v>589</v>
      </c>
      <c r="I1" s="45"/>
      <c r="J1" s="21" t="s">
        <v>55</v>
      </c>
      <c r="K1" s="21" t="s">
        <v>55</v>
      </c>
    </row>
    <row r="2" spans="1:12" x14ac:dyDescent="0.3">
      <c r="A2" s="2" t="s">
        <v>0</v>
      </c>
      <c r="B2" s="2" t="s">
        <v>1</v>
      </c>
      <c r="C2" s="2" t="s">
        <v>113</v>
      </c>
      <c r="D2" s="2" t="s">
        <v>2</v>
      </c>
      <c r="E2" s="22" t="s">
        <v>3</v>
      </c>
      <c r="F2" s="22" t="s">
        <v>4</v>
      </c>
      <c r="G2" s="20" t="s">
        <v>52</v>
      </c>
      <c r="H2" s="20" t="s">
        <v>590</v>
      </c>
      <c r="I2" s="46" t="s">
        <v>591</v>
      </c>
      <c r="J2" s="21" t="s">
        <v>53</v>
      </c>
      <c r="K2" s="21" t="s">
        <v>54</v>
      </c>
      <c r="L2" s="2" t="s">
        <v>5</v>
      </c>
    </row>
    <row r="3" spans="1:12" s="25" customFormat="1" ht="16.2" x14ac:dyDescent="0.3">
      <c r="A3" s="27">
        <v>1</v>
      </c>
      <c r="B3" s="5" t="s">
        <v>47</v>
      </c>
      <c r="C3" s="24" t="s">
        <v>128</v>
      </c>
      <c r="D3" s="18" t="s">
        <v>105</v>
      </c>
      <c r="E3" s="24"/>
      <c r="F3" s="24">
        <v>112878.5</v>
      </c>
      <c r="G3" s="26">
        <f>SUM(G4:G9)</f>
        <v>72555</v>
      </c>
      <c r="H3" s="24">
        <f>+F3-G3</f>
        <v>40323.5</v>
      </c>
      <c r="I3" s="47">
        <f>+H3/F3</f>
        <v>0.35722923320207123</v>
      </c>
      <c r="J3" s="5"/>
      <c r="K3" s="5"/>
      <c r="L3" s="5"/>
    </row>
    <row r="4" spans="1:12" x14ac:dyDescent="0.3">
      <c r="A4" s="23"/>
      <c r="B4" s="4"/>
      <c r="C4" s="3"/>
      <c r="D4" s="17"/>
      <c r="E4" s="3"/>
      <c r="F4" s="3"/>
      <c r="G4" s="3">
        <v>2755</v>
      </c>
      <c r="H4" s="3"/>
      <c r="I4" s="48"/>
      <c r="J4" s="4" t="s">
        <v>289</v>
      </c>
      <c r="K4" s="4" t="s">
        <v>66</v>
      </c>
      <c r="L4" s="4"/>
    </row>
    <row r="5" spans="1:12" x14ac:dyDescent="0.3">
      <c r="A5" s="23"/>
      <c r="B5" s="4"/>
      <c r="C5" s="3"/>
      <c r="D5" s="17"/>
      <c r="E5" s="3"/>
      <c r="F5" s="3"/>
      <c r="G5" s="3">
        <v>12800</v>
      </c>
      <c r="H5" s="3"/>
      <c r="I5" s="48"/>
      <c r="J5" s="4" t="s">
        <v>290</v>
      </c>
      <c r="K5" s="4" t="s">
        <v>291</v>
      </c>
      <c r="L5" s="4"/>
    </row>
    <row r="6" spans="1:12" x14ac:dyDescent="0.3">
      <c r="A6" s="23"/>
      <c r="B6" s="4"/>
      <c r="C6" s="3"/>
      <c r="D6" s="17"/>
      <c r="E6" s="3"/>
      <c r="F6" s="3"/>
      <c r="G6" s="3">
        <v>14050</v>
      </c>
      <c r="H6" s="3"/>
      <c r="I6" s="48"/>
      <c r="J6" s="4" t="s">
        <v>292</v>
      </c>
      <c r="K6" s="4" t="s">
        <v>97</v>
      </c>
      <c r="L6" s="4"/>
    </row>
    <row r="7" spans="1:12" x14ac:dyDescent="0.3">
      <c r="A7" s="23"/>
      <c r="B7" s="4"/>
      <c r="C7" s="3"/>
      <c r="D7" s="17"/>
      <c r="E7" s="3"/>
      <c r="F7" s="3"/>
      <c r="G7" s="3">
        <v>4500</v>
      </c>
      <c r="H7" s="3"/>
      <c r="I7" s="48"/>
      <c r="J7" s="4" t="s">
        <v>294</v>
      </c>
      <c r="K7" s="4" t="s">
        <v>293</v>
      </c>
      <c r="L7" s="4"/>
    </row>
    <row r="8" spans="1:12" x14ac:dyDescent="0.3">
      <c r="A8" s="23"/>
      <c r="B8" s="4"/>
      <c r="C8" s="3"/>
      <c r="D8" s="17"/>
      <c r="E8" s="3"/>
      <c r="F8" s="3"/>
      <c r="G8" s="3">
        <v>24750</v>
      </c>
      <c r="H8" s="3"/>
      <c r="I8" s="48"/>
      <c r="J8" s="4" t="s">
        <v>295</v>
      </c>
      <c r="K8" s="4" t="s">
        <v>90</v>
      </c>
      <c r="L8" s="4"/>
    </row>
    <row r="9" spans="1:12" x14ac:dyDescent="0.3">
      <c r="A9" s="23"/>
      <c r="B9" s="4"/>
      <c r="C9" s="3"/>
      <c r="D9" s="17"/>
      <c r="E9" s="3"/>
      <c r="F9" s="3"/>
      <c r="G9" s="3">
        <v>13700</v>
      </c>
      <c r="H9" s="3"/>
      <c r="I9" s="48"/>
      <c r="J9" s="4" t="s">
        <v>296</v>
      </c>
      <c r="K9" s="4" t="s">
        <v>63</v>
      </c>
      <c r="L9" s="4"/>
    </row>
    <row r="10" spans="1:12" s="25" customFormat="1" ht="16.2" x14ac:dyDescent="0.3">
      <c r="A10" s="27">
        <v>2</v>
      </c>
      <c r="B10" s="5" t="s">
        <v>48</v>
      </c>
      <c r="C10" s="24" t="s">
        <v>128</v>
      </c>
      <c r="D10" s="18" t="s">
        <v>106</v>
      </c>
      <c r="E10" s="24"/>
      <c r="F10" s="24">
        <v>40093.46</v>
      </c>
      <c r="G10" s="26">
        <f>SUM(G11:G12)</f>
        <v>26500</v>
      </c>
      <c r="H10" s="24">
        <f>+F10-G10</f>
        <v>13593.46</v>
      </c>
      <c r="I10" s="47">
        <f>+H10/F10</f>
        <v>0.33904432293945197</v>
      </c>
      <c r="J10" s="5"/>
      <c r="K10" s="5"/>
      <c r="L10" s="5"/>
    </row>
    <row r="11" spans="1:12" x14ac:dyDescent="0.3">
      <c r="A11" s="23"/>
      <c r="B11" s="4"/>
      <c r="C11" s="3"/>
      <c r="D11" s="17"/>
      <c r="E11" s="3"/>
      <c r="F11" s="3"/>
      <c r="G11" s="3">
        <v>12800</v>
      </c>
      <c r="H11" s="3"/>
      <c r="I11" s="48"/>
      <c r="J11" s="4" t="s">
        <v>297</v>
      </c>
      <c r="K11" s="4" t="s">
        <v>291</v>
      </c>
      <c r="L11" s="4"/>
    </row>
    <row r="12" spans="1:12" x14ac:dyDescent="0.3">
      <c r="A12" s="23"/>
      <c r="B12" s="4"/>
      <c r="C12" s="3"/>
      <c r="D12" s="17"/>
      <c r="E12" s="3"/>
      <c r="F12" s="3"/>
      <c r="G12" s="3">
        <v>13700</v>
      </c>
      <c r="H12" s="3"/>
      <c r="I12" s="48"/>
      <c r="J12" s="4" t="s">
        <v>298</v>
      </c>
      <c r="K12" s="4" t="s">
        <v>97</v>
      </c>
      <c r="L12" s="4"/>
    </row>
    <row r="13" spans="1:12" s="25" customFormat="1" ht="16.2" x14ac:dyDescent="0.3">
      <c r="A13" s="27">
        <v>3</v>
      </c>
      <c r="B13" s="5" t="s">
        <v>49</v>
      </c>
      <c r="C13" s="24" t="s">
        <v>128</v>
      </c>
      <c r="D13" s="18" t="s">
        <v>107</v>
      </c>
      <c r="E13" s="24"/>
      <c r="F13" s="24">
        <v>23962.62</v>
      </c>
      <c r="G13" s="26">
        <f>SUM(G14:G16)</f>
        <v>15605</v>
      </c>
      <c r="H13" s="24">
        <f>+F13-G13</f>
        <v>8357.619999999999</v>
      </c>
      <c r="I13" s="47">
        <f>+H13/F13</f>
        <v>0.34877738744761633</v>
      </c>
      <c r="J13" s="5"/>
      <c r="K13" s="5"/>
      <c r="L13" s="5"/>
    </row>
    <row r="14" spans="1:12" x14ac:dyDescent="0.3">
      <c r="A14" s="23"/>
      <c r="B14" s="4"/>
      <c r="C14" s="3"/>
      <c r="D14" s="17"/>
      <c r="E14" s="3"/>
      <c r="F14" s="3"/>
      <c r="G14" s="3">
        <v>9000</v>
      </c>
      <c r="H14" s="3"/>
      <c r="I14" s="48"/>
      <c r="J14" s="4" t="s">
        <v>299</v>
      </c>
      <c r="K14" s="4" t="s">
        <v>63</v>
      </c>
      <c r="L14" s="4"/>
    </row>
    <row r="15" spans="1:12" x14ac:dyDescent="0.3">
      <c r="A15" s="23"/>
      <c r="B15" s="4"/>
      <c r="C15" s="3"/>
      <c r="D15" s="17"/>
      <c r="E15" s="3"/>
      <c r="F15" s="3"/>
      <c r="G15" s="3">
        <v>2755</v>
      </c>
      <c r="H15" s="3"/>
      <c r="I15" s="48"/>
      <c r="J15" s="4"/>
      <c r="K15" s="4" t="s">
        <v>66</v>
      </c>
      <c r="L15" s="4"/>
    </row>
    <row r="16" spans="1:12" x14ac:dyDescent="0.3">
      <c r="A16" s="23"/>
      <c r="B16" s="4"/>
      <c r="C16" s="3"/>
      <c r="D16" s="17"/>
      <c r="E16" s="3"/>
      <c r="F16" s="3"/>
      <c r="G16" s="3">
        <v>3850</v>
      </c>
      <c r="H16" s="3"/>
      <c r="I16" s="48"/>
      <c r="J16" s="4" t="s">
        <v>300</v>
      </c>
      <c r="K16" s="4" t="s">
        <v>293</v>
      </c>
      <c r="L16" s="4"/>
    </row>
    <row r="17" spans="1:12" s="25" customFormat="1" ht="16.2" x14ac:dyDescent="0.3">
      <c r="A17" s="27">
        <v>4</v>
      </c>
      <c r="B17" s="5" t="s">
        <v>50</v>
      </c>
      <c r="C17" s="24" t="s">
        <v>128</v>
      </c>
      <c r="D17" s="18" t="s">
        <v>108</v>
      </c>
      <c r="E17" s="24"/>
      <c r="F17" s="24">
        <v>64485.98</v>
      </c>
      <c r="G17" s="26">
        <f>SUM(G18:G22)</f>
        <v>41393</v>
      </c>
      <c r="H17" s="24">
        <f>+F17-G17</f>
        <v>23092.980000000003</v>
      </c>
      <c r="I17" s="47">
        <f>+H17/F17</f>
        <v>0.35810853770075296</v>
      </c>
      <c r="J17" s="5"/>
      <c r="K17" s="5"/>
      <c r="L17" s="4" t="s">
        <v>301</v>
      </c>
    </row>
    <row r="18" spans="1:12" x14ac:dyDescent="0.3">
      <c r="A18" s="27"/>
      <c r="B18" s="5"/>
      <c r="C18" s="24"/>
      <c r="D18" s="18"/>
      <c r="E18" s="24"/>
      <c r="F18" s="24"/>
      <c r="G18" s="3">
        <v>8900</v>
      </c>
      <c r="H18" s="3"/>
      <c r="I18" s="48"/>
      <c r="J18" s="4" t="s">
        <v>302</v>
      </c>
      <c r="K18" s="4" t="s">
        <v>63</v>
      </c>
      <c r="L18" s="4"/>
    </row>
    <row r="19" spans="1:12" x14ac:dyDescent="0.3">
      <c r="A19" s="27"/>
      <c r="B19" s="5"/>
      <c r="C19" s="24"/>
      <c r="D19" s="18"/>
      <c r="E19" s="24"/>
      <c r="F19" s="24"/>
      <c r="G19" s="3">
        <v>2338</v>
      </c>
      <c r="H19" s="3"/>
      <c r="I19" s="48"/>
      <c r="J19" s="4" t="s">
        <v>303</v>
      </c>
      <c r="K19" s="4" t="s">
        <v>69</v>
      </c>
      <c r="L19" s="4"/>
    </row>
    <row r="20" spans="1:12" x14ac:dyDescent="0.3">
      <c r="A20" s="27"/>
      <c r="B20" s="5"/>
      <c r="C20" s="24"/>
      <c r="D20" s="18"/>
      <c r="E20" s="24"/>
      <c r="F20" s="24"/>
      <c r="G20" s="3">
        <v>2755</v>
      </c>
      <c r="H20" s="3"/>
      <c r="I20" s="48"/>
      <c r="J20" s="4" t="s">
        <v>304</v>
      </c>
      <c r="K20" s="4" t="s">
        <v>66</v>
      </c>
      <c r="L20" s="4"/>
    </row>
    <row r="21" spans="1:12" x14ac:dyDescent="0.3">
      <c r="A21" s="27"/>
      <c r="B21" s="5"/>
      <c r="C21" s="24"/>
      <c r="D21" s="18"/>
      <c r="E21" s="24"/>
      <c r="F21" s="24"/>
      <c r="G21" s="3">
        <v>22900</v>
      </c>
      <c r="H21" s="3"/>
      <c r="I21" s="48"/>
      <c r="J21" s="4" t="s">
        <v>305</v>
      </c>
      <c r="K21" s="4" t="s">
        <v>90</v>
      </c>
      <c r="L21" s="4"/>
    </row>
    <row r="22" spans="1:12" x14ac:dyDescent="0.3">
      <c r="A22" s="27"/>
      <c r="B22" s="5"/>
      <c r="C22" s="24"/>
      <c r="D22" s="18"/>
      <c r="E22" s="24"/>
      <c r="F22" s="24"/>
      <c r="G22" s="3">
        <v>4500</v>
      </c>
      <c r="H22" s="3"/>
      <c r="I22" s="48"/>
      <c r="J22" s="4" t="s">
        <v>294</v>
      </c>
      <c r="K22" s="4" t="s">
        <v>293</v>
      </c>
      <c r="L22" s="4"/>
    </row>
    <row r="23" spans="1:12" s="25" customFormat="1" ht="16.2" x14ac:dyDescent="0.3">
      <c r="A23" s="27">
        <v>5</v>
      </c>
      <c r="B23" s="5" t="s">
        <v>13</v>
      </c>
      <c r="C23" s="24" t="s">
        <v>128</v>
      </c>
      <c r="D23" s="18" t="s">
        <v>109</v>
      </c>
      <c r="E23" s="24"/>
      <c r="F23" s="24">
        <v>65420.56</v>
      </c>
      <c r="G23" s="26">
        <f>SUM(G24:G27)</f>
        <v>46490.79</v>
      </c>
      <c r="H23" s="24">
        <f>+F23-G23</f>
        <v>18929.769999999997</v>
      </c>
      <c r="I23" s="47">
        <f>+H23/F23</f>
        <v>0.28935505902120062</v>
      </c>
      <c r="J23" s="5"/>
      <c r="K23" s="5"/>
      <c r="L23" s="4"/>
    </row>
    <row r="24" spans="1:12" x14ac:dyDescent="0.3">
      <c r="A24" s="23"/>
      <c r="B24" s="4"/>
      <c r="C24" s="3"/>
      <c r="D24" s="17"/>
      <c r="E24" s="3"/>
      <c r="F24" s="3"/>
      <c r="G24" s="3">
        <v>24000</v>
      </c>
      <c r="H24" s="3"/>
      <c r="I24" s="48"/>
      <c r="J24" s="4" t="s">
        <v>96</v>
      </c>
      <c r="K24" s="4" t="s">
        <v>63</v>
      </c>
      <c r="L24" s="4"/>
    </row>
    <row r="25" spans="1:12" x14ac:dyDescent="0.3">
      <c r="A25" s="23"/>
      <c r="B25" s="4"/>
      <c r="C25" s="3"/>
      <c r="D25" s="17"/>
      <c r="E25" s="3"/>
      <c r="F25" s="3"/>
      <c r="G25" s="3">
        <v>1745</v>
      </c>
      <c r="H25" s="3"/>
      <c r="I25" s="48"/>
      <c r="J25" s="4" t="s">
        <v>95</v>
      </c>
      <c r="K25" s="4" t="s">
        <v>92</v>
      </c>
      <c r="L25" s="4"/>
    </row>
    <row r="26" spans="1:12" x14ac:dyDescent="0.3">
      <c r="A26" s="23"/>
      <c r="B26" s="4"/>
      <c r="C26" s="3"/>
      <c r="D26" s="17"/>
      <c r="E26" s="3"/>
      <c r="F26" s="3"/>
      <c r="G26" s="3">
        <v>2045.79</v>
      </c>
      <c r="H26" s="3"/>
      <c r="I26" s="48"/>
      <c r="J26" s="4" t="s">
        <v>94</v>
      </c>
      <c r="K26" s="4" t="s">
        <v>91</v>
      </c>
      <c r="L26" s="4"/>
    </row>
    <row r="27" spans="1:12" x14ac:dyDescent="0.3">
      <c r="A27" s="23"/>
      <c r="B27" s="4"/>
      <c r="C27" s="3"/>
      <c r="D27" s="17"/>
      <c r="E27" s="3"/>
      <c r="F27" s="3"/>
      <c r="G27" s="3">
        <v>18700</v>
      </c>
      <c r="H27" s="3"/>
      <c r="I27" s="48"/>
      <c r="J27" s="4" t="s">
        <v>93</v>
      </c>
      <c r="K27" s="4" t="s">
        <v>90</v>
      </c>
      <c r="L27" s="4"/>
    </row>
    <row r="28" spans="1:12" s="25" customFormat="1" ht="16.2" x14ac:dyDescent="0.3">
      <c r="A28" s="27">
        <v>6</v>
      </c>
      <c r="B28" s="5" t="s">
        <v>51</v>
      </c>
      <c r="C28" s="24" t="s">
        <v>128</v>
      </c>
      <c r="D28" s="18" t="s">
        <v>110</v>
      </c>
      <c r="E28" s="24"/>
      <c r="F28" s="24">
        <v>54056.07</v>
      </c>
      <c r="G28" s="26">
        <f>SUM(G29:G30)</f>
        <v>35065</v>
      </c>
      <c r="H28" s="24">
        <f>+F28-G28</f>
        <v>18991.07</v>
      </c>
      <c r="I28" s="47">
        <f>+H28/F28</f>
        <v>0.3513216924574798</v>
      </c>
      <c r="J28" s="5"/>
      <c r="K28" s="5"/>
      <c r="L28" s="4"/>
    </row>
    <row r="29" spans="1:12" x14ac:dyDescent="0.3">
      <c r="A29" s="23"/>
      <c r="B29" s="4"/>
      <c r="C29" s="3"/>
      <c r="D29" s="17"/>
      <c r="E29" s="3"/>
      <c r="F29" s="3"/>
      <c r="G29" s="3">
        <v>21315</v>
      </c>
      <c r="H29" s="3"/>
      <c r="I29" s="48"/>
      <c r="J29" s="4" t="s">
        <v>306</v>
      </c>
      <c r="K29" s="4" t="s">
        <v>63</v>
      </c>
      <c r="L29" s="4"/>
    </row>
    <row r="30" spans="1:12" x14ac:dyDescent="0.3">
      <c r="A30" s="23"/>
      <c r="B30" s="4"/>
      <c r="C30" s="3"/>
      <c r="D30" s="17"/>
      <c r="E30" s="3"/>
      <c r="F30" s="3"/>
      <c r="G30" s="3">
        <v>13750</v>
      </c>
      <c r="H30" s="3"/>
      <c r="I30" s="48"/>
      <c r="J30" s="4" t="s">
        <v>307</v>
      </c>
      <c r="K30" s="4" t="s">
        <v>90</v>
      </c>
      <c r="L30" s="4"/>
    </row>
    <row r="31" spans="1:12" s="25" customFormat="1" ht="16.2" x14ac:dyDescent="0.3">
      <c r="A31" s="27">
        <v>7</v>
      </c>
      <c r="B31" s="5" t="s">
        <v>104</v>
      </c>
      <c r="C31" s="24" t="s">
        <v>128</v>
      </c>
      <c r="D31" s="18" t="s">
        <v>111</v>
      </c>
      <c r="E31" s="24"/>
      <c r="F31" s="24">
        <v>15794.39</v>
      </c>
      <c r="G31" s="26">
        <f>SUM(G32)</f>
        <v>7500</v>
      </c>
      <c r="H31" s="24">
        <f>+F31-G31</f>
        <v>8294.39</v>
      </c>
      <c r="I31" s="47">
        <f>+H31/F31</f>
        <v>0.52514785313013035</v>
      </c>
      <c r="J31" s="5"/>
      <c r="K31" s="5"/>
      <c r="L31" s="4"/>
    </row>
    <row r="32" spans="1:12" x14ac:dyDescent="0.3">
      <c r="A32" s="23"/>
      <c r="B32" s="4"/>
      <c r="C32" s="3"/>
      <c r="D32" s="17"/>
      <c r="E32" s="3"/>
      <c r="F32" s="3"/>
      <c r="G32" s="3">
        <v>7500</v>
      </c>
      <c r="H32" s="3"/>
      <c r="I32" s="48"/>
      <c r="J32" s="4" t="s">
        <v>308</v>
      </c>
      <c r="K32" s="4" t="s">
        <v>63</v>
      </c>
      <c r="L32" s="4"/>
    </row>
    <row r="33" spans="1:12" s="25" customFormat="1" ht="16.2" x14ac:dyDescent="0.3">
      <c r="A33" s="27">
        <v>8</v>
      </c>
      <c r="B33" s="5" t="s">
        <v>14</v>
      </c>
      <c r="C33" s="24" t="s">
        <v>128</v>
      </c>
      <c r="D33" s="18" t="s">
        <v>112</v>
      </c>
      <c r="E33" s="24"/>
      <c r="F33" s="24">
        <v>14485.98</v>
      </c>
      <c r="G33" s="26">
        <f>SUM(G34:G35)</f>
        <v>6740</v>
      </c>
      <c r="H33" s="24">
        <f>+F33-G33</f>
        <v>7745.98</v>
      </c>
      <c r="I33" s="47">
        <f>+H33/F33</f>
        <v>0.53472253862010022</v>
      </c>
      <c r="J33" s="5"/>
      <c r="K33" s="5"/>
      <c r="L33" s="5"/>
    </row>
    <row r="34" spans="1:12" x14ac:dyDescent="0.3">
      <c r="A34" s="23"/>
      <c r="B34" s="4"/>
      <c r="C34" s="3"/>
      <c r="D34" s="17"/>
      <c r="E34" s="3"/>
      <c r="F34" s="3"/>
      <c r="G34" s="3">
        <v>2240</v>
      </c>
      <c r="H34" s="3"/>
      <c r="I34" s="48"/>
      <c r="J34" s="4" t="s">
        <v>587</v>
      </c>
      <c r="K34" s="4" t="s">
        <v>66</v>
      </c>
      <c r="L34" s="4"/>
    </row>
    <row r="35" spans="1:12" x14ac:dyDescent="0.3">
      <c r="A35" s="23"/>
      <c r="B35" s="4"/>
      <c r="C35" s="3"/>
      <c r="D35" s="17"/>
      <c r="E35" s="3"/>
      <c r="F35" s="3"/>
      <c r="G35" s="3">
        <v>4500</v>
      </c>
      <c r="H35" s="3"/>
      <c r="I35" s="48"/>
      <c r="J35" s="4" t="s">
        <v>588</v>
      </c>
      <c r="K35" s="4" t="s">
        <v>293</v>
      </c>
      <c r="L35" s="4"/>
    </row>
    <row r="36" spans="1:12" s="25" customFormat="1" ht="16.2" x14ac:dyDescent="0.3">
      <c r="A36" s="27">
        <v>9</v>
      </c>
      <c r="B36" s="5" t="s">
        <v>6</v>
      </c>
      <c r="C36" s="24" t="s">
        <v>129</v>
      </c>
      <c r="D36" s="18">
        <v>1416</v>
      </c>
      <c r="E36" s="24"/>
      <c r="F36" s="24">
        <v>7476.64</v>
      </c>
      <c r="G36" s="26">
        <f>SUM(G37:G38)</f>
        <v>5610</v>
      </c>
      <c r="H36" s="24">
        <f>+F36-G36</f>
        <v>1866.6400000000003</v>
      </c>
      <c r="I36" s="47">
        <f>+H36/F36</f>
        <v>0.24966295020222992</v>
      </c>
      <c r="J36" s="5"/>
      <c r="K36" s="5"/>
      <c r="L36" s="4"/>
    </row>
    <row r="37" spans="1:12" x14ac:dyDescent="0.3">
      <c r="A37" s="23"/>
      <c r="B37" s="4"/>
      <c r="C37" s="3"/>
      <c r="D37" s="17"/>
      <c r="E37" s="3"/>
      <c r="F37" s="3"/>
      <c r="G37" s="3">
        <v>3410</v>
      </c>
      <c r="H37" s="3"/>
      <c r="I37" s="48"/>
      <c r="J37" s="4" t="s">
        <v>56</v>
      </c>
      <c r="K37" s="4" t="s">
        <v>58</v>
      </c>
      <c r="L37" s="4"/>
    </row>
    <row r="38" spans="1:12" x14ac:dyDescent="0.3">
      <c r="A38" s="23"/>
      <c r="B38" s="4"/>
      <c r="C38" s="3"/>
      <c r="D38" s="17"/>
      <c r="E38" s="3"/>
      <c r="F38" s="3"/>
      <c r="G38" s="3">
        <v>2200</v>
      </c>
      <c r="H38" s="3"/>
      <c r="I38" s="48"/>
      <c r="J38" s="4" t="s">
        <v>57</v>
      </c>
      <c r="K38" s="4" t="s">
        <v>59</v>
      </c>
      <c r="L38" s="4"/>
    </row>
    <row r="39" spans="1:12" s="25" customFormat="1" ht="16.2" x14ac:dyDescent="0.3">
      <c r="A39" s="27">
        <v>10</v>
      </c>
      <c r="B39" s="5" t="s">
        <v>6</v>
      </c>
      <c r="C39" s="24" t="s">
        <v>129</v>
      </c>
      <c r="D39" s="18">
        <v>1515</v>
      </c>
      <c r="E39" s="24"/>
      <c r="F39" s="24">
        <v>7476.64</v>
      </c>
      <c r="G39" s="26">
        <f>SUM(G40:G41)</f>
        <v>5610</v>
      </c>
      <c r="H39" s="24">
        <f>+F39-G39</f>
        <v>1866.6400000000003</v>
      </c>
      <c r="I39" s="47">
        <f>+H39/F39</f>
        <v>0.24966295020222992</v>
      </c>
      <c r="J39" s="5"/>
      <c r="K39" s="5"/>
      <c r="L39" s="4"/>
    </row>
    <row r="40" spans="1:12" x14ac:dyDescent="0.3">
      <c r="A40" s="23"/>
      <c r="B40" s="4"/>
      <c r="C40" s="3"/>
      <c r="D40" s="17"/>
      <c r="E40" s="3"/>
      <c r="F40" s="3"/>
      <c r="G40" s="3">
        <v>3410</v>
      </c>
      <c r="H40" s="3"/>
      <c r="I40" s="48"/>
      <c r="J40" s="4" t="s">
        <v>56</v>
      </c>
      <c r="K40" s="4" t="s">
        <v>58</v>
      </c>
      <c r="L40" s="4"/>
    </row>
    <row r="41" spans="1:12" x14ac:dyDescent="0.3">
      <c r="A41" s="23"/>
      <c r="B41" s="4"/>
      <c r="C41" s="3"/>
      <c r="D41" s="17"/>
      <c r="E41" s="3"/>
      <c r="F41" s="3"/>
      <c r="G41" s="3">
        <v>2200</v>
      </c>
      <c r="H41" s="3"/>
      <c r="I41" s="48"/>
      <c r="J41" s="4" t="s">
        <v>57</v>
      </c>
      <c r="K41" s="4" t="s">
        <v>59</v>
      </c>
      <c r="L41" s="4"/>
    </row>
    <row r="42" spans="1:12" s="25" customFormat="1" ht="16.2" x14ac:dyDescent="0.3">
      <c r="A42" s="27">
        <v>11</v>
      </c>
      <c r="B42" s="5" t="s">
        <v>6</v>
      </c>
      <c r="C42" s="24" t="s">
        <v>129</v>
      </c>
      <c r="D42" s="18">
        <v>2018</v>
      </c>
      <c r="E42" s="24"/>
      <c r="F42" s="24">
        <v>7476.64</v>
      </c>
      <c r="G42" s="26">
        <f>SUM(G43:G44)</f>
        <v>5610</v>
      </c>
      <c r="H42" s="24">
        <f>+F42-G42</f>
        <v>1866.6400000000003</v>
      </c>
      <c r="I42" s="47">
        <f>+H42/F42</f>
        <v>0.24966295020222992</v>
      </c>
      <c r="J42" s="5"/>
      <c r="K42" s="5"/>
      <c r="L42" s="4"/>
    </row>
    <row r="43" spans="1:12" x14ac:dyDescent="0.3">
      <c r="A43" s="23"/>
      <c r="B43" s="4"/>
      <c r="C43" s="3"/>
      <c r="D43" s="17"/>
      <c r="E43" s="3"/>
      <c r="F43" s="3"/>
      <c r="G43" s="3">
        <v>3410</v>
      </c>
      <c r="H43" s="3"/>
      <c r="I43" s="48"/>
      <c r="J43" s="4" t="s">
        <v>56</v>
      </c>
      <c r="K43" s="4" t="s">
        <v>58</v>
      </c>
      <c r="L43" s="4"/>
    </row>
    <row r="44" spans="1:12" x14ac:dyDescent="0.3">
      <c r="A44" s="23"/>
      <c r="B44" s="4"/>
      <c r="C44" s="3"/>
      <c r="D44" s="17"/>
      <c r="E44" s="3"/>
      <c r="F44" s="3"/>
      <c r="G44" s="3">
        <v>2200</v>
      </c>
      <c r="H44" s="3"/>
      <c r="I44" s="48"/>
      <c r="J44" s="4" t="s">
        <v>57</v>
      </c>
      <c r="K44" s="4" t="s">
        <v>59</v>
      </c>
      <c r="L44" s="4"/>
    </row>
    <row r="45" spans="1:12" s="25" customFormat="1" ht="16.2" x14ac:dyDescent="0.3">
      <c r="A45" s="27">
        <v>12</v>
      </c>
      <c r="B45" s="5" t="s">
        <v>6</v>
      </c>
      <c r="C45" s="24" t="s">
        <v>129</v>
      </c>
      <c r="D45" s="18">
        <v>2021</v>
      </c>
      <c r="E45" s="24"/>
      <c r="F45" s="24">
        <v>7476.64</v>
      </c>
      <c r="G45" s="26">
        <f>SUM(G46:G47)</f>
        <v>5610</v>
      </c>
      <c r="H45" s="24">
        <f>+F45-G45</f>
        <v>1866.6400000000003</v>
      </c>
      <c r="I45" s="47">
        <f>+H45/F45</f>
        <v>0.24966295020222992</v>
      </c>
      <c r="J45" s="5"/>
      <c r="K45" s="5"/>
      <c r="L45" s="4"/>
    </row>
    <row r="46" spans="1:12" s="25" customFormat="1" x14ac:dyDescent="0.3">
      <c r="A46" s="27"/>
      <c r="B46" s="5"/>
      <c r="C46" s="24"/>
      <c r="D46" s="18"/>
      <c r="E46" s="24"/>
      <c r="F46" s="24"/>
      <c r="G46" s="3">
        <v>3410</v>
      </c>
      <c r="H46" s="3"/>
      <c r="I46" s="48"/>
      <c r="J46" s="4" t="s">
        <v>56</v>
      </c>
      <c r="K46" s="4" t="s">
        <v>58</v>
      </c>
      <c r="L46" s="4"/>
    </row>
    <row r="47" spans="1:12" s="25" customFormat="1" x14ac:dyDescent="0.3">
      <c r="A47" s="27"/>
      <c r="B47" s="5"/>
      <c r="C47" s="24"/>
      <c r="D47" s="18"/>
      <c r="E47" s="24"/>
      <c r="F47" s="24"/>
      <c r="G47" s="3">
        <v>2200</v>
      </c>
      <c r="H47" s="3"/>
      <c r="I47" s="48"/>
      <c r="J47" s="4" t="s">
        <v>57</v>
      </c>
      <c r="K47" s="4" t="s">
        <v>59</v>
      </c>
      <c r="L47" s="4"/>
    </row>
    <row r="48" spans="1:12" s="25" customFormat="1" ht="16.2" x14ac:dyDescent="0.3">
      <c r="A48" s="27">
        <v>13</v>
      </c>
      <c r="B48" s="5" t="s">
        <v>6</v>
      </c>
      <c r="C48" s="24" t="s">
        <v>129</v>
      </c>
      <c r="D48" s="18">
        <v>2111</v>
      </c>
      <c r="E48" s="24"/>
      <c r="F48" s="24">
        <v>7476.64</v>
      </c>
      <c r="G48" s="26">
        <f>SUM(G49:G50)</f>
        <v>5610</v>
      </c>
      <c r="H48" s="24">
        <f>+F48-G48</f>
        <v>1866.6400000000003</v>
      </c>
      <c r="I48" s="47">
        <f>+H48/F48</f>
        <v>0.24966295020222992</v>
      </c>
      <c r="J48" s="5"/>
      <c r="K48" s="5"/>
      <c r="L48" s="4"/>
    </row>
    <row r="49" spans="1:12" s="25" customFormat="1" x14ac:dyDescent="0.3">
      <c r="A49" s="27"/>
      <c r="B49" s="5"/>
      <c r="C49" s="24"/>
      <c r="D49" s="18"/>
      <c r="E49" s="24"/>
      <c r="F49" s="24"/>
      <c r="G49" s="3">
        <v>3410</v>
      </c>
      <c r="H49" s="3"/>
      <c r="I49" s="48"/>
      <c r="J49" s="4" t="s">
        <v>56</v>
      </c>
      <c r="K49" s="4" t="s">
        <v>58</v>
      </c>
      <c r="L49" s="4"/>
    </row>
    <row r="50" spans="1:12" s="25" customFormat="1" x14ac:dyDescent="0.3">
      <c r="A50" s="27"/>
      <c r="B50" s="5"/>
      <c r="C50" s="24"/>
      <c r="D50" s="18"/>
      <c r="E50" s="24"/>
      <c r="F50" s="24"/>
      <c r="G50" s="3">
        <v>2200</v>
      </c>
      <c r="H50" s="3"/>
      <c r="I50" s="48"/>
      <c r="J50" s="4" t="s">
        <v>57</v>
      </c>
      <c r="K50" s="4" t="s">
        <v>59</v>
      </c>
      <c r="L50" s="4"/>
    </row>
    <row r="51" spans="1:12" s="25" customFormat="1" ht="16.2" x14ac:dyDescent="0.3">
      <c r="A51" s="27">
        <v>14</v>
      </c>
      <c r="B51" s="5" t="s">
        <v>6</v>
      </c>
      <c r="C51" s="24" t="s">
        <v>129</v>
      </c>
      <c r="D51" s="18">
        <v>2127</v>
      </c>
      <c r="E51" s="24"/>
      <c r="F51" s="24">
        <v>7476.64</v>
      </c>
      <c r="G51" s="26">
        <f>SUM(G52:G53)</f>
        <v>5610</v>
      </c>
      <c r="H51" s="24">
        <f>+F51-G51</f>
        <v>1866.6400000000003</v>
      </c>
      <c r="I51" s="47">
        <f>+H51/F51</f>
        <v>0.24966295020222992</v>
      </c>
      <c r="J51" s="5"/>
      <c r="K51" s="5"/>
      <c r="L51" s="4"/>
    </row>
    <row r="52" spans="1:12" s="25" customFormat="1" x14ac:dyDescent="0.3">
      <c r="A52" s="27"/>
      <c r="B52" s="5"/>
      <c r="C52" s="24"/>
      <c r="D52" s="18"/>
      <c r="E52" s="24"/>
      <c r="F52" s="24"/>
      <c r="G52" s="3">
        <v>3410</v>
      </c>
      <c r="H52" s="3"/>
      <c r="I52" s="48"/>
      <c r="J52" s="4" t="s">
        <v>56</v>
      </c>
      <c r="K52" s="4" t="s">
        <v>58</v>
      </c>
      <c r="L52" s="4"/>
    </row>
    <row r="53" spans="1:12" s="25" customFormat="1" x14ac:dyDescent="0.3">
      <c r="A53" s="27"/>
      <c r="B53" s="5"/>
      <c r="C53" s="24"/>
      <c r="D53" s="18"/>
      <c r="E53" s="24"/>
      <c r="F53" s="24"/>
      <c r="G53" s="3">
        <v>2200</v>
      </c>
      <c r="H53" s="3"/>
      <c r="I53" s="48"/>
      <c r="J53" s="4" t="s">
        <v>57</v>
      </c>
      <c r="K53" s="4" t="s">
        <v>59</v>
      </c>
      <c r="L53" s="4"/>
    </row>
    <row r="54" spans="1:12" s="25" customFormat="1" ht="16.2" x14ac:dyDescent="0.3">
      <c r="A54" s="27">
        <v>15</v>
      </c>
      <c r="B54" s="5" t="s">
        <v>6</v>
      </c>
      <c r="C54" s="24" t="s">
        <v>129</v>
      </c>
      <c r="D54" s="18">
        <v>2418</v>
      </c>
      <c r="E54" s="24"/>
      <c r="F54" s="24">
        <v>7476.64</v>
      </c>
      <c r="G54" s="26">
        <f>SUM(G55:G56)</f>
        <v>5610</v>
      </c>
      <c r="H54" s="24">
        <f>+F54-G54</f>
        <v>1866.6400000000003</v>
      </c>
      <c r="I54" s="47">
        <f>+H54/F54</f>
        <v>0.24966295020222992</v>
      </c>
      <c r="J54" s="5"/>
      <c r="K54" s="5"/>
      <c r="L54" s="4"/>
    </row>
    <row r="55" spans="1:12" s="25" customFormat="1" x14ac:dyDescent="0.3">
      <c r="A55" s="27"/>
      <c r="B55" s="5"/>
      <c r="C55" s="24"/>
      <c r="D55" s="18"/>
      <c r="E55" s="24"/>
      <c r="F55" s="24"/>
      <c r="G55" s="3">
        <v>3410</v>
      </c>
      <c r="H55" s="3"/>
      <c r="I55" s="48"/>
      <c r="J55" s="4" t="s">
        <v>56</v>
      </c>
      <c r="K55" s="4" t="s">
        <v>58</v>
      </c>
      <c r="L55" s="4"/>
    </row>
    <row r="56" spans="1:12" s="25" customFormat="1" x14ac:dyDescent="0.3">
      <c r="A56" s="27"/>
      <c r="B56" s="5"/>
      <c r="C56" s="24"/>
      <c r="D56" s="18"/>
      <c r="E56" s="24"/>
      <c r="F56" s="24"/>
      <c r="G56" s="3">
        <v>2200</v>
      </c>
      <c r="H56" s="3"/>
      <c r="I56" s="48"/>
      <c r="J56" s="4" t="s">
        <v>57</v>
      </c>
      <c r="K56" s="4" t="s">
        <v>59</v>
      </c>
      <c r="L56" s="4"/>
    </row>
    <row r="57" spans="1:12" s="25" customFormat="1" ht="16.2" x14ac:dyDescent="0.3">
      <c r="A57" s="27">
        <v>16</v>
      </c>
      <c r="B57" s="5" t="s">
        <v>6</v>
      </c>
      <c r="C57" s="24" t="s">
        <v>129</v>
      </c>
      <c r="D57" s="18">
        <v>2604</v>
      </c>
      <c r="E57" s="24"/>
      <c r="F57" s="24">
        <v>7476.64</v>
      </c>
      <c r="G57" s="26">
        <f>SUM(G58:G59)</f>
        <v>5610</v>
      </c>
      <c r="H57" s="24">
        <f>+F57-G57</f>
        <v>1866.6400000000003</v>
      </c>
      <c r="I57" s="47">
        <f>+H57/F57</f>
        <v>0.24966295020222992</v>
      </c>
      <c r="J57" s="5"/>
      <c r="K57" s="5"/>
      <c r="L57" s="4"/>
    </row>
    <row r="58" spans="1:12" s="25" customFormat="1" x14ac:dyDescent="0.3">
      <c r="A58" s="27"/>
      <c r="B58" s="5"/>
      <c r="C58" s="24"/>
      <c r="D58" s="18"/>
      <c r="E58" s="24"/>
      <c r="F58" s="24"/>
      <c r="G58" s="3">
        <v>3410</v>
      </c>
      <c r="H58" s="3"/>
      <c r="I58" s="48"/>
      <c r="J58" s="4" t="s">
        <v>56</v>
      </c>
      <c r="K58" s="4" t="s">
        <v>58</v>
      </c>
      <c r="L58" s="4"/>
    </row>
    <row r="59" spans="1:12" s="25" customFormat="1" x14ac:dyDescent="0.3">
      <c r="A59" s="27"/>
      <c r="B59" s="5"/>
      <c r="C59" s="24"/>
      <c r="D59" s="18"/>
      <c r="E59" s="24"/>
      <c r="F59" s="24"/>
      <c r="G59" s="3">
        <v>2200</v>
      </c>
      <c r="H59" s="3"/>
      <c r="I59" s="48"/>
      <c r="J59" s="4" t="s">
        <v>57</v>
      </c>
      <c r="K59" s="4" t="s">
        <v>59</v>
      </c>
      <c r="L59" s="4"/>
    </row>
    <row r="60" spans="1:12" s="25" customFormat="1" ht="16.2" x14ac:dyDescent="0.3">
      <c r="A60" s="27">
        <v>17</v>
      </c>
      <c r="B60" s="5" t="s">
        <v>8</v>
      </c>
      <c r="C60" s="24" t="s">
        <v>130</v>
      </c>
      <c r="D60" s="18" t="s">
        <v>114</v>
      </c>
      <c r="E60" s="24"/>
      <c r="F60" s="24">
        <v>40186.92</v>
      </c>
      <c r="G60" s="26">
        <f>SUM(G61:G68)</f>
        <v>25936.450000000004</v>
      </c>
      <c r="H60" s="24">
        <f>+F60-G60</f>
        <v>14250.469999999994</v>
      </c>
      <c r="I60" s="47">
        <f>+H60/F60</f>
        <v>0.35460468231952075</v>
      </c>
      <c r="J60" s="5"/>
      <c r="K60" s="5"/>
      <c r="L60" s="4"/>
    </row>
    <row r="61" spans="1:12" s="25" customFormat="1" x14ac:dyDescent="0.3">
      <c r="A61" s="27"/>
      <c r="B61" s="5"/>
      <c r="C61" s="24"/>
      <c r="D61" s="18"/>
      <c r="E61" s="24"/>
      <c r="F61" s="24"/>
      <c r="G61" s="3">
        <v>9000</v>
      </c>
      <c r="H61" s="3"/>
      <c r="I61" s="48"/>
      <c r="J61" s="4" t="s">
        <v>71</v>
      </c>
      <c r="K61" s="4" t="s">
        <v>63</v>
      </c>
      <c r="L61" s="4"/>
    </row>
    <row r="62" spans="1:12" s="25" customFormat="1" x14ac:dyDescent="0.3">
      <c r="A62" s="27"/>
      <c r="B62" s="5"/>
      <c r="C62" s="24"/>
      <c r="D62" s="18"/>
      <c r="E62" s="24"/>
      <c r="F62" s="24"/>
      <c r="G62" s="3">
        <v>290</v>
      </c>
      <c r="H62" s="3"/>
      <c r="I62" s="48"/>
      <c r="J62" s="4" t="s">
        <v>76</v>
      </c>
      <c r="K62" s="4" t="s">
        <v>68</v>
      </c>
      <c r="L62" s="4"/>
    </row>
    <row r="63" spans="1:12" s="25" customFormat="1" x14ac:dyDescent="0.3">
      <c r="A63" s="27"/>
      <c r="B63" s="5"/>
      <c r="C63" s="24"/>
      <c r="D63" s="18"/>
      <c r="E63" s="24"/>
      <c r="F63" s="24"/>
      <c r="G63" s="3">
        <v>2317.7600000000002</v>
      </c>
      <c r="H63" s="3"/>
      <c r="I63" s="48"/>
      <c r="J63" s="4" t="s">
        <v>77</v>
      </c>
      <c r="K63" s="4" t="s">
        <v>69</v>
      </c>
      <c r="L63" s="4"/>
    </row>
    <row r="64" spans="1:12" s="25" customFormat="1" x14ac:dyDescent="0.3">
      <c r="A64" s="27"/>
      <c r="B64" s="5"/>
      <c r="C64" s="24"/>
      <c r="D64" s="18"/>
      <c r="E64" s="24"/>
      <c r="F64" s="24"/>
      <c r="G64" s="3">
        <v>550</v>
      </c>
      <c r="H64" s="3"/>
      <c r="I64" s="48"/>
      <c r="J64" s="4" t="s">
        <v>74</v>
      </c>
      <c r="K64" s="4" t="s">
        <v>66</v>
      </c>
      <c r="L64" s="4"/>
    </row>
    <row r="65" spans="1:12" s="25" customFormat="1" x14ac:dyDescent="0.3">
      <c r="A65" s="27"/>
      <c r="B65" s="5"/>
      <c r="C65" s="24"/>
      <c r="D65" s="18"/>
      <c r="E65" s="24"/>
      <c r="F65" s="24"/>
      <c r="G65" s="3">
        <v>7400</v>
      </c>
      <c r="H65" s="3"/>
      <c r="I65" s="48"/>
      <c r="J65" s="4" t="s">
        <v>70</v>
      </c>
      <c r="K65" s="4" t="s">
        <v>62</v>
      </c>
      <c r="L65" s="4"/>
    </row>
    <row r="66" spans="1:12" s="25" customFormat="1" x14ac:dyDescent="0.3">
      <c r="A66" s="27"/>
      <c r="B66" s="5"/>
      <c r="C66" s="24"/>
      <c r="D66" s="18"/>
      <c r="E66" s="24"/>
      <c r="F66" s="24"/>
      <c r="G66" s="3">
        <v>3300</v>
      </c>
      <c r="H66" s="3"/>
      <c r="I66" s="48"/>
      <c r="J66" s="4" t="s">
        <v>72</v>
      </c>
      <c r="K66" s="4" t="s">
        <v>64</v>
      </c>
      <c r="L66" s="4"/>
    </row>
    <row r="67" spans="1:12" s="25" customFormat="1" x14ac:dyDescent="0.3">
      <c r="A67" s="27"/>
      <c r="B67" s="5"/>
      <c r="C67" s="24"/>
      <c r="D67" s="18"/>
      <c r="E67" s="24"/>
      <c r="F67" s="24"/>
      <c r="G67" s="3">
        <v>644.86</v>
      </c>
      <c r="H67" s="3"/>
      <c r="I67" s="48"/>
      <c r="J67" s="4" t="s">
        <v>75</v>
      </c>
      <c r="K67" s="4" t="s">
        <v>67</v>
      </c>
      <c r="L67" s="4"/>
    </row>
    <row r="68" spans="1:12" s="25" customFormat="1" x14ac:dyDescent="0.3">
      <c r="A68" s="27"/>
      <c r="B68" s="5"/>
      <c r="C68" s="24"/>
      <c r="D68" s="18"/>
      <c r="E68" s="24"/>
      <c r="F68" s="24"/>
      <c r="G68" s="3">
        <v>2433.83</v>
      </c>
      <c r="H68" s="3"/>
      <c r="I68" s="48"/>
      <c r="J68" s="4" t="s">
        <v>73</v>
      </c>
      <c r="K68" s="4" t="s">
        <v>65</v>
      </c>
      <c r="L68" s="4"/>
    </row>
    <row r="69" spans="1:12" s="25" customFormat="1" ht="16.2" x14ac:dyDescent="0.3">
      <c r="A69" s="27">
        <v>18</v>
      </c>
      <c r="B69" s="5" t="s">
        <v>7</v>
      </c>
      <c r="C69" s="24" t="s">
        <v>129</v>
      </c>
      <c r="D69" s="18">
        <v>1802</v>
      </c>
      <c r="E69" s="24"/>
      <c r="F69" s="24">
        <v>7476.64</v>
      </c>
      <c r="G69" s="26">
        <f>SUM(G70:G71)</f>
        <v>5610</v>
      </c>
      <c r="H69" s="24">
        <f>+F69-G69</f>
        <v>1866.6400000000003</v>
      </c>
      <c r="I69" s="47">
        <f>+H69/F69</f>
        <v>0.24966295020222992</v>
      </c>
      <c r="J69" s="5"/>
      <c r="K69" s="5"/>
      <c r="L69" s="4"/>
    </row>
    <row r="70" spans="1:12" s="25" customFormat="1" x14ac:dyDescent="0.3">
      <c r="A70" s="27"/>
      <c r="B70" s="5"/>
      <c r="C70" s="24"/>
      <c r="D70" s="18"/>
      <c r="E70" s="24"/>
      <c r="F70" s="24"/>
      <c r="G70" s="3">
        <v>3410</v>
      </c>
      <c r="H70" s="3"/>
      <c r="I70" s="48"/>
      <c r="J70" s="4" t="s">
        <v>60</v>
      </c>
      <c r="K70" s="4" t="s">
        <v>58</v>
      </c>
      <c r="L70" s="4"/>
    </row>
    <row r="71" spans="1:12" s="25" customFormat="1" x14ac:dyDescent="0.3">
      <c r="A71" s="27"/>
      <c r="B71" s="5"/>
      <c r="C71" s="24"/>
      <c r="D71" s="18"/>
      <c r="E71" s="24"/>
      <c r="F71" s="24"/>
      <c r="G71" s="3">
        <v>2200</v>
      </c>
      <c r="H71" s="3"/>
      <c r="I71" s="48"/>
      <c r="J71" s="4" t="s">
        <v>61</v>
      </c>
      <c r="K71" s="4" t="s">
        <v>59</v>
      </c>
      <c r="L71" s="4"/>
    </row>
    <row r="72" spans="1:12" s="25" customFormat="1" ht="16.2" x14ac:dyDescent="0.3">
      <c r="A72" s="27">
        <v>19</v>
      </c>
      <c r="B72" s="5" t="s">
        <v>7</v>
      </c>
      <c r="C72" s="24" t="s">
        <v>129</v>
      </c>
      <c r="D72" s="18">
        <v>2227</v>
      </c>
      <c r="E72" s="24"/>
      <c r="F72" s="24">
        <v>7476.64</v>
      </c>
      <c r="G72" s="26">
        <f>SUM(G73:G74)</f>
        <v>5610</v>
      </c>
      <c r="H72" s="24">
        <f>+F72-G72</f>
        <v>1866.6400000000003</v>
      </c>
      <c r="I72" s="47">
        <f>+H72/F72</f>
        <v>0.24966295020222992</v>
      </c>
      <c r="J72" s="5"/>
      <c r="K72" s="5"/>
      <c r="L72" s="4"/>
    </row>
    <row r="73" spans="1:12" s="25" customFormat="1" x14ac:dyDescent="0.3">
      <c r="A73" s="27"/>
      <c r="B73" s="5"/>
      <c r="C73" s="24"/>
      <c r="D73" s="18"/>
      <c r="E73" s="24"/>
      <c r="F73" s="24"/>
      <c r="G73" s="3">
        <v>3410</v>
      </c>
      <c r="H73" s="3"/>
      <c r="I73" s="48"/>
      <c r="J73" s="4" t="s">
        <v>60</v>
      </c>
      <c r="K73" s="4" t="s">
        <v>58</v>
      </c>
      <c r="L73" s="4"/>
    </row>
    <row r="74" spans="1:12" s="25" customFormat="1" x14ac:dyDescent="0.3">
      <c r="A74" s="27"/>
      <c r="B74" s="5"/>
      <c r="C74" s="24"/>
      <c r="D74" s="18"/>
      <c r="E74" s="24"/>
      <c r="F74" s="24"/>
      <c r="G74" s="3">
        <v>2200</v>
      </c>
      <c r="H74" s="3"/>
      <c r="I74" s="48"/>
      <c r="J74" s="4" t="s">
        <v>61</v>
      </c>
      <c r="K74" s="4" t="s">
        <v>59</v>
      </c>
      <c r="L74" s="4"/>
    </row>
    <row r="75" spans="1:12" s="25" customFormat="1" ht="16.2" x14ac:dyDescent="0.3">
      <c r="A75" s="27">
        <v>20</v>
      </c>
      <c r="B75" s="5" t="s">
        <v>7</v>
      </c>
      <c r="C75" s="24" t="s">
        <v>129</v>
      </c>
      <c r="D75" s="18">
        <v>2612</v>
      </c>
      <c r="E75" s="24"/>
      <c r="F75" s="24">
        <v>7476.64</v>
      </c>
      <c r="G75" s="26">
        <f>SUM(G76:G77)</f>
        <v>5610</v>
      </c>
      <c r="H75" s="24">
        <f>+F75-G75</f>
        <v>1866.6400000000003</v>
      </c>
      <c r="I75" s="47">
        <f>+H75/F75</f>
        <v>0.24966295020222992</v>
      </c>
      <c r="J75" s="5"/>
      <c r="K75" s="5"/>
      <c r="L75" s="4"/>
    </row>
    <row r="76" spans="1:12" s="25" customFormat="1" x14ac:dyDescent="0.3">
      <c r="A76" s="27"/>
      <c r="B76" s="5"/>
      <c r="C76" s="24"/>
      <c r="D76" s="18"/>
      <c r="E76" s="24"/>
      <c r="F76" s="24"/>
      <c r="G76" s="3">
        <v>3410</v>
      </c>
      <c r="H76" s="3"/>
      <c r="I76" s="48"/>
      <c r="J76" s="4" t="s">
        <v>60</v>
      </c>
      <c r="K76" s="4" t="s">
        <v>58</v>
      </c>
      <c r="L76" s="4"/>
    </row>
    <row r="77" spans="1:12" s="25" customFormat="1" x14ac:dyDescent="0.3">
      <c r="A77" s="27"/>
      <c r="B77" s="5"/>
      <c r="C77" s="24"/>
      <c r="D77" s="18"/>
      <c r="E77" s="24"/>
      <c r="F77" s="24"/>
      <c r="G77" s="3">
        <v>2200</v>
      </c>
      <c r="H77" s="3"/>
      <c r="I77" s="48"/>
      <c r="J77" s="4" t="s">
        <v>61</v>
      </c>
      <c r="K77" s="4" t="s">
        <v>59</v>
      </c>
      <c r="L77" s="4"/>
    </row>
    <row r="78" spans="1:12" s="25" customFormat="1" ht="16.2" x14ac:dyDescent="0.3">
      <c r="A78" s="27">
        <v>21</v>
      </c>
      <c r="B78" s="5" t="s">
        <v>9</v>
      </c>
      <c r="C78" s="24" t="s">
        <v>129</v>
      </c>
      <c r="D78" s="18">
        <v>1111</v>
      </c>
      <c r="E78" s="24"/>
      <c r="F78" s="24">
        <v>7476.64</v>
      </c>
      <c r="G78" s="26">
        <f>SUM(G79:G80)</f>
        <v>5610</v>
      </c>
      <c r="H78" s="24">
        <f>+F78-G78</f>
        <v>1866.6400000000003</v>
      </c>
      <c r="I78" s="47">
        <f>+H78/F78</f>
        <v>0.24966295020222992</v>
      </c>
      <c r="J78" s="5"/>
      <c r="K78" s="5"/>
      <c r="L78" s="4"/>
    </row>
    <row r="79" spans="1:12" s="25" customFormat="1" x14ac:dyDescent="0.3">
      <c r="A79" s="27"/>
      <c r="B79" s="5"/>
      <c r="C79" s="24"/>
      <c r="D79" s="18"/>
      <c r="E79" s="24"/>
      <c r="F79" s="24"/>
      <c r="G79" s="3">
        <v>3410</v>
      </c>
      <c r="H79" s="3"/>
      <c r="I79" s="48"/>
      <c r="J79" s="4" t="s">
        <v>60</v>
      </c>
      <c r="K79" s="4" t="s">
        <v>58</v>
      </c>
      <c r="L79" s="4"/>
    </row>
    <row r="80" spans="1:12" s="25" customFormat="1" x14ac:dyDescent="0.3">
      <c r="A80" s="27"/>
      <c r="B80" s="5"/>
      <c r="C80" s="24"/>
      <c r="D80" s="18"/>
      <c r="E80" s="24"/>
      <c r="F80" s="24"/>
      <c r="G80" s="3">
        <v>2200</v>
      </c>
      <c r="H80" s="3"/>
      <c r="I80" s="48"/>
      <c r="J80" s="4" t="s">
        <v>61</v>
      </c>
      <c r="K80" s="4" t="s">
        <v>59</v>
      </c>
      <c r="L80" s="4"/>
    </row>
    <row r="81" spans="1:12" s="25" customFormat="1" ht="16.2" x14ac:dyDescent="0.3">
      <c r="A81" s="27">
        <v>22</v>
      </c>
      <c r="B81" s="5" t="s">
        <v>9</v>
      </c>
      <c r="C81" s="24" t="s">
        <v>129</v>
      </c>
      <c r="D81" s="18">
        <v>1122</v>
      </c>
      <c r="E81" s="24"/>
      <c r="F81" s="24">
        <v>7476.64</v>
      </c>
      <c r="G81" s="26">
        <f>SUM(G82:G83)</f>
        <v>5610</v>
      </c>
      <c r="H81" s="24">
        <f>+F81-G81</f>
        <v>1866.6400000000003</v>
      </c>
      <c r="I81" s="47">
        <f>+H81/F81</f>
        <v>0.24966295020222992</v>
      </c>
      <c r="J81" s="5"/>
      <c r="K81" s="5"/>
      <c r="L81" s="4"/>
    </row>
    <row r="82" spans="1:12" s="25" customFormat="1" x14ac:dyDescent="0.3">
      <c r="A82" s="27"/>
      <c r="B82" s="5"/>
      <c r="C82" s="24"/>
      <c r="D82" s="18"/>
      <c r="E82" s="24"/>
      <c r="F82" s="24"/>
      <c r="G82" s="3">
        <v>3410</v>
      </c>
      <c r="H82" s="3"/>
      <c r="I82" s="48"/>
      <c r="J82" s="4" t="s">
        <v>60</v>
      </c>
      <c r="K82" s="4" t="s">
        <v>58</v>
      </c>
      <c r="L82" s="4"/>
    </row>
    <row r="83" spans="1:12" s="25" customFormat="1" x14ac:dyDescent="0.3">
      <c r="A83" s="27"/>
      <c r="B83" s="5"/>
      <c r="C83" s="24"/>
      <c r="D83" s="18"/>
      <c r="E83" s="24"/>
      <c r="F83" s="24"/>
      <c r="G83" s="3">
        <v>2200</v>
      </c>
      <c r="H83" s="3"/>
      <c r="I83" s="48"/>
      <c r="J83" s="4" t="s">
        <v>61</v>
      </c>
      <c r="K83" s="4" t="s">
        <v>59</v>
      </c>
      <c r="L83" s="4"/>
    </row>
    <row r="84" spans="1:12" s="25" customFormat="1" ht="16.2" x14ac:dyDescent="0.3">
      <c r="A84" s="27">
        <v>23</v>
      </c>
      <c r="B84" s="5" t="s">
        <v>9</v>
      </c>
      <c r="C84" s="24" t="s">
        <v>129</v>
      </c>
      <c r="D84" s="18">
        <v>3409</v>
      </c>
      <c r="E84" s="24"/>
      <c r="F84" s="24">
        <v>7476.64</v>
      </c>
      <c r="G84" s="26">
        <f>SUM(G85:G86)</f>
        <v>5610</v>
      </c>
      <c r="H84" s="24">
        <f>+F84-G84</f>
        <v>1866.6400000000003</v>
      </c>
      <c r="I84" s="47">
        <f>+H84/F84</f>
        <v>0.24966295020222992</v>
      </c>
      <c r="J84" s="5"/>
      <c r="K84" s="5"/>
      <c r="L84" s="4"/>
    </row>
    <row r="85" spans="1:12" s="25" customFormat="1" x14ac:dyDescent="0.3">
      <c r="A85" s="27"/>
      <c r="B85" s="5"/>
      <c r="C85" s="24"/>
      <c r="D85" s="18"/>
      <c r="E85" s="24"/>
      <c r="F85" s="24"/>
      <c r="G85" s="3">
        <v>3410</v>
      </c>
      <c r="H85" s="3"/>
      <c r="I85" s="48"/>
      <c r="J85" s="4" t="s">
        <v>60</v>
      </c>
      <c r="K85" s="4" t="s">
        <v>58</v>
      </c>
      <c r="L85" s="4"/>
    </row>
    <row r="86" spans="1:12" s="25" customFormat="1" x14ac:dyDescent="0.3">
      <c r="A86" s="27"/>
      <c r="B86" s="5"/>
      <c r="C86" s="24"/>
      <c r="D86" s="18"/>
      <c r="E86" s="24"/>
      <c r="F86" s="24"/>
      <c r="G86" s="3">
        <v>2200</v>
      </c>
      <c r="H86" s="3"/>
      <c r="I86" s="48"/>
      <c r="J86" s="4" t="s">
        <v>61</v>
      </c>
      <c r="K86" s="4" t="s">
        <v>59</v>
      </c>
      <c r="L86" s="4"/>
    </row>
    <row r="87" spans="1:12" s="25" customFormat="1" ht="16.2" x14ac:dyDescent="0.3">
      <c r="A87" s="27">
        <v>24</v>
      </c>
      <c r="B87" s="5" t="s">
        <v>10</v>
      </c>
      <c r="C87" s="24" t="s">
        <v>131</v>
      </c>
      <c r="D87" s="18">
        <v>1515</v>
      </c>
      <c r="E87" s="24"/>
      <c r="F87" s="24">
        <v>17943.93</v>
      </c>
      <c r="G87" s="26">
        <f>SUM(G88)</f>
        <v>10400</v>
      </c>
      <c r="H87" s="24">
        <f>+F87-G87</f>
        <v>7543.93</v>
      </c>
      <c r="I87" s="47">
        <f>+H87/F87</f>
        <v>0.42041682061844871</v>
      </c>
      <c r="J87" s="5"/>
      <c r="K87" s="5"/>
      <c r="L87" s="4"/>
    </row>
    <row r="88" spans="1:12" s="25" customFormat="1" x14ac:dyDescent="0.3">
      <c r="A88" s="27"/>
      <c r="B88" s="5"/>
      <c r="C88" s="24"/>
      <c r="D88" s="18"/>
      <c r="E88" s="24"/>
      <c r="F88" s="24"/>
      <c r="G88" s="3">
        <v>10400</v>
      </c>
      <c r="H88" s="3"/>
      <c r="I88" s="48"/>
      <c r="J88" s="4" t="s">
        <v>79</v>
      </c>
      <c r="K88" s="4" t="s">
        <v>78</v>
      </c>
      <c r="L88" s="4"/>
    </row>
    <row r="89" spans="1:12" s="25" customFormat="1" ht="16.2" x14ac:dyDescent="0.3">
      <c r="A89" s="27">
        <v>25</v>
      </c>
      <c r="B89" s="5" t="s">
        <v>11</v>
      </c>
      <c r="C89" s="24" t="s">
        <v>130</v>
      </c>
      <c r="D89" s="18" t="s">
        <v>115</v>
      </c>
      <c r="E89" s="24"/>
      <c r="F89" s="24">
        <v>65420.56</v>
      </c>
      <c r="G89" s="26">
        <f>SUM(G90:G92)</f>
        <v>43360</v>
      </c>
      <c r="H89" s="24">
        <f>+F89-G89</f>
        <v>22060.559999999998</v>
      </c>
      <c r="I89" s="47">
        <f>+H89/F89</f>
        <v>0.33721142099670193</v>
      </c>
      <c r="J89" s="5"/>
      <c r="K89" s="5"/>
      <c r="L89" s="4"/>
    </row>
    <row r="90" spans="1:12" s="25" customFormat="1" x14ac:dyDescent="0.3">
      <c r="A90" s="27"/>
      <c r="B90" s="5"/>
      <c r="C90" s="24"/>
      <c r="D90" s="18"/>
      <c r="E90" s="24"/>
      <c r="F90" s="24"/>
      <c r="G90" s="3">
        <v>8600</v>
      </c>
      <c r="H90" s="3"/>
      <c r="I90" s="48"/>
      <c r="J90" s="4" t="s">
        <v>84</v>
      </c>
      <c r="K90" s="4" t="s">
        <v>63</v>
      </c>
      <c r="L90" s="4"/>
    </row>
    <row r="91" spans="1:12" s="25" customFormat="1" x14ac:dyDescent="0.3">
      <c r="A91" s="27"/>
      <c r="B91" s="5"/>
      <c r="C91" s="24"/>
      <c r="D91" s="18"/>
      <c r="E91" s="24"/>
      <c r="F91" s="24"/>
      <c r="G91" s="3">
        <v>1030</v>
      </c>
      <c r="H91" s="3"/>
      <c r="I91" s="48"/>
      <c r="J91" s="4" t="s">
        <v>83</v>
      </c>
      <c r="K91" s="4" t="s">
        <v>81</v>
      </c>
      <c r="L91" s="4"/>
    </row>
    <row r="92" spans="1:12" s="25" customFormat="1" x14ac:dyDescent="0.3">
      <c r="A92" s="27"/>
      <c r="B92" s="5"/>
      <c r="C92" s="24"/>
      <c r="D92" s="18"/>
      <c r="E92" s="24"/>
      <c r="F92" s="24"/>
      <c r="G92" s="3">
        <v>33730</v>
      </c>
      <c r="H92" s="3"/>
      <c r="I92" s="48"/>
      <c r="J92" s="4" t="s">
        <v>82</v>
      </c>
      <c r="K92" s="4" t="s">
        <v>80</v>
      </c>
      <c r="L92" s="4"/>
    </row>
    <row r="93" spans="1:12" s="25" customFormat="1" ht="16.2" x14ac:dyDescent="0.3">
      <c r="A93" s="27">
        <v>26</v>
      </c>
      <c r="B93" s="5" t="s">
        <v>12</v>
      </c>
      <c r="C93" s="24" t="s">
        <v>130</v>
      </c>
      <c r="D93" s="18" t="s">
        <v>116</v>
      </c>
      <c r="E93" s="24"/>
      <c r="F93" s="24">
        <v>112149.53</v>
      </c>
      <c r="G93" s="26">
        <f>SUM(G94:G97)</f>
        <v>75460</v>
      </c>
      <c r="H93" s="24">
        <f>+F93-G93</f>
        <v>36689.53</v>
      </c>
      <c r="I93" s="47">
        <f>+H93/F93</f>
        <v>0.32714831707275099</v>
      </c>
      <c r="J93" s="5"/>
      <c r="K93" s="5"/>
      <c r="L93" s="4"/>
    </row>
    <row r="94" spans="1:12" s="25" customFormat="1" x14ac:dyDescent="0.3">
      <c r="A94" s="27"/>
      <c r="B94" s="5"/>
      <c r="C94" s="24"/>
      <c r="D94" s="18"/>
      <c r="E94" s="24"/>
      <c r="F94" s="24"/>
      <c r="G94" s="3">
        <v>7800</v>
      </c>
      <c r="H94" s="3"/>
      <c r="I94" s="48"/>
      <c r="J94" s="4" t="s">
        <v>88</v>
      </c>
      <c r="K94" s="4" t="s">
        <v>63</v>
      </c>
      <c r="L94" s="4"/>
    </row>
    <row r="95" spans="1:12" s="25" customFormat="1" x14ac:dyDescent="0.3">
      <c r="A95" s="27"/>
      <c r="B95" s="5"/>
      <c r="C95" s="24"/>
      <c r="D95" s="18"/>
      <c r="E95" s="24"/>
      <c r="F95" s="24"/>
      <c r="G95" s="3">
        <v>1030</v>
      </c>
      <c r="H95" s="3"/>
      <c r="I95" s="48"/>
      <c r="J95" s="4" t="s">
        <v>87</v>
      </c>
      <c r="K95" s="4" t="s">
        <v>81</v>
      </c>
      <c r="L95" s="4"/>
    </row>
    <row r="96" spans="1:12" s="25" customFormat="1" x14ac:dyDescent="0.3">
      <c r="A96" s="27"/>
      <c r="B96" s="5"/>
      <c r="C96" s="24"/>
      <c r="D96" s="18"/>
      <c r="E96" s="24"/>
      <c r="F96" s="24"/>
      <c r="G96" s="3">
        <v>43530</v>
      </c>
      <c r="H96" s="3"/>
      <c r="I96" s="48"/>
      <c r="J96" s="4" t="s">
        <v>86</v>
      </c>
      <c r="K96" s="4" t="s">
        <v>80</v>
      </c>
      <c r="L96" s="4"/>
    </row>
    <row r="97" spans="1:12" s="25" customFormat="1" x14ac:dyDescent="0.3">
      <c r="A97" s="27"/>
      <c r="B97" s="5"/>
      <c r="C97" s="24"/>
      <c r="D97" s="18"/>
      <c r="E97" s="24"/>
      <c r="F97" s="24"/>
      <c r="G97" s="3">
        <v>23100</v>
      </c>
      <c r="H97" s="3"/>
      <c r="I97" s="48"/>
      <c r="J97" s="4" t="s">
        <v>89</v>
      </c>
      <c r="K97" s="4" t="s">
        <v>85</v>
      </c>
      <c r="L97" s="4"/>
    </row>
    <row r="98" spans="1:12" s="25" customFormat="1" ht="16.2" x14ac:dyDescent="0.3">
      <c r="A98" s="27">
        <v>27</v>
      </c>
      <c r="B98" s="5" t="s">
        <v>17</v>
      </c>
      <c r="C98" s="24" t="s">
        <v>130</v>
      </c>
      <c r="D98" s="18" t="s">
        <v>117</v>
      </c>
      <c r="E98" s="24"/>
      <c r="F98" s="24">
        <v>92990.65</v>
      </c>
      <c r="G98" s="26">
        <f>SUM(G99:G101)</f>
        <v>82560</v>
      </c>
      <c r="H98" s="24">
        <f>+F98-G98</f>
        <v>10430.649999999994</v>
      </c>
      <c r="I98" s="47">
        <f>+H98/F98</f>
        <v>0.11216880406793581</v>
      </c>
      <c r="J98" s="5"/>
      <c r="K98" s="5"/>
      <c r="L98" s="4"/>
    </row>
    <row r="99" spans="1:12" s="25" customFormat="1" x14ac:dyDescent="0.3">
      <c r="A99" s="27"/>
      <c r="B99" s="5"/>
      <c r="C99" s="24"/>
      <c r="D99" s="18"/>
      <c r="E99" s="24"/>
      <c r="F99" s="24"/>
      <c r="G99" s="3">
        <v>1030</v>
      </c>
      <c r="H99" s="3"/>
      <c r="I99" s="48"/>
      <c r="J99" s="4" t="s">
        <v>310</v>
      </c>
      <c r="K99" s="4" t="s">
        <v>81</v>
      </c>
      <c r="L99" s="4"/>
    </row>
    <row r="100" spans="1:12" s="25" customFormat="1" x14ac:dyDescent="0.3">
      <c r="A100" s="27"/>
      <c r="B100" s="5"/>
      <c r="C100" s="24"/>
      <c r="D100" s="18"/>
      <c r="E100" s="24"/>
      <c r="F100" s="24"/>
      <c r="G100" s="3">
        <v>58430</v>
      </c>
      <c r="H100" s="3"/>
      <c r="I100" s="48"/>
      <c r="J100" s="4" t="s">
        <v>311</v>
      </c>
      <c r="K100" s="4" t="s">
        <v>80</v>
      </c>
      <c r="L100" s="4"/>
    </row>
    <row r="101" spans="1:12" s="25" customFormat="1" x14ac:dyDescent="0.3">
      <c r="A101" s="27"/>
      <c r="B101" s="5"/>
      <c r="C101" s="24"/>
      <c r="D101" s="18"/>
      <c r="E101" s="24"/>
      <c r="F101" s="24"/>
      <c r="G101" s="3">
        <v>23100</v>
      </c>
      <c r="H101" s="3"/>
      <c r="I101" s="48"/>
      <c r="J101" s="4" t="s">
        <v>312</v>
      </c>
      <c r="K101" s="4" t="s">
        <v>85</v>
      </c>
      <c r="L101" s="4"/>
    </row>
    <row r="102" spans="1:12" s="25" customFormat="1" ht="16.2" x14ac:dyDescent="0.3">
      <c r="A102" s="27">
        <v>28</v>
      </c>
      <c r="B102" s="5" t="s">
        <v>18</v>
      </c>
      <c r="C102" s="24" t="s">
        <v>129</v>
      </c>
      <c r="D102" s="18">
        <v>3208</v>
      </c>
      <c r="E102" s="24"/>
      <c r="F102" s="24">
        <v>93457.94</v>
      </c>
      <c r="G102" s="26">
        <f>SUM(G103:G110)</f>
        <v>91340</v>
      </c>
      <c r="H102" s="24">
        <f>+F102-G102</f>
        <v>2117.9400000000023</v>
      </c>
      <c r="I102" s="49">
        <f>+H102/F102</f>
        <v>2.26619589518023E-2</v>
      </c>
      <c r="J102" s="5"/>
      <c r="K102" s="5"/>
      <c r="L102" s="5" t="s">
        <v>592</v>
      </c>
    </row>
    <row r="103" spans="1:12" s="25" customFormat="1" x14ac:dyDescent="0.3">
      <c r="A103" s="27"/>
      <c r="B103" s="5"/>
      <c r="C103" s="24"/>
      <c r="D103" s="18"/>
      <c r="E103" s="24"/>
      <c r="F103" s="24"/>
      <c r="G103" s="3">
        <v>16300</v>
      </c>
      <c r="H103" s="3"/>
      <c r="I103" s="48"/>
      <c r="J103" s="4" t="s">
        <v>313</v>
      </c>
      <c r="K103" s="4" t="s">
        <v>63</v>
      </c>
      <c r="L103" s="4"/>
    </row>
    <row r="104" spans="1:12" s="25" customFormat="1" x14ac:dyDescent="0.3">
      <c r="A104" s="27"/>
      <c r="B104" s="5"/>
      <c r="C104" s="24"/>
      <c r="D104" s="18"/>
      <c r="E104" s="24"/>
      <c r="F104" s="24"/>
      <c r="G104" s="3">
        <v>17000</v>
      </c>
      <c r="H104" s="3"/>
      <c r="I104" s="48"/>
      <c r="J104" s="4" t="s">
        <v>315</v>
      </c>
      <c r="K104" s="4" t="s">
        <v>314</v>
      </c>
      <c r="L104" s="4"/>
    </row>
    <row r="105" spans="1:12" s="25" customFormat="1" x14ac:dyDescent="0.3">
      <c r="A105" s="27"/>
      <c r="B105" s="5"/>
      <c r="C105" s="24"/>
      <c r="D105" s="18"/>
      <c r="E105" s="24"/>
      <c r="F105" s="24"/>
      <c r="G105" s="3">
        <v>1030</v>
      </c>
      <c r="H105" s="3"/>
      <c r="I105" s="48"/>
      <c r="J105" s="4" t="s">
        <v>316</v>
      </c>
      <c r="K105" s="4" t="s">
        <v>81</v>
      </c>
      <c r="L105" s="4"/>
    </row>
    <row r="106" spans="1:12" s="25" customFormat="1" x14ac:dyDescent="0.3">
      <c r="A106" s="27"/>
      <c r="B106" s="5"/>
      <c r="C106" s="24"/>
      <c r="D106" s="18"/>
      <c r="E106" s="24"/>
      <c r="F106" s="24"/>
      <c r="G106" s="3">
        <v>3200</v>
      </c>
      <c r="H106" s="3"/>
      <c r="I106" s="48"/>
      <c r="J106" s="4" t="s">
        <v>317</v>
      </c>
      <c r="K106" s="4" t="s">
        <v>59</v>
      </c>
      <c r="L106" s="4"/>
    </row>
    <row r="107" spans="1:12" s="25" customFormat="1" x14ac:dyDescent="0.3">
      <c r="A107" s="27"/>
      <c r="B107" s="5"/>
      <c r="C107" s="24"/>
      <c r="D107" s="18"/>
      <c r="E107" s="24"/>
      <c r="F107" s="24"/>
      <c r="G107" s="3">
        <v>18150</v>
      </c>
      <c r="H107" s="3"/>
      <c r="I107" s="48"/>
      <c r="J107" s="4" t="s">
        <v>318</v>
      </c>
      <c r="K107" s="4" t="s">
        <v>90</v>
      </c>
      <c r="L107" s="4"/>
    </row>
    <row r="108" spans="1:12" s="25" customFormat="1" x14ac:dyDescent="0.3">
      <c r="A108" s="27"/>
      <c r="B108" s="5"/>
      <c r="C108" s="24"/>
      <c r="D108" s="18"/>
      <c r="E108" s="24"/>
      <c r="F108" s="24"/>
      <c r="G108" s="3">
        <v>15400</v>
      </c>
      <c r="H108" s="3"/>
      <c r="I108" s="48"/>
      <c r="J108" s="4" t="s">
        <v>320</v>
      </c>
      <c r="K108" s="4" t="s">
        <v>319</v>
      </c>
      <c r="L108" s="4"/>
    </row>
    <row r="109" spans="1:12" s="25" customFormat="1" x14ac:dyDescent="0.3">
      <c r="A109" s="27"/>
      <c r="B109" s="5"/>
      <c r="C109" s="24"/>
      <c r="D109" s="18"/>
      <c r="E109" s="24"/>
      <c r="F109" s="24"/>
      <c r="G109" s="3">
        <v>4960</v>
      </c>
      <c r="H109" s="3"/>
      <c r="I109" s="48"/>
      <c r="J109" s="4" t="s">
        <v>321</v>
      </c>
      <c r="K109" s="4" t="s">
        <v>58</v>
      </c>
      <c r="L109" s="4"/>
    </row>
    <row r="110" spans="1:12" s="25" customFormat="1" x14ac:dyDescent="0.3">
      <c r="A110" s="27"/>
      <c r="B110" s="5"/>
      <c r="C110" s="24"/>
      <c r="D110" s="18"/>
      <c r="E110" s="24"/>
      <c r="F110" s="24"/>
      <c r="G110" s="3">
        <v>15300</v>
      </c>
      <c r="H110" s="3"/>
      <c r="I110" s="48"/>
      <c r="J110" s="4" t="s">
        <v>323</v>
      </c>
      <c r="K110" s="4" t="s">
        <v>322</v>
      </c>
      <c r="L110" s="4"/>
    </row>
    <row r="111" spans="1:12" s="25" customFormat="1" ht="16.2" x14ac:dyDescent="0.3">
      <c r="A111" s="27">
        <v>29</v>
      </c>
      <c r="B111" s="5" t="s">
        <v>20</v>
      </c>
      <c r="C111" s="24" t="s">
        <v>132</v>
      </c>
      <c r="D111" s="18" t="s">
        <v>118</v>
      </c>
      <c r="E111" s="24"/>
      <c r="F111" s="24">
        <v>7943.93</v>
      </c>
      <c r="G111" s="26">
        <f>SUM(G112)</f>
        <v>5700</v>
      </c>
      <c r="H111" s="24">
        <f>+F111-G111</f>
        <v>2243.9300000000003</v>
      </c>
      <c r="I111" s="47">
        <f>+H111/F111</f>
        <v>0.28247101875268288</v>
      </c>
      <c r="J111" s="5"/>
      <c r="K111" s="5"/>
      <c r="L111" s="4"/>
    </row>
    <row r="112" spans="1:12" s="25" customFormat="1" x14ac:dyDescent="0.3">
      <c r="A112" s="27"/>
      <c r="B112" s="5"/>
      <c r="C112" s="24"/>
      <c r="D112" s="18"/>
      <c r="E112" s="24"/>
      <c r="F112" s="24"/>
      <c r="G112" s="3">
        <v>5700</v>
      </c>
      <c r="H112" s="3"/>
      <c r="I112" s="48"/>
      <c r="J112" s="4" t="s">
        <v>324</v>
      </c>
      <c r="K112" s="4" t="s">
        <v>63</v>
      </c>
      <c r="L112" s="4"/>
    </row>
    <row r="113" spans="1:12" s="25" customFormat="1" ht="16.2" x14ac:dyDescent="0.3">
      <c r="A113" s="27">
        <v>30</v>
      </c>
      <c r="B113" s="5" t="s">
        <v>21</v>
      </c>
      <c r="C113" s="24" t="s">
        <v>131</v>
      </c>
      <c r="D113" s="18" t="s">
        <v>119</v>
      </c>
      <c r="E113" s="24"/>
      <c r="F113" s="24">
        <v>7476.64</v>
      </c>
      <c r="G113" s="26">
        <f>SUM(G114)</f>
        <v>5273</v>
      </c>
      <c r="H113" s="24">
        <f>+F113-G113</f>
        <v>2203.6400000000003</v>
      </c>
      <c r="I113" s="47">
        <f>+H113/F113</f>
        <v>0.29473667315799612</v>
      </c>
      <c r="J113" s="5"/>
      <c r="K113" s="5"/>
      <c r="L113" s="4"/>
    </row>
    <row r="114" spans="1:12" s="25" customFormat="1" x14ac:dyDescent="0.3">
      <c r="A114" s="27"/>
      <c r="B114" s="5"/>
      <c r="C114" s="24"/>
      <c r="D114" s="18"/>
      <c r="E114" s="24"/>
      <c r="F114" s="24"/>
      <c r="G114" s="3">
        <v>5273</v>
      </c>
      <c r="H114" s="3"/>
      <c r="I114" s="48"/>
      <c r="J114" s="4" t="s">
        <v>325</v>
      </c>
      <c r="K114" s="4" t="s">
        <v>78</v>
      </c>
      <c r="L114" s="4"/>
    </row>
    <row r="115" spans="1:12" s="25" customFormat="1" ht="16.2" x14ac:dyDescent="0.3">
      <c r="A115" s="27">
        <v>31</v>
      </c>
      <c r="B115" s="5" t="s">
        <v>21</v>
      </c>
      <c r="C115" s="24" t="s">
        <v>131</v>
      </c>
      <c r="D115" s="18">
        <v>1216</v>
      </c>
      <c r="E115" s="24"/>
      <c r="F115" s="24">
        <v>7476.64</v>
      </c>
      <c r="G115" s="26">
        <f>SUM(G116)</f>
        <v>5273</v>
      </c>
      <c r="H115" s="24">
        <f>+F115-G115</f>
        <v>2203.6400000000003</v>
      </c>
      <c r="I115" s="47">
        <f>+H115/F115</f>
        <v>0.29473667315799612</v>
      </c>
      <c r="J115" s="5"/>
      <c r="K115" s="5"/>
      <c r="L115" s="4"/>
    </row>
    <row r="116" spans="1:12" s="25" customFormat="1" x14ac:dyDescent="0.3">
      <c r="A116" s="27"/>
      <c r="B116" s="5"/>
      <c r="C116" s="24"/>
      <c r="D116" s="18"/>
      <c r="E116" s="24"/>
      <c r="F116" s="24"/>
      <c r="G116" s="3">
        <v>5273</v>
      </c>
      <c r="H116" s="3"/>
      <c r="I116" s="48"/>
      <c r="J116" s="4" t="s">
        <v>325</v>
      </c>
      <c r="K116" s="4" t="s">
        <v>78</v>
      </c>
      <c r="L116" s="4"/>
    </row>
    <row r="117" spans="1:12" s="25" customFormat="1" ht="16.2" x14ac:dyDescent="0.3">
      <c r="A117" s="27">
        <v>32</v>
      </c>
      <c r="B117" s="5" t="s">
        <v>21</v>
      </c>
      <c r="C117" s="24" t="s">
        <v>131</v>
      </c>
      <c r="D117" s="18">
        <v>1615</v>
      </c>
      <c r="E117" s="24"/>
      <c r="F117" s="24">
        <v>7476.64</v>
      </c>
      <c r="G117" s="26">
        <f>SUM(G118)</f>
        <v>5273</v>
      </c>
      <c r="H117" s="24">
        <f>+F117-G117</f>
        <v>2203.6400000000003</v>
      </c>
      <c r="I117" s="47">
        <f>+H117/F117</f>
        <v>0.29473667315799612</v>
      </c>
      <c r="J117" s="5"/>
      <c r="K117" s="5"/>
      <c r="L117" s="4"/>
    </row>
    <row r="118" spans="1:12" s="25" customFormat="1" x14ac:dyDescent="0.3">
      <c r="A118" s="27"/>
      <c r="B118" s="5"/>
      <c r="C118" s="24"/>
      <c r="D118" s="18"/>
      <c r="E118" s="24"/>
      <c r="F118" s="24"/>
      <c r="G118" s="3">
        <v>5273</v>
      </c>
      <c r="H118" s="3"/>
      <c r="I118" s="48"/>
      <c r="J118" s="4" t="s">
        <v>325</v>
      </c>
      <c r="K118" s="4" t="s">
        <v>78</v>
      </c>
      <c r="L118" s="4"/>
    </row>
    <row r="119" spans="1:12" s="25" customFormat="1" ht="16.2" x14ac:dyDescent="0.3">
      <c r="A119" s="27">
        <v>33</v>
      </c>
      <c r="B119" s="5" t="s">
        <v>21</v>
      </c>
      <c r="C119" s="24" t="s">
        <v>131</v>
      </c>
      <c r="D119" s="18">
        <v>1713</v>
      </c>
      <c r="E119" s="24"/>
      <c r="F119" s="24">
        <v>7476.64</v>
      </c>
      <c r="G119" s="26">
        <f>SUM(G120)</f>
        <v>5273</v>
      </c>
      <c r="H119" s="24">
        <f>+F119-G119</f>
        <v>2203.6400000000003</v>
      </c>
      <c r="I119" s="47">
        <f>+H119/F119</f>
        <v>0.29473667315799612</v>
      </c>
      <c r="J119" s="5"/>
      <c r="K119" s="5"/>
      <c r="L119" s="4"/>
    </row>
    <row r="120" spans="1:12" s="25" customFormat="1" x14ac:dyDescent="0.3">
      <c r="A120" s="27"/>
      <c r="B120" s="5"/>
      <c r="C120" s="24"/>
      <c r="D120" s="18"/>
      <c r="E120" s="24"/>
      <c r="F120" s="24"/>
      <c r="G120" s="3">
        <v>5273</v>
      </c>
      <c r="H120" s="3"/>
      <c r="I120" s="48"/>
      <c r="J120" s="4" t="s">
        <v>325</v>
      </c>
      <c r="K120" s="4" t="s">
        <v>78</v>
      </c>
      <c r="L120" s="4"/>
    </row>
    <row r="121" spans="1:12" s="25" customFormat="1" ht="16.2" x14ac:dyDescent="0.3">
      <c r="A121" s="27">
        <v>34</v>
      </c>
      <c r="B121" s="5" t="s">
        <v>21</v>
      </c>
      <c r="C121" s="24" t="s">
        <v>131</v>
      </c>
      <c r="D121" s="18">
        <v>1916</v>
      </c>
      <c r="E121" s="24"/>
      <c r="F121" s="24">
        <v>7476.64</v>
      </c>
      <c r="G121" s="26">
        <f>SUM(G122)</f>
        <v>5273</v>
      </c>
      <c r="H121" s="24">
        <f>+F121-G121</f>
        <v>2203.6400000000003</v>
      </c>
      <c r="I121" s="47">
        <f>+H121/F121</f>
        <v>0.29473667315799612</v>
      </c>
      <c r="J121" s="5"/>
      <c r="K121" s="5"/>
      <c r="L121" s="4"/>
    </row>
    <row r="122" spans="1:12" s="25" customFormat="1" x14ac:dyDescent="0.3">
      <c r="A122" s="27"/>
      <c r="B122" s="5"/>
      <c r="C122" s="24"/>
      <c r="D122" s="18"/>
      <c r="E122" s="24"/>
      <c r="F122" s="24"/>
      <c r="G122" s="3">
        <v>5273</v>
      </c>
      <c r="H122" s="3"/>
      <c r="I122" s="48"/>
      <c r="J122" s="4" t="s">
        <v>325</v>
      </c>
      <c r="K122" s="4" t="s">
        <v>78</v>
      </c>
      <c r="L122" s="4"/>
    </row>
    <row r="123" spans="1:12" s="25" customFormat="1" ht="16.2" x14ac:dyDescent="0.3">
      <c r="A123" s="27">
        <v>35</v>
      </c>
      <c r="B123" s="5" t="s">
        <v>21</v>
      </c>
      <c r="C123" s="24" t="s">
        <v>131</v>
      </c>
      <c r="D123" s="18">
        <v>1919</v>
      </c>
      <c r="E123" s="24"/>
      <c r="F123" s="24">
        <v>7476.64</v>
      </c>
      <c r="G123" s="26">
        <f>SUM(G124)</f>
        <v>5273</v>
      </c>
      <c r="H123" s="24">
        <f>+F123-G123</f>
        <v>2203.6400000000003</v>
      </c>
      <c r="I123" s="47">
        <f>+H123/F123</f>
        <v>0.29473667315799612</v>
      </c>
      <c r="J123" s="5"/>
      <c r="K123" s="5"/>
      <c r="L123" s="4"/>
    </row>
    <row r="124" spans="1:12" s="25" customFormat="1" x14ac:dyDescent="0.3">
      <c r="A124" s="27"/>
      <c r="B124" s="5"/>
      <c r="C124" s="24"/>
      <c r="D124" s="18"/>
      <c r="E124" s="24"/>
      <c r="F124" s="24"/>
      <c r="G124" s="3">
        <v>5273</v>
      </c>
      <c r="H124" s="3"/>
      <c r="I124" s="48"/>
      <c r="J124" s="4" t="s">
        <v>325</v>
      </c>
      <c r="K124" s="4" t="s">
        <v>78</v>
      </c>
      <c r="L124" s="4"/>
    </row>
    <row r="125" spans="1:12" s="25" customFormat="1" ht="16.2" x14ac:dyDescent="0.3">
      <c r="A125" s="27">
        <v>36</v>
      </c>
      <c r="B125" s="5" t="s">
        <v>22</v>
      </c>
      <c r="C125" s="24" t="s">
        <v>131</v>
      </c>
      <c r="D125" s="18">
        <v>1314</v>
      </c>
      <c r="E125" s="24"/>
      <c r="F125" s="24">
        <v>7476.64</v>
      </c>
      <c r="G125" s="26">
        <f>SUM(G126)</f>
        <v>6500</v>
      </c>
      <c r="H125" s="24">
        <f>+F125-G125</f>
        <v>976.64000000000033</v>
      </c>
      <c r="I125" s="47">
        <f>+H125/F125</f>
        <v>0.13062552162468707</v>
      </c>
      <c r="J125" s="5"/>
      <c r="K125" s="5"/>
      <c r="L125" s="4"/>
    </row>
    <row r="126" spans="1:12" s="25" customFormat="1" x14ac:dyDescent="0.3">
      <c r="A126" s="27"/>
      <c r="B126" s="5"/>
      <c r="C126" s="24"/>
      <c r="D126" s="18"/>
      <c r="E126" s="24"/>
      <c r="F126" s="24"/>
      <c r="G126" s="3">
        <v>6500</v>
      </c>
      <c r="H126" s="3"/>
      <c r="I126" s="48"/>
      <c r="J126" s="4" t="s">
        <v>326</v>
      </c>
      <c r="K126" s="4" t="s">
        <v>63</v>
      </c>
      <c r="L126" s="4"/>
    </row>
    <row r="127" spans="1:12" s="25" customFormat="1" ht="16.2" x14ac:dyDescent="0.3">
      <c r="A127" s="27">
        <v>37</v>
      </c>
      <c r="B127" s="5" t="s">
        <v>22</v>
      </c>
      <c r="C127" s="24" t="s">
        <v>131</v>
      </c>
      <c r="D127" s="18">
        <v>1321</v>
      </c>
      <c r="E127" s="24"/>
      <c r="F127" s="24">
        <v>7476.64</v>
      </c>
      <c r="G127" s="26">
        <f>SUM(G128)</f>
        <v>5300</v>
      </c>
      <c r="H127" s="24">
        <f>+F127-G127</f>
        <v>2176.6400000000003</v>
      </c>
      <c r="I127" s="47">
        <f>+H127/F127</f>
        <v>0.29112542532474484</v>
      </c>
      <c r="J127" s="5"/>
      <c r="K127" s="5"/>
      <c r="L127" s="4"/>
    </row>
    <row r="128" spans="1:12" s="25" customFormat="1" x14ac:dyDescent="0.3">
      <c r="A128" s="27"/>
      <c r="B128" s="5"/>
      <c r="C128" s="24"/>
      <c r="D128" s="18"/>
      <c r="E128" s="24"/>
      <c r="F128" s="24"/>
      <c r="G128" s="3">
        <v>5300</v>
      </c>
      <c r="H128" s="3"/>
      <c r="I128" s="48"/>
      <c r="J128" s="4" t="s">
        <v>327</v>
      </c>
      <c r="K128" s="4" t="s">
        <v>78</v>
      </c>
      <c r="L128" s="4"/>
    </row>
    <row r="129" spans="1:12" s="25" customFormat="1" ht="16.2" x14ac:dyDescent="0.3">
      <c r="A129" s="27">
        <v>38</v>
      </c>
      <c r="B129" s="5" t="s">
        <v>22</v>
      </c>
      <c r="C129" s="24" t="s">
        <v>131</v>
      </c>
      <c r="D129" s="18">
        <v>810</v>
      </c>
      <c r="E129" s="24"/>
      <c r="F129" s="24">
        <v>14953.27</v>
      </c>
      <c r="G129" s="26">
        <f>SUM(G130)</f>
        <v>10600</v>
      </c>
      <c r="H129" s="24">
        <f>+F129-G129</f>
        <v>4353.2700000000004</v>
      </c>
      <c r="I129" s="47">
        <f>+H129/F129</f>
        <v>0.29112495126484039</v>
      </c>
      <c r="J129" s="5"/>
      <c r="K129" s="5"/>
      <c r="L129" s="4"/>
    </row>
    <row r="130" spans="1:12" s="25" customFormat="1" x14ac:dyDescent="0.3">
      <c r="A130" s="27"/>
      <c r="B130" s="5"/>
      <c r="C130" s="24"/>
      <c r="D130" s="18"/>
      <c r="E130" s="24"/>
      <c r="F130" s="24"/>
      <c r="G130" s="3">
        <v>10600</v>
      </c>
      <c r="H130" s="3"/>
      <c r="I130" s="48"/>
      <c r="J130" s="4" t="s">
        <v>327</v>
      </c>
      <c r="K130" s="4" t="s">
        <v>78</v>
      </c>
      <c r="L130" s="4"/>
    </row>
    <row r="131" spans="1:12" s="25" customFormat="1" ht="16.2" x14ac:dyDescent="0.3">
      <c r="A131" s="27">
        <v>39</v>
      </c>
      <c r="B131" s="5" t="s">
        <v>22</v>
      </c>
      <c r="C131" s="24" t="s">
        <v>131</v>
      </c>
      <c r="D131" s="18">
        <v>1417</v>
      </c>
      <c r="E131" s="24"/>
      <c r="F131" s="24">
        <v>7476.64</v>
      </c>
      <c r="G131" s="26">
        <f>SUM(G132)</f>
        <v>5300</v>
      </c>
      <c r="H131" s="24">
        <f>+F131-G131</f>
        <v>2176.6400000000003</v>
      </c>
      <c r="I131" s="47">
        <f>+H131/F131</f>
        <v>0.29112542532474484</v>
      </c>
      <c r="J131" s="5"/>
      <c r="K131" s="5"/>
      <c r="L131" s="4"/>
    </row>
    <row r="132" spans="1:12" s="25" customFormat="1" x14ac:dyDescent="0.3">
      <c r="A132" s="27"/>
      <c r="B132" s="5"/>
      <c r="C132" s="24"/>
      <c r="D132" s="18"/>
      <c r="E132" s="24"/>
      <c r="F132" s="24"/>
      <c r="G132" s="3">
        <v>5300</v>
      </c>
      <c r="H132" s="3"/>
      <c r="I132" s="48"/>
      <c r="J132" s="4" t="s">
        <v>327</v>
      </c>
      <c r="K132" s="4" t="s">
        <v>78</v>
      </c>
      <c r="L132" s="4"/>
    </row>
    <row r="133" spans="1:12" s="25" customFormat="1" ht="16.2" x14ac:dyDescent="0.3">
      <c r="A133" s="27">
        <v>40</v>
      </c>
      <c r="B133" s="5" t="s">
        <v>22</v>
      </c>
      <c r="C133" s="24" t="s">
        <v>131</v>
      </c>
      <c r="D133" s="18">
        <v>1518</v>
      </c>
      <c r="E133" s="24"/>
      <c r="F133" s="24">
        <v>14953.27</v>
      </c>
      <c r="G133" s="26">
        <f>SUM(G134)</f>
        <v>10600</v>
      </c>
      <c r="H133" s="24">
        <f>+F133-G133</f>
        <v>4353.2700000000004</v>
      </c>
      <c r="I133" s="47">
        <f>+H133/F133</f>
        <v>0.29112495126484039</v>
      </c>
      <c r="J133" s="5"/>
      <c r="K133" s="5"/>
      <c r="L133" s="4"/>
    </row>
    <row r="134" spans="1:12" s="25" customFormat="1" x14ac:dyDescent="0.3">
      <c r="A134" s="27"/>
      <c r="B134" s="5"/>
      <c r="C134" s="24"/>
      <c r="D134" s="18"/>
      <c r="E134" s="24"/>
      <c r="F134" s="24"/>
      <c r="G134" s="3">
        <v>10600</v>
      </c>
      <c r="H134" s="3"/>
      <c r="I134" s="48"/>
      <c r="J134" s="4" t="s">
        <v>327</v>
      </c>
      <c r="K134" s="4" t="s">
        <v>78</v>
      </c>
      <c r="L134" s="4"/>
    </row>
    <row r="135" spans="1:12" s="25" customFormat="1" ht="16.2" x14ac:dyDescent="0.3">
      <c r="A135" s="27">
        <v>41</v>
      </c>
      <c r="B135" s="5" t="s">
        <v>22</v>
      </c>
      <c r="C135" s="24" t="s">
        <v>131</v>
      </c>
      <c r="D135" s="18">
        <v>2212</v>
      </c>
      <c r="E135" s="24"/>
      <c r="F135" s="24">
        <v>7476.64</v>
      </c>
      <c r="G135" s="26">
        <f>SUM(G136)</f>
        <v>5300</v>
      </c>
      <c r="H135" s="24">
        <f>+F135-G135</f>
        <v>2176.6400000000003</v>
      </c>
      <c r="I135" s="47">
        <f>+H135/F135</f>
        <v>0.29112542532474484</v>
      </c>
      <c r="J135" s="5"/>
      <c r="K135" s="5"/>
      <c r="L135" s="4"/>
    </row>
    <row r="136" spans="1:12" s="25" customFormat="1" x14ac:dyDescent="0.3">
      <c r="A136" s="27"/>
      <c r="B136" s="5"/>
      <c r="C136" s="24"/>
      <c r="D136" s="18"/>
      <c r="E136" s="24"/>
      <c r="F136" s="24"/>
      <c r="G136" s="3">
        <v>5300</v>
      </c>
      <c r="H136" s="3"/>
      <c r="I136" s="48"/>
      <c r="J136" s="4" t="s">
        <v>327</v>
      </c>
      <c r="K136" s="4" t="s">
        <v>78</v>
      </c>
      <c r="L136" s="4"/>
    </row>
    <row r="137" spans="1:12" s="25" customFormat="1" ht="16.2" x14ac:dyDescent="0.3">
      <c r="A137" s="27">
        <v>42</v>
      </c>
      <c r="B137" s="5" t="s">
        <v>22</v>
      </c>
      <c r="C137" s="24" t="s">
        <v>131</v>
      </c>
      <c r="D137" s="18">
        <v>2209</v>
      </c>
      <c r="E137" s="24"/>
      <c r="F137" s="24">
        <v>7476.64</v>
      </c>
      <c r="G137" s="26">
        <f>SUM(G138)</f>
        <v>6500</v>
      </c>
      <c r="H137" s="24">
        <f>+F137-G137</f>
        <v>976.64000000000033</v>
      </c>
      <c r="I137" s="47">
        <f>+H137/F137</f>
        <v>0.13062552162468707</v>
      </c>
      <c r="J137" s="5"/>
      <c r="K137" s="5"/>
      <c r="L137" s="4"/>
    </row>
    <row r="138" spans="1:12" s="25" customFormat="1" x14ac:dyDescent="0.3">
      <c r="A138" s="27"/>
      <c r="B138" s="5"/>
      <c r="C138" s="24"/>
      <c r="D138" s="18"/>
      <c r="E138" s="24"/>
      <c r="F138" s="24"/>
      <c r="G138" s="3">
        <v>6500</v>
      </c>
      <c r="H138" s="3"/>
      <c r="I138" s="48"/>
      <c r="J138" s="4" t="s">
        <v>328</v>
      </c>
      <c r="K138" s="4" t="s">
        <v>63</v>
      </c>
      <c r="L138" s="4"/>
    </row>
    <row r="139" spans="1:12" s="25" customFormat="1" ht="16.2" x14ac:dyDescent="0.3">
      <c r="A139" s="27">
        <v>43</v>
      </c>
      <c r="B139" s="5" t="s">
        <v>22</v>
      </c>
      <c r="C139" s="24" t="s">
        <v>131</v>
      </c>
      <c r="D139" s="18">
        <v>2310</v>
      </c>
      <c r="E139" s="24"/>
      <c r="F139" s="24">
        <v>14953.27</v>
      </c>
      <c r="G139" s="26">
        <f>SUM(G140)</f>
        <v>5300</v>
      </c>
      <c r="H139" s="24">
        <f>+F139-G139</f>
        <v>9653.27</v>
      </c>
      <c r="I139" s="47">
        <f>+H139/F139</f>
        <v>0.6455624756324202</v>
      </c>
      <c r="J139" s="5"/>
      <c r="K139" s="5"/>
      <c r="L139" s="4"/>
    </row>
    <row r="140" spans="1:12" s="25" customFormat="1" x14ac:dyDescent="0.3">
      <c r="A140" s="27"/>
      <c r="B140" s="5"/>
      <c r="C140" s="24"/>
      <c r="D140" s="18"/>
      <c r="E140" s="24"/>
      <c r="F140" s="24"/>
      <c r="G140" s="3">
        <v>5300</v>
      </c>
      <c r="H140" s="3"/>
      <c r="I140" s="48"/>
      <c r="J140" s="4" t="s">
        <v>327</v>
      </c>
      <c r="K140" s="4" t="s">
        <v>78</v>
      </c>
      <c r="L140" s="4"/>
    </row>
    <row r="141" spans="1:12" s="25" customFormat="1" ht="16.2" x14ac:dyDescent="0.3">
      <c r="A141" s="27">
        <v>44</v>
      </c>
      <c r="B141" s="5" t="s">
        <v>22</v>
      </c>
      <c r="C141" s="24" t="s">
        <v>131</v>
      </c>
      <c r="D141" s="18">
        <v>1706</v>
      </c>
      <c r="E141" s="24"/>
      <c r="F141" s="24">
        <v>7476.64</v>
      </c>
      <c r="G141" s="26">
        <f>SUM(G142)</f>
        <v>5300</v>
      </c>
      <c r="H141" s="24">
        <f>+F141-G141</f>
        <v>2176.6400000000003</v>
      </c>
      <c r="I141" s="47">
        <f>+H141/F141</f>
        <v>0.29112542532474484</v>
      </c>
      <c r="J141" s="5"/>
      <c r="K141" s="5"/>
      <c r="L141" s="4"/>
    </row>
    <row r="142" spans="1:12" s="25" customFormat="1" x14ac:dyDescent="0.3">
      <c r="A142" s="27"/>
      <c r="B142" s="5"/>
      <c r="C142" s="24"/>
      <c r="D142" s="18"/>
      <c r="E142" s="24"/>
      <c r="F142" s="24"/>
      <c r="G142" s="3">
        <v>5300</v>
      </c>
      <c r="H142" s="3"/>
      <c r="I142" s="48"/>
      <c r="J142" s="4" t="s">
        <v>327</v>
      </c>
      <c r="K142" s="4" t="s">
        <v>78</v>
      </c>
      <c r="L142" s="4"/>
    </row>
    <row r="143" spans="1:12" s="31" customFormat="1" ht="16.2" x14ac:dyDescent="0.3">
      <c r="A143" s="29">
        <v>45</v>
      </c>
      <c r="B143" s="12" t="s">
        <v>23</v>
      </c>
      <c r="C143" s="13" t="s">
        <v>133</v>
      </c>
      <c r="D143" s="30">
        <v>922</v>
      </c>
      <c r="E143" s="13"/>
      <c r="F143" s="13">
        <v>4672.8999999999996</v>
      </c>
      <c r="G143" s="32"/>
      <c r="H143" s="13"/>
      <c r="I143" s="50"/>
      <c r="J143" s="12"/>
      <c r="K143" s="12" t="s">
        <v>329</v>
      </c>
      <c r="L143" s="28"/>
    </row>
    <row r="144" spans="1:12" s="25" customFormat="1" ht="16.2" x14ac:dyDescent="0.3">
      <c r="A144" s="27">
        <v>46</v>
      </c>
      <c r="B144" s="5" t="s">
        <v>24</v>
      </c>
      <c r="C144" s="24" t="s">
        <v>131</v>
      </c>
      <c r="D144" s="18">
        <v>1718</v>
      </c>
      <c r="E144" s="24"/>
      <c r="F144" s="24">
        <v>14953.27</v>
      </c>
      <c r="G144" s="26">
        <f>SUM(G145)</f>
        <v>5200</v>
      </c>
      <c r="H144" s="24">
        <f>+F144-G144</f>
        <v>9753.27</v>
      </c>
      <c r="I144" s="47">
        <f>+H144/F144</f>
        <v>0.65224997609218582</v>
      </c>
      <c r="J144" s="5"/>
      <c r="K144" s="5"/>
      <c r="L144" s="4"/>
    </row>
    <row r="145" spans="1:12" s="25" customFormat="1" x14ac:dyDescent="0.3">
      <c r="A145" s="27"/>
      <c r="B145" s="5"/>
      <c r="C145" s="24"/>
      <c r="D145" s="18"/>
      <c r="E145" s="24"/>
      <c r="F145" s="24"/>
      <c r="G145" s="3">
        <v>5200</v>
      </c>
      <c r="H145" s="3"/>
      <c r="I145" s="48"/>
      <c r="J145" s="4" t="s">
        <v>330</v>
      </c>
      <c r="K145" s="4" t="s">
        <v>78</v>
      </c>
      <c r="L145" s="4"/>
    </row>
    <row r="146" spans="1:12" s="25" customFormat="1" ht="16.2" x14ac:dyDescent="0.3">
      <c r="A146" s="27">
        <v>47</v>
      </c>
      <c r="B146" s="5" t="s">
        <v>24</v>
      </c>
      <c r="C146" s="24" t="s">
        <v>131</v>
      </c>
      <c r="D146" s="18" t="s">
        <v>120</v>
      </c>
      <c r="E146" s="24"/>
      <c r="F146" s="24">
        <v>7476.64</v>
      </c>
      <c r="G146" s="26">
        <f>SUM(G147)</f>
        <v>5200</v>
      </c>
      <c r="H146" s="24">
        <f>+F146-G146</f>
        <v>2276.6400000000003</v>
      </c>
      <c r="I146" s="47">
        <f>+H146/F146</f>
        <v>0.30450041729974964</v>
      </c>
      <c r="J146" s="5"/>
      <c r="K146" s="5"/>
      <c r="L146" s="4"/>
    </row>
    <row r="147" spans="1:12" s="25" customFormat="1" x14ac:dyDescent="0.3">
      <c r="A147" s="27"/>
      <c r="B147" s="5"/>
      <c r="C147" s="24"/>
      <c r="D147" s="18"/>
      <c r="E147" s="24"/>
      <c r="F147" s="24"/>
      <c r="G147" s="3">
        <v>5200</v>
      </c>
      <c r="H147" s="3"/>
      <c r="I147" s="48"/>
      <c r="J147" s="4" t="s">
        <v>330</v>
      </c>
      <c r="K147" s="4" t="s">
        <v>78</v>
      </c>
      <c r="L147" s="4"/>
    </row>
    <row r="148" spans="1:12" s="25" customFormat="1" ht="16.2" x14ac:dyDescent="0.3">
      <c r="A148" s="27">
        <v>48</v>
      </c>
      <c r="B148" s="5" t="s">
        <v>24</v>
      </c>
      <c r="C148" s="24" t="s">
        <v>131</v>
      </c>
      <c r="D148" s="18">
        <v>820</v>
      </c>
      <c r="E148" s="24"/>
      <c r="F148" s="24">
        <v>7476.64</v>
      </c>
      <c r="G148" s="26">
        <f>SUM(G149)</f>
        <v>5200</v>
      </c>
      <c r="H148" s="24">
        <f>+F148-G148</f>
        <v>2276.6400000000003</v>
      </c>
      <c r="I148" s="47">
        <f>+H148/F148</f>
        <v>0.30450041729974964</v>
      </c>
      <c r="J148" s="5"/>
      <c r="K148" s="5"/>
      <c r="L148" s="4"/>
    </row>
    <row r="149" spans="1:12" s="25" customFormat="1" x14ac:dyDescent="0.3">
      <c r="A149" s="27"/>
      <c r="B149" s="5"/>
      <c r="C149" s="24"/>
      <c r="D149" s="18"/>
      <c r="E149" s="24"/>
      <c r="F149" s="24"/>
      <c r="G149" s="3">
        <v>5200</v>
      </c>
      <c r="H149" s="3"/>
      <c r="I149" s="48"/>
      <c r="J149" s="4" t="s">
        <v>330</v>
      </c>
      <c r="K149" s="4" t="s">
        <v>78</v>
      </c>
      <c r="L149" s="4"/>
    </row>
    <row r="150" spans="1:12" s="25" customFormat="1" ht="16.2" x14ac:dyDescent="0.3">
      <c r="A150" s="27">
        <v>49</v>
      </c>
      <c r="B150" s="5" t="s">
        <v>24</v>
      </c>
      <c r="C150" s="24" t="s">
        <v>131</v>
      </c>
      <c r="D150" s="18">
        <v>907</v>
      </c>
      <c r="E150" s="24"/>
      <c r="F150" s="24">
        <v>7476.64</v>
      </c>
      <c r="G150" s="26">
        <f>SUM(G151)</f>
        <v>5200</v>
      </c>
      <c r="H150" s="24">
        <f>+F150-G150</f>
        <v>2276.6400000000003</v>
      </c>
      <c r="I150" s="47">
        <f>+H150/F150</f>
        <v>0.30450041729974964</v>
      </c>
      <c r="J150" s="5"/>
      <c r="K150" s="5"/>
      <c r="L150" s="4"/>
    </row>
    <row r="151" spans="1:12" s="25" customFormat="1" x14ac:dyDescent="0.3">
      <c r="A151" s="27"/>
      <c r="B151" s="5"/>
      <c r="C151" s="24"/>
      <c r="D151" s="18"/>
      <c r="E151" s="24"/>
      <c r="F151" s="24"/>
      <c r="G151" s="3">
        <v>5200</v>
      </c>
      <c r="H151" s="3"/>
      <c r="I151" s="48"/>
      <c r="J151" s="4" t="s">
        <v>330</v>
      </c>
      <c r="K151" s="4" t="s">
        <v>78</v>
      </c>
      <c r="L151" s="4"/>
    </row>
    <row r="152" spans="1:12" s="25" customFormat="1" ht="16.2" x14ac:dyDescent="0.3">
      <c r="A152" s="27">
        <v>50</v>
      </c>
      <c r="B152" s="5" t="s">
        <v>24</v>
      </c>
      <c r="C152" s="24" t="s">
        <v>131</v>
      </c>
      <c r="D152" s="18">
        <v>1411</v>
      </c>
      <c r="E152" s="24"/>
      <c r="F152" s="24">
        <v>7476.64</v>
      </c>
      <c r="G152" s="26">
        <f>SUM(G153)</f>
        <v>5200</v>
      </c>
      <c r="H152" s="24">
        <f>+F152-G152</f>
        <v>2276.6400000000003</v>
      </c>
      <c r="I152" s="47">
        <f>+H152/F152</f>
        <v>0.30450041729974964</v>
      </c>
      <c r="J152" s="5"/>
      <c r="K152" s="5"/>
      <c r="L152" s="4"/>
    </row>
    <row r="153" spans="1:12" s="25" customFormat="1" x14ac:dyDescent="0.3">
      <c r="A153" s="27"/>
      <c r="B153" s="5"/>
      <c r="C153" s="24"/>
      <c r="D153" s="18"/>
      <c r="E153" s="24"/>
      <c r="F153" s="24"/>
      <c r="G153" s="3">
        <v>5200</v>
      </c>
      <c r="H153" s="3"/>
      <c r="I153" s="48"/>
      <c r="J153" s="4" t="s">
        <v>330</v>
      </c>
      <c r="K153" s="4" t="s">
        <v>78</v>
      </c>
      <c r="L153" s="4"/>
    </row>
    <row r="154" spans="1:12" s="25" customFormat="1" ht="16.2" x14ac:dyDescent="0.3">
      <c r="A154" s="27">
        <v>51</v>
      </c>
      <c r="B154" s="5" t="s">
        <v>24</v>
      </c>
      <c r="C154" s="24" t="s">
        <v>131</v>
      </c>
      <c r="D154" s="18">
        <v>1511</v>
      </c>
      <c r="E154" s="24"/>
      <c r="F154" s="24">
        <v>7476.64</v>
      </c>
      <c r="G154" s="26">
        <f>SUM(G155)</f>
        <v>5200</v>
      </c>
      <c r="H154" s="24">
        <f>+F154-G154</f>
        <v>2276.6400000000003</v>
      </c>
      <c r="I154" s="47">
        <f>+H154/F154</f>
        <v>0.30450041729974964</v>
      </c>
      <c r="J154" s="5"/>
      <c r="K154" s="5"/>
      <c r="L154" s="4"/>
    </row>
    <row r="155" spans="1:12" x14ac:dyDescent="0.3">
      <c r="A155" s="23"/>
      <c r="B155" s="4"/>
      <c r="C155" s="3"/>
      <c r="D155" s="17"/>
      <c r="E155" s="33"/>
      <c r="F155" s="3"/>
      <c r="G155" s="3">
        <v>5200</v>
      </c>
      <c r="H155" s="3"/>
      <c r="I155" s="48"/>
      <c r="J155" s="4" t="s">
        <v>330</v>
      </c>
      <c r="K155" s="4" t="s">
        <v>78</v>
      </c>
      <c r="L155" s="4"/>
    </row>
    <row r="156" spans="1:12" s="25" customFormat="1" ht="16.2" x14ac:dyDescent="0.3">
      <c r="A156" s="27">
        <v>52</v>
      </c>
      <c r="B156" s="5" t="s">
        <v>24</v>
      </c>
      <c r="C156" s="24" t="s">
        <v>131</v>
      </c>
      <c r="D156" s="18">
        <v>1606</v>
      </c>
      <c r="E156" s="24"/>
      <c r="F156" s="24">
        <v>7476.64</v>
      </c>
      <c r="G156" s="26">
        <f>SUM(G157)</f>
        <v>5200</v>
      </c>
      <c r="H156" s="24">
        <f>+F156-G156</f>
        <v>2276.6400000000003</v>
      </c>
      <c r="I156" s="47">
        <f>+H156/F156</f>
        <v>0.30450041729974964</v>
      </c>
      <c r="J156" s="5"/>
      <c r="K156" s="5"/>
      <c r="L156" s="4"/>
    </row>
    <row r="157" spans="1:12" x14ac:dyDescent="0.3">
      <c r="A157" s="23"/>
      <c r="B157" s="4"/>
      <c r="C157" s="3"/>
      <c r="D157" s="17"/>
      <c r="F157" s="3"/>
      <c r="G157" s="3">
        <v>5200</v>
      </c>
      <c r="H157" s="3"/>
      <c r="I157" s="48"/>
      <c r="J157" s="4" t="s">
        <v>330</v>
      </c>
      <c r="K157" s="4" t="s">
        <v>78</v>
      </c>
      <c r="L157" s="4"/>
    </row>
    <row r="158" spans="1:12" s="25" customFormat="1" ht="16.2" x14ac:dyDescent="0.3">
      <c r="A158" s="27">
        <v>53</v>
      </c>
      <c r="B158" s="5" t="s">
        <v>24</v>
      </c>
      <c r="C158" s="24" t="s">
        <v>131</v>
      </c>
      <c r="D158" s="18">
        <v>1715</v>
      </c>
      <c r="E158" s="24"/>
      <c r="F158" s="24">
        <v>7476.64</v>
      </c>
      <c r="G158" s="26">
        <f>SUM(G159)</f>
        <v>5200</v>
      </c>
      <c r="H158" s="24">
        <f>+F158-G158</f>
        <v>2276.6400000000003</v>
      </c>
      <c r="I158" s="47">
        <f>+H158/F158</f>
        <v>0.30450041729974964</v>
      </c>
      <c r="J158" s="5"/>
      <c r="K158" s="5"/>
      <c r="L158" s="4"/>
    </row>
    <row r="159" spans="1:12" x14ac:dyDescent="0.3">
      <c r="A159" s="23"/>
      <c r="B159" s="4"/>
      <c r="C159" s="3"/>
      <c r="D159" s="17"/>
      <c r="E159" s="3"/>
      <c r="F159" s="3"/>
      <c r="G159" s="3">
        <v>5200</v>
      </c>
      <c r="H159" s="3"/>
      <c r="I159" s="48"/>
      <c r="J159" s="4" t="s">
        <v>330</v>
      </c>
      <c r="K159" s="4" t="s">
        <v>78</v>
      </c>
      <c r="L159" s="4"/>
    </row>
    <row r="160" spans="1:12" s="25" customFormat="1" ht="16.2" x14ac:dyDescent="0.3">
      <c r="A160" s="27">
        <v>54</v>
      </c>
      <c r="B160" s="5" t="s">
        <v>24</v>
      </c>
      <c r="C160" s="24" t="s">
        <v>131</v>
      </c>
      <c r="D160" s="18">
        <v>1720</v>
      </c>
      <c r="E160" s="24"/>
      <c r="F160" s="24">
        <v>7476.64</v>
      </c>
      <c r="G160" s="26">
        <f>SUM(G161)</f>
        <v>5200</v>
      </c>
      <c r="H160" s="24">
        <f>+F160-G160</f>
        <v>2276.6400000000003</v>
      </c>
      <c r="I160" s="47">
        <f>+H160/F160</f>
        <v>0.30450041729974964</v>
      </c>
      <c r="J160" s="5"/>
      <c r="K160" s="5"/>
      <c r="L160" s="4"/>
    </row>
    <row r="161" spans="1:12" x14ac:dyDescent="0.3">
      <c r="A161" s="23"/>
      <c r="B161" s="4"/>
      <c r="C161" s="3"/>
      <c r="D161" s="17"/>
      <c r="E161" s="3"/>
      <c r="F161" s="3"/>
      <c r="G161" s="3">
        <v>5200</v>
      </c>
      <c r="H161" s="3"/>
      <c r="I161" s="48"/>
      <c r="J161" s="4" t="s">
        <v>330</v>
      </c>
      <c r="K161" s="4" t="s">
        <v>78</v>
      </c>
      <c r="L161" s="4"/>
    </row>
    <row r="162" spans="1:12" s="25" customFormat="1" ht="16.2" x14ac:dyDescent="0.3">
      <c r="A162" s="27">
        <v>55</v>
      </c>
      <c r="B162" s="5" t="s">
        <v>24</v>
      </c>
      <c r="C162" s="24" t="s">
        <v>131</v>
      </c>
      <c r="D162" s="18">
        <v>2007</v>
      </c>
      <c r="E162" s="24"/>
      <c r="F162" s="24">
        <v>7476.64</v>
      </c>
      <c r="G162" s="26">
        <f>SUM(G163)</f>
        <v>5200</v>
      </c>
      <c r="H162" s="24">
        <f>+F162-G162</f>
        <v>2276.6400000000003</v>
      </c>
      <c r="I162" s="47">
        <f>+H162/F162</f>
        <v>0.30450041729974964</v>
      </c>
      <c r="J162" s="5"/>
      <c r="K162" s="5"/>
      <c r="L162" s="4"/>
    </row>
    <row r="163" spans="1:12" x14ac:dyDescent="0.3">
      <c r="A163" s="23"/>
      <c r="B163" s="4"/>
      <c r="C163" s="3"/>
      <c r="D163" s="17"/>
      <c r="E163" s="3"/>
      <c r="F163" s="3"/>
      <c r="G163" s="3">
        <v>5200</v>
      </c>
      <c r="H163" s="3"/>
      <c r="I163" s="48"/>
      <c r="J163" s="4" t="s">
        <v>330</v>
      </c>
      <c r="K163" s="4" t="s">
        <v>78</v>
      </c>
      <c r="L163" s="4"/>
    </row>
    <row r="164" spans="1:12" s="25" customFormat="1" ht="16.2" x14ac:dyDescent="0.3">
      <c r="A164" s="27">
        <v>56</v>
      </c>
      <c r="B164" s="5" t="s">
        <v>24</v>
      </c>
      <c r="C164" s="24" t="s">
        <v>131</v>
      </c>
      <c r="D164" s="18">
        <v>2111</v>
      </c>
      <c r="E164" s="24"/>
      <c r="F164" s="24">
        <v>7476.64</v>
      </c>
      <c r="G164" s="26">
        <f>SUM(G165)</f>
        <v>5200</v>
      </c>
      <c r="H164" s="24">
        <f>+F164-G164</f>
        <v>2276.6400000000003</v>
      </c>
      <c r="I164" s="47">
        <f>+H164/F164</f>
        <v>0.30450041729974964</v>
      </c>
      <c r="J164" s="5"/>
      <c r="K164" s="5"/>
      <c r="L164" s="4"/>
    </row>
    <row r="165" spans="1:12" x14ac:dyDescent="0.3">
      <c r="A165" s="23"/>
      <c r="B165" s="4"/>
      <c r="C165" s="3"/>
      <c r="D165" s="17"/>
      <c r="E165" s="3"/>
      <c r="F165" s="3"/>
      <c r="G165" s="3">
        <v>5200</v>
      </c>
      <c r="H165" s="3"/>
      <c r="I165" s="48"/>
      <c r="J165" s="4" t="s">
        <v>330</v>
      </c>
      <c r="K165" s="4" t="s">
        <v>78</v>
      </c>
      <c r="L165" s="4"/>
    </row>
    <row r="166" spans="1:12" s="25" customFormat="1" ht="16.2" x14ac:dyDescent="0.3">
      <c r="A166" s="27">
        <v>57</v>
      </c>
      <c r="B166" s="5" t="s">
        <v>24</v>
      </c>
      <c r="C166" s="24" t="s">
        <v>131</v>
      </c>
      <c r="D166" s="18">
        <v>2213</v>
      </c>
      <c r="E166" s="24"/>
      <c r="F166" s="24">
        <v>7476.64</v>
      </c>
      <c r="G166" s="26">
        <f>SUM(G167)</f>
        <v>5200</v>
      </c>
      <c r="H166" s="24">
        <f>+F166-G166</f>
        <v>2276.6400000000003</v>
      </c>
      <c r="I166" s="47">
        <f>+H166/F166</f>
        <v>0.30450041729974964</v>
      </c>
      <c r="J166" s="5"/>
      <c r="K166" s="5"/>
      <c r="L166" s="4"/>
    </row>
    <row r="167" spans="1:12" x14ac:dyDescent="0.3">
      <c r="A167" s="23"/>
      <c r="B167" s="4"/>
      <c r="C167" s="3"/>
      <c r="D167" s="17"/>
      <c r="E167" s="3"/>
      <c r="F167" s="3"/>
      <c r="G167" s="3">
        <v>5200</v>
      </c>
      <c r="H167" s="3"/>
      <c r="I167" s="48"/>
      <c r="J167" s="4" t="s">
        <v>330</v>
      </c>
      <c r="K167" s="4" t="s">
        <v>78</v>
      </c>
      <c r="L167" s="4"/>
    </row>
    <row r="168" spans="1:12" s="25" customFormat="1" ht="16.2" x14ac:dyDescent="0.3">
      <c r="A168" s="27">
        <v>58</v>
      </c>
      <c r="B168" s="5" t="s">
        <v>24</v>
      </c>
      <c r="C168" s="24" t="s">
        <v>131</v>
      </c>
      <c r="D168" s="18">
        <v>2216</v>
      </c>
      <c r="E168" s="24"/>
      <c r="F168" s="24">
        <v>7476.64</v>
      </c>
      <c r="G168" s="26">
        <f>SUM(G169)</f>
        <v>5200</v>
      </c>
      <c r="H168" s="24">
        <f>+F168-G168</f>
        <v>2276.6400000000003</v>
      </c>
      <c r="I168" s="47">
        <f>+H168/F168</f>
        <v>0.30450041729974964</v>
      </c>
      <c r="J168" s="5"/>
      <c r="K168" s="5"/>
      <c r="L168" s="4"/>
    </row>
    <row r="169" spans="1:12" x14ac:dyDescent="0.3">
      <c r="A169" s="23"/>
      <c r="B169" s="4"/>
      <c r="C169" s="3"/>
      <c r="D169" s="17"/>
      <c r="E169" s="3"/>
      <c r="F169" s="3"/>
      <c r="G169" s="3">
        <v>5200</v>
      </c>
      <c r="H169" s="3"/>
      <c r="I169" s="48"/>
      <c r="J169" s="4" t="s">
        <v>330</v>
      </c>
      <c r="K169" s="4" t="s">
        <v>78</v>
      </c>
      <c r="L169" s="4"/>
    </row>
    <row r="170" spans="1:12" s="25" customFormat="1" ht="16.2" x14ac:dyDescent="0.3">
      <c r="A170" s="27">
        <v>59</v>
      </c>
      <c r="B170" s="5" t="s">
        <v>24</v>
      </c>
      <c r="C170" s="24" t="s">
        <v>131</v>
      </c>
      <c r="D170" s="18">
        <v>2301</v>
      </c>
      <c r="E170" s="24"/>
      <c r="F170" s="24">
        <v>7476.64</v>
      </c>
      <c r="G170" s="26">
        <f>SUM(G171)</f>
        <v>5200</v>
      </c>
      <c r="H170" s="24">
        <f>+F170-G170</f>
        <v>2276.6400000000003</v>
      </c>
      <c r="I170" s="47">
        <f>+H170/F170</f>
        <v>0.30450041729974964</v>
      </c>
      <c r="J170" s="5"/>
      <c r="K170" s="5"/>
      <c r="L170" s="4"/>
    </row>
    <row r="171" spans="1:12" x14ac:dyDescent="0.3">
      <c r="A171" s="23"/>
      <c r="B171" s="4"/>
      <c r="C171" s="3"/>
      <c r="D171" s="17"/>
      <c r="E171" s="3"/>
      <c r="F171" s="3"/>
      <c r="G171" s="3">
        <v>5200</v>
      </c>
      <c r="H171" s="3"/>
      <c r="I171" s="48"/>
      <c r="J171" s="4" t="s">
        <v>330</v>
      </c>
      <c r="K171" s="4" t="s">
        <v>78</v>
      </c>
      <c r="L171" s="4"/>
    </row>
    <row r="172" spans="1:12" s="25" customFormat="1" ht="16.2" x14ac:dyDescent="0.3">
      <c r="A172" s="27">
        <v>60</v>
      </c>
      <c r="B172" s="5" t="s">
        <v>24</v>
      </c>
      <c r="C172" s="24" t="s">
        <v>131</v>
      </c>
      <c r="D172" s="18">
        <v>2709</v>
      </c>
      <c r="E172" s="24"/>
      <c r="F172" s="24">
        <v>7476.64</v>
      </c>
      <c r="G172" s="26">
        <f>SUM(G173)</f>
        <v>5200</v>
      </c>
      <c r="H172" s="24">
        <f>+F172-G172</f>
        <v>2276.6400000000003</v>
      </c>
      <c r="I172" s="47">
        <f>+H172/F172</f>
        <v>0.30450041729974964</v>
      </c>
      <c r="J172" s="5"/>
      <c r="K172" s="5"/>
      <c r="L172" s="4"/>
    </row>
    <row r="173" spans="1:12" x14ac:dyDescent="0.3">
      <c r="A173" s="23"/>
      <c r="B173" s="4"/>
      <c r="C173" s="3"/>
      <c r="D173" s="17"/>
      <c r="E173" s="3"/>
      <c r="F173" s="3"/>
      <c r="G173" s="3">
        <v>5200</v>
      </c>
      <c r="H173" s="3"/>
      <c r="I173" s="48"/>
      <c r="J173" s="4" t="s">
        <v>330</v>
      </c>
      <c r="K173" s="4" t="s">
        <v>78</v>
      </c>
      <c r="L173" s="4"/>
    </row>
    <row r="174" spans="1:12" s="25" customFormat="1" ht="16.2" x14ac:dyDescent="0.3">
      <c r="A174" s="27">
        <v>61</v>
      </c>
      <c r="B174" s="5" t="s">
        <v>15</v>
      </c>
      <c r="C174" s="24" t="s">
        <v>134</v>
      </c>
      <c r="D174" s="18" t="s">
        <v>121</v>
      </c>
      <c r="E174" s="24"/>
      <c r="F174" s="24">
        <v>69158.880000000005</v>
      </c>
      <c r="G174" s="26">
        <f>SUM(G175:G180)</f>
        <v>46242.01</v>
      </c>
      <c r="H174" s="24">
        <f>+F174-G174</f>
        <v>22916.870000000003</v>
      </c>
      <c r="I174" s="47">
        <f>+H174/F174</f>
        <v>0.33136554553804226</v>
      </c>
      <c r="J174" s="5"/>
      <c r="K174" s="5"/>
      <c r="L174" s="5"/>
    </row>
    <row r="175" spans="1:12" x14ac:dyDescent="0.3">
      <c r="A175" s="23"/>
      <c r="B175" s="4"/>
      <c r="C175" s="3"/>
      <c r="D175" s="17"/>
      <c r="E175" s="3"/>
      <c r="F175" s="3"/>
      <c r="G175" s="3">
        <v>11900</v>
      </c>
      <c r="H175" s="3"/>
      <c r="I175" s="48"/>
      <c r="J175" s="4" t="s">
        <v>103</v>
      </c>
      <c r="K175" s="4" t="s">
        <v>63</v>
      </c>
      <c r="L175" s="4"/>
    </row>
    <row r="176" spans="1:12" x14ac:dyDescent="0.3">
      <c r="A176" s="23"/>
      <c r="B176" s="4"/>
      <c r="C176" s="3"/>
      <c r="D176" s="17"/>
      <c r="E176" s="3"/>
      <c r="F176" s="3"/>
      <c r="G176" s="3">
        <v>695.61</v>
      </c>
      <c r="H176" s="3"/>
      <c r="I176" s="48"/>
      <c r="J176" s="4" t="s">
        <v>102</v>
      </c>
      <c r="K176" s="4" t="s">
        <v>68</v>
      </c>
      <c r="L176" s="4"/>
    </row>
    <row r="177" spans="1:12" x14ac:dyDescent="0.3">
      <c r="A177" s="23"/>
      <c r="B177" s="4"/>
      <c r="C177" s="3"/>
      <c r="D177" s="17"/>
      <c r="E177" s="3"/>
      <c r="F177" s="3"/>
      <c r="G177" s="3">
        <v>5580</v>
      </c>
      <c r="H177" s="3"/>
      <c r="I177" s="48"/>
      <c r="J177" s="4" t="s">
        <v>100</v>
      </c>
      <c r="K177" s="4" t="s">
        <v>69</v>
      </c>
      <c r="L177" s="4"/>
    </row>
    <row r="178" spans="1:12" x14ac:dyDescent="0.3">
      <c r="A178" s="23"/>
      <c r="B178" s="4"/>
      <c r="C178" s="3"/>
      <c r="D178" s="17"/>
      <c r="E178" s="3"/>
      <c r="F178" s="3"/>
      <c r="G178" s="3">
        <v>2240</v>
      </c>
      <c r="H178" s="3"/>
      <c r="I178" s="48"/>
      <c r="J178" s="4" t="s">
        <v>98</v>
      </c>
      <c r="K178" s="4" t="s">
        <v>66</v>
      </c>
      <c r="L178" s="4"/>
    </row>
    <row r="179" spans="1:12" x14ac:dyDescent="0.3">
      <c r="A179" s="23"/>
      <c r="B179" s="4"/>
      <c r="C179" s="3"/>
      <c r="D179" s="17"/>
      <c r="E179" s="3"/>
      <c r="F179" s="3"/>
      <c r="G179" s="3">
        <v>6260</v>
      </c>
      <c r="H179" s="3"/>
      <c r="I179" s="48"/>
      <c r="J179" s="4" t="s">
        <v>101</v>
      </c>
      <c r="K179" s="4" t="s">
        <v>67</v>
      </c>
      <c r="L179" s="4"/>
    </row>
    <row r="180" spans="1:12" x14ac:dyDescent="0.3">
      <c r="A180" s="23"/>
      <c r="B180" s="4"/>
      <c r="C180" s="3"/>
      <c r="D180" s="17"/>
      <c r="E180" s="3"/>
      <c r="F180" s="3"/>
      <c r="G180" s="3">
        <v>19566.400000000001</v>
      </c>
      <c r="H180" s="3"/>
      <c r="I180" s="48"/>
      <c r="J180" s="4" t="s">
        <v>99</v>
      </c>
      <c r="K180" s="4" t="s">
        <v>65</v>
      </c>
      <c r="L180" s="4"/>
    </row>
    <row r="181" spans="1:12" s="25" customFormat="1" ht="16.2" x14ac:dyDescent="0.3">
      <c r="A181" s="27">
        <v>62</v>
      </c>
      <c r="B181" s="5" t="s">
        <v>25</v>
      </c>
      <c r="C181" s="24" t="s">
        <v>134</v>
      </c>
      <c r="D181" s="18" t="s">
        <v>122</v>
      </c>
      <c r="E181" s="24"/>
      <c r="F181" s="24">
        <v>18504.669999999998</v>
      </c>
      <c r="G181" s="26">
        <f>SUM(G182)</f>
        <v>14850</v>
      </c>
      <c r="H181" s="24">
        <f>+F181-G181</f>
        <v>3654.6699999999983</v>
      </c>
      <c r="I181" s="47">
        <f>+H181/F181</f>
        <v>0.19749987435604086</v>
      </c>
      <c r="J181" s="5"/>
      <c r="K181" s="5"/>
      <c r="L181" s="5"/>
    </row>
    <row r="182" spans="1:12" x14ac:dyDescent="0.3">
      <c r="A182" s="23"/>
      <c r="B182" s="4"/>
      <c r="C182" s="3"/>
      <c r="D182" s="17"/>
      <c r="E182" s="3"/>
      <c r="F182" s="3"/>
      <c r="G182" s="3">
        <v>14850</v>
      </c>
      <c r="H182" s="3"/>
      <c r="I182" s="48"/>
      <c r="J182" s="4" t="s">
        <v>332</v>
      </c>
      <c r="K182" s="4" t="s">
        <v>331</v>
      </c>
      <c r="L182" s="4"/>
    </row>
    <row r="183" spans="1:12" s="25" customFormat="1" ht="43.2" x14ac:dyDescent="0.3">
      <c r="A183" s="27">
        <v>63</v>
      </c>
      <c r="B183" s="5" t="s">
        <v>26</v>
      </c>
      <c r="C183" s="24" t="s">
        <v>130</v>
      </c>
      <c r="D183" s="18" t="s">
        <v>123</v>
      </c>
      <c r="E183" s="24"/>
      <c r="F183" s="24">
        <v>11887.85</v>
      </c>
      <c r="G183" s="26">
        <f>SUM(G184)</f>
        <v>7300</v>
      </c>
      <c r="H183" s="24">
        <f>+F183-G183</f>
        <v>4587.8500000000004</v>
      </c>
      <c r="I183" s="47">
        <f>+H183/F183</f>
        <v>0.38592764881791075</v>
      </c>
      <c r="J183" s="5"/>
      <c r="K183" s="5"/>
      <c r="L183" s="34" t="s">
        <v>333</v>
      </c>
    </row>
    <row r="184" spans="1:12" x14ac:dyDescent="0.3">
      <c r="A184" s="23"/>
      <c r="B184" s="4"/>
      <c r="C184" s="3"/>
      <c r="D184" s="17"/>
      <c r="E184" s="3"/>
      <c r="F184" s="3"/>
      <c r="G184" s="3">
        <v>7300</v>
      </c>
      <c r="H184" s="3"/>
      <c r="I184" s="48"/>
      <c r="J184" s="4" t="s">
        <v>334</v>
      </c>
      <c r="K184" s="4" t="s">
        <v>63</v>
      </c>
      <c r="L184" s="4"/>
    </row>
    <row r="185" spans="1:12" s="31" customFormat="1" x14ac:dyDescent="0.3">
      <c r="A185" s="29">
        <v>64</v>
      </c>
      <c r="B185" s="12" t="s">
        <v>27</v>
      </c>
      <c r="C185" s="13" t="s">
        <v>131</v>
      </c>
      <c r="D185" s="30">
        <v>2107</v>
      </c>
      <c r="E185" s="13"/>
      <c r="F185" s="13">
        <v>4672.8999999999996</v>
      </c>
      <c r="G185" s="13">
        <v>0</v>
      </c>
      <c r="H185" s="24">
        <f>+F185-G185</f>
        <v>4672.8999999999996</v>
      </c>
      <c r="I185" s="47">
        <f>+H185/F185</f>
        <v>1</v>
      </c>
      <c r="J185" s="12"/>
      <c r="K185" s="12" t="s">
        <v>335</v>
      </c>
      <c r="L185" s="12"/>
    </row>
    <row r="186" spans="1:12" s="25" customFormat="1" ht="16.2" x14ac:dyDescent="0.3">
      <c r="A186" s="27">
        <v>65</v>
      </c>
      <c r="B186" s="5" t="s">
        <v>28</v>
      </c>
      <c r="C186" s="24" t="s">
        <v>131</v>
      </c>
      <c r="D186" s="18">
        <v>2307</v>
      </c>
      <c r="E186" s="13"/>
      <c r="F186" s="24">
        <v>9345.7900000000009</v>
      </c>
      <c r="G186" s="26">
        <f>SUM(G187)</f>
        <v>4134.5</v>
      </c>
      <c r="H186" s="24">
        <f>+F186-G186</f>
        <v>5211.2900000000009</v>
      </c>
      <c r="I186" s="47">
        <f>+H186/F186</f>
        <v>0.55760829207589735</v>
      </c>
      <c r="J186" s="5"/>
      <c r="K186" s="5"/>
      <c r="L186" s="5"/>
    </row>
    <row r="187" spans="1:12" x14ac:dyDescent="0.3">
      <c r="A187" s="23"/>
      <c r="B187" s="4"/>
      <c r="C187" s="3"/>
      <c r="D187" s="17"/>
      <c r="E187" s="3"/>
      <c r="F187" s="3"/>
      <c r="G187" s="3">
        <v>4134.5</v>
      </c>
      <c r="H187" s="3"/>
      <c r="I187" s="48"/>
      <c r="J187" s="4" t="s">
        <v>336</v>
      </c>
      <c r="K187" s="4" t="s">
        <v>91</v>
      </c>
      <c r="L187" s="4"/>
    </row>
    <row r="188" spans="1:12" s="25" customFormat="1" ht="16.2" x14ac:dyDescent="0.3">
      <c r="A188" s="27">
        <v>66</v>
      </c>
      <c r="B188" s="5" t="s">
        <v>29</v>
      </c>
      <c r="C188" s="24" t="s">
        <v>135</v>
      </c>
      <c r="D188" s="18">
        <v>2310</v>
      </c>
      <c r="E188" s="13"/>
      <c r="F188" s="24">
        <v>266725.23</v>
      </c>
      <c r="G188" s="26">
        <f>SUM(G189)</f>
        <v>196261.68</v>
      </c>
      <c r="H188" s="24">
        <f>+F188-G188</f>
        <v>70463.549999999988</v>
      </c>
      <c r="I188" s="47">
        <f>+H188/F188</f>
        <v>0.26418029520491926</v>
      </c>
      <c r="J188" s="5"/>
      <c r="K188" s="5"/>
      <c r="L188" s="5"/>
    </row>
    <row r="189" spans="1:12" x14ac:dyDescent="0.3">
      <c r="A189" s="23"/>
      <c r="B189" s="4"/>
      <c r="C189" s="3"/>
      <c r="D189" s="17"/>
      <c r="E189" s="3"/>
      <c r="F189" s="3"/>
      <c r="G189" s="3">
        <v>196261.68</v>
      </c>
      <c r="H189" s="3"/>
      <c r="I189" s="48"/>
      <c r="J189" s="4" t="s">
        <v>338</v>
      </c>
      <c r="K189" s="4" t="s">
        <v>337</v>
      </c>
      <c r="L189" s="4"/>
    </row>
    <row r="190" spans="1:12" s="25" customFormat="1" ht="16.2" x14ac:dyDescent="0.3">
      <c r="A190" s="27">
        <v>67</v>
      </c>
      <c r="B190" s="5" t="s">
        <v>30</v>
      </c>
      <c r="C190" s="24" t="s">
        <v>134</v>
      </c>
      <c r="D190" s="18" t="s">
        <v>124</v>
      </c>
      <c r="E190" s="24"/>
      <c r="F190" s="24">
        <v>28037.38</v>
      </c>
      <c r="G190" s="26">
        <f>SUM(G191)</f>
        <v>18940</v>
      </c>
      <c r="H190" s="24">
        <f>+F190-G190</f>
        <v>9097.380000000001</v>
      </c>
      <c r="I190" s="47">
        <f>+H190/F190</f>
        <v>0.32447325677363581</v>
      </c>
      <c r="J190" s="5"/>
      <c r="K190" s="5"/>
      <c r="L190" s="5"/>
    </row>
    <row r="191" spans="1:12" x14ac:dyDescent="0.3">
      <c r="A191" s="23"/>
      <c r="B191" s="4"/>
      <c r="C191" s="3"/>
      <c r="D191" s="17"/>
      <c r="E191" s="3"/>
      <c r="F191" s="3"/>
      <c r="G191" s="3">
        <v>18940</v>
      </c>
      <c r="H191" s="3"/>
      <c r="I191" s="48"/>
      <c r="J191" s="4" t="s">
        <v>339</v>
      </c>
      <c r="K191" s="4" t="s">
        <v>63</v>
      </c>
      <c r="L191" s="4"/>
    </row>
    <row r="192" spans="1:12" s="25" customFormat="1" ht="16.2" x14ac:dyDescent="0.3">
      <c r="A192" s="27">
        <v>68</v>
      </c>
      <c r="B192" s="5" t="s">
        <v>31</v>
      </c>
      <c r="C192" s="24" t="s">
        <v>134</v>
      </c>
      <c r="D192" s="18" t="s">
        <v>125</v>
      </c>
      <c r="E192" s="24"/>
      <c r="F192" s="24">
        <v>36493.46</v>
      </c>
      <c r="G192" s="26">
        <f>SUM(G193)</f>
        <v>20900</v>
      </c>
      <c r="H192" s="24">
        <f>+F192-G192</f>
        <v>15593.46</v>
      </c>
      <c r="I192" s="47">
        <f>+H192/F192</f>
        <v>0.42729464402662831</v>
      </c>
      <c r="J192" s="5"/>
      <c r="K192" s="5"/>
      <c r="L192" s="5"/>
    </row>
    <row r="193" spans="1:12" x14ac:dyDescent="0.3">
      <c r="A193" s="23"/>
      <c r="B193" s="4"/>
      <c r="C193" s="3"/>
      <c r="D193" s="17"/>
      <c r="E193" s="3"/>
      <c r="F193" s="3"/>
      <c r="G193" s="3">
        <v>20900</v>
      </c>
      <c r="H193" s="3"/>
      <c r="I193" s="48"/>
      <c r="J193" s="4" t="s">
        <v>340</v>
      </c>
      <c r="K193" s="4" t="s">
        <v>63</v>
      </c>
      <c r="L193" s="4"/>
    </row>
    <row r="194" spans="1:12" s="25" customFormat="1" ht="16.2" x14ac:dyDescent="0.3">
      <c r="A194" s="27">
        <v>69</v>
      </c>
      <c r="B194" s="5" t="s">
        <v>32</v>
      </c>
      <c r="C194" s="24" t="s">
        <v>136</v>
      </c>
      <c r="D194" s="18">
        <v>1615</v>
      </c>
      <c r="E194" s="24"/>
      <c r="F194" s="24">
        <v>20654.21</v>
      </c>
      <c r="G194" s="26">
        <f>SUM(G195:G196)</f>
        <v>10089</v>
      </c>
      <c r="H194" s="24">
        <f>+F194-G194</f>
        <v>10565.21</v>
      </c>
      <c r="I194" s="47">
        <f>+H194/F194</f>
        <v>0.51152815818179442</v>
      </c>
      <c r="J194" s="5"/>
      <c r="K194" s="5"/>
      <c r="L194" s="5"/>
    </row>
    <row r="195" spans="1:12" x14ac:dyDescent="0.3">
      <c r="A195" s="23"/>
      <c r="B195" s="4"/>
      <c r="C195" s="3"/>
      <c r="D195" s="17"/>
      <c r="E195" s="3"/>
      <c r="F195" s="3"/>
      <c r="G195" s="3">
        <v>3889</v>
      </c>
      <c r="H195" s="3"/>
      <c r="I195" s="48"/>
      <c r="J195" s="4" t="s">
        <v>341</v>
      </c>
      <c r="K195" s="4" t="s">
        <v>69</v>
      </c>
      <c r="L195" s="4"/>
    </row>
    <row r="196" spans="1:12" x14ac:dyDescent="0.3">
      <c r="A196" s="23"/>
      <c r="B196" s="4"/>
      <c r="C196" s="3"/>
      <c r="D196" s="17"/>
      <c r="E196" s="3"/>
      <c r="F196" s="3"/>
      <c r="G196" s="3">
        <v>6200</v>
      </c>
      <c r="H196" s="3"/>
      <c r="I196" s="48"/>
      <c r="J196" s="4" t="s">
        <v>342</v>
      </c>
      <c r="K196" s="4" t="s">
        <v>63</v>
      </c>
      <c r="L196" s="4"/>
    </row>
    <row r="197" spans="1:12" s="25" customFormat="1" ht="16.2" x14ac:dyDescent="0.3">
      <c r="A197" s="27">
        <v>70</v>
      </c>
      <c r="B197" s="5" t="s">
        <v>33</v>
      </c>
      <c r="C197" s="24" t="s">
        <v>137</v>
      </c>
      <c r="D197" s="18">
        <v>2015</v>
      </c>
      <c r="E197" s="24"/>
      <c r="F197" s="24">
        <v>19626.169999999998</v>
      </c>
      <c r="G197" s="26">
        <f>SUM(G198:G198)</f>
        <v>16000</v>
      </c>
      <c r="H197" s="24">
        <f>+F197-G197</f>
        <v>3626.1699999999983</v>
      </c>
      <c r="I197" s="47">
        <f>+H197/F197</f>
        <v>0.1847619785215352</v>
      </c>
      <c r="J197" s="5"/>
      <c r="K197" s="5"/>
      <c r="L197" s="5"/>
    </row>
    <row r="198" spans="1:12" x14ac:dyDescent="0.3">
      <c r="A198" s="23"/>
      <c r="B198" s="4"/>
      <c r="C198" s="3"/>
      <c r="D198" s="17"/>
      <c r="E198" s="3"/>
      <c r="F198" s="3"/>
      <c r="G198" s="3">
        <v>16000</v>
      </c>
      <c r="H198" s="3"/>
      <c r="I198" s="48"/>
      <c r="J198" s="4" t="s">
        <v>343</v>
      </c>
      <c r="K198" s="4" t="s">
        <v>63</v>
      </c>
      <c r="L198" s="4"/>
    </row>
    <row r="199" spans="1:12" s="25" customFormat="1" ht="16.2" x14ac:dyDescent="0.3">
      <c r="A199" s="27">
        <v>71</v>
      </c>
      <c r="B199" s="5" t="s">
        <v>34</v>
      </c>
      <c r="C199" s="24" t="s">
        <v>138</v>
      </c>
      <c r="D199" s="18">
        <v>1239</v>
      </c>
      <c r="E199" s="24"/>
      <c r="F199" s="24">
        <v>415887.85</v>
      </c>
      <c r="G199" s="26">
        <f>SUM(G200:G202)</f>
        <v>365900</v>
      </c>
      <c r="H199" s="24">
        <f>+F199-G199</f>
        <v>49987.849999999977</v>
      </c>
      <c r="I199" s="47">
        <f>+H199/F199</f>
        <v>0.1201955046294331</v>
      </c>
      <c r="J199" s="5"/>
      <c r="K199" s="5"/>
      <c r="L199" s="5"/>
    </row>
    <row r="200" spans="1:12" x14ac:dyDescent="0.3">
      <c r="A200" s="23"/>
      <c r="B200" s="4"/>
      <c r="C200" s="3"/>
      <c r="D200" s="17"/>
      <c r="E200" s="3"/>
      <c r="F200" s="3"/>
      <c r="G200" s="3">
        <v>11100</v>
      </c>
      <c r="H200" s="3"/>
      <c r="I200" s="48"/>
      <c r="J200" s="4" t="s">
        <v>344</v>
      </c>
      <c r="K200" s="4" t="s">
        <v>63</v>
      </c>
      <c r="L200" s="4"/>
    </row>
    <row r="201" spans="1:12" x14ac:dyDescent="0.3">
      <c r="A201" s="23"/>
      <c r="B201" s="4"/>
      <c r="C201" s="3"/>
      <c r="D201" s="17"/>
      <c r="E201" s="3"/>
      <c r="F201" s="3"/>
      <c r="G201" s="3">
        <v>2300</v>
      </c>
      <c r="H201" s="3"/>
      <c r="I201" s="48"/>
      <c r="J201" s="4" t="s">
        <v>345</v>
      </c>
      <c r="K201" s="4" t="s">
        <v>346</v>
      </c>
      <c r="L201" s="4"/>
    </row>
    <row r="202" spans="1:12" x14ac:dyDescent="0.3">
      <c r="A202" s="23"/>
      <c r="B202" s="4"/>
      <c r="C202" s="3"/>
      <c r="D202" s="17"/>
      <c r="E202" s="3"/>
      <c r="F202" s="3"/>
      <c r="G202" s="3">
        <v>352500</v>
      </c>
      <c r="H202" s="3"/>
      <c r="I202" s="48"/>
      <c r="J202" s="4" t="s">
        <v>348</v>
      </c>
      <c r="K202" s="4" t="s">
        <v>347</v>
      </c>
      <c r="L202" s="4"/>
    </row>
    <row r="203" spans="1:12" x14ac:dyDescent="0.3">
      <c r="A203" s="23"/>
      <c r="B203" s="4"/>
      <c r="C203" s="3"/>
      <c r="D203" s="17"/>
      <c r="E203" s="3"/>
      <c r="F203" s="3"/>
      <c r="G203" s="3">
        <v>4000</v>
      </c>
      <c r="H203" s="3"/>
      <c r="I203" s="48"/>
      <c r="J203" s="4" t="s">
        <v>349</v>
      </c>
      <c r="K203" s="4" t="s">
        <v>59</v>
      </c>
      <c r="L203" s="4"/>
    </row>
    <row r="204" spans="1:12" x14ac:dyDescent="0.3">
      <c r="A204" s="23"/>
      <c r="B204" s="4"/>
      <c r="C204" s="3"/>
      <c r="D204" s="17"/>
      <c r="E204" s="3"/>
      <c r="F204" s="3"/>
      <c r="G204" s="3">
        <v>6800</v>
      </c>
      <c r="H204" s="3"/>
      <c r="I204" s="48"/>
      <c r="J204" s="4" t="s">
        <v>350</v>
      </c>
      <c r="K204" s="4" t="s">
        <v>58</v>
      </c>
      <c r="L204" s="4"/>
    </row>
    <row r="205" spans="1:12" s="25" customFormat="1" ht="16.2" x14ac:dyDescent="0.3">
      <c r="A205" s="27">
        <v>72</v>
      </c>
      <c r="B205" s="5" t="s">
        <v>35</v>
      </c>
      <c r="C205" s="24" t="s">
        <v>133</v>
      </c>
      <c r="D205" s="18">
        <v>1621</v>
      </c>
      <c r="E205" s="24"/>
      <c r="F205" s="24">
        <v>23065.42</v>
      </c>
      <c r="G205" s="26">
        <f>SUM(G206:G206)</f>
        <v>15900</v>
      </c>
      <c r="H205" s="24">
        <f>+F205-G205</f>
        <v>7165.4199999999983</v>
      </c>
      <c r="I205" s="47">
        <f>+H205/F205</f>
        <v>0.31065638518613575</v>
      </c>
      <c r="J205" s="5"/>
      <c r="K205" s="5"/>
      <c r="L205" s="5"/>
    </row>
    <row r="206" spans="1:12" x14ac:dyDescent="0.3">
      <c r="A206" s="23"/>
      <c r="B206" s="4"/>
      <c r="C206" s="3"/>
      <c r="D206" s="17"/>
      <c r="E206" s="3"/>
      <c r="F206" s="3"/>
      <c r="G206" s="3">
        <v>15900</v>
      </c>
      <c r="H206" s="3"/>
      <c r="I206" s="48"/>
      <c r="J206" s="4" t="s">
        <v>351</v>
      </c>
      <c r="K206" s="4" t="s">
        <v>63</v>
      </c>
      <c r="L206" s="4"/>
    </row>
    <row r="207" spans="1:12" s="25" customFormat="1" ht="16.2" x14ac:dyDescent="0.3">
      <c r="A207" s="27">
        <v>73</v>
      </c>
      <c r="B207" s="5" t="s">
        <v>36</v>
      </c>
      <c r="C207" s="24" t="s">
        <v>133</v>
      </c>
      <c r="D207" s="18">
        <v>1510</v>
      </c>
      <c r="E207" s="24"/>
      <c r="F207" s="24">
        <v>56467.29</v>
      </c>
      <c r="G207" s="26">
        <f>SUM(G208:G212)</f>
        <v>36566</v>
      </c>
      <c r="H207" s="24">
        <f>+F207-G207</f>
        <v>19901.29</v>
      </c>
      <c r="I207" s="47">
        <f>+H207/F207</f>
        <v>0.35243926173896428</v>
      </c>
      <c r="J207" s="5"/>
      <c r="K207" s="5"/>
      <c r="L207" s="5"/>
    </row>
    <row r="208" spans="1:12" x14ac:dyDescent="0.3">
      <c r="A208" s="23"/>
      <c r="B208" s="4"/>
      <c r="C208" s="3"/>
      <c r="D208" s="17"/>
      <c r="E208" s="3"/>
      <c r="F208" s="3"/>
      <c r="G208" s="3">
        <v>11270</v>
      </c>
      <c r="H208" s="3"/>
      <c r="I208" s="48"/>
      <c r="J208" s="4" t="s">
        <v>352</v>
      </c>
      <c r="K208" s="4" t="s">
        <v>63</v>
      </c>
      <c r="L208" s="4"/>
    </row>
    <row r="209" spans="1:12" x14ac:dyDescent="0.3">
      <c r="A209" s="23"/>
      <c r="B209" s="4"/>
      <c r="C209" s="3"/>
      <c r="D209" s="17"/>
      <c r="E209" s="3"/>
      <c r="F209" s="3"/>
      <c r="G209" s="3">
        <v>9510</v>
      </c>
      <c r="H209" s="3"/>
      <c r="I209" s="48"/>
      <c r="J209" s="4" t="s">
        <v>354</v>
      </c>
      <c r="K209" s="4" t="s">
        <v>353</v>
      </c>
      <c r="L209" s="4"/>
    </row>
    <row r="210" spans="1:12" x14ac:dyDescent="0.3">
      <c r="A210" s="23"/>
      <c r="B210" s="4"/>
      <c r="C210" s="3"/>
      <c r="D210" s="17"/>
      <c r="E210" s="3"/>
      <c r="F210" s="3"/>
      <c r="G210" s="3">
        <v>2286</v>
      </c>
      <c r="H210" s="3"/>
      <c r="I210" s="48"/>
      <c r="J210" s="4" t="s">
        <v>355</v>
      </c>
      <c r="K210" s="4" t="s">
        <v>69</v>
      </c>
      <c r="L210" s="4"/>
    </row>
    <row r="211" spans="1:12" x14ac:dyDescent="0.3">
      <c r="A211" s="23"/>
      <c r="B211" s="4"/>
      <c r="C211" s="3"/>
      <c r="D211" s="17"/>
      <c r="E211" s="3"/>
      <c r="F211" s="3"/>
      <c r="G211" s="3">
        <v>8000</v>
      </c>
      <c r="H211" s="3"/>
      <c r="I211" s="48"/>
      <c r="J211" s="4" t="s">
        <v>356</v>
      </c>
      <c r="K211" s="4" t="s">
        <v>62</v>
      </c>
      <c r="L211" s="4"/>
    </row>
    <row r="212" spans="1:12" x14ac:dyDescent="0.3">
      <c r="A212" s="23"/>
      <c r="B212" s="4"/>
      <c r="C212" s="3"/>
      <c r="D212" s="17"/>
      <c r="E212" s="3"/>
      <c r="F212" s="3"/>
      <c r="G212" s="3">
        <v>5500</v>
      </c>
      <c r="H212" s="3"/>
      <c r="I212" s="48"/>
      <c r="J212" s="4" t="s">
        <v>357</v>
      </c>
      <c r="K212" s="4" t="s">
        <v>90</v>
      </c>
      <c r="L212" s="4"/>
    </row>
    <row r="213" spans="1:12" s="25" customFormat="1" ht="16.2" x14ac:dyDescent="0.3">
      <c r="A213" s="27">
        <v>74</v>
      </c>
      <c r="B213" s="5" t="s">
        <v>37</v>
      </c>
      <c r="C213" s="24" t="s">
        <v>133</v>
      </c>
      <c r="D213" s="18">
        <v>1809</v>
      </c>
      <c r="E213" s="24"/>
      <c r="F213" s="24">
        <v>24299.07</v>
      </c>
      <c r="G213" s="26">
        <f>SUM(G214:G214)</f>
        <v>15000</v>
      </c>
      <c r="H213" s="24">
        <f>+F213-G213</f>
        <v>9299.07</v>
      </c>
      <c r="I213" s="47">
        <f>+H213/F213</f>
        <v>0.38269242403104314</v>
      </c>
      <c r="J213" s="5"/>
      <c r="K213" s="5"/>
      <c r="L213" s="5"/>
    </row>
    <row r="214" spans="1:12" x14ac:dyDescent="0.3">
      <c r="A214" s="23"/>
      <c r="B214" s="4"/>
      <c r="C214" s="3"/>
      <c r="D214" s="17"/>
      <c r="E214" s="3"/>
      <c r="F214" s="3"/>
      <c r="G214" s="3">
        <v>15000</v>
      </c>
      <c r="H214" s="3"/>
      <c r="I214" s="48"/>
      <c r="J214" s="4" t="s">
        <v>358</v>
      </c>
      <c r="K214" s="4" t="s">
        <v>63</v>
      </c>
      <c r="L214" s="4"/>
    </row>
    <row r="215" spans="1:12" s="25" customFormat="1" ht="16.2" x14ac:dyDescent="0.3">
      <c r="A215" s="27">
        <v>75</v>
      </c>
      <c r="B215" s="5" t="s">
        <v>38</v>
      </c>
      <c r="C215" s="24" t="s">
        <v>133</v>
      </c>
      <c r="D215" s="18">
        <v>2803</v>
      </c>
      <c r="E215" s="24"/>
      <c r="F215" s="24">
        <v>107196.26</v>
      </c>
      <c r="G215" s="26">
        <f>SUM(G216:G217)</f>
        <v>72360</v>
      </c>
      <c r="H215" s="24">
        <f>+F215-G215</f>
        <v>34836.259999999995</v>
      </c>
      <c r="I215" s="47">
        <f>+H215/F215</f>
        <v>0.32497644973807854</v>
      </c>
      <c r="J215" s="5"/>
      <c r="K215" s="5"/>
      <c r="L215" s="5"/>
    </row>
    <row r="216" spans="1:12" x14ac:dyDescent="0.3">
      <c r="A216" s="23"/>
      <c r="B216" s="4"/>
      <c r="C216" s="3"/>
      <c r="D216" s="17"/>
      <c r="E216" s="3"/>
      <c r="F216" s="3"/>
      <c r="G216" s="3">
        <v>59400</v>
      </c>
      <c r="H216" s="3"/>
      <c r="I216" s="48"/>
      <c r="J216" s="4" t="s">
        <v>359</v>
      </c>
      <c r="K216" s="4" t="s">
        <v>90</v>
      </c>
      <c r="L216" s="4"/>
    </row>
    <row r="217" spans="1:12" x14ac:dyDescent="0.3">
      <c r="A217" s="23"/>
      <c r="B217" s="4"/>
      <c r="C217" s="3"/>
      <c r="D217" s="17"/>
      <c r="E217" s="3"/>
      <c r="F217" s="3"/>
      <c r="G217" s="3">
        <v>12960</v>
      </c>
      <c r="H217" s="3"/>
      <c r="I217" s="48"/>
      <c r="J217" s="4" t="s">
        <v>360</v>
      </c>
      <c r="K217" s="4" t="s">
        <v>63</v>
      </c>
      <c r="L217" s="4"/>
    </row>
    <row r="218" spans="1:12" s="25" customFormat="1" ht="16.2" x14ac:dyDescent="0.3">
      <c r="A218" s="27">
        <v>76</v>
      </c>
      <c r="B218" s="5" t="s">
        <v>39</v>
      </c>
      <c r="C218" s="24" t="s">
        <v>130</v>
      </c>
      <c r="D218" s="18" t="s">
        <v>126</v>
      </c>
      <c r="E218" s="24"/>
      <c r="F218" s="24">
        <v>98130.84</v>
      </c>
      <c r="G218" s="26">
        <f>SUM(G219:G222)</f>
        <v>68451</v>
      </c>
      <c r="H218" s="24">
        <f>+F218-G218</f>
        <v>29679.839999999997</v>
      </c>
      <c r="I218" s="47">
        <f>+H218/F218</f>
        <v>0.30245170631373375</v>
      </c>
      <c r="J218" s="5"/>
      <c r="K218" s="5"/>
      <c r="L218" s="5"/>
    </row>
    <row r="219" spans="1:12" x14ac:dyDescent="0.3">
      <c r="A219" s="23"/>
      <c r="B219" s="4"/>
      <c r="C219" s="3"/>
      <c r="D219" s="17"/>
      <c r="E219" s="3"/>
      <c r="F219" s="3"/>
      <c r="G219" s="3">
        <v>29500</v>
      </c>
      <c r="H219" s="3"/>
      <c r="I219" s="48"/>
      <c r="J219" s="4" t="s">
        <v>361</v>
      </c>
      <c r="K219" s="4" t="s">
        <v>291</v>
      </c>
      <c r="L219" s="4"/>
    </row>
    <row r="220" spans="1:12" x14ac:dyDescent="0.3">
      <c r="A220" s="23"/>
      <c r="B220" s="4"/>
      <c r="C220" s="3"/>
      <c r="D220" s="17"/>
      <c r="E220" s="3"/>
      <c r="F220" s="3"/>
      <c r="G220" s="3">
        <v>9586</v>
      </c>
      <c r="H220" s="3"/>
      <c r="I220" s="48"/>
      <c r="J220" s="4" t="s">
        <v>362</v>
      </c>
      <c r="K220" s="4" t="s">
        <v>69</v>
      </c>
      <c r="L220" s="4"/>
    </row>
    <row r="221" spans="1:12" x14ac:dyDescent="0.3">
      <c r="A221" s="23"/>
      <c r="B221" s="4"/>
      <c r="C221" s="3"/>
      <c r="D221" s="17"/>
      <c r="E221" s="3"/>
      <c r="F221" s="3"/>
      <c r="G221" s="3">
        <v>4565</v>
      </c>
      <c r="H221" s="3"/>
      <c r="I221" s="48"/>
      <c r="J221" s="4" t="s">
        <v>363</v>
      </c>
      <c r="K221" s="4" t="s">
        <v>91</v>
      </c>
      <c r="L221" s="4"/>
    </row>
    <row r="222" spans="1:12" x14ac:dyDescent="0.3">
      <c r="A222" s="23"/>
      <c r="B222" s="4"/>
      <c r="C222" s="3"/>
      <c r="D222" s="17"/>
      <c r="E222" s="3"/>
      <c r="F222" s="3"/>
      <c r="G222" s="3">
        <v>24800</v>
      </c>
      <c r="H222" s="3"/>
      <c r="I222" s="48"/>
      <c r="J222" s="4" t="s">
        <v>364</v>
      </c>
      <c r="K222" s="4" t="s">
        <v>97</v>
      </c>
      <c r="L222" s="4"/>
    </row>
    <row r="223" spans="1:12" s="25" customFormat="1" ht="16.2" x14ac:dyDescent="0.3">
      <c r="A223" s="27">
        <v>77</v>
      </c>
      <c r="B223" s="5" t="s">
        <v>40</v>
      </c>
      <c r="C223" s="24" t="s">
        <v>130</v>
      </c>
      <c r="D223" s="5" t="s">
        <v>127</v>
      </c>
      <c r="E223" s="24"/>
      <c r="F223" s="24">
        <v>4672.8999999999996</v>
      </c>
      <c r="G223" s="26">
        <f>SUM(G224:G224)</f>
        <v>2200</v>
      </c>
      <c r="H223" s="24">
        <f>+F223-G223</f>
        <v>2472.8999999999996</v>
      </c>
      <c r="I223" s="47">
        <f>+H223/F223</f>
        <v>0.52920028247983053</v>
      </c>
      <c r="J223" s="5"/>
      <c r="K223" s="5"/>
      <c r="L223" s="5"/>
    </row>
    <row r="224" spans="1:12" x14ac:dyDescent="0.3">
      <c r="A224" s="23"/>
      <c r="B224" s="4"/>
      <c r="C224" s="3"/>
      <c r="D224" s="17"/>
      <c r="E224" s="3"/>
      <c r="F224" s="3"/>
      <c r="G224" s="3">
        <v>2200</v>
      </c>
      <c r="H224" s="3"/>
      <c r="I224" s="48"/>
      <c r="J224" s="4" t="s">
        <v>365</v>
      </c>
      <c r="K224" s="4" t="s">
        <v>91</v>
      </c>
      <c r="L224" s="4"/>
    </row>
    <row r="225" spans="1:12" s="25" customFormat="1" ht="16.2" x14ac:dyDescent="0.3">
      <c r="A225" s="27">
        <v>78</v>
      </c>
      <c r="B225" s="5" t="s">
        <v>41</v>
      </c>
      <c r="C225" s="24" t="s">
        <v>139</v>
      </c>
      <c r="D225" s="5">
        <v>3807</v>
      </c>
      <c r="E225" s="24"/>
      <c r="F225" s="24">
        <v>140186.92000000001</v>
      </c>
      <c r="G225" s="26">
        <f>SUM(G226:G228)</f>
        <v>63900</v>
      </c>
      <c r="H225" s="24">
        <f>+F225-G225</f>
        <v>76286.920000000013</v>
      </c>
      <c r="I225" s="47">
        <f>+H225/F225</f>
        <v>0.54418001337071964</v>
      </c>
      <c r="J225" s="5"/>
      <c r="K225" s="5"/>
      <c r="L225" s="5"/>
    </row>
    <row r="226" spans="1:12" x14ac:dyDescent="0.3">
      <c r="A226" s="23"/>
      <c r="B226" s="4"/>
      <c r="C226" s="3"/>
      <c r="D226" s="17"/>
      <c r="E226" s="3"/>
      <c r="F226" s="3"/>
      <c r="G226" s="3">
        <v>32300</v>
      </c>
      <c r="H226" s="3"/>
      <c r="I226" s="48"/>
      <c r="J226" s="4" t="s">
        <v>366</v>
      </c>
      <c r="K226" s="4" t="s">
        <v>63</v>
      </c>
      <c r="L226" s="4"/>
    </row>
    <row r="227" spans="1:12" x14ac:dyDescent="0.3">
      <c r="A227" s="23"/>
      <c r="B227" s="4"/>
      <c r="C227" s="3"/>
      <c r="D227" s="17"/>
      <c r="E227" s="3"/>
      <c r="F227" s="3"/>
      <c r="G227" s="3">
        <v>16900</v>
      </c>
      <c r="H227" s="3"/>
      <c r="I227" s="48"/>
      <c r="J227" s="4" t="s">
        <v>368</v>
      </c>
      <c r="K227" s="4" t="s">
        <v>367</v>
      </c>
      <c r="L227" s="4"/>
    </row>
    <row r="228" spans="1:12" x14ac:dyDescent="0.3">
      <c r="A228" s="23"/>
      <c r="B228" s="4"/>
      <c r="C228" s="3"/>
      <c r="D228" s="17"/>
      <c r="E228" s="3"/>
      <c r="F228" s="3"/>
      <c r="G228" s="3">
        <v>14700</v>
      </c>
      <c r="H228" s="3"/>
      <c r="I228" s="48"/>
      <c r="J228" s="4" t="s">
        <v>370</v>
      </c>
      <c r="K228" s="4" t="s">
        <v>369</v>
      </c>
      <c r="L228" s="4"/>
    </row>
    <row r="229" spans="1:12" s="25" customFormat="1" ht="16.2" x14ac:dyDescent="0.3">
      <c r="A229" s="27">
        <v>79</v>
      </c>
      <c r="B229" s="5" t="s">
        <v>42</v>
      </c>
      <c r="C229" s="24" t="s">
        <v>129</v>
      </c>
      <c r="D229" s="5">
        <v>1616</v>
      </c>
      <c r="E229" s="24"/>
      <c r="F229" s="24">
        <v>70093.460000000006</v>
      </c>
      <c r="G229" s="26">
        <f>SUM(G230:G233)</f>
        <v>66401.959999999992</v>
      </c>
      <c r="H229" s="24">
        <f>+F229-G229</f>
        <v>3691.5000000000146</v>
      </c>
      <c r="I229" s="49">
        <f>+H229/F229</f>
        <v>5.2665398455148511E-2</v>
      </c>
      <c r="J229" s="5"/>
      <c r="K229" s="5"/>
      <c r="L229" s="5" t="s">
        <v>592</v>
      </c>
    </row>
    <row r="230" spans="1:12" x14ac:dyDescent="0.3">
      <c r="A230" s="23"/>
      <c r="B230" s="4"/>
      <c r="C230" s="3"/>
      <c r="D230" s="17"/>
      <c r="E230" s="3"/>
      <c r="F230" s="3"/>
      <c r="G230" s="3">
        <v>17000</v>
      </c>
      <c r="H230" s="3"/>
      <c r="I230" s="48"/>
      <c r="J230" s="4" t="s">
        <v>315</v>
      </c>
      <c r="K230" s="4" t="s">
        <v>314</v>
      </c>
      <c r="L230" s="4"/>
    </row>
    <row r="231" spans="1:12" x14ac:dyDescent="0.3">
      <c r="A231" s="23"/>
      <c r="B231" s="4"/>
      <c r="C231" s="3"/>
      <c r="D231" s="17"/>
      <c r="E231" s="3"/>
      <c r="F231" s="3"/>
      <c r="G231" s="3">
        <v>1030</v>
      </c>
      <c r="H231" s="3"/>
      <c r="I231" s="48"/>
      <c r="J231" s="4" t="s">
        <v>316</v>
      </c>
      <c r="K231" s="4" t="s">
        <v>81</v>
      </c>
      <c r="L231" s="4"/>
    </row>
    <row r="232" spans="1:12" x14ac:dyDescent="0.3">
      <c r="A232" s="23"/>
      <c r="B232" s="4"/>
      <c r="C232" s="3"/>
      <c r="D232" s="17"/>
      <c r="E232" s="3"/>
      <c r="F232" s="3"/>
      <c r="G232" s="3">
        <v>15400</v>
      </c>
      <c r="H232" s="3"/>
      <c r="I232" s="48"/>
      <c r="J232" s="4" t="s">
        <v>320</v>
      </c>
      <c r="K232" s="4" t="s">
        <v>319</v>
      </c>
      <c r="L232" s="4"/>
    </row>
    <row r="233" spans="1:12" x14ac:dyDescent="0.3">
      <c r="A233" s="23"/>
      <c r="B233" s="4"/>
      <c r="C233" s="3"/>
      <c r="D233" s="17"/>
      <c r="E233" s="3"/>
      <c r="F233" s="3"/>
      <c r="G233" s="3">
        <v>32971.96</v>
      </c>
      <c r="H233" s="3"/>
      <c r="I233" s="48"/>
      <c r="J233" s="4" t="s">
        <v>371</v>
      </c>
      <c r="K233" s="4" t="s">
        <v>322</v>
      </c>
      <c r="L233" s="4"/>
    </row>
    <row r="234" spans="1:12" s="25" customFormat="1" x14ac:dyDescent="0.3">
      <c r="A234" s="27">
        <v>80</v>
      </c>
      <c r="B234" s="5" t="s">
        <v>43</v>
      </c>
      <c r="C234" s="24" t="s">
        <v>140</v>
      </c>
      <c r="D234" s="5">
        <v>1433</v>
      </c>
      <c r="E234" s="24"/>
      <c r="F234" s="24">
        <v>4672.8999999999996</v>
      </c>
      <c r="G234" s="24"/>
      <c r="H234" s="24"/>
      <c r="I234" s="47"/>
      <c r="J234" s="5"/>
      <c r="K234" s="12" t="s">
        <v>372</v>
      </c>
      <c r="L234" s="5"/>
    </row>
    <row r="235" spans="1:12" s="25" customFormat="1" x14ac:dyDescent="0.3">
      <c r="A235" s="27">
        <v>81</v>
      </c>
      <c r="B235" s="5" t="s">
        <v>44</v>
      </c>
      <c r="C235" s="24" t="s">
        <v>137</v>
      </c>
      <c r="D235" s="5">
        <v>1702</v>
      </c>
      <c r="E235" s="24"/>
      <c r="F235" s="24">
        <v>4672.8999999999996</v>
      </c>
      <c r="G235" s="24"/>
      <c r="H235" s="24"/>
      <c r="I235" s="47"/>
      <c r="J235" s="5"/>
      <c r="K235" s="12" t="s">
        <v>372</v>
      </c>
      <c r="L235" s="5"/>
    </row>
    <row r="236" spans="1:12" s="25" customFormat="1" ht="57.6" x14ac:dyDescent="0.3">
      <c r="A236" s="27">
        <v>82</v>
      </c>
      <c r="B236" s="5" t="s">
        <v>45</v>
      </c>
      <c r="C236" s="24" t="s">
        <v>129</v>
      </c>
      <c r="D236" s="5">
        <v>3316</v>
      </c>
      <c r="E236" s="24"/>
      <c r="F236" s="24">
        <v>49532.71</v>
      </c>
      <c r="G236" s="26">
        <f>SUM(G237:G243)</f>
        <v>91570</v>
      </c>
      <c r="H236" s="24">
        <f>+F236-G236</f>
        <v>-42037.29</v>
      </c>
      <c r="I236" s="51">
        <f>+H236/F236</f>
        <v>-0.84867736895477763</v>
      </c>
      <c r="J236" s="5"/>
      <c r="K236" s="5"/>
      <c r="L236" s="34" t="s">
        <v>595</v>
      </c>
    </row>
    <row r="237" spans="1:12" x14ac:dyDescent="0.3">
      <c r="A237" s="23"/>
      <c r="B237" s="4"/>
      <c r="C237" s="3"/>
      <c r="D237" s="17"/>
      <c r="E237" s="3"/>
      <c r="F237" s="3"/>
      <c r="G237" s="3">
        <v>32040</v>
      </c>
      <c r="H237" s="3"/>
      <c r="I237" s="48"/>
      <c r="J237" s="4" t="s">
        <v>374</v>
      </c>
      <c r="K237" s="4" t="s">
        <v>373</v>
      </c>
      <c r="L237" s="4"/>
    </row>
    <row r="238" spans="1:12" x14ac:dyDescent="0.3">
      <c r="A238" s="23"/>
      <c r="B238" s="4"/>
      <c r="C238" s="3"/>
      <c r="D238" s="17"/>
      <c r="E238" s="3"/>
      <c r="F238" s="3"/>
      <c r="G238" s="3">
        <v>1030</v>
      </c>
      <c r="H238" s="3"/>
      <c r="I238" s="48"/>
      <c r="J238" s="4" t="s">
        <v>375</v>
      </c>
      <c r="K238" s="4" t="s">
        <v>81</v>
      </c>
      <c r="L238" s="4"/>
    </row>
    <row r="239" spans="1:12" x14ac:dyDescent="0.3">
      <c r="A239" s="23"/>
      <c r="B239" s="4"/>
      <c r="C239" s="3"/>
      <c r="D239" s="17"/>
      <c r="E239" s="3"/>
      <c r="F239" s="3"/>
      <c r="G239" s="3">
        <v>1030</v>
      </c>
      <c r="H239" s="3"/>
      <c r="I239" s="48"/>
      <c r="J239" s="4" t="s">
        <v>376</v>
      </c>
      <c r="K239" s="4" t="s">
        <v>81</v>
      </c>
      <c r="L239" s="4"/>
    </row>
    <row r="240" spans="1:12" x14ac:dyDescent="0.3">
      <c r="A240" s="23"/>
      <c r="B240" s="4"/>
      <c r="C240" s="3"/>
      <c r="D240" s="17"/>
      <c r="E240" s="3"/>
      <c r="F240" s="3"/>
      <c r="G240" s="3">
        <v>4500</v>
      </c>
      <c r="H240" s="3"/>
      <c r="I240" s="48"/>
      <c r="J240" s="4" t="s">
        <v>378</v>
      </c>
      <c r="K240" s="4" t="s">
        <v>377</v>
      </c>
      <c r="L240" s="4"/>
    </row>
    <row r="241" spans="1:12" x14ac:dyDescent="0.3">
      <c r="A241" s="23"/>
      <c r="B241" s="4"/>
      <c r="C241" s="3"/>
      <c r="D241" s="17"/>
      <c r="E241" s="3"/>
      <c r="F241" s="3"/>
      <c r="G241" s="3">
        <v>9100</v>
      </c>
      <c r="H241" s="3"/>
      <c r="I241" s="48"/>
      <c r="J241" s="4" t="s">
        <v>379</v>
      </c>
      <c r="K241" s="4" t="s">
        <v>319</v>
      </c>
      <c r="L241" s="4"/>
    </row>
    <row r="242" spans="1:12" x14ac:dyDescent="0.3">
      <c r="A242" s="23"/>
      <c r="B242" s="4"/>
      <c r="C242" s="3"/>
      <c r="D242" s="17"/>
      <c r="E242" s="3"/>
      <c r="F242" s="3"/>
      <c r="G242" s="3">
        <v>9100</v>
      </c>
      <c r="H242" s="3"/>
      <c r="I242" s="48"/>
      <c r="J242" s="4" t="s">
        <v>380</v>
      </c>
      <c r="K242" s="4" t="s">
        <v>319</v>
      </c>
      <c r="L242" s="4"/>
    </row>
    <row r="243" spans="1:12" x14ac:dyDescent="0.3">
      <c r="A243" s="23"/>
      <c r="B243" s="4"/>
      <c r="C243" s="3"/>
      <c r="D243" s="17"/>
      <c r="E243" s="3"/>
      <c r="F243" s="3"/>
      <c r="G243" s="3">
        <v>34770</v>
      </c>
      <c r="H243" s="3"/>
      <c r="I243" s="48"/>
      <c r="J243" s="4" t="s">
        <v>381</v>
      </c>
      <c r="K243" s="4" t="s">
        <v>322</v>
      </c>
      <c r="L243" s="4"/>
    </row>
    <row r="244" spans="1:12" s="25" customFormat="1" ht="16.2" x14ac:dyDescent="0.3">
      <c r="A244" s="27">
        <v>83</v>
      </c>
      <c r="B244" s="5" t="s">
        <v>46</v>
      </c>
      <c r="C244" s="5" t="s">
        <v>133</v>
      </c>
      <c r="D244" s="5">
        <v>1111</v>
      </c>
      <c r="E244" s="24"/>
      <c r="F244" s="24">
        <v>7570.09</v>
      </c>
      <c r="G244" s="26">
        <f>SUM(G245:G245)</f>
        <v>5500</v>
      </c>
      <c r="H244" s="24">
        <f>+F244-G244</f>
        <v>2070.09</v>
      </c>
      <c r="I244" s="47">
        <f>+H244/F244</f>
        <v>0.27345645824554266</v>
      </c>
      <c r="J244" s="5"/>
      <c r="K244" s="5"/>
      <c r="L244" s="5"/>
    </row>
    <row r="245" spans="1:12" x14ac:dyDescent="0.3">
      <c r="A245" s="23"/>
      <c r="B245" s="4"/>
      <c r="C245" s="3"/>
      <c r="D245" s="17"/>
      <c r="E245" s="3"/>
      <c r="F245" s="3"/>
      <c r="G245" s="3">
        <v>5500</v>
      </c>
      <c r="H245" s="3"/>
      <c r="I245" s="48"/>
      <c r="J245" s="4" t="s">
        <v>382</v>
      </c>
      <c r="K245" s="4" t="s">
        <v>90</v>
      </c>
      <c r="L245" s="4"/>
    </row>
    <row r="246" spans="1:12" s="25" customFormat="1" ht="16.2" x14ac:dyDescent="0.3">
      <c r="A246" s="27">
        <v>84</v>
      </c>
      <c r="B246" s="5" t="s">
        <v>6</v>
      </c>
      <c r="C246" s="5" t="s">
        <v>129</v>
      </c>
      <c r="D246" s="5">
        <v>2614</v>
      </c>
      <c r="E246" s="24"/>
      <c r="F246" s="24">
        <v>7476.64</v>
      </c>
      <c r="G246" s="26">
        <f>SUM(G247:G248)</f>
        <v>5610</v>
      </c>
      <c r="H246" s="24">
        <f>+F246-G246</f>
        <v>1866.6400000000003</v>
      </c>
      <c r="I246" s="47">
        <f>+H246/F246</f>
        <v>0.24966295020222992</v>
      </c>
      <c r="J246" s="5"/>
      <c r="K246" s="5"/>
      <c r="L246" s="5"/>
    </row>
    <row r="247" spans="1:12" x14ac:dyDescent="0.3">
      <c r="A247" s="23"/>
      <c r="B247" s="4"/>
      <c r="C247" s="3"/>
      <c r="D247" s="17"/>
      <c r="E247" s="3"/>
      <c r="F247" s="3"/>
      <c r="G247" s="3">
        <v>3410</v>
      </c>
      <c r="H247" s="3"/>
      <c r="I247" s="48"/>
      <c r="J247" s="4" t="s">
        <v>56</v>
      </c>
      <c r="K247" s="4" t="s">
        <v>58</v>
      </c>
      <c r="L247" s="4"/>
    </row>
    <row r="248" spans="1:12" x14ac:dyDescent="0.3">
      <c r="A248" s="23"/>
      <c r="B248" s="4"/>
      <c r="C248" s="3"/>
      <c r="D248" s="17"/>
      <c r="E248" s="3"/>
      <c r="F248" s="3"/>
      <c r="G248" s="3">
        <v>2200</v>
      </c>
      <c r="H248" s="3"/>
      <c r="I248" s="48"/>
      <c r="J248" s="4" t="s">
        <v>57</v>
      </c>
      <c r="K248" s="4" t="s">
        <v>59</v>
      </c>
      <c r="L248" s="4"/>
    </row>
    <row r="249" spans="1:12" s="25" customFormat="1" ht="16.2" x14ac:dyDescent="0.3">
      <c r="A249" s="27">
        <v>85</v>
      </c>
      <c r="B249" s="5" t="s">
        <v>16</v>
      </c>
      <c r="C249" s="5" t="s">
        <v>141</v>
      </c>
      <c r="D249" s="5">
        <v>1737</v>
      </c>
      <c r="E249" s="24"/>
      <c r="F249" s="24">
        <v>252336.45</v>
      </c>
      <c r="G249" s="26">
        <f>SUM(G250:G251)</f>
        <v>175380</v>
      </c>
      <c r="H249" s="24">
        <f>+F249-G249</f>
        <v>76956.450000000012</v>
      </c>
      <c r="I249" s="47">
        <f>+H249/F249</f>
        <v>0.30497555941680249</v>
      </c>
      <c r="J249" s="5"/>
      <c r="K249" s="5"/>
      <c r="L249" s="5"/>
    </row>
    <row r="250" spans="1:12" x14ac:dyDescent="0.3">
      <c r="A250" s="4"/>
      <c r="B250" s="4"/>
      <c r="C250" s="4"/>
      <c r="D250" s="4"/>
      <c r="E250" s="3"/>
      <c r="F250" s="3"/>
      <c r="G250" s="3">
        <v>42060</v>
      </c>
      <c r="H250" s="3"/>
      <c r="I250" s="48"/>
      <c r="J250" s="4" t="s">
        <v>383</v>
      </c>
      <c r="K250" s="4" t="s">
        <v>63</v>
      </c>
      <c r="L250" s="4"/>
    </row>
    <row r="251" spans="1:12" x14ac:dyDescent="0.3">
      <c r="A251" s="4"/>
      <c r="B251" s="4"/>
      <c r="C251" s="4"/>
      <c r="D251" s="4"/>
      <c r="E251" s="3"/>
      <c r="F251" s="3"/>
      <c r="G251" s="3">
        <v>133320</v>
      </c>
      <c r="H251" s="3"/>
      <c r="I251" s="48"/>
      <c r="J251" s="4" t="s">
        <v>385</v>
      </c>
      <c r="K251" s="4" t="s">
        <v>384</v>
      </c>
      <c r="L251" s="4"/>
    </row>
  </sheetData>
  <autoFilter ref="A2:L205" xr:uid="{51179626-FC68-4442-A647-0560D80F07CC}"/>
  <mergeCells count="1">
    <mergeCell ref="H1:I1"/>
  </mergeCells>
  <pageMargins left="0.7" right="0.7" top="0.75" bottom="0.75" header="0.3" footer="0.3"/>
  <pageSetup orientation="portrait" horizont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096C-19BA-4819-B168-1B484CB6EAD6}">
  <dimension ref="A1:L198"/>
  <sheetViews>
    <sheetView tabSelected="1" workbookViewId="0">
      <selection activeCell="E15" sqref="E15"/>
    </sheetView>
  </sheetViews>
  <sheetFormatPr defaultColWidth="8.88671875" defaultRowHeight="14.4" x14ac:dyDescent="0.3"/>
  <cols>
    <col min="1" max="1" width="3.44140625" style="6" bestFit="1" customWidth="1"/>
    <col min="2" max="2" width="19.77734375" style="6" bestFit="1" customWidth="1"/>
    <col min="3" max="3" width="35.88671875" style="6" bestFit="1" customWidth="1"/>
    <col min="4" max="4" width="12.33203125" style="6" bestFit="1" customWidth="1"/>
    <col min="5" max="5" width="11.44140625" style="6" bestFit="1" customWidth="1"/>
    <col min="6" max="7" width="12.44140625" style="6" bestFit="1" customWidth="1"/>
    <col min="8" max="8" width="12.44140625" style="6" customWidth="1"/>
    <col min="9" max="9" width="12.44140625" style="55" customWidth="1"/>
    <col min="10" max="10" width="19.6640625" style="6" bestFit="1" customWidth="1"/>
    <col min="11" max="11" width="68.33203125" style="6" bestFit="1" customWidth="1"/>
    <col min="12" max="12" width="86.21875" style="6" customWidth="1"/>
    <col min="13" max="16384" width="8.88671875" style="6"/>
  </cols>
  <sheetData>
    <row r="1" spans="1:12" s="1" customFormat="1" x14ac:dyDescent="0.3">
      <c r="E1" s="19"/>
      <c r="F1" s="19"/>
      <c r="G1" s="20" t="s">
        <v>55</v>
      </c>
      <c r="H1" s="44" t="s">
        <v>589</v>
      </c>
      <c r="I1" s="45"/>
      <c r="J1" s="21" t="s">
        <v>55</v>
      </c>
      <c r="K1" s="21" t="s">
        <v>55</v>
      </c>
    </row>
    <row r="2" spans="1:12" s="1" customFormat="1" x14ac:dyDescent="0.3">
      <c r="A2" s="2" t="s">
        <v>0</v>
      </c>
      <c r="B2" s="2" t="s">
        <v>1</v>
      </c>
      <c r="C2" s="2" t="s">
        <v>113</v>
      </c>
      <c r="D2" s="2" t="s">
        <v>2</v>
      </c>
      <c r="E2" s="22" t="s">
        <v>3</v>
      </c>
      <c r="F2" s="22" t="s">
        <v>4</v>
      </c>
      <c r="G2" s="20" t="s">
        <v>52</v>
      </c>
      <c r="H2" s="20" t="s">
        <v>590</v>
      </c>
      <c r="I2" s="46" t="s">
        <v>591</v>
      </c>
      <c r="J2" s="21" t="s">
        <v>53</v>
      </c>
      <c r="K2" s="21" t="s">
        <v>54</v>
      </c>
      <c r="L2" s="2" t="s">
        <v>5</v>
      </c>
    </row>
    <row r="3" spans="1:12" s="25" customFormat="1" ht="28.8" x14ac:dyDescent="0.3">
      <c r="A3" s="27">
        <v>1</v>
      </c>
      <c r="B3" s="5" t="s">
        <v>415</v>
      </c>
      <c r="C3" s="24" t="s">
        <v>129</v>
      </c>
      <c r="D3" s="18">
        <v>1922</v>
      </c>
      <c r="E3" s="24"/>
      <c r="F3" s="24">
        <v>46728.97</v>
      </c>
      <c r="G3" s="26">
        <f>SUM(G4:G6)</f>
        <v>55300</v>
      </c>
      <c r="H3" s="24">
        <f>+F3-G3</f>
        <v>-8571.0299999999988</v>
      </c>
      <c r="I3" s="51">
        <f>+H3/F3</f>
        <v>-0.18342004970364206</v>
      </c>
      <c r="J3" s="5"/>
      <c r="K3" s="5"/>
      <c r="L3" s="34" t="s">
        <v>595</v>
      </c>
    </row>
    <row r="4" spans="1:12" s="1" customFormat="1" x14ac:dyDescent="0.3">
      <c r="A4" s="23"/>
      <c r="B4" s="4"/>
      <c r="C4" s="3"/>
      <c r="D4" s="17"/>
      <c r="E4" s="3"/>
      <c r="F4" s="3"/>
      <c r="G4" s="3">
        <v>18330</v>
      </c>
      <c r="H4" s="3"/>
      <c r="I4" s="48"/>
      <c r="J4" s="4" t="s">
        <v>461</v>
      </c>
      <c r="K4" s="4" t="s">
        <v>373</v>
      </c>
      <c r="L4" s="4"/>
    </row>
    <row r="5" spans="1:12" s="1" customFormat="1" x14ac:dyDescent="0.3">
      <c r="A5" s="23"/>
      <c r="B5" s="4"/>
      <c r="C5" s="3"/>
      <c r="D5" s="17"/>
      <c r="E5" s="3"/>
      <c r="F5" s="3"/>
      <c r="G5" s="3">
        <v>15400</v>
      </c>
      <c r="H5" s="3"/>
      <c r="I5" s="48"/>
      <c r="J5" s="4" t="s">
        <v>462</v>
      </c>
      <c r="K5" s="4" t="s">
        <v>319</v>
      </c>
      <c r="L5" s="4"/>
    </row>
    <row r="6" spans="1:12" s="1" customFormat="1" x14ac:dyDescent="0.3">
      <c r="A6" s="23"/>
      <c r="B6" s="4"/>
      <c r="C6" s="3"/>
      <c r="D6" s="17"/>
      <c r="E6" s="3"/>
      <c r="F6" s="3"/>
      <c r="G6" s="3">
        <v>21570</v>
      </c>
      <c r="H6" s="3"/>
      <c r="I6" s="48"/>
      <c r="J6" s="4" t="s">
        <v>463</v>
      </c>
      <c r="K6" s="4" t="s">
        <v>322</v>
      </c>
      <c r="L6" s="4"/>
    </row>
    <row r="7" spans="1:12" s="25" customFormat="1" ht="16.2" x14ac:dyDescent="0.3">
      <c r="A7" s="27">
        <v>2</v>
      </c>
      <c r="B7" s="5" t="s">
        <v>416</v>
      </c>
      <c r="C7" s="24" t="s">
        <v>131</v>
      </c>
      <c r="D7" s="18">
        <v>1709</v>
      </c>
      <c r="E7" s="24"/>
      <c r="F7" s="24">
        <v>4672.8999999999996</v>
      </c>
      <c r="G7" s="26">
        <f>SUM(G8)</f>
        <v>2100</v>
      </c>
      <c r="H7" s="24">
        <f>+F7-G7</f>
        <v>2572.8999999999996</v>
      </c>
      <c r="I7" s="47">
        <f>+H7/F7</f>
        <v>0.55060026963983821</v>
      </c>
      <c r="J7" s="5"/>
      <c r="K7" s="5"/>
      <c r="L7" s="5"/>
    </row>
    <row r="8" spans="1:12" s="1" customFormat="1" x14ac:dyDescent="0.3">
      <c r="A8" s="23"/>
      <c r="B8" s="4"/>
      <c r="C8" s="3"/>
      <c r="D8" s="17"/>
      <c r="E8" s="3"/>
      <c r="F8" s="3"/>
      <c r="G8" s="3">
        <v>2100</v>
      </c>
      <c r="H8" s="3"/>
      <c r="I8" s="48"/>
      <c r="J8" s="4" t="s">
        <v>464</v>
      </c>
      <c r="K8" s="4" t="s">
        <v>78</v>
      </c>
      <c r="L8" s="4"/>
    </row>
    <row r="9" spans="1:12" s="25" customFormat="1" ht="28.8" x14ac:dyDescent="0.3">
      <c r="A9" s="27">
        <v>3</v>
      </c>
      <c r="B9" s="5" t="s">
        <v>417</v>
      </c>
      <c r="C9" s="24" t="s">
        <v>129</v>
      </c>
      <c r="D9" s="18">
        <v>1809</v>
      </c>
      <c r="E9" s="24"/>
      <c r="F9" s="24">
        <v>46728.97</v>
      </c>
      <c r="G9" s="26">
        <f>SUM(G10:G16)</f>
        <v>91570</v>
      </c>
      <c r="H9" s="24">
        <f>+F9-G9</f>
        <v>-44841.03</v>
      </c>
      <c r="I9" s="51">
        <f>+H9/F9</f>
        <v>-0.95959808230311938</v>
      </c>
      <c r="J9" s="5"/>
      <c r="K9" s="5"/>
      <c r="L9" s="34" t="s">
        <v>595</v>
      </c>
    </row>
    <row r="10" spans="1:12" s="1" customFormat="1" x14ac:dyDescent="0.3">
      <c r="A10" s="23"/>
      <c r="B10" s="4"/>
      <c r="C10" s="3"/>
      <c r="D10" s="17"/>
      <c r="E10" s="3"/>
      <c r="F10" s="3"/>
      <c r="G10" s="3">
        <v>32040</v>
      </c>
      <c r="H10" s="3"/>
      <c r="I10" s="48"/>
      <c r="J10" s="4" t="s">
        <v>465</v>
      </c>
      <c r="K10" s="4" t="s">
        <v>373</v>
      </c>
      <c r="L10" s="4"/>
    </row>
    <row r="11" spans="1:12" s="1" customFormat="1" x14ac:dyDescent="0.3">
      <c r="A11" s="23"/>
      <c r="B11" s="4"/>
      <c r="C11" s="3"/>
      <c r="D11" s="17"/>
      <c r="E11" s="3"/>
      <c r="F11" s="3"/>
      <c r="G11" s="3">
        <v>1030</v>
      </c>
      <c r="H11" s="3"/>
      <c r="I11" s="48"/>
      <c r="J11" s="4" t="s">
        <v>466</v>
      </c>
      <c r="K11" s="4" t="s">
        <v>81</v>
      </c>
      <c r="L11" s="4"/>
    </row>
    <row r="12" spans="1:12" s="1" customFormat="1" x14ac:dyDescent="0.3">
      <c r="A12" s="23"/>
      <c r="B12" s="4"/>
      <c r="C12" s="3"/>
      <c r="D12" s="17"/>
      <c r="E12" s="3"/>
      <c r="F12" s="3"/>
      <c r="G12" s="3">
        <v>1030</v>
      </c>
      <c r="H12" s="3"/>
      <c r="I12" s="48"/>
      <c r="J12" s="4" t="s">
        <v>468</v>
      </c>
      <c r="K12" s="4" t="s">
        <v>81</v>
      </c>
      <c r="L12" s="4"/>
    </row>
    <row r="13" spans="1:12" s="1" customFormat="1" x14ac:dyDescent="0.3">
      <c r="A13" s="23"/>
      <c r="B13" s="4"/>
      <c r="C13" s="3"/>
      <c r="D13" s="17"/>
      <c r="E13" s="3"/>
      <c r="F13" s="3"/>
      <c r="G13" s="3">
        <v>4500</v>
      </c>
      <c r="H13" s="3"/>
      <c r="I13" s="48"/>
      <c r="J13" s="4" t="s">
        <v>378</v>
      </c>
      <c r="K13" s="4" t="s">
        <v>377</v>
      </c>
      <c r="L13" s="4"/>
    </row>
    <row r="14" spans="1:12" s="1" customFormat="1" x14ac:dyDescent="0.3">
      <c r="A14" s="23"/>
      <c r="B14" s="4"/>
      <c r="C14" s="3"/>
      <c r="D14" s="17"/>
      <c r="E14" s="3"/>
      <c r="F14" s="3"/>
      <c r="G14" s="3">
        <v>9100</v>
      </c>
      <c r="H14" s="3"/>
      <c r="I14" s="48"/>
      <c r="J14" s="4" t="s">
        <v>467</v>
      </c>
      <c r="K14" s="4" t="s">
        <v>319</v>
      </c>
      <c r="L14" s="4"/>
    </row>
    <row r="15" spans="1:12" s="1" customFormat="1" x14ac:dyDescent="0.3">
      <c r="A15" s="23"/>
      <c r="B15" s="4"/>
      <c r="C15" s="3"/>
      <c r="D15" s="17"/>
      <c r="E15" s="3"/>
      <c r="F15" s="3"/>
      <c r="G15" s="3">
        <v>9100</v>
      </c>
      <c r="H15" s="3"/>
      <c r="I15" s="48"/>
      <c r="J15" s="4" t="s">
        <v>469</v>
      </c>
      <c r="K15" s="4" t="s">
        <v>319</v>
      </c>
      <c r="L15" s="4"/>
    </row>
    <row r="16" spans="1:12" s="1" customFormat="1" x14ac:dyDescent="0.3">
      <c r="A16" s="23"/>
      <c r="B16" s="4"/>
      <c r="C16" s="3"/>
      <c r="D16" s="17"/>
      <c r="E16" s="3"/>
      <c r="F16" s="3"/>
      <c r="G16" s="3">
        <v>34770</v>
      </c>
      <c r="H16" s="3"/>
      <c r="I16" s="48"/>
      <c r="J16" s="4" t="s">
        <v>470</v>
      </c>
      <c r="K16" s="4" t="s">
        <v>322</v>
      </c>
      <c r="L16" s="4"/>
    </row>
    <row r="17" spans="1:12" s="25" customFormat="1" ht="16.2" x14ac:dyDescent="0.3">
      <c r="A17" s="27">
        <v>4</v>
      </c>
      <c r="B17" s="5" t="s">
        <v>418</v>
      </c>
      <c r="C17" s="24" t="s">
        <v>131</v>
      </c>
      <c r="D17" s="18">
        <v>1718</v>
      </c>
      <c r="E17" s="24"/>
      <c r="F17" s="24">
        <v>1869.16</v>
      </c>
      <c r="G17" s="26">
        <f>SUM(G18:G18)</f>
        <v>1500</v>
      </c>
      <c r="H17" s="24">
        <f>+F17-G17</f>
        <v>369.16000000000008</v>
      </c>
      <c r="I17" s="47">
        <f>+H17/F17</f>
        <v>0.19750048149971114</v>
      </c>
      <c r="J17" s="5"/>
      <c r="K17" s="5"/>
      <c r="L17" s="5"/>
    </row>
    <row r="18" spans="1:12" s="1" customFormat="1" x14ac:dyDescent="0.3">
      <c r="A18" s="23"/>
      <c r="B18" s="4"/>
      <c r="C18" s="3"/>
      <c r="D18" s="17"/>
      <c r="E18" s="3"/>
      <c r="F18" s="3"/>
      <c r="G18" s="3">
        <v>1500</v>
      </c>
      <c r="H18" s="3"/>
      <c r="I18" s="48"/>
      <c r="J18" s="4" t="s">
        <v>471</v>
      </c>
      <c r="K18" s="4" t="s">
        <v>78</v>
      </c>
      <c r="L18" s="4"/>
    </row>
    <row r="19" spans="1:12" s="25" customFormat="1" ht="16.2" x14ac:dyDescent="0.3">
      <c r="A19" s="27">
        <v>5</v>
      </c>
      <c r="B19" s="5" t="s">
        <v>419</v>
      </c>
      <c r="C19" s="24" t="s">
        <v>399</v>
      </c>
      <c r="D19" s="18" t="s">
        <v>400</v>
      </c>
      <c r="E19" s="24"/>
      <c r="F19" s="24">
        <v>4672.8999999999996</v>
      </c>
      <c r="G19" s="26"/>
      <c r="H19" s="26"/>
      <c r="I19" s="53"/>
      <c r="J19" s="5"/>
      <c r="K19" s="5"/>
      <c r="L19" s="5" t="s">
        <v>473</v>
      </c>
    </row>
    <row r="20" spans="1:12" s="25" customFormat="1" ht="16.2" x14ac:dyDescent="0.3">
      <c r="A20" s="27">
        <v>6</v>
      </c>
      <c r="B20" s="5" t="s">
        <v>420</v>
      </c>
      <c r="C20" s="24" t="s">
        <v>401</v>
      </c>
      <c r="D20" s="18" t="s">
        <v>402</v>
      </c>
      <c r="E20" s="24"/>
      <c r="F20" s="24">
        <v>255100</v>
      </c>
      <c r="G20" s="26">
        <f>SUM(G21:G24)</f>
        <v>230919</v>
      </c>
      <c r="H20" s="24">
        <f>+F20-G20</f>
        <v>24181</v>
      </c>
      <c r="I20" s="54">
        <f>+H20/F20</f>
        <v>9.4790278322226584E-2</v>
      </c>
      <c r="J20" s="5"/>
      <c r="K20" s="5"/>
      <c r="L20" s="5" t="s">
        <v>593</v>
      </c>
    </row>
    <row r="21" spans="1:12" s="1" customFormat="1" x14ac:dyDescent="0.3">
      <c r="A21" s="23"/>
      <c r="B21" s="4"/>
      <c r="C21" s="3"/>
      <c r="D21" s="17"/>
      <c r="E21" s="3"/>
      <c r="F21" s="3"/>
      <c r="G21" s="3">
        <v>185000</v>
      </c>
      <c r="H21" s="3"/>
      <c r="I21" s="48"/>
      <c r="J21" s="4" t="s">
        <v>475</v>
      </c>
      <c r="K21" s="4" t="s">
        <v>474</v>
      </c>
      <c r="L21" s="4"/>
    </row>
    <row r="22" spans="1:12" s="1" customFormat="1" x14ac:dyDescent="0.3">
      <c r="A22" s="23"/>
      <c r="B22" s="4"/>
      <c r="C22" s="3"/>
      <c r="D22" s="17"/>
      <c r="E22" s="3"/>
      <c r="F22" s="3"/>
      <c r="G22" s="3">
        <v>23650</v>
      </c>
      <c r="H22" s="3"/>
      <c r="I22" s="48"/>
      <c r="J22" s="4" t="s">
        <v>477</v>
      </c>
      <c r="K22" s="4" t="s">
        <v>476</v>
      </c>
      <c r="L22" s="4"/>
    </row>
    <row r="23" spans="1:12" s="1" customFormat="1" x14ac:dyDescent="0.3">
      <c r="A23" s="23"/>
      <c r="B23" s="4"/>
      <c r="C23" s="3"/>
      <c r="D23" s="17"/>
      <c r="E23" s="3"/>
      <c r="F23" s="3"/>
      <c r="G23" s="3">
        <v>8500</v>
      </c>
      <c r="H23" s="3"/>
      <c r="I23" s="48"/>
      <c r="J23" s="4" t="s">
        <v>478</v>
      </c>
      <c r="K23" s="4" t="s">
        <v>59</v>
      </c>
      <c r="L23" s="4"/>
    </row>
    <row r="24" spans="1:12" s="1" customFormat="1" x14ac:dyDescent="0.3">
      <c r="A24" s="23"/>
      <c r="B24" s="4"/>
      <c r="C24" s="3"/>
      <c r="D24" s="17"/>
      <c r="E24" s="3"/>
      <c r="F24" s="3"/>
      <c r="G24" s="3">
        <v>13769</v>
      </c>
      <c r="H24" s="3"/>
      <c r="I24" s="48"/>
      <c r="J24" s="4" t="s">
        <v>479</v>
      </c>
      <c r="K24" s="4" t="s">
        <v>58</v>
      </c>
      <c r="L24" s="4"/>
    </row>
    <row r="25" spans="1:12" s="25" customFormat="1" ht="16.2" x14ac:dyDescent="0.3">
      <c r="A25" s="27">
        <v>7</v>
      </c>
      <c r="B25" s="5" t="s">
        <v>421</v>
      </c>
      <c r="C25" s="24" t="s">
        <v>401</v>
      </c>
      <c r="D25" s="18" t="s">
        <v>403</v>
      </c>
      <c r="E25" s="24"/>
      <c r="F25" s="24">
        <v>212730</v>
      </c>
      <c r="G25" s="26">
        <f>SUM(G26:G29)</f>
        <v>197994</v>
      </c>
      <c r="H25" s="24">
        <f>+F25-G25</f>
        <v>14736</v>
      </c>
      <c r="I25" s="54">
        <f>+H25/F25</f>
        <v>6.9270906783246364E-2</v>
      </c>
      <c r="J25" s="5"/>
      <c r="K25" s="5"/>
      <c r="L25" s="5" t="s">
        <v>594</v>
      </c>
    </row>
    <row r="26" spans="1:12" s="1" customFormat="1" x14ac:dyDescent="0.3">
      <c r="A26" s="23"/>
      <c r="B26" s="4"/>
      <c r="C26" s="3"/>
      <c r="D26" s="17"/>
      <c r="E26" s="3"/>
      <c r="F26" s="3"/>
      <c r="G26" s="3">
        <v>153000</v>
      </c>
      <c r="H26" s="3"/>
      <c r="I26" s="48"/>
      <c r="J26" s="4" t="s">
        <v>480</v>
      </c>
      <c r="K26" s="4" t="s">
        <v>474</v>
      </c>
      <c r="L26" s="4"/>
    </row>
    <row r="27" spans="1:12" s="1" customFormat="1" x14ac:dyDescent="0.3">
      <c r="A27" s="23"/>
      <c r="B27" s="4"/>
      <c r="C27" s="3"/>
      <c r="D27" s="17"/>
      <c r="E27" s="3"/>
      <c r="F27" s="3"/>
      <c r="G27" s="3">
        <v>24244</v>
      </c>
      <c r="H27" s="3"/>
      <c r="I27" s="48"/>
      <c r="J27" s="4" t="s">
        <v>481</v>
      </c>
      <c r="K27" s="4" t="s">
        <v>476</v>
      </c>
      <c r="L27" s="4"/>
    </row>
    <row r="28" spans="1:12" s="1" customFormat="1" x14ac:dyDescent="0.3">
      <c r="A28" s="23"/>
      <c r="B28" s="4"/>
      <c r="C28" s="3"/>
      <c r="D28" s="17"/>
      <c r="E28" s="3"/>
      <c r="F28" s="3"/>
      <c r="G28" s="3">
        <v>8500</v>
      </c>
      <c r="H28" s="3"/>
      <c r="I28" s="48"/>
      <c r="J28" s="4" t="s">
        <v>482</v>
      </c>
      <c r="K28" s="4" t="s">
        <v>59</v>
      </c>
      <c r="L28" s="4"/>
    </row>
    <row r="29" spans="1:12" s="1" customFormat="1" x14ac:dyDescent="0.3">
      <c r="A29" s="23"/>
      <c r="B29" s="4"/>
      <c r="C29" s="3"/>
      <c r="D29" s="17"/>
      <c r="E29" s="3"/>
      <c r="F29" s="3"/>
      <c r="G29" s="3">
        <v>12250</v>
      </c>
      <c r="H29" s="3"/>
      <c r="I29" s="48"/>
      <c r="J29" s="4" t="s">
        <v>483</v>
      </c>
      <c r="K29" s="4" t="s">
        <v>58</v>
      </c>
      <c r="L29" s="4"/>
    </row>
    <row r="30" spans="1:12" s="25" customFormat="1" ht="28.8" x14ac:dyDescent="0.3">
      <c r="A30" s="27">
        <v>8</v>
      </c>
      <c r="B30" s="5" t="s">
        <v>422</v>
      </c>
      <c r="C30" s="24" t="s">
        <v>129</v>
      </c>
      <c r="D30" s="18">
        <v>2401</v>
      </c>
      <c r="E30" s="24"/>
      <c r="F30" s="24">
        <v>78495.33</v>
      </c>
      <c r="G30" s="26">
        <f>SUM(G31:G42)</f>
        <v>111077.37</v>
      </c>
      <c r="H30" s="24">
        <f>+F30-G30</f>
        <v>-32582.039999999994</v>
      </c>
      <c r="I30" s="51">
        <f>+H30/F30</f>
        <v>-0.41508252783955418</v>
      </c>
      <c r="J30" s="5"/>
      <c r="K30" s="5"/>
      <c r="L30" s="34" t="s">
        <v>595</v>
      </c>
    </row>
    <row r="31" spans="1:12" s="1" customFormat="1" x14ac:dyDescent="0.3">
      <c r="A31" s="23"/>
      <c r="B31" s="4"/>
      <c r="C31" s="3"/>
      <c r="D31" s="17"/>
      <c r="E31" s="3"/>
      <c r="F31" s="3"/>
      <c r="G31" s="3">
        <v>6300</v>
      </c>
      <c r="H31" s="3"/>
      <c r="I31" s="48"/>
      <c r="J31" s="4" t="s">
        <v>484</v>
      </c>
      <c r="K31" s="4" t="s">
        <v>63</v>
      </c>
      <c r="L31" s="4"/>
    </row>
    <row r="32" spans="1:12" s="1" customFormat="1" x14ac:dyDescent="0.3">
      <c r="A32" s="23"/>
      <c r="B32" s="4"/>
      <c r="C32" s="3"/>
      <c r="D32" s="17"/>
      <c r="E32" s="3"/>
      <c r="F32" s="3"/>
      <c r="G32" s="3">
        <v>32040</v>
      </c>
      <c r="H32" s="3"/>
      <c r="I32" s="48"/>
      <c r="J32" s="4" t="s">
        <v>485</v>
      </c>
      <c r="K32" s="4" t="s">
        <v>373</v>
      </c>
      <c r="L32" s="4"/>
    </row>
    <row r="33" spans="1:12" s="1" customFormat="1" x14ac:dyDescent="0.3">
      <c r="A33" s="23"/>
      <c r="B33" s="4"/>
      <c r="C33" s="3"/>
      <c r="D33" s="17"/>
      <c r="E33" s="3"/>
      <c r="F33" s="3"/>
      <c r="G33" s="3">
        <v>1030</v>
      </c>
      <c r="H33" s="3"/>
      <c r="I33" s="48"/>
      <c r="J33" s="4" t="s">
        <v>486</v>
      </c>
      <c r="K33" s="4" t="s">
        <v>81</v>
      </c>
      <c r="L33" s="4"/>
    </row>
    <row r="34" spans="1:12" s="1" customFormat="1" x14ac:dyDescent="0.3">
      <c r="A34" s="23"/>
      <c r="B34" s="4"/>
      <c r="C34" s="3"/>
      <c r="D34" s="17"/>
      <c r="E34" s="3"/>
      <c r="F34" s="3"/>
      <c r="G34" s="3">
        <v>1030</v>
      </c>
      <c r="H34" s="3"/>
      <c r="I34" s="48"/>
      <c r="J34" s="4" t="s">
        <v>487</v>
      </c>
      <c r="K34" s="4" t="s">
        <v>81</v>
      </c>
      <c r="L34" s="4"/>
    </row>
    <row r="35" spans="1:12" s="1" customFormat="1" x14ac:dyDescent="0.3">
      <c r="A35" s="23"/>
      <c r="B35" s="4"/>
      <c r="C35" s="3"/>
      <c r="D35" s="17"/>
      <c r="E35" s="3"/>
      <c r="F35" s="3"/>
      <c r="G35" s="3">
        <v>4500</v>
      </c>
      <c r="H35" s="3"/>
      <c r="I35" s="48"/>
      <c r="J35" s="4" t="s">
        <v>378</v>
      </c>
      <c r="K35" s="4" t="s">
        <v>377</v>
      </c>
      <c r="L35" s="4"/>
    </row>
    <row r="36" spans="1:12" s="1" customFormat="1" x14ac:dyDescent="0.3">
      <c r="A36" s="23"/>
      <c r="B36" s="4"/>
      <c r="C36" s="3"/>
      <c r="D36" s="17"/>
      <c r="E36" s="3"/>
      <c r="F36" s="3"/>
      <c r="G36" s="3">
        <v>2479</v>
      </c>
      <c r="H36" s="3"/>
      <c r="I36" s="48"/>
      <c r="J36" s="4" t="s">
        <v>488</v>
      </c>
      <c r="K36" s="4" t="s">
        <v>69</v>
      </c>
      <c r="L36" s="4"/>
    </row>
    <row r="37" spans="1:12" s="1" customFormat="1" x14ac:dyDescent="0.3">
      <c r="A37" s="23"/>
      <c r="B37" s="4"/>
      <c r="C37" s="3"/>
      <c r="D37" s="17"/>
      <c r="E37" s="3"/>
      <c r="F37" s="3"/>
      <c r="G37" s="3">
        <v>7400</v>
      </c>
      <c r="H37" s="3"/>
      <c r="I37" s="48"/>
      <c r="J37" s="4" t="s">
        <v>489</v>
      </c>
      <c r="K37" s="4" t="s">
        <v>62</v>
      </c>
      <c r="L37" s="4"/>
    </row>
    <row r="38" spans="1:12" s="1" customFormat="1" x14ac:dyDescent="0.3">
      <c r="A38" s="23"/>
      <c r="B38" s="4"/>
      <c r="C38" s="3"/>
      <c r="D38" s="17"/>
      <c r="E38" s="3"/>
      <c r="F38" s="3"/>
      <c r="G38" s="3">
        <v>1480.37</v>
      </c>
      <c r="H38" s="3"/>
      <c r="I38" s="48"/>
      <c r="J38" s="4" t="s">
        <v>490</v>
      </c>
      <c r="K38" s="4" t="s">
        <v>91</v>
      </c>
      <c r="L38" s="4"/>
    </row>
    <row r="39" spans="1:12" s="1" customFormat="1" x14ac:dyDescent="0.3">
      <c r="A39" s="23"/>
      <c r="B39" s="4"/>
      <c r="C39" s="3"/>
      <c r="D39" s="17"/>
      <c r="E39" s="3"/>
      <c r="F39" s="3"/>
      <c r="G39" s="3">
        <v>9100</v>
      </c>
      <c r="H39" s="3"/>
      <c r="I39" s="48"/>
      <c r="J39" s="4" t="s">
        <v>491</v>
      </c>
      <c r="K39" s="4" t="s">
        <v>319</v>
      </c>
      <c r="L39" s="4"/>
    </row>
    <row r="40" spans="1:12" s="1" customFormat="1" x14ac:dyDescent="0.3">
      <c r="A40" s="23"/>
      <c r="B40" s="4"/>
      <c r="C40" s="3"/>
      <c r="D40" s="17"/>
      <c r="E40" s="3"/>
      <c r="F40" s="3"/>
      <c r="G40" s="3">
        <v>9100</v>
      </c>
      <c r="H40" s="3"/>
      <c r="I40" s="48"/>
      <c r="J40" s="4" t="s">
        <v>492</v>
      </c>
      <c r="K40" s="4" t="s">
        <v>319</v>
      </c>
      <c r="L40" s="4"/>
    </row>
    <row r="41" spans="1:12" s="1" customFormat="1" x14ac:dyDescent="0.3">
      <c r="A41" s="23"/>
      <c r="B41" s="4"/>
      <c r="C41" s="3"/>
      <c r="D41" s="17"/>
      <c r="E41" s="3"/>
      <c r="F41" s="3"/>
      <c r="G41" s="3">
        <v>34770</v>
      </c>
      <c r="H41" s="3"/>
      <c r="I41" s="48"/>
      <c r="J41" s="4" t="s">
        <v>493</v>
      </c>
      <c r="K41" s="4" t="s">
        <v>322</v>
      </c>
      <c r="L41" s="4"/>
    </row>
    <row r="42" spans="1:12" s="1" customFormat="1" x14ac:dyDescent="0.3">
      <c r="A42" s="23"/>
      <c r="B42" s="4"/>
      <c r="C42" s="3"/>
      <c r="D42" s="17"/>
      <c r="E42" s="3"/>
      <c r="F42" s="3"/>
      <c r="G42" s="3">
        <v>1848</v>
      </c>
      <c r="H42" s="3"/>
      <c r="I42" s="48"/>
      <c r="J42" s="4" t="s">
        <v>494</v>
      </c>
      <c r="K42" s="4" t="s">
        <v>65</v>
      </c>
      <c r="L42" s="4"/>
    </row>
    <row r="43" spans="1:12" s="25" customFormat="1" ht="16.2" x14ac:dyDescent="0.3">
      <c r="A43" s="27">
        <v>9</v>
      </c>
      <c r="B43" s="5" t="s">
        <v>423</v>
      </c>
      <c r="C43" s="24" t="s">
        <v>404</v>
      </c>
      <c r="D43" s="18" t="s">
        <v>405</v>
      </c>
      <c r="E43" s="24"/>
      <c r="F43" s="24">
        <v>10280.370000000001</v>
      </c>
      <c r="G43" s="26">
        <f>SUM(G44)</f>
        <v>7000</v>
      </c>
      <c r="H43" s="24">
        <f>+F43-G43</f>
        <v>3280.3700000000008</v>
      </c>
      <c r="I43" s="47">
        <f>+H43/F43</f>
        <v>0.31909065529742614</v>
      </c>
      <c r="J43" s="5"/>
      <c r="K43" s="5"/>
      <c r="L43" s="5"/>
    </row>
    <row r="44" spans="1:12" s="1" customFormat="1" x14ac:dyDescent="0.3">
      <c r="A44" s="23"/>
      <c r="B44" s="4"/>
      <c r="C44" s="3"/>
      <c r="D44" s="17"/>
      <c r="E44" s="3"/>
      <c r="F44" s="3"/>
      <c r="G44" s="3">
        <v>7000</v>
      </c>
      <c r="H44" s="3"/>
      <c r="I44" s="48"/>
      <c r="J44" s="4" t="s">
        <v>495</v>
      </c>
      <c r="K44" s="4" t="s">
        <v>63</v>
      </c>
      <c r="L44" s="4"/>
    </row>
    <row r="45" spans="1:12" s="25" customFormat="1" ht="16.2" x14ac:dyDescent="0.3">
      <c r="A45" s="27">
        <v>10</v>
      </c>
      <c r="B45" s="5" t="s">
        <v>424</v>
      </c>
      <c r="C45" s="24" t="s">
        <v>406</v>
      </c>
      <c r="D45" s="18">
        <v>1628</v>
      </c>
      <c r="E45" s="24"/>
      <c r="F45" s="24">
        <v>32970</v>
      </c>
      <c r="G45" s="26">
        <f>SUM(G46)</f>
        <v>13000</v>
      </c>
      <c r="H45" s="24">
        <f>+F45-G45</f>
        <v>19970</v>
      </c>
      <c r="I45" s="47">
        <f>+H45/F45</f>
        <v>0.60570215347285405</v>
      </c>
      <c r="J45" s="5"/>
      <c r="K45" s="5"/>
      <c r="L45" s="5"/>
    </row>
    <row r="46" spans="1:12" s="1" customFormat="1" x14ac:dyDescent="0.3">
      <c r="A46" s="23"/>
      <c r="B46" s="4"/>
      <c r="C46" s="3"/>
      <c r="D46" s="17"/>
      <c r="E46" s="3"/>
      <c r="F46" s="3"/>
      <c r="G46" s="3">
        <v>13000</v>
      </c>
      <c r="H46" s="3"/>
      <c r="I46" s="48"/>
      <c r="J46" s="4" t="s">
        <v>496</v>
      </c>
      <c r="K46" s="4" t="s">
        <v>63</v>
      </c>
      <c r="L46" s="4"/>
    </row>
    <row r="47" spans="1:12" s="25" customFormat="1" ht="16.2" x14ac:dyDescent="0.3">
      <c r="A47" s="27">
        <v>11</v>
      </c>
      <c r="B47" s="5" t="s">
        <v>424</v>
      </c>
      <c r="C47" s="24" t="s">
        <v>406</v>
      </c>
      <c r="D47" s="18">
        <v>1833</v>
      </c>
      <c r="E47" s="24"/>
      <c r="F47" s="24">
        <v>29830</v>
      </c>
      <c r="G47" s="26">
        <f>SUM(G48)</f>
        <v>13000</v>
      </c>
      <c r="H47" s="24">
        <f>+F47-G47</f>
        <v>16830</v>
      </c>
      <c r="I47" s="47">
        <f>+H47/F47</f>
        <v>0.56419711699631248</v>
      </c>
      <c r="J47" s="5"/>
      <c r="K47" s="5"/>
      <c r="L47" s="5"/>
    </row>
    <row r="48" spans="1:12" s="1" customFormat="1" x14ac:dyDescent="0.3">
      <c r="A48" s="23"/>
      <c r="B48" s="4"/>
      <c r="C48" s="3"/>
      <c r="D48" s="17"/>
      <c r="E48" s="3"/>
      <c r="F48" s="3"/>
      <c r="G48" s="3">
        <v>13000</v>
      </c>
      <c r="H48" s="3"/>
      <c r="I48" s="48"/>
      <c r="J48" s="4" t="s">
        <v>497</v>
      </c>
      <c r="K48" s="4" t="s">
        <v>63</v>
      </c>
      <c r="L48" s="4"/>
    </row>
    <row r="49" spans="1:12" s="25" customFormat="1" ht="16.2" x14ac:dyDescent="0.3">
      <c r="A49" s="27">
        <v>12</v>
      </c>
      <c r="B49" s="5" t="s">
        <v>424</v>
      </c>
      <c r="C49" s="24" t="s">
        <v>406</v>
      </c>
      <c r="D49" s="18">
        <v>2222</v>
      </c>
      <c r="E49" s="24"/>
      <c r="F49" s="24">
        <v>32970</v>
      </c>
      <c r="G49" s="26">
        <f>SUM(G50)</f>
        <v>13000</v>
      </c>
      <c r="H49" s="24">
        <f>+F49-G49</f>
        <v>19970</v>
      </c>
      <c r="I49" s="47">
        <f>+H49/F49</f>
        <v>0.60570215347285405</v>
      </c>
      <c r="J49" s="5"/>
      <c r="K49" s="5"/>
      <c r="L49" s="5"/>
    </row>
    <row r="50" spans="1:12" s="1" customFormat="1" x14ac:dyDescent="0.3">
      <c r="A50" s="23"/>
      <c r="B50" s="4"/>
      <c r="C50" s="3"/>
      <c r="D50" s="17"/>
      <c r="E50" s="3"/>
      <c r="F50" s="3"/>
      <c r="G50" s="3">
        <v>13000</v>
      </c>
      <c r="H50" s="3"/>
      <c r="I50" s="48"/>
      <c r="J50" s="4" t="s">
        <v>498</v>
      </c>
      <c r="K50" s="4" t="s">
        <v>63</v>
      </c>
      <c r="L50" s="4"/>
    </row>
    <row r="51" spans="1:12" s="25" customFormat="1" ht="16.2" x14ac:dyDescent="0.3">
      <c r="A51" s="27">
        <v>13</v>
      </c>
      <c r="B51" s="5" t="s">
        <v>425</v>
      </c>
      <c r="C51" s="24" t="s">
        <v>132</v>
      </c>
      <c r="D51" s="18" t="s">
        <v>407</v>
      </c>
      <c r="E51" s="24"/>
      <c r="F51" s="24">
        <v>86130.84</v>
      </c>
      <c r="G51" s="26">
        <f>SUM(G52:G61)</f>
        <v>51782.45</v>
      </c>
      <c r="H51" s="24">
        <f>+F51-G51</f>
        <v>34348.39</v>
      </c>
      <c r="I51" s="47">
        <f>+H51/F51</f>
        <v>0.39879316165963319</v>
      </c>
      <c r="J51" s="5"/>
      <c r="K51" s="5"/>
      <c r="L51" s="5"/>
    </row>
    <row r="52" spans="1:12" s="1" customFormat="1" x14ac:dyDescent="0.3">
      <c r="A52" s="23"/>
      <c r="B52" s="4"/>
      <c r="C52" s="3"/>
      <c r="D52" s="17"/>
      <c r="E52" s="3"/>
      <c r="F52" s="3"/>
      <c r="G52" s="3">
        <v>8500</v>
      </c>
      <c r="H52" s="3"/>
      <c r="I52" s="48"/>
      <c r="J52" s="4" t="s">
        <v>499</v>
      </c>
      <c r="K52" s="4" t="s">
        <v>63</v>
      </c>
      <c r="L52" s="4"/>
    </row>
    <row r="53" spans="1:12" s="1" customFormat="1" x14ac:dyDescent="0.3">
      <c r="A53" s="23"/>
      <c r="B53" s="4"/>
      <c r="C53" s="3"/>
      <c r="D53" s="17"/>
      <c r="E53" s="3"/>
      <c r="F53" s="3"/>
      <c r="G53" s="3">
        <v>6140</v>
      </c>
      <c r="H53" s="3"/>
      <c r="I53" s="48"/>
      <c r="J53" s="4" t="s">
        <v>500</v>
      </c>
      <c r="K53" s="4" t="s">
        <v>353</v>
      </c>
      <c r="L53" s="4"/>
    </row>
    <row r="54" spans="1:12" s="1" customFormat="1" x14ac:dyDescent="0.3">
      <c r="A54" s="23"/>
      <c r="B54" s="4"/>
      <c r="C54" s="3"/>
      <c r="D54" s="17"/>
      <c r="E54" s="3"/>
      <c r="F54" s="3"/>
      <c r="G54" s="3">
        <v>944.49</v>
      </c>
      <c r="H54" s="3"/>
      <c r="I54" s="48"/>
      <c r="J54" s="4" t="s">
        <v>501</v>
      </c>
      <c r="K54" s="4" t="s">
        <v>68</v>
      </c>
      <c r="L54" s="4"/>
    </row>
    <row r="55" spans="1:12" s="1" customFormat="1" x14ac:dyDescent="0.3">
      <c r="A55" s="23"/>
      <c r="B55" s="4"/>
      <c r="C55" s="3"/>
      <c r="D55" s="17"/>
      <c r="E55" s="3"/>
      <c r="F55" s="3"/>
      <c r="G55" s="3">
        <v>1931</v>
      </c>
      <c r="H55" s="3"/>
      <c r="I55" s="48"/>
      <c r="J55" s="4" t="s">
        <v>502</v>
      </c>
      <c r="K55" s="4" t="s">
        <v>69</v>
      </c>
      <c r="L55" s="4"/>
    </row>
    <row r="56" spans="1:12" s="1" customFormat="1" x14ac:dyDescent="0.3">
      <c r="A56" s="23"/>
      <c r="B56" s="4"/>
      <c r="C56" s="3"/>
      <c r="D56" s="17"/>
      <c r="E56" s="3"/>
      <c r="F56" s="3"/>
      <c r="G56" s="3">
        <v>9900</v>
      </c>
      <c r="H56" s="3"/>
      <c r="I56" s="48"/>
      <c r="J56" s="4" t="s">
        <v>503</v>
      </c>
      <c r="K56" s="4" t="s">
        <v>62</v>
      </c>
      <c r="L56" s="4"/>
    </row>
    <row r="57" spans="1:12" s="1" customFormat="1" x14ac:dyDescent="0.3">
      <c r="A57" s="23"/>
      <c r="B57" s="4"/>
      <c r="C57" s="3"/>
      <c r="D57" s="17"/>
      <c r="E57" s="3"/>
      <c r="F57" s="3"/>
      <c r="G57" s="3">
        <v>2194.86</v>
      </c>
      <c r="H57" s="3"/>
      <c r="I57" s="48"/>
      <c r="J57" s="4" t="s">
        <v>504</v>
      </c>
      <c r="K57" s="4" t="s">
        <v>91</v>
      </c>
      <c r="L57" s="4"/>
    </row>
    <row r="58" spans="1:12" s="1" customFormat="1" x14ac:dyDescent="0.3">
      <c r="A58" s="23"/>
      <c r="B58" s="4"/>
      <c r="C58" s="3"/>
      <c r="D58" s="17"/>
      <c r="E58" s="3"/>
      <c r="F58" s="3"/>
      <c r="G58" s="3">
        <v>2600</v>
      </c>
      <c r="H58" s="3"/>
      <c r="I58" s="48"/>
      <c r="J58" s="4" t="s">
        <v>505</v>
      </c>
      <c r="K58" s="4" t="s">
        <v>59</v>
      </c>
      <c r="L58" s="4"/>
    </row>
    <row r="59" spans="1:12" s="1" customFormat="1" x14ac:dyDescent="0.3">
      <c r="A59" s="23"/>
      <c r="B59" s="4"/>
      <c r="C59" s="3"/>
      <c r="D59" s="17"/>
      <c r="E59" s="3"/>
      <c r="F59" s="3"/>
      <c r="G59" s="3">
        <v>5500</v>
      </c>
      <c r="H59" s="3"/>
      <c r="I59" s="48"/>
      <c r="J59" s="4" t="s">
        <v>506</v>
      </c>
      <c r="K59" s="4" t="s">
        <v>90</v>
      </c>
      <c r="L59" s="4"/>
    </row>
    <row r="60" spans="1:12" s="1" customFormat="1" x14ac:dyDescent="0.3">
      <c r="A60" s="23"/>
      <c r="B60" s="4"/>
      <c r="C60" s="3"/>
      <c r="D60" s="17"/>
      <c r="E60" s="3"/>
      <c r="F60" s="3"/>
      <c r="G60" s="3">
        <v>6175</v>
      </c>
      <c r="H60" s="3"/>
      <c r="I60" s="48"/>
      <c r="J60" s="4" t="s">
        <v>507</v>
      </c>
      <c r="K60" s="4" t="s">
        <v>58</v>
      </c>
      <c r="L60" s="4"/>
    </row>
    <row r="61" spans="1:12" s="1" customFormat="1" x14ac:dyDescent="0.3">
      <c r="A61" s="23"/>
      <c r="B61" s="4"/>
      <c r="C61" s="3"/>
      <c r="D61" s="17"/>
      <c r="E61" s="3"/>
      <c r="F61" s="3"/>
      <c r="G61" s="3">
        <v>7897.1</v>
      </c>
      <c r="H61" s="3"/>
      <c r="I61" s="48"/>
      <c r="J61" s="4" t="s">
        <v>508</v>
      </c>
      <c r="K61" s="4" t="s">
        <v>67</v>
      </c>
      <c r="L61" s="4"/>
    </row>
    <row r="62" spans="1:12" s="25" customFormat="1" ht="16.2" x14ac:dyDescent="0.3">
      <c r="A62" s="27">
        <v>14</v>
      </c>
      <c r="B62" s="5" t="s">
        <v>426</v>
      </c>
      <c r="C62" s="24" t="s">
        <v>129</v>
      </c>
      <c r="D62" s="18">
        <v>1621</v>
      </c>
      <c r="E62" s="24"/>
      <c r="F62" s="24">
        <v>93457.94</v>
      </c>
      <c r="G62" s="26">
        <f>SUM(G63:G69)</f>
        <v>79070</v>
      </c>
      <c r="H62" s="24">
        <f>+F62-G62</f>
        <v>14387.940000000002</v>
      </c>
      <c r="I62" s="47">
        <f>+H62/F62</f>
        <v>0.15395096446594053</v>
      </c>
      <c r="J62" s="5"/>
      <c r="K62" s="5"/>
      <c r="L62" s="5"/>
    </row>
    <row r="63" spans="1:12" s="1" customFormat="1" x14ac:dyDescent="0.3">
      <c r="A63" s="23"/>
      <c r="B63" s="4"/>
      <c r="C63" s="3"/>
      <c r="D63" s="17"/>
      <c r="E63" s="3"/>
      <c r="F63" s="3"/>
      <c r="G63" s="3">
        <v>6000</v>
      </c>
      <c r="H63" s="3"/>
      <c r="I63" s="48"/>
      <c r="J63" s="4" t="s">
        <v>509</v>
      </c>
      <c r="K63" s="4" t="s">
        <v>63</v>
      </c>
      <c r="L63" s="4"/>
    </row>
    <row r="64" spans="1:12" s="1" customFormat="1" x14ac:dyDescent="0.3">
      <c r="A64" s="23"/>
      <c r="B64" s="4"/>
      <c r="C64" s="3"/>
      <c r="D64" s="17"/>
      <c r="E64" s="3"/>
      <c r="F64" s="3"/>
      <c r="G64" s="3">
        <v>14750</v>
      </c>
      <c r="H64" s="3"/>
      <c r="I64" s="48"/>
      <c r="J64" s="4" t="s">
        <v>510</v>
      </c>
      <c r="K64" s="4" t="s">
        <v>291</v>
      </c>
      <c r="L64" s="4"/>
    </row>
    <row r="65" spans="1:12" s="1" customFormat="1" x14ac:dyDescent="0.3">
      <c r="A65" s="23"/>
      <c r="B65" s="4"/>
      <c r="C65" s="3"/>
      <c r="D65" s="17"/>
      <c r="E65" s="3"/>
      <c r="F65" s="3"/>
      <c r="G65" s="3">
        <v>31490</v>
      </c>
      <c r="H65" s="3"/>
      <c r="I65" s="48"/>
      <c r="J65" s="4" t="s">
        <v>511</v>
      </c>
      <c r="K65" s="4" t="s">
        <v>373</v>
      </c>
      <c r="L65" s="4"/>
    </row>
    <row r="66" spans="1:12" s="1" customFormat="1" x14ac:dyDescent="0.3">
      <c r="A66" s="23"/>
      <c r="B66" s="4"/>
      <c r="C66" s="3"/>
      <c r="D66" s="17"/>
      <c r="E66" s="3"/>
      <c r="F66" s="3"/>
      <c r="G66" s="3">
        <v>1030</v>
      </c>
      <c r="H66" s="3"/>
      <c r="I66" s="48"/>
      <c r="J66" s="4" t="s">
        <v>512</v>
      </c>
      <c r="K66" s="4" t="s">
        <v>81</v>
      </c>
      <c r="L66" s="4"/>
    </row>
    <row r="67" spans="1:12" s="1" customFormat="1" x14ac:dyDescent="0.3">
      <c r="A67" s="23"/>
      <c r="B67" s="4"/>
      <c r="C67" s="3"/>
      <c r="D67" s="17"/>
      <c r="E67" s="3"/>
      <c r="F67" s="3"/>
      <c r="G67" s="3">
        <v>4500</v>
      </c>
      <c r="H67" s="3"/>
      <c r="I67" s="48"/>
      <c r="J67" s="4" t="s">
        <v>378</v>
      </c>
      <c r="K67" s="4" t="s">
        <v>377</v>
      </c>
      <c r="L67" s="4"/>
    </row>
    <row r="68" spans="1:12" s="1" customFormat="1" x14ac:dyDescent="0.3">
      <c r="A68" s="23"/>
      <c r="B68" s="4"/>
      <c r="C68" s="3"/>
      <c r="D68" s="17"/>
      <c r="E68" s="3"/>
      <c r="F68" s="3"/>
      <c r="G68" s="3">
        <v>9100</v>
      </c>
      <c r="H68" s="3"/>
      <c r="I68" s="48"/>
      <c r="J68" s="4" t="s">
        <v>513</v>
      </c>
      <c r="K68" s="4" t="s">
        <v>319</v>
      </c>
      <c r="L68" s="4"/>
    </row>
    <row r="69" spans="1:12" s="1" customFormat="1" x14ac:dyDescent="0.3">
      <c r="A69" s="23"/>
      <c r="B69" s="4"/>
      <c r="C69" s="3"/>
      <c r="D69" s="17"/>
      <c r="E69" s="3"/>
      <c r="F69" s="3"/>
      <c r="G69" s="3">
        <v>12200</v>
      </c>
      <c r="H69" s="3"/>
      <c r="I69" s="48"/>
      <c r="J69" s="4" t="s">
        <v>514</v>
      </c>
      <c r="K69" s="4" t="s">
        <v>97</v>
      </c>
      <c r="L69" s="4"/>
    </row>
    <row r="70" spans="1:12" s="25" customFormat="1" ht="16.2" x14ac:dyDescent="0.3">
      <c r="A70" s="27">
        <v>15</v>
      </c>
      <c r="B70" s="5" t="s">
        <v>427</v>
      </c>
      <c r="C70" s="24" t="s">
        <v>408</v>
      </c>
      <c r="D70" s="18">
        <v>1206</v>
      </c>
      <c r="E70" s="24"/>
      <c r="F70" s="24">
        <v>114485.98</v>
      </c>
      <c r="G70" s="26">
        <f>SUM(G71:G74)</f>
        <v>77432.179999999993</v>
      </c>
      <c r="H70" s="24">
        <f>+F70-G70</f>
        <v>37053.800000000003</v>
      </c>
      <c r="I70" s="47">
        <f>+H70/F70</f>
        <v>0.32365360369889834</v>
      </c>
      <c r="J70" s="5"/>
      <c r="K70" s="5"/>
      <c r="L70" s="5"/>
    </row>
    <row r="71" spans="1:12" s="1" customFormat="1" x14ac:dyDescent="0.3">
      <c r="A71" s="23"/>
      <c r="B71" s="4"/>
      <c r="C71" s="3"/>
      <c r="D71" s="17"/>
      <c r="E71" s="3"/>
      <c r="F71" s="3"/>
      <c r="G71" s="3">
        <v>31580</v>
      </c>
      <c r="H71" s="3"/>
      <c r="I71" s="48"/>
      <c r="J71" s="4" t="s">
        <v>515</v>
      </c>
      <c r="K71" s="4" t="s">
        <v>63</v>
      </c>
      <c r="L71" s="4"/>
    </row>
    <row r="72" spans="1:12" s="1" customFormat="1" x14ac:dyDescent="0.3">
      <c r="A72" s="23"/>
      <c r="B72" s="4"/>
      <c r="C72" s="3"/>
      <c r="D72" s="17"/>
      <c r="E72" s="3"/>
      <c r="F72" s="3"/>
      <c r="G72" s="3">
        <v>37383.18</v>
      </c>
      <c r="H72" s="3"/>
      <c r="I72" s="48"/>
      <c r="J72" s="4" t="s">
        <v>516</v>
      </c>
      <c r="K72" s="4" t="s">
        <v>331</v>
      </c>
      <c r="L72" s="4"/>
    </row>
    <row r="73" spans="1:12" s="1" customFormat="1" x14ac:dyDescent="0.3">
      <c r="A73" s="23"/>
      <c r="B73" s="4"/>
      <c r="C73" s="3"/>
      <c r="D73" s="17"/>
      <c r="E73" s="3"/>
      <c r="F73" s="3"/>
      <c r="G73" s="3">
        <v>369</v>
      </c>
      <c r="H73" s="3"/>
      <c r="I73" s="48"/>
      <c r="J73" s="4" t="s">
        <v>517</v>
      </c>
      <c r="K73" s="4" t="s">
        <v>69</v>
      </c>
      <c r="L73" s="4"/>
    </row>
    <row r="74" spans="1:12" s="1" customFormat="1" x14ac:dyDescent="0.3">
      <c r="A74" s="23"/>
      <c r="B74" s="4"/>
      <c r="C74" s="3"/>
      <c r="D74" s="17"/>
      <c r="E74" s="3"/>
      <c r="F74" s="3"/>
      <c r="G74" s="3">
        <v>8100</v>
      </c>
      <c r="H74" s="3"/>
      <c r="I74" s="48"/>
      <c r="J74" s="4" t="s">
        <v>518</v>
      </c>
      <c r="K74" s="4" t="s">
        <v>293</v>
      </c>
      <c r="L74" s="4"/>
    </row>
    <row r="75" spans="1:12" s="25" customFormat="1" ht="16.2" x14ac:dyDescent="0.3">
      <c r="A75" s="27">
        <v>16</v>
      </c>
      <c r="B75" s="5" t="s">
        <v>428</v>
      </c>
      <c r="C75" s="24" t="s">
        <v>129</v>
      </c>
      <c r="D75" s="18" t="s">
        <v>409</v>
      </c>
      <c r="E75" s="24"/>
      <c r="F75" s="24">
        <v>46728.97</v>
      </c>
      <c r="G75" s="26">
        <f>SUM(G76:G79)</f>
        <v>43601.96</v>
      </c>
      <c r="H75" s="24">
        <f>+F75-G75</f>
        <v>3127.010000000002</v>
      </c>
      <c r="I75" s="54">
        <f>+H75/F75</f>
        <v>6.6918016810556744E-2</v>
      </c>
      <c r="J75" s="5"/>
      <c r="K75" s="5"/>
      <c r="L75" s="5" t="s">
        <v>592</v>
      </c>
    </row>
    <row r="76" spans="1:12" s="1" customFormat="1" x14ac:dyDescent="0.3">
      <c r="A76" s="23"/>
      <c r="B76" s="4"/>
      <c r="C76" s="3"/>
      <c r="D76" s="17"/>
      <c r="E76" s="3"/>
      <c r="F76" s="3"/>
      <c r="G76" s="3">
        <v>4500</v>
      </c>
      <c r="H76" s="3"/>
      <c r="I76" s="48"/>
      <c r="J76" s="4" t="s">
        <v>315</v>
      </c>
      <c r="K76" s="4" t="s">
        <v>314</v>
      </c>
      <c r="L76" s="4"/>
    </row>
    <row r="77" spans="1:12" s="1" customFormat="1" x14ac:dyDescent="0.3">
      <c r="A77" s="23"/>
      <c r="B77" s="4"/>
      <c r="C77" s="3"/>
      <c r="D77" s="17"/>
      <c r="E77" s="3"/>
      <c r="F77" s="3"/>
      <c r="G77" s="3">
        <v>1030</v>
      </c>
      <c r="H77" s="3"/>
      <c r="I77" s="48"/>
      <c r="J77" s="4" t="s">
        <v>316</v>
      </c>
      <c r="K77" s="4" t="s">
        <v>81</v>
      </c>
      <c r="L77" s="4"/>
    </row>
    <row r="78" spans="1:12" s="1" customFormat="1" x14ac:dyDescent="0.3">
      <c r="A78" s="23"/>
      <c r="B78" s="4"/>
      <c r="C78" s="3"/>
      <c r="D78" s="17"/>
      <c r="E78" s="3"/>
      <c r="F78" s="3"/>
      <c r="G78" s="3">
        <v>9100</v>
      </c>
      <c r="H78" s="3"/>
      <c r="I78" s="48"/>
      <c r="J78" s="4" t="s">
        <v>320</v>
      </c>
      <c r="K78" s="4" t="s">
        <v>319</v>
      </c>
      <c r="L78" s="4"/>
    </row>
    <row r="79" spans="1:12" s="1" customFormat="1" x14ac:dyDescent="0.3">
      <c r="A79" s="23"/>
      <c r="B79" s="4"/>
      <c r="C79" s="3"/>
      <c r="D79" s="17"/>
      <c r="E79" s="3"/>
      <c r="F79" s="3"/>
      <c r="G79" s="3">
        <v>28971.96</v>
      </c>
      <c r="H79" s="3"/>
      <c r="I79" s="48"/>
      <c r="J79" s="4" t="s">
        <v>519</v>
      </c>
      <c r="K79" s="4" t="s">
        <v>322</v>
      </c>
      <c r="L79" s="4"/>
    </row>
    <row r="80" spans="1:12" s="25" customFormat="1" ht="16.2" x14ac:dyDescent="0.3">
      <c r="A80" s="27">
        <v>17</v>
      </c>
      <c r="B80" s="5" t="s">
        <v>6</v>
      </c>
      <c r="C80" s="24" t="s">
        <v>129</v>
      </c>
      <c r="D80" s="18">
        <v>1509</v>
      </c>
      <c r="E80" s="24"/>
      <c r="F80" s="24">
        <v>7476.64</v>
      </c>
      <c r="G80" s="26">
        <f>SUM(G81:G82)</f>
        <v>5610</v>
      </c>
      <c r="H80" s="24">
        <f>+F80-G80</f>
        <v>1866.6400000000003</v>
      </c>
      <c r="I80" s="47">
        <f>+H80/F80</f>
        <v>0.24966295020222992</v>
      </c>
      <c r="J80" s="5"/>
      <c r="K80" s="5"/>
      <c r="L80" s="5"/>
    </row>
    <row r="81" spans="1:12" s="1" customFormat="1" x14ac:dyDescent="0.3">
      <c r="A81" s="23"/>
      <c r="B81" s="4"/>
      <c r="C81" s="3"/>
      <c r="D81" s="17"/>
      <c r="E81" s="3"/>
      <c r="F81" s="3"/>
      <c r="G81" s="3">
        <v>3410</v>
      </c>
      <c r="H81" s="3"/>
      <c r="I81" s="48"/>
      <c r="J81" s="4" t="s">
        <v>56</v>
      </c>
      <c r="K81" s="4" t="s">
        <v>58</v>
      </c>
      <c r="L81" s="4"/>
    </row>
    <row r="82" spans="1:12" s="1" customFormat="1" x14ac:dyDescent="0.3">
      <c r="A82" s="23"/>
      <c r="B82" s="4"/>
      <c r="C82" s="3"/>
      <c r="D82" s="17"/>
      <c r="E82" s="3"/>
      <c r="F82" s="3"/>
      <c r="G82" s="3">
        <v>2200</v>
      </c>
      <c r="H82" s="3"/>
      <c r="I82" s="48"/>
      <c r="J82" s="4" t="s">
        <v>57</v>
      </c>
      <c r="K82" s="4" t="s">
        <v>59</v>
      </c>
      <c r="L82" s="4"/>
    </row>
    <row r="83" spans="1:12" s="25" customFormat="1" ht="16.2" x14ac:dyDescent="0.3">
      <c r="A83" s="27">
        <v>18</v>
      </c>
      <c r="B83" s="5" t="s">
        <v>6</v>
      </c>
      <c r="C83" s="24" t="s">
        <v>129</v>
      </c>
      <c r="D83" s="18">
        <v>1616</v>
      </c>
      <c r="E83" s="24"/>
      <c r="F83" s="24">
        <v>7476.64</v>
      </c>
      <c r="G83" s="26">
        <f>SUM(G84:G85)</f>
        <v>5610</v>
      </c>
      <c r="H83" s="24">
        <f>+F83-G83</f>
        <v>1866.6400000000003</v>
      </c>
      <c r="I83" s="47">
        <f>+H83/F83</f>
        <v>0.24966295020222992</v>
      </c>
      <c r="J83" s="5"/>
      <c r="K83" s="5"/>
      <c r="L83" s="5"/>
    </row>
    <row r="84" spans="1:12" s="1" customFormat="1" x14ac:dyDescent="0.3">
      <c r="A84" s="23"/>
      <c r="B84" s="4"/>
      <c r="C84" s="3"/>
      <c r="D84" s="17"/>
      <c r="E84" s="3"/>
      <c r="F84" s="3"/>
      <c r="G84" s="3">
        <v>3410</v>
      </c>
      <c r="H84" s="3"/>
      <c r="I84" s="48"/>
      <c r="J84" s="4" t="s">
        <v>56</v>
      </c>
      <c r="K84" s="4" t="s">
        <v>58</v>
      </c>
      <c r="L84" s="4"/>
    </row>
    <row r="85" spans="1:12" s="1" customFormat="1" x14ac:dyDescent="0.3">
      <c r="A85" s="23"/>
      <c r="B85" s="4"/>
      <c r="C85" s="3"/>
      <c r="D85" s="17"/>
      <c r="E85" s="3"/>
      <c r="F85" s="3"/>
      <c r="G85" s="3">
        <v>2200</v>
      </c>
      <c r="H85" s="3"/>
      <c r="I85" s="48"/>
      <c r="J85" s="4" t="s">
        <v>57</v>
      </c>
      <c r="K85" s="4" t="s">
        <v>59</v>
      </c>
      <c r="L85" s="4"/>
    </row>
    <row r="86" spans="1:12" s="25" customFormat="1" ht="16.2" x14ac:dyDescent="0.3">
      <c r="A86" s="27">
        <v>19</v>
      </c>
      <c r="B86" s="5" t="s">
        <v>6</v>
      </c>
      <c r="C86" s="24" t="s">
        <v>129</v>
      </c>
      <c r="D86" s="18">
        <v>2314</v>
      </c>
      <c r="E86" s="24"/>
      <c r="F86" s="24">
        <v>7476.64</v>
      </c>
      <c r="G86" s="26">
        <f>SUM(G87:G88)</f>
        <v>5610</v>
      </c>
      <c r="H86" s="24">
        <f>+F86-G86</f>
        <v>1866.6400000000003</v>
      </c>
      <c r="I86" s="47">
        <f>+H86/F86</f>
        <v>0.24966295020222992</v>
      </c>
      <c r="J86" s="5"/>
      <c r="K86" s="5"/>
      <c r="L86" s="5"/>
    </row>
    <row r="87" spans="1:12" s="1" customFormat="1" x14ac:dyDescent="0.3">
      <c r="A87" s="23"/>
      <c r="B87" s="4"/>
      <c r="C87" s="3"/>
      <c r="D87" s="17"/>
      <c r="E87" s="3"/>
      <c r="F87" s="3"/>
      <c r="G87" s="3">
        <v>3410</v>
      </c>
      <c r="H87" s="3"/>
      <c r="I87" s="48"/>
      <c r="J87" s="4" t="s">
        <v>56</v>
      </c>
      <c r="K87" s="4" t="s">
        <v>58</v>
      </c>
      <c r="L87" s="4"/>
    </row>
    <row r="88" spans="1:12" s="1" customFormat="1" x14ac:dyDescent="0.3">
      <c r="A88" s="23"/>
      <c r="B88" s="4"/>
      <c r="C88" s="3"/>
      <c r="D88" s="17"/>
      <c r="E88" s="3"/>
      <c r="F88" s="3"/>
      <c r="G88" s="3">
        <v>2200</v>
      </c>
      <c r="H88" s="3"/>
      <c r="I88" s="48"/>
      <c r="J88" s="4" t="s">
        <v>57</v>
      </c>
      <c r="K88" s="4" t="s">
        <v>59</v>
      </c>
      <c r="L88" s="4"/>
    </row>
    <row r="89" spans="1:12" s="25" customFormat="1" ht="16.2" x14ac:dyDescent="0.3">
      <c r="A89" s="27">
        <v>20</v>
      </c>
      <c r="B89" s="5" t="s">
        <v>6</v>
      </c>
      <c r="C89" s="24" t="s">
        <v>129</v>
      </c>
      <c r="D89" s="18">
        <v>2401</v>
      </c>
      <c r="E89" s="24"/>
      <c r="F89" s="24">
        <v>7476.64</v>
      </c>
      <c r="G89" s="26">
        <f>SUM(G90:G91)</f>
        <v>5610</v>
      </c>
      <c r="H89" s="24">
        <f>+F89-G89</f>
        <v>1866.6400000000003</v>
      </c>
      <c r="I89" s="47">
        <f>+H89/F89</f>
        <v>0.24966295020222992</v>
      </c>
      <c r="J89" s="5"/>
      <c r="K89" s="5"/>
      <c r="L89" s="5"/>
    </row>
    <row r="90" spans="1:12" s="1" customFormat="1" x14ac:dyDescent="0.3">
      <c r="A90" s="23"/>
      <c r="B90" s="4"/>
      <c r="C90" s="3"/>
      <c r="D90" s="17"/>
      <c r="E90" s="3"/>
      <c r="F90" s="3"/>
      <c r="G90" s="3">
        <v>3410</v>
      </c>
      <c r="H90" s="3"/>
      <c r="I90" s="48"/>
      <c r="J90" s="42" t="s">
        <v>56</v>
      </c>
      <c r="K90" s="4" t="s">
        <v>58</v>
      </c>
      <c r="L90" s="4"/>
    </row>
    <row r="91" spans="1:12" s="1" customFormat="1" x14ac:dyDescent="0.3">
      <c r="A91" s="23"/>
      <c r="B91" s="4"/>
      <c r="C91" s="3"/>
      <c r="D91" s="17"/>
      <c r="E91" s="3"/>
      <c r="F91" s="3"/>
      <c r="G91" s="3">
        <v>2200</v>
      </c>
      <c r="H91" s="3"/>
      <c r="I91" s="48"/>
      <c r="J91" s="42" t="s">
        <v>57</v>
      </c>
      <c r="K91" s="4" t="s">
        <v>59</v>
      </c>
      <c r="L91" s="4"/>
    </row>
    <row r="92" spans="1:12" s="25" customFormat="1" ht="16.2" x14ac:dyDescent="0.3">
      <c r="A92" s="27">
        <v>21</v>
      </c>
      <c r="B92" s="5" t="s">
        <v>6</v>
      </c>
      <c r="C92" s="24" t="s">
        <v>129</v>
      </c>
      <c r="D92" s="18">
        <v>2514</v>
      </c>
      <c r="E92" s="24"/>
      <c r="F92" s="24">
        <v>7476.64</v>
      </c>
      <c r="G92" s="26">
        <f>SUM(G93:G94)</f>
        <v>5610</v>
      </c>
      <c r="H92" s="24">
        <f>+F92-G92</f>
        <v>1866.6400000000003</v>
      </c>
      <c r="I92" s="47">
        <f>+H92/F92</f>
        <v>0.24966295020222992</v>
      </c>
      <c r="J92" s="5"/>
      <c r="K92" s="5"/>
      <c r="L92" s="5"/>
    </row>
    <row r="93" spans="1:12" s="1" customFormat="1" x14ac:dyDescent="0.3">
      <c r="A93" s="23"/>
      <c r="B93" s="4"/>
      <c r="C93" s="3"/>
      <c r="D93" s="17"/>
      <c r="E93" s="3"/>
      <c r="F93" s="3"/>
      <c r="G93" s="3">
        <v>3410</v>
      </c>
      <c r="H93" s="3"/>
      <c r="I93" s="48"/>
      <c r="J93" s="41" t="s">
        <v>56</v>
      </c>
      <c r="K93" s="4" t="s">
        <v>58</v>
      </c>
      <c r="L93" s="4"/>
    </row>
    <row r="94" spans="1:12" s="1" customFormat="1" x14ac:dyDescent="0.3">
      <c r="A94" s="23"/>
      <c r="B94" s="4"/>
      <c r="C94" s="3"/>
      <c r="D94" s="17"/>
      <c r="E94" s="3"/>
      <c r="F94" s="3"/>
      <c r="G94" s="3">
        <v>2200</v>
      </c>
      <c r="H94" s="3"/>
      <c r="I94" s="48"/>
      <c r="J94" s="41" t="s">
        <v>57</v>
      </c>
      <c r="K94" s="4" t="s">
        <v>59</v>
      </c>
      <c r="L94" s="4"/>
    </row>
    <row r="95" spans="1:12" s="25" customFormat="1" ht="16.2" x14ac:dyDescent="0.3">
      <c r="A95" s="27">
        <v>22</v>
      </c>
      <c r="B95" s="5" t="s">
        <v>429</v>
      </c>
      <c r="C95" s="24" t="s">
        <v>213</v>
      </c>
      <c r="D95" s="18">
        <v>2008</v>
      </c>
      <c r="E95" s="24"/>
      <c r="F95" s="24">
        <v>164392.51999999999</v>
      </c>
      <c r="G95" s="26">
        <f>SUM(G96:G98)</f>
        <v>102550</v>
      </c>
      <c r="H95" s="24">
        <f>+F95-G95</f>
        <v>61842.51999999999</v>
      </c>
      <c r="I95" s="47">
        <f>+H95/F95</f>
        <v>0.37618816233244673</v>
      </c>
      <c r="J95" s="5"/>
      <c r="K95" s="5"/>
      <c r="L95" s="5"/>
    </row>
    <row r="96" spans="1:12" s="1" customFormat="1" x14ac:dyDescent="0.3">
      <c r="A96" s="23"/>
      <c r="B96" s="4"/>
      <c r="C96" s="3"/>
      <c r="D96" s="17"/>
      <c r="E96" s="3"/>
      <c r="F96" s="3"/>
      <c r="G96" s="3">
        <v>100100</v>
      </c>
      <c r="H96" s="3"/>
      <c r="I96" s="48"/>
      <c r="J96" s="42" t="s">
        <v>520</v>
      </c>
      <c r="K96" s="4" t="s">
        <v>384</v>
      </c>
      <c r="L96" s="4"/>
    </row>
    <row r="97" spans="1:12" s="1" customFormat="1" x14ac:dyDescent="0.3">
      <c r="A97" s="23"/>
      <c r="B97" s="4"/>
      <c r="C97" s="3"/>
      <c r="D97" s="17"/>
      <c r="E97" s="3"/>
      <c r="F97" s="3"/>
      <c r="G97" s="3">
        <v>1500</v>
      </c>
      <c r="H97" s="3"/>
      <c r="I97" s="48"/>
      <c r="J97" s="42" t="s">
        <v>521</v>
      </c>
      <c r="K97" s="4" t="s">
        <v>59</v>
      </c>
      <c r="L97" s="4"/>
    </row>
    <row r="98" spans="1:12" s="1" customFormat="1" x14ac:dyDescent="0.3">
      <c r="A98" s="23"/>
      <c r="B98" s="4"/>
      <c r="C98" s="3"/>
      <c r="D98" s="17"/>
      <c r="E98" s="3"/>
      <c r="F98" s="3"/>
      <c r="G98" s="3">
        <v>950</v>
      </c>
      <c r="H98" s="3"/>
      <c r="I98" s="48"/>
      <c r="J98" s="42" t="s">
        <v>522</v>
      </c>
      <c r="K98" s="4" t="s">
        <v>58</v>
      </c>
      <c r="L98" s="4"/>
    </row>
    <row r="99" spans="1:12" s="25" customFormat="1" ht="16.2" x14ac:dyDescent="0.3">
      <c r="A99" s="27">
        <v>23</v>
      </c>
      <c r="B99" s="5" t="s">
        <v>430</v>
      </c>
      <c r="C99" s="24" t="s">
        <v>410</v>
      </c>
      <c r="D99" s="18">
        <v>2405</v>
      </c>
      <c r="E99" s="24"/>
      <c r="F99" s="24">
        <v>46728.97</v>
      </c>
      <c r="G99" s="26">
        <f>SUM(G100:G103)</f>
        <v>32775.57</v>
      </c>
      <c r="H99" s="24">
        <f>+F99-G99</f>
        <v>13953.400000000001</v>
      </c>
      <c r="I99" s="47">
        <f>+H99/F99</f>
        <v>0.29860277254131645</v>
      </c>
      <c r="J99" s="5"/>
      <c r="K99" s="5"/>
      <c r="L99" s="5"/>
    </row>
    <row r="100" spans="1:12" s="1" customFormat="1" x14ac:dyDescent="0.3">
      <c r="A100" s="23"/>
      <c r="B100" s="4"/>
      <c r="C100" s="3"/>
      <c r="D100" s="17"/>
      <c r="E100" s="3"/>
      <c r="F100" s="3"/>
      <c r="G100" s="3">
        <v>108</v>
      </c>
      <c r="H100" s="3"/>
      <c r="I100" s="48"/>
      <c r="J100" s="42" t="s">
        <v>523</v>
      </c>
      <c r="K100" s="4" t="s">
        <v>69</v>
      </c>
      <c r="L100" s="4"/>
    </row>
    <row r="101" spans="1:12" s="1" customFormat="1" x14ac:dyDescent="0.3">
      <c r="A101" s="23"/>
      <c r="B101" s="4"/>
      <c r="C101" s="3"/>
      <c r="D101" s="17"/>
      <c r="E101" s="3"/>
      <c r="F101" s="3"/>
      <c r="G101" s="3">
        <v>19000</v>
      </c>
      <c r="H101" s="3"/>
      <c r="I101" s="48"/>
      <c r="J101" s="42" t="s">
        <v>524</v>
      </c>
      <c r="K101" s="4" t="s">
        <v>474</v>
      </c>
      <c r="L101" s="4"/>
    </row>
    <row r="102" spans="1:12" s="1" customFormat="1" x14ac:dyDescent="0.3">
      <c r="A102" s="23"/>
      <c r="B102" s="4"/>
      <c r="C102" s="3"/>
      <c r="D102" s="17"/>
      <c r="E102" s="3"/>
      <c r="F102" s="3"/>
      <c r="G102" s="3">
        <v>10177.57</v>
      </c>
      <c r="H102" s="3"/>
      <c r="I102" s="48"/>
      <c r="J102" s="42" t="s">
        <v>525</v>
      </c>
      <c r="K102" s="4" t="s">
        <v>91</v>
      </c>
      <c r="L102" s="4"/>
    </row>
    <row r="103" spans="1:12" s="1" customFormat="1" x14ac:dyDescent="0.3">
      <c r="A103" s="23"/>
      <c r="B103" s="4"/>
      <c r="C103" s="3"/>
      <c r="D103" s="17"/>
      <c r="E103" s="3"/>
      <c r="F103" s="3"/>
      <c r="G103" s="3">
        <v>3490</v>
      </c>
      <c r="H103" s="3"/>
      <c r="I103" s="48"/>
      <c r="J103" s="42" t="s">
        <v>526</v>
      </c>
      <c r="K103" s="4" t="s">
        <v>65</v>
      </c>
      <c r="L103" s="4"/>
    </row>
    <row r="104" spans="1:12" s="25" customFormat="1" ht="16.2" x14ac:dyDescent="0.3">
      <c r="A104" s="27">
        <v>24</v>
      </c>
      <c r="B104" s="5" t="s">
        <v>431</v>
      </c>
      <c r="C104" s="24" t="s">
        <v>133</v>
      </c>
      <c r="D104" s="18">
        <v>2324</v>
      </c>
      <c r="E104" s="24"/>
      <c r="F104" s="24">
        <v>5140.1899999999996</v>
      </c>
      <c r="G104" s="26">
        <f>SUM(G105:G106)</f>
        <v>3378.88</v>
      </c>
      <c r="H104" s="24">
        <f>+F104-G104</f>
        <v>1761.3099999999995</v>
      </c>
      <c r="I104" s="47">
        <f>+H104/F104</f>
        <v>0.34265464895266512</v>
      </c>
      <c r="J104" s="5"/>
      <c r="K104" s="5"/>
      <c r="L104" s="5"/>
    </row>
    <row r="105" spans="1:12" s="1" customFormat="1" x14ac:dyDescent="0.3">
      <c r="A105" s="23"/>
      <c r="B105" s="4"/>
      <c r="C105" s="3"/>
      <c r="D105" s="17"/>
      <c r="E105" s="3"/>
      <c r="F105" s="3"/>
      <c r="G105" s="3">
        <v>1178.8800000000001</v>
      </c>
      <c r="H105" s="3"/>
      <c r="I105" s="48"/>
      <c r="J105" s="42" t="s">
        <v>527</v>
      </c>
      <c r="K105" s="4" t="s">
        <v>91</v>
      </c>
      <c r="L105" s="4"/>
    </row>
    <row r="106" spans="1:12" s="1" customFormat="1" x14ac:dyDescent="0.3">
      <c r="A106" s="23"/>
      <c r="B106" s="4"/>
      <c r="C106" s="3"/>
      <c r="D106" s="17"/>
      <c r="E106" s="3"/>
      <c r="F106" s="3"/>
      <c r="G106" s="3">
        <v>2200</v>
      </c>
      <c r="H106" s="3"/>
      <c r="I106" s="48"/>
      <c r="J106" s="42" t="s">
        <v>528</v>
      </c>
      <c r="K106" s="4" t="s">
        <v>97</v>
      </c>
      <c r="L106" s="4"/>
    </row>
    <row r="107" spans="1:12" s="25" customFormat="1" ht="16.2" x14ac:dyDescent="0.3">
      <c r="A107" s="27">
        <v>25</v>
      </c>
      <c r="B107" s="5" t="s">
        <v>432</v>
      </c>
      <c r="C107" s="24" t="s">
        <v>132</v>
      </c>
      <c r="D107" s="18" t="s">
        <v>411</v>
      </c>
      <c r="E107" s="24"/>
      <c r="F107" s="24">
        <v>9345.7900000000009</v>
      </c>
      <c r="G107" s="26">
        <f>SUM(G108:G108)</f>
        <v>6300</v>
      </c>
      <c r="H107" s="24">
        <f>+F107-G107</f>
        <v>3045.7900000000009</v>
      </c>
      <c r="I107" s="47">
        <f>+H107/F107</f>
        <v>0.32589968317285117</v>
      </c>
      <c r="J107" s="5"/>
      <c r="K107" s="5"/>
      <c r="L107" s="5" t="s">
        <v>472</v>
      </c>
    </row>
    <row r="108" spans="1:12" s="1" customFormat="1" x14ac:dyDescent="0.3">
      <c r="A108" s="23"/>
      <c r="B108" s="4"/>
      <c r="C108" s="3"/>
      <c r="D108" s="17"/>
      <c r="E108" s="3"/>
      <c r="F108" s="3"/>
      <c r="G108" s="3">
        <v>6300</v>
      </c>
      <c r="H108" s="3"/>
      <c r="I108" s="48"/>
      <c r="J108" s="42" t="s">
        <v>529</v>
      </c>
      <c r="K108" s="4" t="s">
        <v>63</v>
      </c>
      <c r="L108" s="4"/>
    </row>
    <row r="109" spans="1:12" s="25" customFormat="1" ht="16.2" x14ac:dyDescent="0.3">
      <c r="A109" s="27">
        <v>26</v>
      </c>
      <c r="B109" s="5" t="s">
        <v>433</v>
      </c>
      <c r="C109" s="24" t="s">
        <v>132</v>
      </c>
      <c r="D109" s="18" t="s">
        <v>411</v>
      </c>
      <c r="E109" s="24"/>
      <c r="F109" s="24">
        <v>2990.65</v>
      </c>
      <c r="G109" s="26"/>
      <c r="H109" s="26"/>
      <c r="I109" s="53"/>
      <c r="J109" s="5"/>
      <c r="K109" s="5"/>
      <c r="L109" s="5" t="s">
        <v>530</v>
      </c>
    </row>
    <row r="110" spans="1:12" s="25" customFormat="1" ht="16.2" x14ac:dyDescent="0.3">
      <c r="A110" s="27">
        <v>27</v>
      </c>
      <c r="B110" s="5" t="s">
        <v>434</v>
      </c>
      <c r="C110" s="24" t="s">
        <v>133</v>
      </c>
      <c r="D110" s="18">
        <v>901</v>
      </c>
      <c r="E110" s="24"/>
      <c r="F110" s="24">
        <v>167514.01999999999</v>
      </c>
      <c r="G110" s="26">
        <f>SUM(G111:G114)</f>
        <v>115540.89</v>
      </c>
      <c r="H110" s="24">
        <f>+F110-G110</f>
        <v>51973.12999999999</v>
      </c>
      <c r="I110" s="47">
        <f>+H110/F110</f>
        <v>0.31026137394350628</v>
      </c>
      <c r="J110" s="5"/>
      <c r="K110" s="5"/>
      <c r="L110" s="5"/>
    </row>
    <row r="111" spans="1:12" s="1" customFormat="1" x14ac:dyDescent="0.3">
      <c r="A111" s="23"/>
      <c r="B111" s="4"/>
      <c r="C111" s="3"/>
      <c r="D111" s="17"/>
      <c r="E111" s="3"/>
      <c r="F111" s="3"/>
      <c r="G111" s="3">
        <v>17700</v>
      </c>
      <c r="H111" s="3"/>
      <c r="I111" s="48"/>
      <c r="J111" s="42" t="s">
        <v>531</v>
      </c>
      <c r="K111" s="4" t="s">
        <v>63</v>
      </c>
      <c r="L111" s="4"/>
    </row>
    <row r="112" spans="1:12" s="1" customFormat="1" x14ac:dyDescent="0.3">
      <c r="A112" s="23"/>
      <c r="B112" s="4"/>
      <c r="C112" s="3"/>
      <c r="D112" s="17"/>
      <c r="E112" s="3"/>
      <c r="F112" s="3"/>
      <c r="G112" s="3">
        <v>3800</v>
      </c>
      <c r="H112" s="3"/>
      <c r="I112" s="48"/>
      <c r="J112" s="42" t="s">
        <v>532</v>
      </c>
      <c r="K112" s="4" t="s">
        <v>59</v>
      </c>
      <c r="L112" s="4"/>
    </row>
    <row r="113" spans="1:12" s="1" customFormat="1" x14ac:dyDescent="0.3">
      <c r="A113" s="23"/>
      <c r="B113" s="4"/>
      <c r="C113" s="3"/>
      <c r="D113" s="17"/>
      <c r="E113" s="3"/>
      <c r="F113" s="3"/>
      <c r="G113" s="3">
        <v>86915.89</v>
      </c>
      <c r="H113" s="3"/>
      <c r="I113" s="48"/>
      <c r="J113" s="42" t="s">
        <v>533</v>
      </c>
      <c r="K113" s="4" t="s">
        <v>90</v>
      </c>
      <c r="L113" s="4"/>
    </row>
    <row r="114" spans="1:12" s="1" customFormat="1" x14ac:dyDescent="0.3">
      <c r="A114" s="23"/>
      <c r="B114" s="4"/>
      <c r="C114" s="3"/>
      <c r="D114" s="17"/>
      <c r="E114" s="3"/>
      <c r="F114" s="3"/>
      <c r="G114" s="3">
        <v>7125</v>
      </c>
      <c r="H114" s="3"/>
      <c r="I114" s="48"/>
      <c r="J114" s="42" t="s">
        <v>534</v>
      </c>
      <c r="K114" s="4" t="s">
        <v>58</v>
      </c>
      <c r="L114" s="4"/>
    </row>
    <row r="115" spans="1:12" s="25" customFormat="1" ht="16.2" x14ac:dyDescent="0.3">
      <c r="A115" s="27">
        <v>28</v>
      </c>
      <c r="B115" s="5" t="s">
        <v>435</v>
      </c>
      <c r="C115" s="24" t="s">
        <v>132</v>
      </c>
      <c r="D115" s="18" t="s">
        <v>412</v>
      </c>
      <c r="E115" s="24"/>
      <c r="F115" s="24">
        <v>12336.45</v>
      </c>
      <c r="G115" s="26">
        <f>SUM(G116:G116)</f>
        <v>4500</v>
      </c>
      <c r="H115" s="24">
        <f>+F115-G115</f>
        <v>7836.4500000000007</v>
      </c>
      <c r="I115" s="47">
        <f>+H115/F115</f>
        <v>0.63522731417871436</v>
      </c>
      <c r="J115" s="5"/>
      <c r="K115" s="5"/>
      <c r="L115" s="5"/>
    </row>
    <row r="116" spans="1:12" s="1" customFormat="1" x14ac:dyDescent="0.3">
      <c r="A116" s="23"/>
      <c r="B116" s="4"/>
      <c r="C116" s="3"/>
      <c r="D116" s="17"/>
      <c r="E116" s="3"/>
      <c r="F116" s="3"/>
      <c r="G116" s="3">
        <v>4500</v>
      </c>
      <c r="H116" s="3"/>
      <c r="I116" s="48"/>
      <c r="J116" s="42" t="s">
        <v>535</v>
      </c>
      <c r="K116" s="4" t="s">
        <v>63</v>
      </c>
      <c r="L116" s="4"/>
    </row>
    <row r="117" spans="1:12" s="25" customFormat="1" ht="16.2" x14ac:dyDescent="0.3">
      <c r="A117" s="27">
        <v>29</v>
      </c>
      <c r="B117" s="5" t="s">
        <v>436</v>
      </c>
      <c r="C117" s="24" t="s">
        <v>133</v>
      </c>
      <c r="D117" s="18">
        <v>1615</v>
      </c>
      <c r="E117" s="24"/>
      <c r="F117" s="24">
        <v>96635.51</v>
      </c>
      <c r="G117" s="26">
        <f>SUM(G118:G125)</f>
        <v>53750.5</v>
      </c>
      <c r="H117" s="24">
        <f>+F117-G117</f>
        <v>42885.009999999995</v>
      </c>
      <c r="I117" s="47">
        <f>+H117/F117</f>
        <v>0.44378106971236553</v>
      </c>
      <c r="J117" s="5"/>
      <c r="K117" s="5"/>
      <c r="L117" s="5"/>
    </row>
    <row r="118" spans="1:12" s="1" customFormat="1" x14ac:dyDescent="0.3">
      <c r="A118" s="23"/>
      <c r="B118" s="4"/>
      <c r="C118" s="3"/>
      <c r="D118" s="17"/>
      <c r="E118" s="3"/>
      <c r="F118" s="3"/>
      <c r="G118" s="3">
        <v>6200</v>
      </c>
      <c r="H118" s="3"/>
      <c r="I118" s="48"/>
      <c r="J118" s="42" t="s">
        <v>536</v>
      </c>
      <c r="K118" s="4" t="s">
        <v>63</v>
      </c>
      <c r="L118" s="4"/>
    </row>
    <row r="119" spans="1:12" s="1" customFormat="1" x14ac:dyDescent="0.3">
      <c r="A119" s="23"/>
      <c r="B119" s="4"/>
      <c r="C119" s="3"/>
      <c r="D119" s="17"/>
      <c r="E119" s="3"/>
      <c r="F119" s="3"/>
      <c r="G119" s="3">
        <v>419.91</v>
      </c>
      <c r="H119" s="3"/>
      <c r="I119" s="48"/>
      <c r="J119" s="42" t="s">
        <v>537</v>
      </c>
      <c r="K119" s="4" t="s">
        <v>68</v>
      </c>
      <c r="L119" s="4"/>
    </row>
    <row r="120" spans="1:12" s="1" customFormat="1" x14ac:dyDescent="0.3">
      <c r="A120" s="23"/>
      <c r="B120" s="4"/>
      <c r="C120" s="3"/>
      <c r="D120" s="17"/>
      <c r="E120" s="3"/>
      <c r="F120" s="3"/>
      <c r="G120" s="3">
        <v>12149.53</v>
      </c>
      <c r="H120" s="3"/>
      <c r="I120" s="48"/>
      <c r="J120" s="42" t="s">
        <v>538</v>
      </c>
      <c r="K120" s="4" t="s">
        <v>331</v>
      </c>
      <c r="L120" s="4"/>
    </row>
    <row r="121" spans="1:12" s="1" customFormat="1" x14ac:dyDescent="0.3">
      <c r="A121" s="23"/>
      <c r="B121" s="4"/>
      <c r="C121" s="3"/>
      <c r="D121" s="17"/>
      <c r="E121" s="3"/>
      <c r="F121" s="3"/>
      <c r="G121" s="3">
        <v>16661</v>
      </c>
      <c r="H121" s="3"/>
      <c r="I121" s="48"/>
      <c r="J121" s="42" t="s">
        <v>539</v>
      </c>
      <c r="K121" s="4" t="s">
        <v>69</v>
      </c>
      <c r="L121" s="4"/>
    </row>
    <row r="122" spans="1:12" s="1" customFormat="1" x14ac:dyDescent="0.3">
      <c r="A122" s="23"/>
      <c r="B122" s="4"/>
      <c r="C122" s="3"/>
      <c r="D122" s="17"/>
      <c r="E122" s="3"/>
      <c r="F122" s="3"/>
      <c r="G122" s="3">
        <v>9900</v>
      </c>
      <c r="H122" s="3"/>
      <c r="I122" s="48"/>
      <c r="J122" s="42" t="s">
        <v>540</v>
      </c>
      <c r="K122" s="4" t="s">
        <v>62</v>
      </c>
      <c r="L122" s="4"/>
    </row>
    <row r="123" spans="1:12" s="1" customFormat="1" x14ac:dyDescent="0.3">
      <c r="A123" s="23"/>
      <c r="B123" s="4"/>
      <c r="C123" s="3"/>
      <c r="D123" s="17"/>
      <c r="E123" s="3"/>
      <c r="F123" s="3"/>
      <c r="G123" s="3">
        <v>2194.86</v>
      </c>
      <c r="H123" s="3"/>
      <c r="I123" s="48"/>
      <c r="J123" s="42" t="s">
        <v>541</v>
      </c>
      <c r="K123" s="4" t="s">
        <v>91</v>
      </c>
      <c r="L123" s="4"/>
    </row>
    <row r="124" spans="1:12" s="1" customFormat="1" x14ac:dyDescent="0.3">
      <c r="A124" s="23"/>
      <c r="B124" s="4"/>
      <c r="C124" s="3"/>
      <c r="D124" s="17"/>
      <c r="E124" s="3"/>
      <c r="F124" s="3"/>
      <c r="G124" s="3">
        <v>2680</v>
      </c>
      <c r="H124" s="3"/>
      <c r="I124" s="48"/>
      <c r="J124" s="42" t="s">
        <v>542</v>
      </c>
      <c r="K124" s="4" t="s">
        <v>67</v>
      </c>
      <c r="L124" s="4"/>
    </row>
    <row r="125" spans="1:12" s="1" customFormat="1" x14ac:dyDescent="0.3">
      <c r="A125" s="23"/>
      <c r="B125" s="4"/>
      <c r="C125" s="3"/>
      <c r="D125" s="17"/>
      <c r="E125" s="3"/>
      <c r="F125" s="3"/>
      <c r="G125" s="3">
        <v>3545.2</v>
      </c>
      <c r="H125" s="3"/>
      <c r="I125" s="48"/>
      <c r="J125" s="42" t="s">
        <v>543</v>
      </c>
      <c r="K125" s="4" t="s">
        <v>65</v>
      </c>
      <c r="L125" s="4"/>
    </row>
    <row r="126" spans="1:12" s="25" customFormat="1" ht="16.2" x14ac:dyDescent="0.3">
      <c r="A126" s="27">
        <v>30</v>
      </c>
      <c r="B126" s="5" t="s">
        <v>437</v>
      </c>
      <c r="C126" s="24" t="s">
        <v>213</v>
      </c>
      <c r="D126" s="18">
        <v>1501</v>
      </c>
      <c r="E126" s="24"/>
      <c r="F126" s="24">
        <v>93457.94</v>
      </c>
      <c r="G126" s="26">
        <f>SUM(G127:G129)</f>
        <v>54854.5</v>
      </c>
      <c r="H126" s="24">
        <f>+F126-G126</f>
        <v>38603.440000000002</v>
      </c>
      <c r="I126" s="47">
        <f>+H126/F126</f>
        <v>0.41305682534838667</v>
      </c>
      <c r="J126" s="5"/>
      <c r="K126" s="5"/>
      <c r="L126" s="5"/>
    </row>
    <row r="127" spans="1:12" s="1" customFormat="1" x14ac:dyDescent="0.3">
      <c r="A127" s="23"/>
      <c r="B127" s="4"/>
      <c r="C127" s="3"/>
      <c r="D127" s="17"/>
      <c r="E127" s="3"/>
      <c r="F127" s="3"/>
      <c r="G127" s="3">
        <v>14000</v>
      </c>
      <c r="H127" s="3"/>
      <c r="I127" s="48"/>
      <c r="J127" s="42" t="s">
        <v>544</v>
      </c>
      <c r="K127" s="4" t="s">
        <v>63</v>
      </c>
      <c r="L127" s="4"/>
    </row>
    <row r="128" spans="1:12" s="1" customFormat="1" x14ac:dyDescent="0.3">
      <c r="A128" s="23"/>
      <c r="B128" s="4"/>
      <c r="C128" s="3"/>
      <c r="D128" s="17"/>
      <c r="E128" s="3"/>
      <c r="F128" s="3"/>
      <c r="G128" s="3">
        <v>8411</v>
      </c>
      <c r="H128" s="3"/>
      <c r="I128" s="48"/>
      <c r="J128" s="42" t="s">
        <v>545</v>
      </c>
      <c r="K128" s="4" t="s">
        <v>69</v>
      </c>
      <c r="L128" s="4"/>
    </row>
    <row r="129" spans="1:12" s="1" customFormat="1" x14ac:dyDescent="0.3">
      <c r="A129" s="23"/>
      <c r="B129" s="4"/>
      <c r="C129" s="3"/>
      <c r="D129" s="17"/>
      <c r="E129" s="3"/>
      <c r="F129" s="3"/>
      <c r="G129" s="3">
        <v>32443.5</v>
      </c>
      <c r="H129" s="3"/>
      <c r="I129" s="48"/>
      <c r="J129" s="42" t="s">
        <v>546</v>
      </c>
      <c r="K129" s="4" t="s">
        <v>91</v>
      </c>
      <c r="L129" s="4"/>
    </row>
    <row r="130" spans="1:12" s="25" customFormat="1" ht="16.2" x14ac:dyDescent="0.3">
      <c r="A130" s="27">
        <v>31</v>
      </c>
      <c r="B130" s="5" t="s">
        <v>438</v>
      </c>
      <c r="C130" s="24" t="s">
        <v>224</v>
      </c>
      <c r="D130" s="18">
        <v>728</v>
      </c>
      <c r="E130" s="24"/>
      <c r="F130" s="24">
        <v>96261.68</v>
      </c>
      <c r="G130" s="26">
        <f>SUM(G131:G131)</f>
        <v>60747.66</v>
      </c>
      <c r="H130" s="24">
        <f>+F130-G130</f>
        <v>35514.01999999999</v>
      </c>
      <c r="I130" s="47">
        <f>+H130/F130</f>
        <v>0.36893206102365961</v>
      </c>
      <c r="J130" s="5"/>
      <c r="K130" s="5"/>
      <c r="L130" s="5"/>
    </row>
    <row r="131" spans="1:12" s="1" customFormat="1" x14ac:dyDescent="0.3">
      <c r="A131" s="23"/>
      <c r="B131" s="4"/>
      <c r="C131" s="3"/>
      <c r="D131" s="17"/>
      <c r="E131" s="3"/>
      <c r="F131" s="3"/>
      <c r="G131" s="3">
        <v>60747.66</v>
      </c>
      <c r="H131" s="3"/>
      <c r="I131" s="48"/>
      <c r="J131" s="42" t="s">
        <v>547</v>
      </c>
      <c r="K131" s="4" t="s">
        <v>548</v>
      </c>
      <c r="L131" s="4"/>
    </row>
    <row r="132" spans="1:12" s="25" customFormat="1" ht="16.2" x14ac:dyDescent="0.3">
      <c r="A132" s="27">
        <v>32</v>
      </c>
      <c r="B132" s="5" t="s">
        <v>439</v>
      </c>
      <c r="C132" s="24" t="s">
        <v>129</v>
      </c>
      <c r="D132" s="18">
        <v>2414</v>
      </c>
      <c r="E132" s="24"/>
      <c r="F132" s="24">
        <v>46728.97</v>
      </c>
      <c r="G132" s="26">
        <f>SUM(G133:G136)</f>
        <v>46670</v>
      </c>
      <c r="H132" s="24">
        <f>+F132-G132</f>
        <v>58.970000000001164</v>
      </c>
      <c r="I132" s="47">
        <f>+H132/F132</f>
        <v>1.261958053002263E-3</v>
      </c>
      <c r="J132" s="5"/>
      <c r="K132" s="5"/>
      <c r="L132" s="5"/>
    </row>
    <row r="133" spans="1:12" s="1" customFormat="1" x14ac:dyDescent="0.3">
      <c r="A133" s="23"/>
      <c r="B133" s="4"/>
      <c r="C133" s="3"/>
      <c r="D133" s="17"/>
      <c r="E133" s="3"/>
      <c r="F133" s="3"/>
      <c r="G133" s="3">
        <v>32040</v>
      </c>
      <c r="H133" s="3"/>
      <c r="I133" s="48"/>
      <c r="J133" s="42" t="s">
        <v>549</v>
      </c>
      <c r="K133" s="4" t="s">
        <v>373</v>
      </c>
      <c r="L133" s="4"/>
    </row>
    <row r="134" spans="1:12" s="1" customFormat="1" x14ac:dyDescent="0.3">
      <c r="A134" s="23"/>
      <c r="B134" s="4"/>
      <c r="C134" s="3"/>
      <c r="D134" s="17"/>
      <c r="E134" s="3"/>
      <c r="F134" s="3"/>
      <c r="G134" s="3">
        <v>1030</v>
      </c>
      <c r="H134" s="3"/>
      <c r="I134" s="48"/>
      <c r="J134" s="42" t="s">
        <v>550</v>
      </c>
      <c r="K134" s="4" t="s">
        <v>81</v>
      </c>
      <c r="L134" s="4"/>
    </row>
    <row r="135" spans="1:12" s="1" customFormat="1" x14ac:dyDescent="0.3">
      <c r="A135" s="23"/>
      <c r="B135" s="4"/>
      <c r="C135" s="3"/>
      <c r="D135" s="17"/>
      <c r="E135" s="3"/>
      <c r="F135" s="3"/>
      <c r="G135" s="3">
        <v>4500</v>
      </c>
      <c r="H135" s="3"/>
      <c r="I135" s="48"/>
      <c r="J135" s="42" t="s">
        <v>378</v>
      </c>
      <c r="K135" s="4" t="s">
        <v>377</v>
      </c>
      <c r="L135" s="4"/>
    </row>
    <row r="136" spans="1:12" s="1" customFormat="1" x14ac:dyDescent="0.3">
      <c r="A136" s="23"/>
      <c r="B136" s="4"/>
      <c r="C136" s="3"/>
      <c r="D136" s="17"/>
      <c r="E136" s="3"/>
      <c r="F136" s="3"/>
      <c r="G136" s="3">
        <v>9100</v>
      </c>
      <c r="H136" s="3"/>
      <c r="I136" s="48"/>
      <c r="J136" s="42" t="s">
        <v>551</v>
      </c>
      <c r="K136" s="4" t="s">
        <v>319</v>
      </c>
      <c r="L136" s="4"/>
    </row>
    <row r="137" spans="1:12" s="25" customFormat="1" ht="16.2" x14ac:dyDescent="0.3">
      <c r="A137" s="27">
        <v>33</v>
      </c>
      <c r="B137" s="5" t="s">
        <v>424</v>
      </c>
      <c r="C137" s="24" t="s">
        <v>406</v>
      </c>
      <c r="D137" s="18">
        <v>1629</v>
      </c>
      <c r="E137" s="24"/>
      <c r="F137" s="24">
        <v>8411.2099999999991</v>
      </c>
      <c r="G137" s="26">
        <f>SUM(G138:G139)</f>
        <v>6710</v>
      </c>
      <c r="H137" s="24">
        <f>+F137-G137</f>
        <v>1701.2099999999991</v>
      </c>
      <c r="I137" s="47">
        <f>+H137/F137</f>
        <v>0.20225508577243931</v>
      </c>
      <c r="J137" s="5"/>
      <c r="K137" s="5"/>
      <c r="L137" s="5"/>
    </row>
    <row r="138" spans="1:12" s="1" customFormat="1" x14ac:dyDescent="0.3">
      <c r="A138" s="23"/>
      <c r="B138" s="4"/>
      <c r="C138" s="3"/>
      <c r="D138" s="17"/>
      <c r="E138" s="3"/>
      <c r="F138" s="3"/>
      <c r="G138" s="3">
        <v>4000</v>
      </c>
      <c r="H138" s="3"/>
      <c r="I138" s="48"/>
      <c r="J138" s="42" t="s">
        <v>552</v>
      </c>
      <c r="K138" s="4" t="s">
        <v>293</v>
      </c>
      <c r="L138" s="4"/>
    </row>
    <row r="139" spans="1:12" s="1" customFormat="1" x14ac:dyDescent="0.3">
      <c r="A139" s="23"/>
      <c r="B139" s="4"/>
      <c r="C139" s="3"/>
      <c r="D139" s="17"/>
      <c r="E139" s="3"/>
      <c r="F139" s="3"/>
      <c r="G139" s="3">
        <v>2710</v>
      </c>
      <c r="H139" s="3"/>
      <c r="I139" s="48"/>
      <c r="J139" s="42" t="s">
        <v>553</v>
      </c>
      <c r="K139" s="4" t="s">
        <v>66</v>
      </c>
      <c r="L139" s="4"/>
    </row>
    <row r="140" spans="1:12" s="25" customFormat="1" ht="16.2" x14ac:dyDescent="0.3">
      <c r="A140" s="27">
        <v>34</v>
      </c>
      <c r="B140" s="5" t="s">
        <v>424</v>
      </c>
      <c r="C140" s="24" t="s">
        <v>406</v>
      </c>
      <c r="D140" s="18">
        <v>1818</v>
      </c>
      <c r="E140" s="24"/>
      <c r="F140" s="24">
        <v>8411.2099999999991</v>
      </c>
      <c r="G140" s="26">
        <f>SUM(G141:G142)</f>
        <v>6710</v>
      </c>
      <c r="H140" s="24">
        <f>+F140-G140</f>
        <v>1701.2099999999991</v>
      </c>
      <c r="I140" s="47">
        <f>+H140/F140</f>
        <v>0.20225508577243931</v>
      </c>
      <c r="J140" s="5"/>
      <c r="K140" s="5"/>
      <c r="L140" s="5"/>
    </row>
    <row r="141" spans="1:12" s="25" customFormat="1" x14ac:dyDescent="0.3">
      <c r="A141" s="27"/>
      <c r="B141" s="5"/>
      <c r="C141" s="24"/>
      <c r="D141" s="18"/>
      <c r="E141" s="24"/>
      <c r="F141" s="24"/>
      <c r="G141" s="3">
        <v>4000</v>
      </c>
      <c r="H141" s="3"/>
      <c r="I141" s="48"/>
      <c r="J141" s="42" t="s">
        <v>552</v>
      </c>
      <c r="K141" s="4" t="s">
        <v>293</v>
      </c>
      <c r="L141" s="5"/>
    </row>
    <row r="142" spans="1:12" s="25" customFormat="1" x14ac:dyDescent="0.3">
      <c r="A142" s="27"/>
      <c r="B142" s="5"/>
      <c r="C142" s="24"/>
      <c r="D142" s="18"/>
      <c r="E142" s="24"/>
      <c r="F142" s="24"/>
      <c r="G142" s="3">
        <v>2710</v>
      </c>
      <c r="H142" s="3"/>
      <c r="I142" s="48"/>
      <c r="J142" s="42" t="s">
        <v>553</v>
      </c>
      <c r="K142" s="4" t="s">
        <v>66</v>
      </c>
      <c r="L142" s="5"/>
    </row>
    <row r="143" spans="1:12" s="25" customFormat="1" ht="16.2" x14ac:dyDescent="0.3">
      <c r="A143" s="27">
        <v>35</v>
      </c>
      <c r="B143" s="5" t="s">
        <v>424</v>
      </c>
      <c r="C143" s="24" t="s">
        <v>406</v>
      </c>
      <c r="D143" s="18">
        <v>1628</v>
      </c>
      <c r="E143" s="24"/>
      <c r="F143" s="24">
        <v>8411.2099999999991</v>
      </c>
      <c r="G143" s="26">
        <f>SUM(G144:G145)</f>
        <v>6710</v>
      </c>
      <c r="H143" s="24">
        <f>+F143-G143</f>
        <v>1701.2099999999991</v>
      </c>
      <c r="I143" s="47">
        <f>+H143/F143</f>
        <v>0.20225508577243931</v>
      </c>
      <c r="J143" s="5"/>
      <c r="K143" s="5"/>
      <c r="L143" s="5"/>
    </row>
    <row r="144" spans="1:12" s="25" customFormat="1" x14ac:dyDescent="0.3">
      <c r="A144" s="27"/>
      <c r="B144" s="5"/>
      <c r="C144" s="24"/>
      <c r="D144" s="18"/>
      <c r="E144" s="24"/>
      <c r="F144" s="24"/>
      <c r="G144" s="3">
        <v>4000</v>
      </c>
      <c r="H144" s="3"/>
      <c r="I144" s="48"/>
      <c r="J144" s="42" t="s">
        <v>552</v>
      </c>
      <c r="K144" s="4" t="s">
        <v>293</v>
      </c>
      <c r="L144" s="5"/>
    </row>
    <row r="145" spans="1:12" s="25" customFormat="1" x14ac:dyDescent="0.3">
      <c r="A145" s="27"/>
      <c r="B145" s="5"/>
      <c r="C145" s="24"/>
      <c r="D145" s="18"/>
      <c r="E145" s="24"/>
      <c r="F145" s="24"/>
      <c r="G145" s="3">
        <v>2710</v>
      </c>
      <c r="H145" s="3"/>
      <c r="I145" s="48"/>
      <c r="J145" s="42" t="s">
        <v>553</v>
      </c>
      <c r="K145" s="4" t="s">
        <v>66</v>
      </c>
      <c r="L145" s="5"/>
    </row>
    <row r="146" spans="1:12" s="25" customFormat="1" ht="16.2" x14ac:dyDescent="0.3">
      <c r="A146" s="27">
        <v>36</v>
      </c>
      <c r="B146" s="5" t="s">
        <v>424</v>
      </c>
      <c r="C146" s="24" t="s">
        <v>406</v>
      </c>
      <c r="D146" s="18">
        <v>1833</v>
      </c>
      <c r="E146" s="24"/>
      <c r="F146" s="24">
        <v>8411.2099999999991</v>
      </c>
      <c r="G146" s="26">
        <f>SUM(G147:G148)</f>
        <v>6710</v>
      </c>
      <c r="H146" s="24">
        <f>+F146-G146</f>
        <v>1701.2099999999991</v>
      </c>
      <c r="I146" s="47">
        <f>+H146/F146</f>
        <v>0.20225508577243931</v>
      </c>
      <c r="J146" s="5"/>
      <c r="K146" s="5"/>
      <c r="L146" s="5"/>
    </row>
    <row r="147" spans="1:12" s="25" customFormat="1" x14ac:dyDescent="0.3">
      <c r="A147" s="27"/>
      <c r="B147" s="5"/>
      <c r="C147" s="24"/>
      <c r="D147" s="18"/>
      <c r="E147" s="24"/>
      <c r="F147" s="24"/>
      <c r="G147" s="3">
        <v>4000</v>
      </c>
      <c r="H147" s="3"/>
      <c r="I147" s="48"/>
      <c r="J147" s="42" t="s">
        <v>552</v>
      </c>
      <c r="K147" s="4" t="s">
        <v>293</v>
      </c>
      <c r="L147" s="5"/>
    </row>
    <row r="148" spans="1:12" s="25" customFormat="1" x14ac:dyDescent="0.3">
      <c r="A148" s="27"/>
      <c r="B148" s="5"/>
      <c r="C148" s="24"/>
      <c r="D148" s="18"/>
      <c r="E148" s="24"/>
      <c r="F148" s="24"/>
      <c r="G148" s="3">
        <v>2710</v>
      </c>
      <c r="H148" s="3"/>
      <c r="I148" s="48"/>
      <c r="J148" s="42" t="s">
        <v>553</v>
      </c>
      <c r="K148" s="4" t="s">
        <v>66</v>
      </c>
      <c r="L148" s="5"/>
    </row>
    <row r="149" spans="1:12" s="25" customFormat="1" ht="16.2" x14ac:dyDescent="0.3">
      <c r="A149" s="27">
        <v>37</v>
      </c>
      <c r="B149" s="5" t="s">
        <v>424</v>
      </c>
      <c r="C149" s="24" t="s">
        <v>406</v>
      </c>
      <c r="D149" s="18">
        <v>2222</v>
      </c>
      <c r="E149" s="24"/>
      <c r="F149" s="24">
        <v>8411.2099999999991</v>
      </c>
      <c r="G149" s="26">
        <f>SUM(G150:G151)</f>
        <v>6710</v>
      </c>
      <c r="H149" s="24">
        <f>+F149-G149</f>
        <v>1701.2099999999991</v>
      </c>
      <c r="I149" s="47">
        <f>+H149/F149</f>
        <v>0.20225508577243931</v>
      </c>
      <c r="J149" s="5"/>
      <c r="K149" s="5"/>
      <c r="L149" s="5"/>
    </row>
    <row r="150" spans="1:12" s="25" customFormat="1" x14ac:dyDescent="0.3">
      <c r="A150" s="27"/>
      <c r="B150" s="5"/>
      <c r="C150" s="24"/>
      <c r="D150" s="18"/>
      <c r="E150" s="24"/>
      <c r="F150" s="24"/>
      <c r="G150" s="3">
        <v>4000</v>
      </c>
      <c r="H150" s="3"/>
      <c r="I150" s="48"/>
      <c r="J150" s="42" t="s">
        <v>552</v>
      </c>
      <c r="K150" s="4" t="s">
        <v>293</v>
      </c>
      <c r="L150" s="5"/>
    </row>
    <row r="151" spans="1:12" s="25" customFormat="1" x14ac:dyDescent="0.3">
      <c r="A151" s="27"/>
      <c r="B151" s="5"/>
      <c r="C151" s="24"/>
      <c r="D151" s="18"/>
      <c r="E151" s="24"/>
      <c r="F151" s="24"/>
      <c r="G151" s="3">
        <v>2710</v>
      </c>
      <c r="H151" s="3"/>
      <c r="I151" s="48"/>
      <c r="J151" s="42" t="s">
        <v>553</v>
      </c>
      <c r="K151" s="4" t="s">
        <v>66</v>
      </c>
      <c r="L151" s="5"/>
    </row>
    <row r="152" spans="1:12" s="25" customFormat="1" ht="16.2" x14ac:dyDescent="0.3">
      <c r="A152" s="27">
        <v>38</v>
      </c>
      <c r="B152" s="5" t="s">
        <v>440</v>
      </c>
      <c r="C152" s="24" t="s">
        <v>129</v>
      </c>
      <c r="D152" s="18">
        <v>3010</v>
      </c>
      <c r="E152" s="24"/>
      <c r="F152" s="24">
        <v>12149.53</v>
      </c>
      <c r="G152" s="26">
        <f>SUM(G153)</f>
        <v>5300</v>
      </c>
      <c r="H152" s="24">
        <f>+F152-G152</f>
        <v>6849.5300000000007</v>
      </c>
      <c r="I152" s="47">
        <f>+H152/F152</f>
        <v>0.56376913345619128</v>
      </c>
      <c r="J152" s="5"/>
      <c r="K152" s="5"/>
      <c r="L152" s="5"/>
    </row>
    <row r="153" spans="1:12" s="25" customFormat="1" x14ac:dyDescent="0.3">
      <c r="A153" s="27"/>
      <c r="B153" s="5"/>
      <c r="C153" s="24"/>
      <c r="D153" s="18"/>
      <c r="E153" s="24"/>
      <c r="F153" s="24"/>
      <c r="G153" s="3">
        <v>5300</v>
      </c>
      <c r="H153" s="3"/>
      <c r="I153" s="48"/>
      <c r="J153" s="42" t="s">
        <v>554</v>
      </c>
      <c r="K153" s="4" t="s">
        <v>63</v>
      </c>
      <c r="L153" s="5"/>
    </row>
    <row r="154" spans="1:12" s="25" customFormat="1" ht="16.2" x14ac:dyDescent="0.3">
      <c r="A154" s="27">
        <v>39</v>
      </c>
      <c r="B154" s="5" t="s">
        <v>441</v>
      </c>
      <c r="C154" s="24" t="s">
        <v>130</v>
      </c>
      <c r="D154" s="18" t="s">
        <v>413</v>
      </c>
      <c r="E154" s="24"/>
      <c r="F154" s="24">
        <v>26635.51</v>
      </c>
      <c r="G154" s="26">
        <f>SUM(G155:G157)</f>
        <v>17375</v>
      </c>
      <c r="H154" s="24">
        <f>+F154-G154</f>
        <v>9260.5099999999984</v>
      </c>
      <c r="I154" s="47">
        <f>+H154/F154</f>
        <v>0.34767534017557761</v>
      </c>
      <c r="J154" s="5"/>
      <c r="K154" s="5"/>
      <c r="L154" s="5"/>
    </row>
    <row r="155" spans="1:12" s="25" customFormat="1" x14ac:dyDescent="0.3">
      <c r="A155" s="27"/>
      <c r="B155" s="5"/>
      <c r="C155" s="24"/>
      <c r="D155" s="18"/>
      <c r="E155" s="24"/>
      <c r="F155" s="24"/>
      <c r="G155" s="3">
        <v>6175</v>
      </c>
      <c r="H155" s="3"/>
      <c r="I155" s="48"/>
      <c r="J155" s="42" t="s">
        <v>555</v>
      </c>
      <c r="K155" s="4" t="s">
        <v>58</v>
      </c>
      <c r="L155" s="5"/>
    </row>
    <row r="156" spans="1:12" s="25" customFormat="1" x14ac:dyDescent="0.3">
      <c r="A156" s="27"/>
      <c r="B156" s="5"/>
      <c r="C156" s="24"/>
      <c r="D156" s="18"/>
      <c r="E156" s="24"/>
      <c r="F156" s="24"/>
      <c r="G156" s="3">
        <v>2600</v>
      </c>
      <c r="H156" s="3"/>
      <c r="I156" s="48"/>
      <c r="J156" s="42" t="s">
        <v>556</v>
      </c>
      <c r="K156" s="4" t="s">
        <v>59</v>
      </c>
      <c r="L156" s="5"/>
    </row>
    <row r="157" spans="1:12" s="25" customFormat="1" x14ac:dyDescent="0.3">
      <c r="A157" s="27"/>
      <c r="B157" s="5"/>
      <c r="C157" s="24"/>
      <c r="D157" s="18"/>
      <c r="E157" s="24"/>
      <c r="F157" s="24"/>
      <c r="G157" s="3">
        <v>8600</v>
      </c>
      <c r="H157" s="3"/>
      <c r="I157" s="48"/>
      <c r="J157" s="42" t="s">
        <v>557</v>
      </c>
      <c r="K157" s="4" t="s">
        <v>63</v>
      </c>
      <c r="L157" s="5"/>
    </row>
    <row r="158" spans="1:12" s="25" customFormat="1" ht="16.2" x14ac:dyDescent="0.3">
      <c r="A158" s="27">
        <v>40</v>
      </c>
      <c r="B158" s="5" t="s">
        <v>442</v>
      </c>
      <c r="C158" s="24" t="s">
        <v>134</v>
      </c>
      <c r="D158" s="18" t="s">
        <v>414</v>
      </c>
      <c r="E158" s="24"/>
      <c r="F158" s="24">
        <v>4672.8999999999996</v>
      </c>
      <c r="G158" s="26"/>
      <c r="H158" s="26"/>
      <c r="I158" s="53"/>
      <c r="J158" s="5"/>
      <c r="K158" s="5"/>
      <c r="L158" s="5" t="s">
        <v>473</v>
      </c>
    </row>
    <row r="159" spans="1:12" s="25" customFormat="1" ht="16.2" x14ac:dyDescent="0.3">
      <c r="A159" s="27">
        <v>41</v>
      </c>
      <c r="B159" s="5" t="s">
        <v>452</v>
      </c>
      <c r="C159" s="24" t="s">
        <v>128</v>
      </c>
      <c r="D159" s="18" t="s">
        <v>443</v>
      </c>
      <c r="E159" s="24"/>
      <c r="F159" s="24">
        <v>143121.5</v>
      </c>
      <c r="G159" s="26">
        <f>SUM(G160:G162)</f>
        <v>98151.87</v>
      </c>
      <c r="H159" s="24">
        <f>+F159-G159</f>
        <v>44969.630000000005</v>
      </c>
      <c r="I159" s="47">
        <f>+H159/F159</f>
        <v>0.31420597184909327</v>
      </c>
      <c r="J159" s="5"/>
      <c r="K159" s="5"/>
      <c r="L159" s="5"/>
    </row>
    <row r="160" spans="1:12" s="25" customFormat="1" x14ac:dyDescent="0.3">
      <c r="A160" s="27"/>
      <c r="B160" s="5"/>
      <c r="C160" s="24"/>
      <c r="D160" s="18"/>
      <c r="E160" s="24"/>
      <c r="F160" s="24"/>
      <c r="G160" s="3">
        <v>20300</v>
      </c>
      <c r="H160" s="3"/>
      <c r="I160" s="48"/>
      <c r="J160" s="42" t="s">
        <v>558</v>
      </c>
      <c r="K160" s="4" t="s">
        <v>63</v>
      </c>
      <c r="L160" s="5"/>
    </row>
    <row r="161" spans="1:12" s="25" customFormat="1" x14ac:dyDescent="0.3">
      <c r="A161" s="27"/>
      <c r="B161" s="5"/>
      <c r="C161" s="24"/>
      <c r="D161" s="18"/>
      <c r="E161" s="24"/>
      <c r="F161" s="24"/>
      <c r="G161" s="3">
        <v>76450</v>
      </c>
      <c r="H161" s="3"/>
      <c r="I161" s="48"/>
      <c r="J161" s="42" t="s">
        <v>559</v>
      </c>
      <c r="K161" s="4" t="s">
        <v>90</v>
      </c>
      <c r="L161" s="5"/>
    </row>
    <row r="162" spans="1:12" s="25" customFormat="1" x14ac:dyDescent="0.3">
      <c r="A162" s="27"/>
      <c r="B162" s="5"/>
      <c r="C162" s="24"/>
      <c r="D162" s="18"/>
      <c r="E162" s="24"/>
      <c r="F162" s="24"/>
      <c r="G162" s="3">
        <v>1401.87</v>
      </c>
      <c r="H162" s="3"/>
      <c r="I162" s="48"/>
      <c r="J162" s="42" t="s">
        <v>560</v>
      </c>
      <c r="K162" s="4" t="s">
        <v>561</v>
      </c>
      <c r="L162" s="5"/>
    </row>
    <row r="163" spans="1:12" s="25" customFormat="1" ht="16.2" x14ac:dyDescent="0.3">
      <c r="A163" s="27">
        <v>42</v>
      </c>
      <c r="B163" s="5" t="s">
        <v>453</v>
      </c>
      <c r="C163" s="24" t="s">
        <v>444</v>
      </c>
      <c r="D163" s="18">
        <v>502</v>
      </c>
      <c r="E163" s="24"/>
      <c r="F163" s="24">
        <v>13637.38</v>
      </c>
      <c r="G163" s="26">
        <f>SUM(G164:G164)</f>
        <v>0</v>
      </c>
      <c r="H163" s="26"/>
      <c r="I163" s="53"/>
      <c r="J163" s="5"/>
      <c r="K163" s="5"/>
      <c r="L163" s="5"/>
    </row>
    <row r="164" spans="1:12" s="25" customFormat="1" x14ac:dyDescent="0.3">
      <c r="A164" s="27"/>
      <c r="B164" s="5"/>
      <c r="C164" s="24"/>
      <c r="D164" s="18"/>
      <c r="E164" s="24"/>
      <c r="F164" s="24"/>
      <c r="G164" s="3">
        <v>0</v>
      </c>
      <c r="H164" s="3"/>
      <c r="I164" s="48"/>
      <c r="J164" s="42"/>
      <c r="K164" s="4"/>
      <c r="L164" s="5" t="s">
        <v>562</v>
      </c>
    </row>
    <row r="165" spans="1:12" s="25" customFormat="1" ht="16.2" x14ac:dyDescent="0.3">
      <c r="A165" s="27">
        <v>43</v>
      </c>
      <c r="B165" s="5" t="s">
        <v>454</v>
      </c>
      <c r="C165" s="24" t="s">
        <v>128</v>
      </c>
      <c r="D165" s="18" t="s">
        <v>445</v>
      </c>
      <c r="E165" s="24">
        <f>15000/1.07</f>
        <v>14018.691588785046</v>
      </c>
      <c r="F165" s="24">
        <v>15420.56</v>
      </c>
      <c r="G165" s="26">
        <f>SUM(G166:G167)</f>
        <v>20050</v>
      </c>
      <c r="H165" s="24">
        <f>(E165+F165)-G165</f>
        <v>9389.2515887850459</v>
      </c>
      <c r="I165" s="47">
        <f>+H165/(F165+E165)</f>
        <v>0.3189364906396569</v>
      </c>
      <c r="J165" s="5"/>
      <c r="K165" s="5"/>
      <c r="L165" s="5"/>
    </row>
    <row r="166" spans="1:12" s="25" customFormat="1" x14ac:dyDescent="0.3">
      <c r="A166" s="27"/>
      <c r="B166" s="5"/>
      <c r="C166" s="24"/>
      <c r="D166" s="18"/>
      <c r="E166" s="24"/>
      <c r="F166" s="24"/>
      <c r="G166" s="3">
        <v>7850</v>
      </c>
      <c r="H166" s="3"/>
      <c r="I166" s="48"/>
      <c r="J166" s="42" t="s">
        <v>563</v>
      </c>
      <c r="K166" s="4" t="s">
        <v>291</v>
      </c>
      <c r="L166" s="5"/>
    </row>
    <row r="167" spans="1:12" s="25" customFormat="1" x14ac:dyDescent="0.3">
      <c r="A167" s="27"/>
      <c r="B167" s="5"/>
      <c r="C167" s="24"/>
      <c r="D167" s="18"/>
      <c r="E167" s="24"/>
      <c r="F167" s="24"/>
      <c r="G167" s="3">
        <v>12200</v>
      </c>
      <c r="H167" s="3"/>
      <c r="I167" s="48"/>
      <c r="J167" s="42" t="s">
        <v>564</v>
      </c>
      <c r="K167" s="4" t="s">
        <v>97</v>
      </c>
      <c r="L167" s="5"/>
    </row>
    <row r="168" spans="1:12" s="25" customFormat="1" ht="16.2" x14ac:dyDescent="0.3">
      <c r="A168" s="27">
        <v>44</v>
      </c>
      <c r="B168" s="5" t="s">
        <v>455</v>
      </c>
      <c r="C168" s="24" t="s">
        <v>128</v>
      </c>
      <c r="D168" s="18" t="s">
        <v>446</v>
      </c>
      <c r="E168" s="24"/>
      <c r="F168" s="24">
        <v>114530.84</v>
      </c>
      <c r="G168" s="26">
        <f>SUM(G169:G175)</f>
        <v>65840</v>
      </c>
      <c r="H168" s="24">
        <f>+F168-G168</f>
        <v>48690.84</v>
      </c>
      <c r="I168" s="47">
        <f>+H168/F168</f>
        <v>0.42513300347749128</v>
      </c>
      <c r="J168" s="5"/>
      <c r="K168" s="5"/>
      <c r="L168" s="5"/>
    </row>
    <row r="169" spans="1:12" s="25" customFormat="1" x14ac:dyDescent="0.3">
      <c r="A169" s="27"/>
      <c r="B169" s="5"/>
      <c r="C169" s="24"/>
      <c r="D169" s="18"/>
      <c r="E169" s="24"/>
      <c r="F169" s="24"/>
      <c r="G169" s="3">
        <v>8900</v>
      </c>
      <c r="H169" s="3"/>
      <c r="I169" s="48"/>
      <c r="J169" s="42" t="s">
        <v>565</v>
      </c>
      <c r="K169" s="4" t="s">
        <v>63</v>
      </c>
      <c r="L169" s="5"/>
    </row>
    <row r="170" spans="1:12" s="25" customFormat="1" x14ac:dyDescent="0.3">
      <c r="A170" s="27"/>
      <c r="B170" s="5"/>
      <c r="C170" s="24"/>
      <c r="D170" s="18"/>
      <c r="E170" s="24"/>
      <c r="F170" s="24"/>
      <c r="G170" s="3">
        <v>12800</v>
      </c>
      <c r="H170" s="3"/>
      <c r="I170" s="48"/>
      <c r="J170" s="42" t="s">
        <v>566</v>
      </c>
      <c r="K170" s="4" t="s">
        <v>291</v>
      </c>
      <c r="L170" s="5"/>
    </row>
    <row r="171" spans="1:12" s="25" customFormat="1" x14ac:dyDescent="0.3">
      <c r="A171" s="27"/>
      <c r="B171" s="5"/>
      <c r="C171" s="24"/>
      <c r="D171" s="18"/>
      <c r="E171" s="24"/>
      <c r="F171" s="24"/>
      <c r="G171" s="3">
        <v>2585</v>
      </c>
      <c r="H171" s="3"/>
      <c r="I171" s="48"/>
      <c r="J171" s="42" t="s">
        <v>567</v>
      </c>
      <c r="K171" s="4" t="s">
        <v>69</v>
      </c>
      <c r="L171" s="5"/>
    </row>
    <row r="172" spans="1:12" s="25" customFormat="1" x14ac:dyDescent="0.3">
      <c r="A172" s="27"/>
      <c r="B172" s="5"/>
      <c r="C172" s="24"/>
      <c r="D172" s="18"/>
      <c r="E172" s="24"/>
      <c r="F172" s="24"/>
      <c r="G172" s="3">
        <v>2755</v>
      </c>
      <c r="H172" s="3"/>
      <c r="I172" s="48"/>
      <c r="J172" s="42" t="s">
        <v>568</v>
      </c>
      <c r="K172" s="4" t="s">
        <v>66</v>
      </c>
      <c r="L172" s="5"/>
    </row>
    <row r="173" spans="1:12" s="25" customFormat="1" x14ac:dyDescent="0.3">
      <c r="A173" s="27"/>
      <c r="B173" s="5"/>
      <c r="C173" s="24"/>
      <c r="D173" s="18"/>
      <c r="E173" s="24"/>
      <c r="F173" s="24"/>
      <c r="G173" s="3">
        <v>20900</v>
      </c>
      <c r="H173" s="3"/>
      <c r="I173" s="48"/>
      <c r="J173" s="42" t="s">
        <v>569</v>
      </c>
      <c r="K173" s="4" t="s">
        <v>90</v>
      </c>
      <c r="L173" s="5"/>
    </row>
    <row r="174" spans="1:12" s="25" customFormat="1" x14ac:dyDescent="0.3">
      <c r="A174" s="27"/>
      <c r="B174" s="5"/>
      <c r="C174" s="24"/>
      <c r="D174" s="18"/>
      <c r="E174" s="24"/>
      <c r="F174" s="24"/>
      <c r="G174" s="3">
        <v>14050</v>
      </c>
      <c r="H174" s="3"/>
      <c r="I174" s="48"/>
      <c r="J174" s="42" t="s">
        <v>570</v>
      </c>
      <c r="K174" s="4" t="s">
        <v>97</v>
      </c>
      <c r="L174" s="5"/>
    </row>
    <row r="175" spans="1:12" s="25" customFormat="1" x14ac:dyDescent="0.3">
      <c r="A175" s="27"/>
      <c r="B175" s="5"/>
      <c r="C175" s="24"/>
      <c r="D175" s="18"/>
      <c r="E175" s="24"/>
      <c r="F175" s="24"/>
      <c r="G175" s="3">
        <v>3850</v>
      </c>
      <c r="H175" s="3"/>
      <c r="I175" s="48"/>
      <c r="J175" s="42" t="s">
        <v>571</v>
      </c>
      <c r="K175" s="4" t="s">
        <v>293</v>
      </c>
      <c r="L175" s="5"/>
    </row>
    <row r="176" spans="1:12" s="25" customFormat="1" ht="16.2" x14ac:dyDescent="0.3">
      <c r="A176" s="27">
        <v>45</v>
      </c>
      <c r="B176" s="5" t="s">
        <v>456</v>
      </c>
      <c r="C176" s="24" t="s">
        <v>128</v>
      </c>
      <c r="D176" s="18" t="s">
        <v>447</v>
      </c>
      <c r="E176" s="24"/>
      <c r="F176" s="24">
        <v>143738.32</v>
      </c>
      <c r="G176" s="26">
        <f>SUM(G177:G182)</f>
        <v>60240</v>
      </c>
      <c r="H176" s="24">
        <f>+F176-G176</f>
        <v>83498.320000000007</v>
      </c>
      <c r="I176" s="47">
        <f>+H176/F176</f>
        <v>0.58090507806129921</v>
      </c>
      <c r="J176" s="5"/>
      <c r="K176" s="5"/>
      <c r="L176" s="5"/>
    </row>
    <row r="177" spans="1:12" s="25" customFormat="1" x14ac:dyDescent="0.3">
      <c r="A177" s="27"/>
      <c r="B177" s="5"/>
      <c r="C177" s="24"/>
      <c r="D177" s="18"/>
      <c r="E177" s="24"/>
      <c r="F177" s="24"/>
      <c r="G177" s="3">
        <v>12800</v>
      </c>
      <c r="H177" s="3"/>
      <c r="I177" s="48"/>
      <c r="J177" s="42" t="s">
        <v>572</v>
      </c>
      <c r="K177" s="4" t="s">
        <v>291</v>
      </c>
      <c r="L177" s="5"/>
    </row>
    <row r="178" spans="1:12" s="25" customFormat="1" x14ac:dyDescent="0.3">
      <c r="A178" s="27"/>
      <c r="B178" s="5"/>
      <c r="C178" s="24"/>
      <c r="D178" s="18"/>
      <c r="E178" s="24"/>
      <c r="F178" s="24"/>
      <c r="G178" s="3">
        <v>2585</v>
      </c>
      <c r="H178" s="3"/>
      <c r="I178" s="48"/>
      <c r="J178" s="42" t="s">
        <v>573</v>
      </c>
      <c r="K178" s="4" t="s">
        <v>69</v>
      </c>
      <c r="L178" s="5"/>
    </row>
    <row r="179" spans="1:12" s="25" customFormat="1" x14ac:dyDescent="0.3">
      <c r="A179" s="27"/>
      <c r="B179" s="5"/>
      <c r="C179" s="24"/>
      <c r="D179" s="18"/>
      <c r="E179" s="24"/>
      <c r="F179" s="24"/>
      <c r="G179" s="3">
        <v>2755</v>
      </c>
      <c r="H179" s="3"/>
      <c r="I179" s="48"/>
      <c r="J179" s="42" t="s">
        <v>574</v>
      </c>
      <c r="K179" s="4" t="s">
        <v>66</v>
      </c>
      <c r="L179" s="5"/>
    </row>
    <row r="180" spans="1:12" s="25" customFormat="1" x14ac:dyDescent="0.3">
      <c r="A180" s="27"/>
      <c r="B180" s="5"/>
      <c r="C180" s="24"/>
      <c r="D180" s="18"/>
      <c r="E180" s="24"/>
      <c r="F180" s="24"/>
      <c r="G180" s="3">
        <v>25850</v>
      </c>
      <c r="H180" s="3"/>
      <c r="I180" s="48"/>
      <c r="J180" s="42" t="s">
        <v>575</v>
      </c>
      <c r="K180" s="4" t="s">
        <v>90</v>
      </c>
      <c r="L180" s="5"/>
    </row>
    <row r="181" spans="1:12" s="25" customFormat="1" x14ac:dyDescent="0.3">
      <c r="A181" s="27"/>
      <c r="B181" s="5"/>
      <c r="C181" s="24"/>
      <c r="D181" s="18"/>
      <c r="E181" s="24"/>
      <c r="F181" s="24"/>
      <c r="G181" s="3">
        <v>12400</v>
      </c>
      <c r="H181" s="3"/>
      <c r="I181" s="48"/>
      <c r="J181" s="42" t="s">
        <v>576</v>
      </c>
      <c r="K181" s="4" t="s">
        <v>97</v>
      </c>
      <c r="L181" s="5"/>
    </row>
    <row r="182" spans="1:12" s="25" customFormat="1" x14ac:dyDescent="0.3">
      <c r="A182" s="27"/>
      <c r="B182" s="5"/>
      <c r="C182" s="24"/>
      <c r="D182" s="18"/>
      <c r="E182" s="24"/>
      <c r="F182" s="24"/>
      <c r="G182" s="3">
        <v>3850</v>
      </c>
      <c r="H182" s="3"/>
      <c r="I182" s="48"/>
      <c r="J182" s="42" t="s">
        <v>577</v>
      </c>
      <c r="K182" s="4" t="s">
        <v>293</v>
      </c>
      <c r="L182" s="5"/>
    </row>
    <row r="183" spans="1:12" s="25" customFormat="1" ht="16.2" x14ac:dyDescent="0.3">
      <c r="A183" s="27">
        <v>46</v>
      </c>
      <c r="B183" s="5" t="s">
        <v>457</v>
      </c>
      <c r="C183" s="24" t="s">
        <v>128</v>
      </c>
      <c r="D183" s="18" t="s">
        <v>448</v>
      </c>
      <c r="E183" s="24"/>
      <c r="F183" s="24">
        <v>124140.19</v>
      </c>
      <c r="G183" s="26">
        <f>SUM(G184:G186)</f>
        <v>65880</v>
      </c>
      <c r="H183" s="24">
        <f>+F183-G183</f>
        <v>58260.19</v>
      </c>
      <c r="I183" s="47">
        <f>+H183/F183</f>
        <v>0.46930965709010114</v>
      </c>
      <c r="J183" s="5"/>
      <c r="K183" s="5"/>
      <c r="L183" s="5"/>
    </row>
    <row r="184" spans="1:12" s="25" customFormat="1" x14ac:dyDescent="0.3">
      <c r="A184" s="27"/>
      <c r="B184" s="5"/>
      <c r="C184" s="24"/>
      <c r="D184" s="18"/>
      <c r="E184" s="24"/>
      <c r="F184" s="24"/>
      <c r="G184" s="3">
        <v>17930</v>
      </c>
      <c r="H184" s="3"/>
      <c r="I184" s="48"/>
      <c r="J184" s="42" t="s">
        <v>578</v>
      </c>
      <c r="K184" s="4" t="s">
        <v>63</v>
      </c>
      <c r="L184" s="5"/>
    </row>
    <row r="185" spans="1:12" s="25" customFormat="1" x14ac:dyDescent="0.3">
      <c r="A185" s="27"/>
      <c r="B185" s="5"/>
      <c r="C185" s="24"/>
      <c r="D185" s="18"/>
      <c r="E185" s="24"/>
      <c r="F185" s="24"/>
      <c r="G185" s="3">
        <v>43450</v>
      </c>
      <c r="H185" s="3"/>
      <c r="I185" s="48"/>
      <c r="J185" s="42" t="s">
        <v>579</v>
      </c>
      <c r="K185" s="4" t="s">
        <v>90</v>
      </c>
      <c r="L185" s="5"/>
    </row>
    <row r="186" spans="1:12" s="25" customFormat="1" x14ac:dyDescent="0.3">
      <c r="A186" s="27"/>
      <c r="B186" s="5"/>
      <c r="C186" s="24"/>
      <c r="D186" s="18"/>
      <c r="E186" s="24"/>
      <c r="F186" s="24"/>
      <c r="G186" s="3">
        <v>4500</v>
      </c>
      <c r="H186" s="3"/>
      <c r="I186" s="48"/>
      <c r="J186" s="42" t="s">
        <v>580</v>
      </c>
      <c r="K186" s="4" t="s">
        <v>293</v>
      </c>
      <c r="L186" s="5"/>
    </row>
    <row r="187" spans="1:12" s="25" customFormat="1" ht="16.2" x14ac:dyDescent="0.3">
      <c r="A187" s="27">
        <v>47</v>
      </c>
      <c r="B187" s="5" t="s">
        <v>458</v>
      </c>
      <c r="C187" s="24" t="s">
        <v>128</v>
      </c>
      <c r="D187" s="18" t="s">
        <v>449</v>
      </c>
      <c r="E187" s="24"/>
      <c r="F187" s="24">
        <v>77758.880000000005</v>
      </c>
      <c r="G187" s="26">
        <f>SUM(G188:G191)</f>
        <v>30286</v>
      </c>
      <c r="H187" s="24">
        <f>+F187-G187</f>
        <v>47472.880000000005</v>
      </c>
      <c r="I187" s="47">
        <f>+H187/F187</f>
        <v>0.61051393744354343</v>
      </c>
      <c r="J187" s="5"/>
      <c r="K187" s="5"/>
      <c r="L187" s="5"/>
    </row>
    <row r="188" spans="1:12" s="25" customFormat="1" x14ac:dyDescent="0.3">
      <c r="A188" s="27"/>
      <c r="B188" s="5"/>
      <c r="C188" s="24"/>
      <c r="D188" s="18"/>
      <c r="E188" s="24"/>
      <c r="F188" s="24"/>
      <c r="G188" s="3">
        <v>2131</v>
      </c>
      <c r="H188" s="3"/>
      <c r="I188" s="48"/>
      <c r="J188" s="42" t="s">
        <v>581</v>
      </c>
      <c r="K188" s="4" t="s">
        <v>69</v>
      </c>
      <c r="L188" s="5"/>
    </row>
    <row r="189" spans="1:12" s="25" customFormat="1" x14ac:dyDescent="0.3">
      <c r="A189" s="27"/>
      <c r="B189" s="5"/>
      <c r="C189" s="24"/>
      <c r="D189" s="18"/>
      <c r="E189" s="24"/>
      <c r="F189" s="24"/>
      <c r="G189" s="3">
        <v>2755</v>
      </c>
      <c r="H189" s="3"/>
      <c r="I189" s="48"/>
      <c r="J189" s="42" t="s">
        <v>582</v>
      </c>
      <c r="K189" s="4" t="s">
        <v>66</v>
      </c>
      <c r="L189" s="5"/>
    </row>
    <row r="190" spans="1:12" s="25" customFormat="1" x14ac:dyDescent="0.3">
      <c r="A190" s="27"/>
      <c r="B190" s="5"/>
      <c r="C190" s="24"/>
      <c r="D190" s="18"/>
      <c r="E190" s="24"/>
      <c r="F190" s="24"/>
      <c r="G190" s="3">
        <v>20900</v>
      </c>
      <c r="H190" s="3"/>
      <c r="I190" s="48"/>
      <c r="J190" s="42" t="s">
        <v>583</v>
      </c>
      <c r="K190" s="4" t="s">
        <v>90</v>
      </c>
      <c r="L190" s="5"/>
    </row>
    <row r="191" spans="1:12" s="25" customFormat="1" x14ac:dyDescent="0.3">
      <c r="A191" s="27"/>
      <c r="B191" s="5"/>
      <c r="C191" s="24"/>
      <c r="D191" s="18"/>
      <c r="E191" s="24"/>
      <c r="F191" s="24"/>
      <c r="G191" s="3">
        <v>4500</v>
      </c>
      <c r="H191" s="3"/>
      <c r="I191" s="48"/>
      <c r="J191" s="42" t="s">
        <v>584</v>
      </c>
      <c r="K191" s="4" t="s">
        <v>293</v>
      </c>
      <c r="L191" s="5"/>
    </row>
    <row r="192" spans="1:12" s="25" customFormat="1" ht="16.2" x14ac:dyDescent="0.3">
      <c r="A192" s="27">
        <v>48</v>
      </c>
      <c r="B192" s="5" t="s">
        <v>459</v>
      </c>
      <c r="C192" s="24" t="s">
        <v>128</v>
      </c>
      <c r="D192" s="18" t="s">
        <v>450</v>
      </c>
      <c r="E192" s="24"/>
      <c r="F192" s="24">
        <v>36644.86</v>
      </c>
      <c r="G192" s="26">
        <f>SUM(G193)</f>
        <v>37600</v>
      </c>
      <c r="H192" s="24">
        <f>+F192-G192</f>
        <v>-955.13999999999942</v>
      </c>
      <c r="I192" s="51">
        <f>+H192/F192</f>
        <v>-2.6064774159322738E-2</v>
      </c>
      <c r="J192" s="5"/>
      <c r="K192" s="5"/>
      <c r="L192" s="5" t="s">
        <v>596</v>
      </c>
    </row>
    <row r="193" spans="1:12" s="25" customFormat="1" x14ac:dyDescent="0.3">
      <c r="A193" s="27"/>
      <c r="B193" s="5"/>
      <c r="C193" s="24"/>
      <c r="D193" s="18"/>
      <c r="E193" s="24"/>
      <c r="F193" s="24"/>
      <c r="G193" s="3">
        <v>37600</v>
      </c>
      <c r="H193" s="3"/>
      <c r="I193" s="48"/>
      <c r="J193" s="42" t="s">
        <v>585</v>
      </c>
      <c r="K193" s="4" t="s">
        <v>63</v>
      </c>
      <c r="L193" s="5"/>
    </row>
    <row r="194" spans="1:12" s="25" customFormat="1" ht="16.2" x14ac:dyDescent="0.3">
      <c r="A194" s="27">
        <v>49</v>
      </c>
      <c r="B194" s="5" t="s">
        <v>460</v>
      </c>
      <c r="C194" s="24" t="s">
        <v>128</v>
      </c>
      <c r="D194" s="18" t="s">
        <v>451</v>
      </c>
      <c r="E194" s="24"/>
      <c r="F194" s="24">
        <v>18317.759999999998</v>
      </c>
      <c r="G194" s="26">
        <f>SUM(G195)</f>
        <v>9000</v>
      </c>
      <c r="H194" s="24">
        <f>+F194-G194</f>
        <v>9317.7599999999984</v>
      </c>
      <c r="I194" s="47">
        <f>+H194/F194</f>
        <v>0.50867354960431843</v>
      </c>
      <c r="J194" s="5"/>
      <c r="K194" s="5"/>
      <c r="L194" s="5" t="s">
        <v>309</v>
      </c>
    </row>
    <row r="195" spans="1:12" s="25" customFormat="1" x14ac:dyDescent="0.3">
      <c r="A195" s="27"/>
      <c r="B195" s="5"/>
      <c r="C195" s="24"/>
      <c r="D195" s="18"/>
      <c r="E195" s="24"/>
      <c r="F195" s="24"/>
      <c r="G195" s="3">
        <v>9000</v>
      </c>
      <c r="H195" s="3"/>
      <c r="I195" s="48"/>
      <c r="J195" s="42" t="s">
        <v>586</v>
      </c>
      <c r="K195" s="4" t="s">
        <v>63</v>
      </c>
      <c r="L195" s="5"/>
    </row>
    <row r="198" spans="1:12" x14ac:dyDescent="0.3">
      <c r="F198" s="43">
        <f>F192*1.07</f>
        <v>39210.000200000002</v>
      </c>
    </row>
  </sheetData>
  <mergeCells count="1"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Revenue-Cost (6)</vt:lpstr>
      <vt:lpstr>Revenue-Cost (7)</vt:lpstr>
      <vt:lpstr>Revenue-Cost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Peeraminchaya Korkiattinan</dc:creator>
  <cp:lastModifiedBy>Prasert Lumpao</cp:lastModifiedBy>
  <dcterms:created xsi:type="dcterms:W3CDTF">2026-08-04T10:32:32Z</dcterms:created>
  <dcterms:modified xsi:type="dcterms:W3CDTF">2026-09-04T09:57:54Z</dcterms:modified>
</cp:coreProperties>
</file>
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" sheetId="1" r:id="rId5"/>
    <sheet state="visible" name="The Origin Sukhumvit-Praksa" sheetId="2" r:id="rId6"/>
    <sheet state="visible" name="Origin Plug &amp; Play Sirindhorn S" sheetId="3" r:id="rId7"/>
    <sheet state="visible" name="Origin Place Bangna" sheetId="4" r:id="rId8"/>
    <sheet state="visible" name="Origin Play Bangkhunnon" sheetId="5" r:id="rId9"/>
    <sheet state="visible" name="Origin Place Phetkasem" sheetId="6" r:id="rId10"/>
    <sheet state="visible" name="IP Program Origin Place Bangna" sheetId="7" r:id="rId11"/>
    <sheet state="visible" name="The Origin Bangkae" sheetId="8" r:id="rId12"/>
    <sheet state="visible" name="The Origin Kathu - Patong" sheetId="9" r:id="rId13"/>
    <sheet state="visible" name="The Origin Phahol 57" sheetId="10" r:id="rId14"/>
    <sheet state="visible" name="Knightsbridge Space Sukhumvit -" sheetId="11" r:id="rId15"/>
    <sheet state="visible" name="Origin Play Bangsaen" sheetId="12" r:id="rId16"/>
    <sheet state="visible" name="Origin Plug &amp; Play E22 Station" sheetId="13" r:id="rId17"/>
  </sheets>
  <definedNames>
    <definedName hidden="1" localSheetId="0" name="_xlnm._FilterDatabase">SUM!$A$3:$BC$24</definedName>
  </definedNames>
  <calcPr/>
</workbook>
</file>

<file path=xl/sharedStrings.xml><?xml version="1.0" encoding="utf-8"?>
<sst xmlns="http://schemas.openxmlformats.org/spreadsheetml/2006/main" count="1367" uniqueCount="496">
  <si>
    <t>โครงการ</t>
  </si>
  <si>
    <t>Room</t>
  </si>
  <si>
    <t>มูลค่าจัดจ้างซัพ</t>
  </si>
  <si>
    <t>รายการ สั่งซื้อ / สั่งจ้าง</t>
  </si>
  <si>
    <t>Revenue</t>
  </si>
  <si>
    <t>Cost ประมาณการณ์</t>
  </si>
  <si>
    <t>Status</t>
  </si>
  <si>
    <t>วันที่ขออนุมัติ</t>
  </si>
  <si>
    <t>Suppiler</t>
  </si>
  <si>
    <t>Area (sq.m.)</t>
  </si>
  <si>
    <t>SO</t>
  </si>
  <si>
    <t>PR</t>
  </si>
  <si>
    <t>PO</t>
  </si>
  <si>
    <t xml:space="preserve">คาดส่งงาน </t>
  </si>
  <si>
    <t>จัดจ้างจริง</t>
  </si>
  <si>
    <t>คงเหลือ
 (Exc. VAT บาท)</t>
  </si>
  <si>
    <t>Project</t>
  </si>
  <si>
    <t>% GP</t>
  </si>
  <si>
    <t>Type</t>
  </si>
  <si>
    <t>ประมาณการณ์</t>
  </si>
  <si>
    <t>Area</t>
  </si>
  <si>
    <t xml:space="preserve"> Project Timeline</t>
  </si>
  <si>
    <t>Timeline เปิด PO</t>
  </si>
  <si>
    <t>(Ex.Vat)</t>
  </si>
  <si>
    <t>Type of work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</si>
  <si>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</si>
  <si>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TEAM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</si>
  <si>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</si>
  <si>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Origin Place Bangna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</si>
  <si>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</si>
  <si>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Note</t>
  </si>
  <si>
    <t>Room 532</t>
  </si>
  <si>
    <t>1BEDPLUS</t>
  </si>
  <si>
    <t>The Origin Sukhumvit-Praksa</t>
  </si>
  <si>
    <t>Origin Plug &amp; Play Sirindhorn Station</t>
  </si>
  <si>
    <t>WAG-SONO26-000345</t>
  </si>
  <si>
    <t>Room 2514</t>
  </si>
  <si>
    <t>Room B1009</t>
  </si>
  <si>
    <t>ORG-PRNO26-014769</t>
  </si>
  <si>
    <t>Q (Auto)</t>
  </si>
  <si>
    <t>เดือน</t>
  </si>
  <si>
    <t>WAG-SONO26-000536</t>
  </si>
  <si>
    <t>name</t>
  </si>
  <si>
    <t>1. Curtain</t>
  </si>
  <si>
    <t>ORG-PRNO26-015215</t>
  </si>
  <si>
    <t>Number</t>
  </si>
  <si>
    <t>Function</t>
  </si>
  <si>
    <t>WAG-PONO26-001659</t>
  </si>
  <si>
    <t>1. Built in</t>
  </si>
  <si>
    <t>Sq.m.</t>
  </si>
  <si>
    <t>กำไร</t>
  </si>
  <si>
    <t>GP</t>
  </si>
  <si>
    <t>work type</t>
  </si>
  <si>
    <t>sale ส่งเมล</t>
  </si>
  <si>
    <t>สัญญาลูกค้า</t>
  </si>
  <si>
    <t>WAG-SONO23-000272</t>
  </si>
  <si>
    <t xml:space="preserve">   1.1 ตู้เหนือตู้เย็น</t>
  </si>
  <si>
    <t>KPI (14 day)</t>
  </si>
  <si>
    <t xml:space="preserve">   1.1 ผ้าม่านห้องนอนใหญ่</t>
  </si>
  <si>
    <t>เปิดPO ครบทุกหมวด</t>
  </si>
  <si>
    <t>ORG-PRNO26-012942</t>
  </si>
  <si>
    <t>WAG-PONO26-001561</t>
  </si>
  <si>
    <t>LATE (Day)</t>
  </si>
  <si>
    <t xml:space="preserve">   1.1 ผ้าม่านลอน ทึบ- จีบโปร่ง</t>
  </si>
  <si>
    <t>LATE</t>
  </si>
  <si>
    <t>of work</t>
  </si>
  <si>
    <t>Built-In</t>
  </si>
  <si>
    <t>Loose Furniture</t>
  </si>
  <si>
    <t>Wallpaper</t>
  </si>
  <si>
    <t>Curtain</t>
  </si>
  <si>
    <t>Prop</t>
  </si>
  <si>
    <t>Cleaning</t>
  </si>
  <si>
    <t>Co-Designer</t>
  </si>
  <si>
    <t>Sale</t>
  </si>
  <si>
    <t>Contractor</t>
  </si>
  <si>
    <t>Description</t>
  </si>
  <si>
    <t>ขออนุมัติแล้ว</t>
  </si>
  <si>
    <t xml:space="preserve">   1.2 ผ้าม่านห้องนอนเล็ก</t>
  </si>
  <si>
    <t>บริษัท ดีดี อินทีเรีย จำกัด</t>
  </si>
  <si>
    <t xml:space="preserve">   1.3 ผ้าม่านห้องนั่งเล่น (หน้าต่าง)</t>
  </si>
  <si>
    <t xml:space="preserve">   1.4 ผ้าม่านห้องนั่งเล่น (ระเบียง)</t>
  </si>
  <si>
    <t xml:space="preserve">   1.2 ชุดบิ้วท์ตู้ทีวี : ตู้สูง + ตู้วางทีวีมีลิ้นชัก
+ ไม้ระแนงกรุผนัง + ชั้นวางติดผนังเหนือทีวี</t>
  </si>
  <si>
    <t>นาย วัฒน์ธรกรณ์ รุ่งพรทวีวัฒน์</t>
  </si>
  <si>
    <t xml:space="preserve">   1.3 งานติดตั้ง</t>
  </si>
  <si>
    <t>WAG-PONO26-001644</t>
  </si>
  <si>
    <t>2. Built in</t>
  </si>
  <si>
    <t xml:space="preserve">   1.3 ชั้นวางติดผนังสามชั้น + เบิ้นผนังซอกหลังเตียง
และหัวเตียง มุมโค้ง</t>
  </si>
  <si>
    <t xml:space="preserve">   1.2 ผ้าม่านม้วน</t>
  </si>
  <si>
    <t xml:space="preserve">   2.1 ต่อเติมช่องครัวเป็นตู้บานปิด มีชั้นปรับภายใน</t>
  </si>
  <si>
    <t xml:space="preserve">   1.4 ชั้นวางติดผนังสามชั้น  + เบิ้นผนังซอกหลังโซฟา
กรุไม้ระแนง </t>
  </si>
  <si>
    <t xml:space="preserve">   1.5 ลิ้นชักเครื่องประดับ : แผ่นบนกระจกใส
+ แผ่นถาดเครื่องประดับ + ช่องลิ้นชัก</t>
  </si>
  <si>
    <t xml:space="preserve">   ส่วนลด </t>
  </si>
  <si>
    <t>ส่วนลด</t>
  </si>
  <si>
    <t xml:space="preserve">   2.2 ต่อเติมตู้เหนือตู้เย็น ตู้บานเปิดคู่</t>
  </si>
  <si>
    <t xml:space="preserve">   2.3 ตู้ทีวี + ผนังระแนงไม้หลังทีวี ชั้นวางติดผนังเหนือทีวี 
+ เดินสายไฟทำปลั๊กไฟเพิ่มหลังทีวี</t>
  </si>
  <si>
    <t>TOTAL</t>
  </si>
  <si>
    <t xml:space="preserve">   2.4 เตียงบิ้วท์อิน 3.5 ฟุต / เว้นใต้เตียง ไว้ใส่เตียงเลื่อน</t>
  </si>
  <si>
    <t xml:space="preserve">   2.5 หัวเตียงห้องนอนใหญ่ เบิ้น 10 ซม. เดินสายไฟทำปลั๊ก 2 ข้าง
 / ทำชั้นวางของซอกเสา / ผนังเหนือหัวเตียงกรุลามิเนตลายผ้าสีเทา</t>
  </si>
  <si>
    <t xml:space="preserve">   2.6 กรุกระเบื้องผนังครัว</t>
  </si>
  <si>
    <t>Room C1209</t>
  </si>
  <si>
    <t>1.1 ชุดหน้าต่างห้องนอนชั้นบน
ผ้าม่านทึบ+ม่านโปร่ง</t>
  </si>
  <si>
    <t xml:space="preserve">   2.7 เดินท่อสำหรับท่อน้ำแอร์</t>
  </si>
  <si>
    <t xml:space="preserve">   2.8 ค่าดำเนินการ</t>
  </si>
  <si>
    <t>B2C</t>
  </si>
  <si>
    <t>CONSTRUCTION</t>
  </si>
  <si>
    <t>P'PANG</t>
  </si>
  <si>
    <t>ส่งมอบแล้ว</t>
  </si>
  <si>
    <t>P'YING</t>
  </si>
  <si>
    <t>P'HACK</t>
  </si>
  <si>
    <t>เสนอราคา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</si>
  <si>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</si>
  <si>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Origin Play Bangkhunnon</t>
  </si>
  <si>
    <t>Room 1809</t>
  </si>
  <si>
    <t>/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</si>
  <si>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</si>
  <si>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Origin Place Phetkasem</t>
  </si>
  <si>
    <t>Room 919</t>
  </si>
  <si>
    <t>WAG-SONO25-000922</t>
  </si>
  <si>
    <t>ORG-PRNO26-012939</t>
  </si>
  <si>
    <t>WAG-PONO26-001560</t>
  </si>
  <si>
    <t xml:space="preserve">   1.1 ทึบ-โปร่ง ชั้นล่าง</t>
  </si>
  <si>
    <t>WAG-SONO26-000443</t>
  </si>
  <si>
    <t>ORG-PRNO26-014468</t>
  </si>
  <si>
    <t>WAG-PONO26-001595</t>
  </si>
  <si>
    <t xml:space="preserve">   1.1 ผ้าม่านจีบ ทึบ ห้องนั่งเล่น (หน้าต่าง)   </t>
  </si>
  <si>
    <t xml:space="preserve">   1.2 ผ้าม่านจีบ โปร่ง ห้องนั่งเล่น (หน้าต่าง)</t>
  </si>
  <si>
    <t xml:space="preserve">   1.3 ผ้าม่านจีบ ทึบ ห้องนั่งเล่น (ระเบียง)</t>
  </si>
  <si>
    <t xml:space="preserve">   1.4 ผ้าม่านจีบ โปร่ง ห้องนั่งเล่น (ระเบียง)</t>
  </si>
  <si>
    <t xml:space="preserve">   1.5 ผ้าม่านจีบ ทึบ ชั้นลอย</t>
  </si>
  <si>
    <t xml:space="preserve">   1.6 ค่าแรง-ติดตั้ง</t>
  </si>
  <si>
    <t>Room 901</t>
  </si>
  <si>
    <t>WAG-SONO25-000833</t>
  </si>
  <si>
    <t>ORG-PRNO26-012592</t>
  </si>
  <si>
    <t>WAG-PONO26-001586</t>
  </si>
  <si>
    <t>ผ้าม่านจีบ ทึบ-โปร่ง ห้องนอน</t>
  </si>
  <si>
    <t>2. Wallpaper</t>
  </si>
  <si>
    <t>WAG-PONO26-001596</t>
  </si>
  <si>
    <t xml:space="preserve">   2.1 วอลเปเปอร์ รอบห้อง สีพื้น 1 สี</t>
  </si>
  <si>
    <t>ผ้าม่านจีบ ทึบ-โปร่ง ห้องนั่งเล่น</t>
  </si>
  <si>
    <t>มู่ลี่ไม้</t>
  </si>
  <si>
    <t>บริษัท สิริ เดคคอร์ อินเตอร์เนชั่นแนล จำกัด</t>
  </si>
  <si>
    <t>WAG-PONO26-001597</t>
  </si>
  <si>
    <t xml:space="preserve">   2.2 ค่าแรง-ติดตั้ง</t>
  </si>
  <si>
    <t>ค่าแรง-ติดตั้ง</t>
  </si>
  <si>
    <t>บริษัท มิสเตอร์ เดคคอร์ จำกัด</t>
  </si>
  <si>
    <t>WAG-PONO26-001587</t>
  </si>
  <si>
    <t>วอลเปเปอร์ รอบห้อง สีพื้น 1 สี</t>
  </si>
  <si>
    <t>WAG-PONO26-001588</t>
  </si>
  <si>
    <t>3. Built in</t>
  </si>
  <si>
    <t>WAG-PONO26-001497</t>
  </si>
  <si>
    <t>ตู้สูงเก็บของ L shape โครงไม้ปิดผิว Laminate ลายไม้ 
หน้าบานกระจกใสธรรมดา เฟรมอลูมิเนียมสีดำ มือจับโปรไฟล์ 6 บาน
ด้านล่างทำหน้าบานทึบ ปิดผิว Laminate ลายไม้ 6 บาน 
ภายในทำชั้นปรับระดับ พร้อมอุปกรณ์ Soft Close</t>
  </si>
  <si>
    <t>บริษัท ล้านเจริญ เฟอร์นิเจอร์ จำกัด</t>
  </si>
  <si>
    <t>Room 818</t>
  </si>
  <si>
    <t>25 sqm.</t>
  </si>
  <si>
    <t>1Bed Smart Kitchen</t>
  </si>
  <si>
    <t>WAG-SONO26-000588</t>
  </si>
  <si>
    <t>Room 2324</t>
  </si>
  <si>
    <t>ORG-PRNO26-014490</t>
  </si>
  <si>
    <t>1. Loose Furniture</t>
  </si>
  <si>
    <t>WAG-PONO26-001592</t>
  </si>
  <si>
    <t>ผ้าม่านจีบ ทึบ (หน้าต่าง)</t>
  </si>
  <si>
    <t>WAG-SONO25-000825</t>
  </si>
  <si>
    <t>ORG-PRNO26-014517</t>
  </si>
  <si>
    <t>WAG-PONO26-001599</t>
  </si>
  <si>
    <t>โต๊ะกลาง</t>
  </si>
  <si>
    <t>ผ้าม่านจีบ โปร่ง (หน้าต่าง)</t>
  </si>
  <si>
    <t>บริษัท ชิค รีพับบลิค จำกัด (มหาชน)</t>
  </si>
  <si>
    <t>2. Electrical Appliance</t>
  </si>
  <si>
    <t>ผ้าม่านจีบ ทึบ (กั้นห้อง)</t>
  </si>
  <si>
    <t>WAG-PONO26-001600</t>
  </si>
  <si>
    <t>เครื่องทำน้ำอุ่น</t>
  </si>
  <si>
    <t>ติดตั้ง</t>
  </si>
  <si>
    <t>บริษัท อีเลคโทรลักซ์ ประเทศไทย จำกัด</t>
  </si>
  <si>
    <t>WAG-PONO26-001593</t>
  </si>
  <si>
    <t>WAG-PONO26-001594</t>
  </si>
  <si>
    <t>Room 1121</t>
  </si>
  <si>
    <t>WAG-SONO25-000876</t>
  </si>
  <si>
    <t>ORG-PRNO26-014519</t>
  </si>
  <si>
    <t xml:space="preserve">ห้องนั่งเล่น ผ้าม่าน ลอนทึบ ม่านจีบโปร่ง </t>
  </si>
  <si>
    <t xml:space="preserve">ห้องนอนใหญ่ ผ้าม่าน ลอนทึบ ม่านจีบโปร่ง </t>
  </si>
  <si>
    <t xml:space="preserve">ห้องทำงาน ผ้าม่าน ลอนทึบ ม่านจีบโปร่ง </t>
  </si>
  <si>
    <t>WAG-PONO26-001613</t>
  </si>
  <si>
    <t>บริษัท เอสไอ เดคคอเรท จำกัด สำนักงานใหญ่</t>
  </si>
  <si>
    <t>ตู้หนังสือหลังโซฟา
ตู้วางหนังสือไม่มีหน้าบาน+ชั้นวางของ</t>
  </si>
  <si>
    <t>Room 502</t>
  </si>
  <si>
    <t>1.1 Built in</t>
  </si>
  <si>
    <t>ตู้หนังสือห้องทำงาน
ตู้วางหนังสือไม่มีหน้าบาน+ ตู้เก็บของบานเปิดปิด ด้านล่างปิดผิวลามิเนต
มีกุญแจล็อค</t>
  </si>
  <si>
    <t>1.2 ระบบติดตั้งม่านไฟฟ้า</t>
  </si>
  <si>
    <t>2. Curtain</t>
  </si>
  <si>
    <t xml:space="preserve">2.1 ผ้าม่านม้วน ห้องนั่งเล่น (หน้าต่าง) </t>
  </si>
  <si>
    <t>2.2 ผ้าม่านม้วน  ห้องนั่งเล่น (ระเบียง)</t>
  </si>
  <si>
    <t>2.3 ค่าแรง-ติดตั้ง ผ้าม่าน</t>
  </si>
  <si>
    <t>3. Wallpaper</t>
  </si>
  <si>
    <t>3.1 Wallpaper</t>
  </si>
  <si>
    <t>Room 1621</t>
  </si>
  <si>
    <t>3.2 ค่าแรงติดตั้ง Wallpaper</t>
  </si>
  <si>
    <t>WAG-SONO25-000795</t>
  </si>
  <si>
    <t>ORG-PRNO26-013246</t>
  </si>
  <si>
    <t>WAG-PONO26-001617</t>
  </si>
  <si>
    <t xml:space="preserve">   1.1 ม่าน ทึบลอนโปร่งจีบ</t>
  </si>
  <si>
    <t>4. Film</t>
  </si>
  <si>
    <t>4.1 ฟิล์มติดกระจกหน้าต่าง</t>
  </si>
  <si>
    <t>5. ส่วนลด</t>
  </si>
  <si>
    <t>Room 1601</t>
  </si>
  <si>
    <t>WAG-SONO25-000793</t>
  </si>
  <si>
    <t>ORG-PRNO26-015234</t>
  </si>
  <si>
    <t xml:space="preserve">   1.1 ผ้าม่านจีบ ทึบ-โปร่ง ห้องนอน</t>
  </si>
  <si>
    <t xml:space="preserve">   1.2 ผ้าม่านจีบ ทึบ-โปร่ง ห้องนั่งเล่น</t>
  </si>
  <si>
    <t xml:space="preserve">   1.3 ค่าแรง-ติดตั้ง</t>
  </si>
  <si>
    <t>WAG-PONO26-001660</t>
  </si>
  <si>
    <t>บริษัท แสงมณีรุ่งโรจน์ จำกัด</t>
  </si>
  <si>
    <t xml:space="preserve">   2.1 Backsplash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</si>
  <si>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</si>
  <si>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IP Program</t>
  </si>
  <si>
    <t>WAG-SONO25-000873</t>
  </si>
  <si>
    <t>1. Decorate Prop</t>
  </si>
  <si>
    <t>1. OBB-CTNO25-00108</t>
  </si>
  <si>
    <t>บริษัท เมมโมรี่ส์ ดีไซน์ แอนด์ พริ้นท์ จำกัด</t>
  </si>
  <si>
    <t>ORG-PRNO25-031604</t>
  </si>
  <si>
    <t>WAG-PONO25-002535</t>
  </si>
  <si>
    <t>1.1 กรอบรูป</t>
  </si>
  <si>
    <t>2. OBB-CTNO25-00107</t>
  </si>
  <si>
    <t>นางสาว อังค์วรา ฉันท์ฉกาจสิริ</t>
  </si>
  <si>
    <t>WAG-PONO26-000037</t>
  </si>
  <si>
    <t>1.2 หมอนอิง</t>
  </si>
  <si>
    <t>3. OBB-CTNO25-00109</t>
  </si>
  <si>
    <t>บริษัท เพื่อภูมิ จำกัด</t>
  </si>
  <si>
    <t xml:space="preserve">WAG-PONO26-000038
</t>
  </si>
  <si>
    <t>1.3 โคมไฟ</t>
  </si>
  <si>
    <t>บริษัท เจ็ง กีสข่าน จำกัด</t>
  </si>
  <si>
    <t>ORG-PRNO25-032195</t>
  </si>
  <si>
    <t>WAG-PONO26-000137</t>
  </si>
  <si>
    <t>1.4 งานจัดพร็อพ</t>
  </si>
  <si>
    <t>ณีรนุช โกทันย์</t>
  </si>
  <si>
    <t>ORG-PRNO26-004625</t>
  </si>
  <si>
    <t>WAG-PONO26-000698</t>
  </si>
  <si>
    <t>1.5 งานจัดวางของเข้าห้อง</t>
  </si>
  <si>
    <t>บริษัท อิคาโน่ (ประเทศไทย) จำกัด</t>
  </si>
  <si>
    <t>ORG-PRNO26-008086</t>
  </si>
  <si>
    <t>WAG-PONO26-000949</t>
  </si>
  <si>
    <t>1.6 พร็อพ IKEA</t>
  </si>
  <si>
    <t>บริษัท เอ็ม-เวิลด์ โลจิสติกส์ (ประเทศไทย) จำกัด</t>
  </si>
  <si>
    <t>WAG-PONO26-000950</t>
  </si>
  <si>
    <t>1.7 ขนส่งพร็อพ IKEA</t>
  </si>
  <si>
    <t>ORG-PRNO26-014551</t>
  </si>
  <si>
    <t>WAG-PONO26-001608</t>
  </si>
  <si>
    <t>1.8 กรอบรูป</t>
  </si>
  <si>
    <t>ORG-PRNO26-014599</t>
  </si>
  <si>
    <t>WAG-PONO26-001611</t>
  </si>
  <si>
    <t>1.9 โคมไฟ IKEA</t>
  </si>
  <si>
    <t>WAG-PONO26-001612</t>
  </si>
  <si>
    <t>1.10 ขนส่ง โคมไฟ IKEA</t>
  </si>
  <si>
    <t>ORG-PRNO26-015359</t>
  </si>
  <si>
    <t>WAG-PONO26-001650</t>
  </si>
  <si>
    <t>1.11 กรอบรูป</t>
  </si>
  <si>
    <t>WAG-PONO26-001652</t>
  </si>
  <si>
    <t>1.12 โคมไฟ IKEA</t>
  </si>
  <si>
    <t>WAG-PONO26-001653</t>
  </si>
  <si>
    <t>1.13 ขนส่ง โคมไฟ IKEA</t>
  </si>
  <si>
    <t>ORG-PRNO26-016586</t>
  </si>
  <si>
    <t>WAG-PONO26-001697</t>
  </si>
  <si>
    <t>1.14 กรอบรูป</t>
  </si>
  <si>
    <t>WAG-PONO26-001699</t>
  </si>
  <si>
    <t>1.15 โคมไฟ IKEA</t>
  </si>
  <si>
    <t>WAG-PONO26-001700</t>
  </si>
  <si>
    <t>1.16 ขนส่งโคมไฟ IKEA</t>
  </si>
  <si>
    <t>ORG-PRNO26-016861</t>
  </si>
  <si>
    <t>WAG-PONO26-001705</t>
  </si>
  <si>
    <t>1.17 งานจัดวางของเข้าห้อง</t>
  </si>
  <si>
    <t>บริษัท บี เรส จำกัด</t>
  </si>
  <si>
    <t>ORG-PRNO26-000502</t>
  </si>
  <si>
    <t>WAG-PONO26-000196</t>
  </si>
  <si>
    <t>2.1 ผ้าม่าน ทึบ-โปร่ง</t>
  </si>
  <si>
    <t>3. Loose Furniture</t>
  </si>
  <si>
    <t>บริษัท สมาร์ทพลัส กรุ๊ป จำกัด</t>
  </si>
  <si>
    <t>ORG-PRNO26-000157</t>
  </si>
  <si>
    <t>WAG-PONO26-000221</t>
  </si>
  <si>
    <t>3.1 งานแก้ไขเฟอร์นิเจอร์</t>
  </si>
  <si>
    <t>บริษัท เดอะ ดีไซน์ จำกัด</t>
  </si>
  <si>
    <t>WAG-PONO26-000697</t>
  </si>
  <si>
    <t>3.2 Coffee Table</t>
  </si>
  <si>
    <t>บริษัท อรรคพล เฟอร์นิช จำกัด</t>
  </si>
  <si>
    <t>ORG-PRNO26-007778</t>
  </si>
  <si>
    <t>WAG-PONO26-000913</t>
  </si>
  <si>
    <t>3.3 TV Cabinet / Working Table / Working Chair / Side Table / Dining Table</t>
  </si>
  <si>
    <t>ORG-PRNO26-008435</t>
  </si>
  <si>
    <t>WAG-PONO26-000957</t>
  </si>
  <si>
    <t>3.4 SOFA</t>
  </si>
  <si>
    <t>ORG-PRNO26-014528</t>
  </si>
  <si>
    <t>WAG-PONO26-001606</t>
  </si>
  <si>
    <t>3.5 Loose Furniture IKEA</t>
  </si>
  <si>
    <t>WAG-PONO26-001607</t>
  </si>
  <si>
    <t>3.6 ขนส่ง Loose Furniture IKEA</t>
  </si>
  <si>
    <t>บริษัท อินเด็กซ์ ลิฟวิ่งมอลล์ จำกัด (มหาชน)</t>
  </si>
  <si>
    <t xml:space="preserve">ORG-PRNO26-014551
</t>
  </si>
  <si>
    <t>WAG-PONO26-001609</t>
  </si>
  <si>
    <t>3.7 Loose Furniture Index</t>
  </si>
  <si>
    <t>บริษัท เอสบี ดีไซนด์สแควร์ จำกัด</t>
  </si>
  <si>
    <t>ORG-PRNO26-015042</t>
  </si>
  <si>
    <t>WAG-PONO26-001628</t>
  </si>
  <si>
    <t>3.8 Loose Furniture SB</t>
  </si>
  <si>
    <t>WAG-PONO26-001629</t>
  </si>
  <si>
    <t>3.9 ขนส่ง Loose Furniture SB</t>
  </si>
  <si>
    <t>WAG-PONO26-001630</t>
  </si>
  <si>
    <t>3.10 Loose Furniture Index</t>
  </si>
  <si>
    <t>WAG-PONO26-001631</t>
  </si>
  <si>
    <t>3.11 Loose Furniture IKEA</t>
  </si>
  <si>
    <t>WAG-PONO26-001632</t>
  </si>
  <si>
    <t>3.12 ขนส่ง+ประกอบ Loose Furniture IKEA</t>
  </si>
  <si>
    <t>WAG-PONO26-001701</t>
  </si>
  <si>
    <t>3.13 Loose Furniture Index</t>
  </si>
  <si>
    <t>WAG-PONO26-001702</t>
  </si>
  <si>
    <t>3.14 Loose Furniture IKEA</t>
  </si>
  <si>
    <t>WAG-PONO26-001703</t>
  </si>
  <si>
    <t>3.15 ขนส่ง+ประกอบ Loose Furniture IKEA</t>
  </si>
  <si>
    <t>4. BEDSET</t>
  </si>
  <si>
    <t>บริษัท เอ เค แอนด์ เจ เท็กซ์ไทส์ จำกัด</t>
  </si>
  <si>
    <t>WAG-PONO26-000955</t>
  </si>
  <si>
    <t xml:space="preserve">4.1 BEDSET </t>
  </si>
  <si>
    <t>บริษัท ไวท์ส แอนด์ แมททริส จำกัด</t>
  </si>
  <si>
    <t>WAG-PONO26-000956</t>
  </si>
  <si>
    <t>4.2 BEDSET</t>
  </si>
  <si>
    <t>5. สติ๊กเกอร์ฝ้า</t>
  </si>
  <si>
    <t>บริษัท สติ๊กเกอร์ฝ้า จำกัด</t>
  </si>
  <si>
    <t>ORG-PRNO26-014334</t>
  </si>
  <si>
    <t xml:space="preserve">WAG-PONO26-001591
</t>
  </si>
  <si>
    <t>5.1 สติ๊กเกอร์ฝ้า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</si>
  <si>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</si>
  <si>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The Origin Bangkae</t>
  </si>
  <si>
    <t>Room C310</t>
  </si>
  <si>
    <t>WAG-SONO23-000456</t>
  </si>
  <si>
    <t>ORG-PRNO26-013323</t>
  </si>
  <si>
    <t>WAG-PONO26-001563</t>
  </si>
  <si>
    <t xml:space="preserve">   1.1 โต๊ะทานข้าว</t>
  </si>
  <si>
    <t xml:space="preserve">   1.2 ค่าขนส่ง</t>
  </si>
  <si>
    <t xml:space="preserve"> </t>
  </si>
  <si>
    <t>Room A202</t>
  </si>
  <si>
    <t>WAG-SONO26-000060</t>
  </si>
  <si>
    <t>ORG-PRNO26-013245</t>
  </si>
  <si>
    <t>WAG-PONO26-001503</t>
  </si>
  <si>
    <t xml:space="preserve">   1.1 โต๊ะกลาง</t>
  </si>
  <si>
    <r>
      <rPr>
        <rFont val="Browallia New"/>
        <b/>
        <color rgb="FFFF0000"/>
        <sz val="16.0"/>
      </rPr>
      <t xml:space="preserve">ขออนุัติครั้งนี้ / </t>
    </r>
    <r>
      <rPr>
        <rFont val="Browallia New"/>
        <b/>
        <color rgb="FF0000FF"/>
        <sz val="16.0"/>
      </rPr>
      <t>อนุมัติแล้ว</t>
    </r>
  </si>
  <si>
    <t>The Origin Kathu - Patong</t>
  </si>
  <si>
    <t>Room B418</t>
  </si>
  <si>
    <t>28.75 sq.m</t>
  </si>
  <si>
    <t>WAG-SONO26-000328</t>
  </si>
  <si>
    <t>ORG-PRNO26-014838</t>
  </si>
  <si>
    <t>WAG-PONO26-001634</t>
  </si>
  <si>
    <t>1. Mattress</t>
  </si>
  <si>
    <t>บริษัท ฮิลดิ้ง แอนเดอร์ส (ประเทศไทย) จำกัด</t>
  </si>
  <si>
    <t xml:space="preserve">   1.1 ฟูก 5 ฟุต</t>
  </si>
  <si>
    <t xml:space="preserve">   1.2 BEDSEET 5 ฟุต</t>
  </si>
  <si>
    <t>WAG-PONO26-001635</t>
  </si>
  <si>
    <t xml:space="preserve"> นาย วัฒน์ธรกรณ์ รุ่งพรทวีวัฒน์</t>
  </si>
  <si>
    <t xml:space="preserve">   2.1  Curtain Bed Room ทึบ-โปร่ง</t>
  </si>
  <si>
    <t xml:space="preserve">   2.2 ค่าติดตั้ง</t>
  </si>
  <si>
    <r>
      <rPr>
        <rFont val="Browallia New"/>
        <b/>
        <color rgb="FFFF0000"/>
        <sz val="16.0"/>
      </rPr>
      <t xml:space="preserve">ขออนุัติครั้งนี้ / </t>
    </r>
    <r>
      <rPr>
        <rFont val="Browallia New"/>
        <b/>
        <color rgb="FF0000FF"/>
        <sz val="16.0"/>
      </rPr>
      <t>อนุมัติแล้ว</t>
    </r>
  </si>
  <si>
    <t>The Origin Phahol 57</t>
  </si>
  <si>
    <t>Room A402</t>
  </si>
  <si>
    <t>28 sq.m</t>
  </si>
  <si>
    <t>Room B720</t>
  </si>
  <si>
    <t xml:space="preserve">   1.1 ผ้าม่านจีบ ทึบ ห้องนอน</t>
  </si>
  <si>
    <r>
      <rPr>
        <rFont val="Browallia New"/>
        <b/>
        <color rgb="FFFF0000"/>
        <sz val="16.0"/>
      </rPr>
      <t xml:space="preserve">ขออนุัติครั้งนี้ / </t>
    </r>
    <r>
      <rPr>
        <rFont val="Browallia New"/>
        <b/>
        <color rgb="FF0000FF"/>
        <sz val="16.0"/>
      </rPr>
      <t>อนุมัติแล้ว</t>
    </r>
  </si>
  <si>
    <t>Knightsbridge Space Sukhumvit - Rama4</t>
  </si>
  <si>
    <t>Room 1009</t>
  </si>
  <si>
    <t>1. Curtain &amp; Wallpaper</t>
  </si>
  <si>
    <t xml:space="preserve">   1.1 ม่าน ทึบโปร่ง เพดานสูงชั้นล่าง</t>
  </si>
  <si>
    <t xml:space="preserve">   1.2 ม่านโปร่งชั้นลอย</t>
  </si>
  <si>
    <t xml:space="preserve">   1.3 วอลเปเปอร์รอบห้อง 2 สี</t>
  </si>
  <si>
    <t xml:space="preserve">   2.1 หัวเตียง ปิดลามิเนตลายไม้สีเข้ม + ซ่อนไฟLED  หัวเตียง</t>
  </si>
  <si>
    <t>3. Lighting</t>
  </si>
  <si>
    <t xml:space="preserve">   3.1 แชนเดอเรีย</t>
  </si>
  <si>
    <t xml:space="preserve">   3.2 ค่าติดตั้ง</t>
  </si>
  <si>
    <t>4. Mattress</t>
  </si>
  <si>
    <t xml:space="preserve">   4.1 ที่นอน 5 ฟุต</t>
  </si>
  <si>
    <t>5. Loose Furniture</t>
  </si>
  <si>
    <t xml:space="preserve">   5.1 โซฟา 3 ที่นั่ง 176 cm x 88 cm x 83 cm</t>
  </si>
  <si>
    <t xml:space="preserve">   5.2 โต๊ะอาหาร</t>
  </si>
  <si>
    <t xml:space="preserve">   5.3 เก้าอี้ 2 ตัว</t>
  </si>
  <si>
    <t xml:space="preserve">   5.4 โต๊ะกลางแบบ ยกได้</t>
  </si>
  <si>
    <t xml:space="preserve">   5.5 กระจกจกเงาติดผนังทางขึ้นบันได 65x150 cm.</t>
  </si>
  <si>
    <t xml:space="preserve">   5.6 ชั้นวางติดผนัง 2 ชั้น (ข้างโซฟา)</t>
  </si>
  <si>
    <r>
      <rPr>
        <rFont val="Browallia New"/>
        <b/>
        <color rgb="FFFF0000"/>
        <sz val="16.0"/>
      </rPr>
      <t xml:space="preserve">ขออนุัติครั้งนี้ / </t>
    </r>
    <r>
      <rPr>
        <rFont val="Browallia New"/>
        <b/>
        <color rgb="FF0000FF"/>
        <sz val="16.0"/>
      </rPr>
      <t>อนุมัติแล้ว</t>
    </r>
  </si>
  <si>
    <t>Origin Play Bangsaen</t>
  </si>
  <si>
    <t>Room 1218</t>
  </si>
  <si>
    <t xml:space="preserve">   1.1 งานบิ้วอิน</t>
  </si>
  <si>
    <t>2.1 ผ้าม่าน ทึบ-โปร่ง (ห้องนอนใหญ่) (ห้องแต่งตัว)</t>
  </si>
  <si>
    <t>3.1 วอลเปเปอร์ 1 สี  และค่าแรงติดตั้ง</t>
  </si>
  <si>
    <t>4. ค่าทำความสะอาด</t>
  </si>
  <si>
    <r>
      <rPr>
        <rFont val="Browallia New"/>
        <b/>
        <color rgb="FFFF0000"/>
        <sz val="16.0"/>
      </rPr>
      <t xml:space="preserve">ขออนุัติครั้งนี้ </t>
    </r>
    <r>
      <rPr>
        <rFont val="Browallia New"/>
        <b/>
        <color rgb="FFFF0000"/>
        <sz val="16.0"/>
      </rPr>
      <t xml:space="preserve">/ </t>
    </r>
    <r>
      <rPr>
        <rFont val="Browallia New"/>
        <b/>
        <color rgb="FF0000FF"/>
        <sz val="16.0"/>
      </rPr>
      <t>อนุมัติแล้ว</t>
    </r>
  </si>
  <si>
    <t>Origin Plug &amp; Play E22 Station</t>
  </si>
  <si>
    <t>Room 1833</t>
  </si>
  <si>
    <t>TYPE D-B1-07</t>
  </si>
  <si>
    <t>22. SQ.M.</t>
  </si>
  <si>
    <t>WAG-SONO26-000572</t>
  </si>
  <si>
    <t>ORG-PRNO26-013169</t>
  </si>
  <si>
    <t>WAG-PONO26-001532</t>
  </si>
  <si>
    <t xml:space="preserve">   1.1 ตกแต่งเส้นอลูมิเนียมหลังโซฟา</t>
  </si>
  <si>
    <t>ห้างหุ้นส่วนจำกัด เพอร์เฟค ลัคซูรี่ เดคอร์</t>
  </si>
  <si>
    <t>(1BED DUO)</t>
  </si>
  <si>
    <t>2. Loose Furniture</t>
  </si>
  <si>
    <t>WAG-PONO26-001504</t>
  </si>
  <si>
    <t xml:space="preserve">   2.1 Sofa</t>
  </si>
  <si>
    <t>WAG-PONO26-001508</t>
  </si>
  <si>
    <t xml:space="preserve">   2.2 โต๊ะกลาง</t>
  </si>
  <si>
    <t>WAG-PONO26-001516</t>
  </si>
  <si>
    <t xml:space="preserve">   2.3 โต๊ะอาหาร</t>
  </si>
  <si>
    <t xml:space="preserve">   2.4 สตูล</t>
  </si>
  <si>
    <t>WAG-PONO26-001509</t>
  </si>
  <si>
    <t xml:space="preserve">   2.5 กระจก</t>
  </si>
  <si>
    <t>บริษัท โฮม โปรดักส์ เซ็นเตอร์ จำกัด (มหาชน) (สาขาศูนย์การค้าแฟชั่นไอส์แลนด์))</t>
  </si>
  <si>
    <t xml:space="preserve">   2.6 เก้าอี้ทานอาหาร</t>
  </si>
  <si>
    <t xml:space="preserve">   2.7 โต๊ะทำงาน</t>
  </si>
  <si>
    <t xml:space="preserve">   2.8 เก้าอี้ทำงาน</t>
  </si>
  <si>
    <t>WAG-PONO26-001564 สินค้า
WAG-PONO26-001565 ติดตั้ง</t>
  </si>
  <si>
    <t xml:space="preserve">   3.1 Wallpaper รอบห้อง สีพื้น 1 สี</t>
  </si>
  <si>
    <t>บริษัท สิริ เดคคอร์ อินเตอร์เนชั่นแนล จำกัด
บริษัท มิสเตอร์ เดคคอร์ จำกัด</t>
  </si>
  <si>
    <t>4. Decoration Prop</t>
  </si>
  <si>
    <t>-</t>
  </si>
  <si>
    <t xml:space="preserve">   4.1 หมอนหนุน 2 ใบ พร้อมปลอกหมอน</t>
  </si>
  <si>
    <t>เบิก EDH</t>
  </si>
  <si>
    <t xml:space="preserve">   4.2 ของแต่งห้อง (EDH)</t>
  </si>
  <si>
    <t xml:space="preserve">   4.3 กรอบรูป (EDH)</t>
  </si>
  <si>
    <t xml:space="preserve">   4.4 พรม</t>
  </si>
  <si>
    <t>5. Cleaning</t>
  </si>
  <si>
    <t xml:space="preserve">   5.1 ทำความสะอาดหลังตกแต่ง</t>
  </si>
  <si>
    <t>WAG-PONO26-001575</t>
  </si>
  <si>
    <t xml:space="preserve">   1.1 ผ้าม่านจีบ ทึบ-โปร่ง</t>
  </si>
  <si>
    <t>WAG-PONO26-001514</t>
  </si>
  <si>
    <t xml:space="preserve">   1.1 ที่นอน</t>
  </si>
  <si>
    <t>2. BEDSET</t>
  </si>
  <si>
    <t>WAG-PONO26-001517</t>
  </si>
  <si>
    <t xml:space="preserve">   2.1 ชุดเครื่องนอน+หมอนหนุน</t>
  </si>
  <si>
    <t>บริษัท ไทย ลอง ติง โฮเต็ล ซัพพลาย จำกัด</t>
  </si>
  <si>
    <t>Room 1628</t>
  </si>
  <si>
    <t>WAG-PONO26-001533</t>
  </si>
  <si>
    <t>WAG-PONO26-001581</t>
  </si>
  <si>
    <t xml:space="preserve">   1.2 กระจกเงาดำเคาร์เตอร์ครัว</t>
  </si>
  <si>
    <t>ORG-PRNO26-013248
ORG-PRNO26-013169</t>
  </si>
  <si>
    <t>WAG-PONO26-001566 สินค้า
WAG-PONO26-001567 ติดตั้ง</t>
  </si>
  <si>
    <t>WAG-PONO26-001583</t>
  </si>
  <si>
    <t>Room 1629</t>
  </si>
  <si>
    <t>TYPE D-BP</t>
  </si>
  <si>
    <t>ORG-PRNO26-013256</t>
  </si>
  <si>
    <t>34 SQ.M.</t>
  </si>
  <si>
    <t>WAG-PONO26-001536</t>
  </si>
  <si>
    <t xml:space="preserve">   1.1 Sofa</t>
  </si>
  <si>
    <r>
      <rPr>
        <rFont val="Browallia New"/>
        <color rgb="FFFF0000"/>
        <sz val="16.0"/>
      </rPr>
      <t xml:space="preserve">โยกจากบางแสน ห้อง 1615 
</t>
    </r>
    <r>
      <rPr>
        <rFont val="Browallia New"/>
        <color rgb="FF000000"/>
        <sz val="16.0"/>
      </rPr>
      <t>บริษัท รับจ้างขนย้าย อีซี่ มูฟ จำกัด</t>
    </r>
  </si>
  <si>
    <t xml:space="preserve">   1.2 โต๊ะกลาง</t>
  </si>
  <si>
    <t xml:space="preserve">   1.3 โต๊ะอาหาร</t>
  </si>
  <si>
    <t xml:space="preserve">   1.4 สตู</t>
  </si>
  <si>
    <t xml:space="preserve">   1.5 เก้าอี้ทานอาหาร </t>
  </si>
  <si>
    <t xml:space="preserve">   1.6 โต๊ะทำงาน</t>
  </si>
  <si>
    <t xml:space="preserve">   1.7 เก้าอี้ทำงาน</t>
  </si>
  <si>
    <t>WAG-PONO26-001568 สินค้า
WAG-PONO26-001569 ติดตั้ง</t>
  </si>
  <si>
    <t xml:space="preserve">   2.1 Wallpaper รอบห้อง สีพื้น 1 สี</t>
  </si>
  <si>
    <t>3. Decoration Prop</t>
  </si>
  <si>
    <t xml:space="preserve">   3.1 ของแต่งห้อง (EDH)</t>
  </si>
  <si>
    <t>EDH</t>
  </si>
  <si>
    <t>4. Cleaning</t>
  </si>
  <si>
    <t xml:space="preserve">   4.1 ทำความสะอาดหลังตกแต่ง</t>
  </si>
  <si>
    <t>WAG-PONO26-001669</t>
  </si>
  <si>
    <t xml:space="preserve">   4.2 ค่าทำความสะอาดโซฟา</t>
  </si>
  <si>
    <t>บริษัท อูโน่ เซอร์วิส จำกัด</t>
  </si>
  <si>
    <t>WAG-PONO26-001576</t>
  </si>
  <si>
    <t>ห้องนั่งเล่นชั้น1 ผ้าม่านลอน ทึบ-โปร่ง</t>
  </si>
  <si>
    <t>ห้องนอนชั้น1 ผ้าม่านลอน ทึบ-โปร่ง</t>
  </si>
  <si>
    <t>ห้องครัว ม่านม้วน</t>
  </si>
  <si>
    <t>ห้องแต่งตัวชั้น 2 ผ้าม่านจีบ ทึบ-โปร่ง</t>
  </si>
  <si>
    <t>Room 2222</t>
  </si>
  <si>
    <t>WAG-PONO26-001534</t>
  </si>
  <si>
    <t>WAG-PONO26-001547</t>
  </si>
  <si>
    <t>ORG-PRNO26-013256
ORG-PRNO26-013169</t>
  </si>
  <si>
    <t>WAG-PONO26-001570 สินค้า
WAG-PONO26-001571 ติดตั้ง</t>
  </si>
  <si>
    <t>WAG-PONO26-001584</t>
  </si>
  <si>
    <t>Room 1818</t>
  </si>
  <si>
    <t>WAG-PONO26-001585</t>
  </si>
  <si>
    <t>Room 1737</t>
  </si>
  <si>
    <t>WAG-SONO26-000276</t>
  </si>
  <si>
    <t>ORG-PRNO26-010216</t>
  </si>
  <si>
    <t>WAG-PONO26-001321</t>
  </si>
  <si>
    <t xml:space="preserve">   1.1 ตู้เก็บของ หน้าบานเปิด ติดตั้งบานพับ อุปกรณ์ Soft Close มือจับ 
ตีเพ่ 45 องศา ปิดผิวด้วยลามิเนต ข้างหน้าต่างฝั่งหลังโซฟา </t>
  </si>
  <si>
    <t xml:space="preserve">   1.2 ตู้เก็บและโต๊ะทำงาน ตีมือจับเพ่ กรุลามิเนต LA-01 
อุปกรณ์ รางลิ้นชักแบบ Soft Close บริเวณด้านหน้าต่าง</t>
  </si>
  <si>
    <t xml:space="preserve">   1.3 คิ้วไม้ MA-01 ทำสีเทียบลามิเนต  2 เส้น หลังโซฟา</t>
  </si>
  <si>
    <t xml:space="preserve">   1.4 ผนังตกแต่ง โครงไม้ HMR หนา 10 มม.ปิดด้วยลามิเนต 
และชั้นวางของ ปิดด้วยลามิเนต LA-01 หลังโซฟา</t>
  </si>
  <si>
    <t xml:space="preserve">   1.5 Heaboard ไม้ HMR ปิดผิวด้วย ลามิเนต LA-01 บริเวณชั้นลอย</t>
  </si>
  <si>
    <t xml:space="preserve">   1.6 งานกระจกเงาติดผนัง รุ่นโคโค่ Code : 170129951 +พร้อมติดตั้ง  
เหนือ โต๊ะเครื่องแป้ง</t>
  </si>
  <si>
    <t>WAG-PONO26-001392</t>
  </si>
  <si>
    <t xml:space="preserve">   2.1 ห้องนั่งเล่นชั้น1 (ชุดหน้าต่าง)
ผ้าม่านจีบ ทึบ-โปร่ง</t>
  </si>
  <si>
    <t xml:space="preserve">   2.2 ห้องนั่งเล่นชั้น1 (ชุดระเบียง)
ผ้าม่านจีบ ทึบ-โปร่ง</t>
  </si>
  <si>
    <t>WAG-PONO26-001618</t>
  </si>
  <si>
    <t xml:space="preserve">   2.3 ห้องครัว
ผ้าม่านจีบ ทึบ-โปร่ง</t>
  </si>
  <si>
    <t xml:space="preserve">   2.4 ห้องนอน ชั้น ลอย
ผ้าม่านจีบ ทึบ</t>
  </si>
  <si>
    <t xml:space="preserve">   2.5 งานติดตั้ง</t>
  </si>
  <si>
    <t xml:space="preserve">   3.1 วอลเปเปอร์ รอบห้อง สีพื้น 1 สี</t>
  </si>
  <si>
    <t xml:space="preserve">   3.2 งานติดตั้ง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</si>
</sst>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[Red]# &quot;วัน เกินกำหนด&quot;; [Blue]# &quot;วัน ก่อนกำหนด&quot;; [Green]# &quot;แล้วเสร็จ&quot;"/>
    <numFmt numFmtId="167" formatCode="d/m/yyyy"/>
  </numFmts>
  <fonts count="16">
    <font>
      <sz val="10.0"/>
      <color rgb="FF000000"/>
      <name val="Arial"/>
      <scheme val="minor"/>
    </font>
    <font>
      <sz val="16.0"/>
      <color theme="1"/>
      <name val="Browallia New"/>
    </font>
    <font>
      <b/>
      <sz val="16.0"/>
      <color theme="1"/>
      <name val="Browallia New"/>
    </font>
    <font>
      <b/>
      <color theme="1"/>
      <name val="Roboto"/>
    </font>
    <font>
      <color theme="1"/>
      <name val="Arial"/>
    </font>
    <font/>
    <font>
      <b/>
      <sz val="16.0"/>
      <color rgb="FFFF0000"/>
      <name val="Browallia New"/>
    </font>
    <font>
      <sz val="16.0"/>
      <color rgb="FF000000"/>
      <name val="Browallia New"/>
    </font>
    <font>
      <b/>
      <color rgb="FF666666"/>
      <name val="Roboto"/>
    </font>
    <font>
      <b/>
      <sz val="16.0"/>
      <color rgb="FF000000"/>
      <name val="Browallia New"/>
    </font>
    <font>
      <b/>
      <color rgb="FFFFFFFF"/>
      <name val="Roboto"/>
    </font>
    <font>
      <sz val="16.0"/>
      <color rgb="FFFF0000"/>
      <name val="Browallia New"/>
    </font>
    <font>
      <b/>
      <u/>
      <sz val="16.0"/>
      <color theme="1"/>
      <name val="Browallia New"/>
    </font>
    <font>
      <b/>
      <u/>
      <sz val="16.0"/>
      <color theme="1"/>
      <name val="Browallia New"/>
    </font>
    <font>
      <b/>
      <u/>
      <sz val="16.0"/>
      <color theme="1"/>
      <name val="Browallia New"/>
    </font>
    <font>
      <color theme="1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F4C7C3"/>
        <bgColor rgb="FFF4C7C3"/>
      </patternFill>
    </fill>
    <fill>
      <patternFill patternType="solid">
        <fgColor rgb="FFF3F3F3"/>
        <bgColor rgb="FFF3F3F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1" fillId="3" fontId="2" numFmtId="0" xfId="0" applyAlignment="1" applyBorder="1" applyFill="1" applyFont="1">
      <alignment horizontal="center" shrinkToFit="0" vertical="center" wrapText="1"/>
    </xf>
    <xf borderId="0" fillId="2" fontId="1" numFmtId="4" xfId="0" applyAlignment="1" applyFill="1" applyFont="1" applyNumberFormat="1">
      <alignment vertical="center"/>
    </xf>
    <xf borderId="0" fillId="2" fontId="3" numFmtId="0" xfId="0" applyAlignment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0" fillId="2" fontId="4" numFmtId="0" xfId="0" applyFill="1" applyFont="1"/>
    <xf borderId="3" fillId="4" fontId="2" numFmtId="4" xfId="0" applyAlignment="1" applyBorder="1" applyFill="1" applyFont="1" applyNumberFormat="1">
      <alignment horizontal="center" readingOrder="0" vertical="center"/>
    </xf>
    <xf borderId="2" fillId="3" fontId="2" numFmtId="0" xfId="0" applyAlignment="1" applyBorder="1" applyFill="1" applyFont="1">
      <alignment horizontal="center" shrinkToFit="0" vertical="center" wrapText="1"/>
    </xf>
    <xf borderId="0" fillId="2" fontId="3" numFmtId="2" xfId="0" applyAlignment="1" applyFill="1" applyFont="1" applyNumberFormat="1">
      <alignment horizontal="center" shrinkToFit="0" vertical="center" wrapText="1"/>
    </xf>
    <xf borderId="4" fillId="0" fontId="5" numFmtId="0" xfId="0" applyBorder="1" applyFont="1"/>
    <xf borderId="2" fillId="3" fontId="2" numFmtId="4" xfId="0" applyAlignment="1" applyBorder="1" applyFill="1" applyFont="1" applyNumberFormat="1">
      <alignment horizontal="center" vertical="center"/>
    </xf>
    <xf borderId="5" fillId="0" fontId="5" numFmtId="0" xfId="0" applyBorder="1" applyFont="1"/>
    <xf borderId="0" fillId="2" fontId="3" numFmtId="3" xfId="0" applyAlignment="1" applyFill="1" applyFont="1" applyNumberFormat="1">
      <alignment horizontal="center" shrinkToFit="0" vertical="center" wrapText="1"/>
    </xf>
    <xf borderId="3" fillId="5" fontId="2" numFmtId="4" xfId="0" applyAlignment="1" applyBorder="1" applyFill="1" applyFont="1" applyNumberFormat="1">
      <alignment horizontal="center" readingOrder="0" vertical="center"/>
    </xf>
    <xf borderId="0" fillId="2" fontId="3" numFmtId="4" xfId="0" applyAlignment="1" applyFill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0" fillId="2" fontId="4" numFmtId="4" xfId="0" applyAlignment="1" applyFill="1" applyFont="1" applyNumberFormat="1">
      <alignment vertical="center"/>
    </xf>
    <xf borderId="2" fillId="3" fontId="2" numFmtId="4" xfId="0" applyAlignment="1" applyBorder="1" applyFill="1" applyFont="1" applyNumberFormat="1">
      <alignment horizontal="center" readingOrder="0" shrinkToFit="0" vertical="center" wrapText="1"/>
    </xf>
    <xf borderId="2" fillId="3" fontId="2" numFmtId="4" xfId="0" applyAlignment="1" applyBorder="1" applyFill="1" applyFont="1" applyNumberFormat="1">
      <alignment horizontal="center" shrinkToFit="0" vertical="center" wrapText="1"/>
    </xf>
    <xf borderId="0" fillId="2" fontId="4" numFmtId="0" xfId="0" applyAlignment="1" applyFill="1" applyFont="1">
      <alignment vertical="center"/>
    </xf>
    <xf borderId="6" fillId="0" fontId="5" numFmtId="0" xfId="0" applyBorder="1" applyFont="1"/>
    <xf borderId="7" fillId="0" fontId="5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5" fillId="3" fontId="2" numFmtId="4" xfId="0" applyAlignment="1" applyBorder="1" applyFill="1" applyFont="1" applyNumberFormat="1">
      <alignment horizontal="center" readingOrder="0" shrinkToFit="0" vertical="center" wrapText="1"/>
    </xf>
    <xf borderId="8" fillId="0" fontId="5" numFmtId="0" xfId="0" applyBorder="1" applyFont="1"/>
    <xf borderId="0" fillId="6" fontId="3" numFmtId="0" xfId="0" applyAlignment="1" applyFill="1" applyFont="1">
      <alignment horizontal="center" shrinkToFit="0" vertical="center" wrapText="1"/>
    </xf>
    <xf borderId="9" fillId="4" fontId="2" numFmtId="4" xfId="0" applyAlignment="1" applyBorder="1" applyFill="1" applyFont="1" applyNumberFormat="1">
      <alignment horizontal="center" readingOrder="0" vertical="center"/>
    </xf>
    <xf borderId="5" fillId="3" fontId="2" numFmtId="4" xfId="0" applyAlignment="1" applyBorder="1" applyFill="1" applyFont="1" applyNumberFormat="1">
      <alignment horizontal="center" vertical="center"/>
    </xf>
    <xf borderId="9" fillId="7" fontId="4" numFmtId="0" xfId="0" applyBorder="1" applyFill="1" applyFont="1"/>
    <xf borderId="1" fillId="4" fontId="2" numFmtId="0" xfId="0" applyAlignment="1" applyBorder="1" applyFill="1" applyFont="1">
      <alignment horizontal="center" readingOrder="0" vertical="center"/>
    </xf>
    <xf borderId="9" fillId="6" fontId="3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9" fillId="5" fontId="2" numFmtId="4" xfId="0" applyAlignment="1" applyBorder="1" applyFill="1" applyFont="1" applyNumberFormat="1">
      <alignment horizontal="center" readingOrder="0" vertical="center"/>
    </xf>
    <xf borderId="9" fillId="6" fontId="3" numFmtId="2" xfId="0" applyAlignment="1" applyBorder="1" applyFill="1" applyFont="1" applyNumberForma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vertical="center"/>
    </xf>
    <xf borderId="3" fillId="6" fontId="3" numFmtId="3" xfId="0" applyAlignment="1" applyBorder="1" applyFill="1" applyFont="1" applyNumberFormat="1">
      <alignment horizontal="center" shrinkToFit="0" vertical="center" wrapText="1"/>
    </xf>
    <xf borderId="1" fillId="5" fontId="2" numFmtId="0" xfId="0" applyAlignment="1" applyBorder="1" applyFill="1" applyFont="1">
      <alignment horizontal="center" vertical="center"/>
    </xf>
    <xf borderId="3" fillId="6" fontId="3" numFmtId="0" xfId="0" applyAlignment="1" applyBorder="1" applyFill="1" applyFont="1">
      <alignment horizontal="center" shrinkToFit="0" vertical="center" wrapText="1"/>
    </xf>
    <xf borderId="10" fillId="0" fontId="5" numFmtId="0" xfId="0" applyBorder="1" applyFont="1"/>
    <xf borderId="5" fillId="3" fontId="2" numFmtId="0" xfId="0" applyAlignment="1" applyBorder="1" applyFill="1" applyFont="1">
      <alignment horizontal="center" vertical="center"/>
    </xf>
    <xf borderId="8" fillId="3" fontId="2" numFmtId="4" xfId="0" applyAlignment="1" applyBorder="1" applyFill="1" applyFont="1" applyNumberFormat="1">
      <alignment horizontal="center" shrinkToFit="0" vertical="center" wrapText="1"/>
    </xf>
    <xf borderId="3" fillId="6" fontId="3" numFmtId="4" xfId="0" applyAlignment="1" applyBorder="1" applyFill="1" applyFont="1" applyNumberFormat="1">
      <alignment horizontal="center" shrinkToFit="0" vertical="center" wrapText="1"/>
    </xf>
    <xf borderId="8" fillId="3" fontId="2" numFmtId="4" xfId="0" applyAlignment="1" applyBorder="1" applyFill="1" applyFont="1" applyNumberFormat="1">
      <alignment horizontal="center" vertical="center"/>
    </xf>
    <xf borderId="4" fillId="6" fontId="4" numFmtId="4" xfId="0" applyAlignment="1" applyBorder="1" applyFill="1" applyFont="1" applyNumberFormat="1">
      <alignment vertical="center"/>
    </xf>
    <xf borderId="9" fillId="4" fontId="2" numFmtId="4" xfId="0" applyAlignment="1" applyBorder="1" applyFill="1" applyFont="1" applyNumberFormat="1">
      <alignment horizontal="center" vertical="center"/>
    </xf>
    <xf borderId="5" fillId="6" fontId="4" numFmtId="4" xfId="0" applyAlignment="1" applyBorder="1" applyFill="1" applyFont="1" applyNumberFormat="1">
      <alignment vertical="center"/>
    </xf>
    <xf borderId="9" fillId="5" fontId="2" numFmtId="4" xfId="0" applyAlignment="1" applyBorder="1" applyFill="1" applyFont="1" applyNumberFormat="1">
      <alignment horizontal="center" vertical="center"/>
    </xf>
    <xf borderId="8" fillId="3" fontId="6" numFmtId="0" xfId="0" applyAlignment="1" applyBorder="1" applyFill="1" applyFont="1">
      <alignment horizontal="center" vertical="center"/>
    </xf>
    <xf borderId="3" fillId="6" fontId="3" numFmtId="0" xfId="0" applyAlignment="1" applyBorder="1" applyFill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0" fillId="6" fontId="8" numFmtId="0" xfId="0" applyAlignment="1" applyFill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9" fillId="8" fontId="8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readingOrder="0" vertical="center"/>
    </xf>
    <xf borderId="7" fillId="2" fontId="7" numFmtId="4" xfId="0" applyAlignment="1" applyBorder="1" applyFill="1" applyFont="1" applyNumberFormat="1">
      <alignment horizontal="center" vertical="center"/>
    </xf>
    <xf borderId="9" fillId="6" fontId="8" numFmtId="0" xfId="0" applyAlignment="1" applyBorder="1" applyFill="1" applyFont="1">
      <alignment horizontal="center" shrinkToFit="0" vertical="center" wrapText="1"/>
    </xf>
    <xf borderId="13" fillId="2" fontId="7" numFmtId="4" xfId="0" applyAlignment="1" applyBorder="1" applyFill="1" applyFont="1" applyNumberFormat="1">
      <alignment horizontal="center" vertical="center"/>
    </xf>
    <xf borderId="9" fillId="6" fontId="8" numFmtId="2" xfId="0" applyAlignment="1" applyBorder="1" applyFill="1" applyFont="1" applyNumberFormat="1">
      <alignment horizontal="center" shrinkToFit="0" vertical="center" wrapText="1"/>
    </xf>
    <xf borderId="13" fillId="0" fontId="1" numFmtId="0" xfId="0" applyAlignment="1" applyBorder="1" applyFont="1">
      <alignment vertical="center"/>
    </xf>
    <xf borderId="9" fillId="8" fontId="8" numFmtId="3" xfId="0" applyAlignment="1" applyBorder="1" applyFill="1" applyFont="1" applyNumberFormat="1">
      <alignment horizontal="center" shrinkToFit="0" vertical="center" wrapText="1"/>
    </xf>
    <xf borderId="9" fillId="8" fontId="8" numFmtId="4" xfId="0" applyAlignment="1" applyBorder="1" applyFill="1" applyFont="1" applyNumberFormat="1">
      <alignment horizontal="center" shrinkToFit="0" vertical="center" wrapText="1"/>
    </xf>
    <xf borderId="9" fillId="6" fontId="8" numFmtId="3" xfId="0" applyAlignment="1" applyBorder="1" applyFill="1" applyFont="1" applyNumberFormat="1">
      <alignment horizontal="center" shrinkToFit="0" vertical="center" wrapText="1"/>
    </xf>
    <xf borderId="16" fillId="2" fontId="1" numFmtId="0" xfId="0" applyAlignment="1" applyBorder="1" applyFill="1" applyFont="1">
      <alignment vertical="center"/>
    </xf>
    <xf borderId="9" fillId="6" fontId="8" numFmtId="10" xfId="0" applyAlignment="1" applyBorder="1" applyFill="1" applyFont="1" applyNumberFormat="1">
      <alignment horizontal="center" shrinkToFit="0" vertical="center" wrapText="1"/>
    </xf>
    <xf borderId="16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9" fillId="8" fontId="8" numFmtId="0" xfId="0" applyAlignment="1" applyBorder="1" applyFill="1" applyFont="1">
      <alignment horizontal="center" shrinkToFit="0" vertical="center" wrapText="1"/>
    </xf>
    <xf borderId="12" fillId="0" fontId="7" numFmtId="0" xfId="0" applyAlignment="1" applyBorder="1" applyFont="1">
      <alignment readingOrder="0" vertical="center"/>
    </xf>
    <xf borderId="9" fillId="6" fontId="8" numFmtId="4" xfId="0" applyAlignment="1" applyBorder="1" applyFill="1" applyFont="1" applyNumberFormat="1">
      <alignment horizontal="center" readingOrder="0" shrinkToFit="0" vertical="center" wrapText="1"/>
    </xf>
    <xf borderId="14" fillId="0" fontId="7" numFmtId="4" xfId="0" applyAlignment="1" applyBorder="1" applyFont="1" applyNumberFormat="1">
      <alignment readingOrder="0" vertical="center"/>
    </xf>
    <xf borderId="9" fillId="6" fontId="8" numFmtId="0" xfId="0" applyAlignment="1" applyBorder="1" applyFill="1" applyFont="1">
      <alignment horizontal="center" shrinkToFit="0" vertical="center" wrapText="1"/>
    </xf>
    <xf borderId="9" fillId="6" fontId="3" numFmtId="0" xfId="0" applyAlignment="1" applyBorder="1" applyFill="1" applyFont="1">
      <alignment horizontal="center" shrinkToFit="0" vertical="center" wrapText="1"/>
    </xf>
    <xf borderId="9" fillId="6" fontId="4" numFmtId="0" xfId="0" applyAlignment="1" applyBorder="1" applyFill="1" applyFont="1">
      <alignment vertical="center"/>
    </xf>
    <xf borderId="9" fillId="6" fontId="8" numFmtId="0" xfId="0" applyAlignment="1" applyBorder="1" applyFill="1" applyFont="1">
      <alignment horizontal="center" readingOrder="0" shrinkToFit="0" vertical="center" wrapText="1"/>
    </xf>
    <xf borderId="12" fillId="2" fontId="1" numFmtId="4" xfId="0" applyAlignment="1" applyBorder="1" applyFill="1" applyFont="1" applyNumberFormat="1">
      <alignment horizontal="center" readingOrder="0" vertical="center"/>
    </xf>
    <xf borderId="12" fillId="2" fontId="7" numFmtId="4" xfId="0" applyAlignment="1" applyBorder="1" applyFill="1" applyFont="1" applyNumberFormat="1">
      <alignment horizontal="center" readingOrder="0" vertical="center"/>
    </xf>
    <xf borderId="17" fillId="2" fontId="7" numFmtId="4" xfId="0" applyAlignment="1" applyBorder="1" applyFill="1" applyFont="1" applyNumberFormat="1">
      <alignment horizontal="center" readingOrder="0" vertical="center"/>
    </xf>
    <xf borderId="15" fillId="2" fontId="7" numFmtId="4" xfId="0" applyAlignment="1" applyBorder="1" applyFill="1" applyFont="1" applyNumberFormat="1">
      <alignment horizontal="center" readingOrder="0" vertical="center"/>
    </xf>
    <xf borderId="15" fillId="2" fontId="7" numFmtId="4" xfId="0" applyAlignment="1" applyBorder="1" applyFill="1" applyFont="1" applyNumberFormat="1">
      <alignment horizontal="center" vertical="center"/>
    </xf>
    <xf borderId="15" fillId="0" fontId="1" numFmtId="10" xfId="0" applyAlignment="1" applyBorder="1" applyFont="1" applyNumberFormat="1">
      <alignment readingOrder="0" vertical="center"/>
    </xf>
    <xf borderId="9" fillId="9" fontId="4" numFmtId="0" xfId="0" applyAlignment="1" applyBorder="1" applyFill="1" applyFont="1">
      <alignment vertical="center"/>
    </xf>
    <xf borderId="14" fillId="2" fontId="7" numFmtId="4" xfId="0" applyAlignment="1" applyBorder="1" applyFill="1" applyFont="1" applyNumberFormat="1">
      <alignment horizontal="center" readingOrder="0" vertical="center"/>
    </xf>
    <xf borderId="0" fillId="7" fontId="4" numFmtId="0" xfId="0" applyFill="1" applyFont="1"/>
    <xf borderId="1" fillId="10" fontId="4" numFmtId="0" xfId="0" applyAlignment="1" applyBorder="1" applyFill="1" applyFont="1">
      <alignment vertical="center"/>
    </xf>
    <xf borderId="9" fillId="10" fontId="4" numFmtId="0" xfId="0" applyAlignment="1" applyBorder="1" applyFill="1" applyFont="1">
      <alignment vertical="center"/>
    </xf>
    <xf borderId="14" fillId="2" fontId="7" numFmtId="4" xfId="0" applyAlignment="1" applyBorder="1" applyFill="1" applyFont="1" applyNumberFormat="1">
      <alignment horizontal="center" vertical="center"/>
    </xf>
    <xf borderId="9" fillId="10" fontId="10" numFmtId="3" xfId="0" applyAlignment="1" applyBorder="1" applyFill="1" applyFont="1" applyNumberFormat="1">
      <alignment horizontal="center" shrinkToFit="0" vertical="center" wrapText="1"/>
    </xf>
    <xf borderId="14" fillId="0" fontId="1" numFmtId="10" xfId="0" applyAlignment="1" applyBorder="1" applyFont="1" applyNumberFormat="1">
      <alignment readingOrder="0" vertical="center"/>
    </xf>
    <xf borderId="14" fillId="0" fontId="7" numFmtId="164" xfId="0" applyAlignment="1" applyBorder="1" applyFont="1" applyNumberFormat="1">
      <alignment horizontal="center" readingOrder="0" vertical="center"/>
    </xf>
    <xf borderId="12" fillId="0" fontId="7" numFmtId="4" xfId="0" applyAlignment="1" applyBorder="1" applyFont="1" applyNumberFormat="1">
      <alignment vertical="center"/>
    </xf>
    <xf borderId="17" fillId="0" fontId="7" numFmtId="4" xfId="0" applyAlignment="1" applyBorder="1" applyFont="1" applyNumberFormat="1">
      <alignment readingOrder="0" vertical="center"/>
    </xf>
    <xf borderId="11" fillId="0" fontId="5" numFmtId="0" xfId="0" applyBorder="1" applyFont="1"/>
    <xf borderId="13" fillId="0" fontId="5" numFmtId="0" xfId="0" applyBorder="1" applyFont="1"/>
    <xf borderId="12" fillId="2" fontId="11" numFmtId="4" xfId="0" applyAlignment="1" applyBorder="1" applyFill="1" applyFont="1" applyNumberFormat="1">
      <alignment horizontal="center" readingOrder="0" vertical="center"/>
    </xf>
    <xf borderId="12" fillId="0" fontId="1" numFmtId="10" xfId="0" applyAlignment="1" applyBorder="1" applyFont="1" applyNumberFormat="1">
      <alignment vertical="center"/>
    </xf>
    <xf borderId="15" fillId="0" fontId="7" numFmtId="4" xfId="0" applyAlignment="1" applyBorder="1" applyFont="1" applyNumberFormat="1">
      <alignment vertical="center"/>
    </xf>
    <xf borderId="15" fillId="0" fontId="7" numFmtId="4" xfId="0" applyAlignment="1" applyBorder="1" applyFont="1" applyNumberFormat="1">
      <alignment horizontal="center" vertical="center"/>
    </xf>
    <xf borderId="15" fillId="2" fontId="11" numFmtId="4" xfId="0" applyAlignment="1" applyBorder="1" applyFill="1" applyFont="1" applyNumberFormat="1">
      <alignment horizontal="center" readingOrder="0" vertical="center"/>
    </xf>
    <xf borderId="12" fillId="0" fontId="1" numFmtId="0" xfId="0" applyAlignment="1" applyBorder="1" applyFont="1">
      <alignment readingOrder="0" vertical="center"/>
    </xf>
    <xf borderId="12" fillId="0" fontId="1" numFmtId="10" xfId="0" applyAlignment="1" applyBorder="1" applyFont="1" applyNumberFormat="1">
      <alignment readingOrder="0" vertical="center"/>
    </xf>
    <xf borderId="12" fillId="0" fontId="9" numFmtId="0" xfId="0" applyAlignment="1" applyBorder="1" applyFont="1">
      <alignment vertical="center"/>
    </xf>
    <xf borderId="9" fillId="10" fontId="4" numFmtId="10" xfId="0" applyAlignment="1" applyBorder="1" applyFill="1" applyFont="1" applyNumberFormat="1">
      <alignment vertical="center"/>
    </xf>
    <xf borderId="9" fillId="10" fontId="4" numFmtId="3" xfId="0" applyAlignment="1" applyBorder="1" applyFill="1" applyFont="1" applyNumberFormat="1">
      <alignment vertical="center"/>
    </xf>
    <xf borderId="9" fillId="10" fontId="4" numFmtId="164" xfId="0" applyAlignment="1" applyBorder="1" applyFill="1" applyFont="1" applyNumberFormat="1">
      <alignment vertical="center"/>
    </xf>
    <xf borderId="9" fillId="11" fontId="2" numFmtId="0" xfId="0" applyAlignment="1" applyBorder="1" applyFill="1" applyFont="1">
      <alignment horizontal="center" vertical="center"/>
    </xf>
    <xf borderId="12" fillId="2" fontId="7" numFmtId="4" xfId="0" applyAlignment="1" applyBorder="1" applyFill="1" applyFont="1" applyNumberFormat="1">
      <alignment horizontal="center" vertical="center"/>
    </xf>
    <xf borderId="5" fillId="11" fontId="12" numFmtId="0" xfId="0" applyAlignment="1" applyBorder="1" applyFill="1" applyFont="1">
      <alignment horizontal="center" vertical="center"/>
    </xf>
    <xf borderId="5" fillId="11" fontId="1" numFmtId="4" xfId="0" applyAlignment="1" applyBorder="1" applyFill="1" applyFont="1" applyNumberFormat="1">
      <alignment vertical="center"/>
    </xf>
    <xf borderId="5" fillId="11" fontId="2" numFmtId="0" xfId="0" applyAlignment="1" applyBorder="1" applyFill="1" applyFont="1">
      <alignment horizontal="center" readingOrder="0" vertical="center"/>
    </xf>
    <xf borderId="5" fillId="11" fontId="13" numFmtId="4" xfId="0" applyAlignment="1" applyBorder="1" applyFill="1" applyFont="1" applyNumberFormat="1">
      <alignment horizontal="center" vertical="center"/>
    </xf>
    <xf borderId="5" fillId="11" fontId="14" numFmtId="10" xfId="0" applyAlignment="1" applyBorder="1" applyFill="1" applyFont="1" applyNumberFormat="1">
      <alignment horizontal="center" vertical="center"/>
    </xf>
    <xf borderId="5" fillId="11" fontId="1" numFmtId="0" xfId="0" applyAlignment="1" applyBorder="1" applyFill="1" applyFont="1">
      <alignment horizontal="center" vertical="center"/>
    </xf>
    <xf borderId="5" fillId="11" fontId="1" numFmtId="4" xfId="0" applyAlignment="1" applyBorder="1" applyFill="1" applyFont="1" applyNumberFormat="1">
      <alignment horizontal="center" vertical="center"/>
    </xf>
    <xf borderId="0" fillId="3" fontId="1" numFmtId="0" xfId="0" applyAlignment="1" applyFill="1" applyFont="1">
      <alignment vertical="center"/>
    </xf>
    <xf borderId="6" fillId="3" fontId="1" numFmtId="0" xfId="0" applyAlignment="1" applyBorder="1" applyFill="1" applyFont="1">
      <alignment horizontal="center" vertical="center"/>
    </xf>
    <xf borderId="7" fillId="3" fontId="1" numFmtId="0" xfId="0" applyAlignment="1" applyBorder="1" applyFill="1" applyFont="1">
      <alignment horizontal="center" vertical="center"/>
    </xf>
    <xf borderId="7" fillId="3" fontId="7" numFmtId="0" xfId="0" applyAlignment="1" applyBorder="1" applyFill="1" applyFont="1">
      <alignment horizontal="center" vertical="center"/>
    </xf>
    <xf borderId="7" fillId="3" fontId="9" numFmtId="0" xfId="0" applyAlignment="1" applyBorder="1" applyFill="1" applyFont="1">
      <alignment vertical="center"/>
    </xf>
    <xf borderId="7" fillId="3" fontId="7" numFmtId="4" xfId="0" applyAlignment="1" applyBorder="1" applyFill="1" applyFont="1" applyNumberFormat="1">
      <alignment horizontal="center" vertical="center"/>
    </xf>
    <xf borderId="7" fillId="3" fontId="1" numFmtId="0" xfId="0" applyAlignment="1" applyBorder="1" applyFill="1" applyFont="1">
      <alignment vertical="center"/>
    </xf>
    <xf borderId="15" fillId="0" fontId="7" numFmtId="0" xfId="0" applyAlignment="1" applyBorder="1" applyFont="1">
      <alignment horizontal="center" readingOrder="0" vertical="center"/>
    </xf>
    <xf borderId="15" fillId="0" fontId="7" numFmtId="164" xfId="0" applyAlignment="1" applyBorder="1" applyFont="1" applyNumberFormat="1">
      <alignment horizontal="center" readingOrder="0" vertical="center"/>
    </xf>
    <xf borderId="0" fillId="0" fontId="1" numFmtId="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7" fillId="0" fontId="7" numFmtId="164" xfId="0" applyAlignment="1" applyBorder="1" applyFont="1" applyNumberFormat="1">
      <alignment horizontal="center" readingOrder="0" vertical="center"/>
    </xf>
    <xf borderId="8" fillId="11" fontId="1" numFmtId="4" xfId="0" applyAlignment="1" applyBorder="1" applyFill="1" applyFont="1" applyNumberFormat="1">
      <alignment vertical="center"/>
    </xf>
    <xf borderId="9" fillId="0" fontId="15" numFmtId="4" xfId="0" applyAlignment="1" applyBorder="1" applyFont="1" applyNumberFormat="1">
      <alignment horizontal="center" shrinkToFit="0" vertical="center" wrapText="1"/>
    </xf>
    <xf borderId="9" fillId="2" fontId="15" numFmtId="165" xfId="0" applyAlignment="1" applyBorder="1" applyFill="1" applyFont="1" applyNumberFormat="1">
      <alignment horizontal="center" shrinkToFit="0" vertical="center" wrapText="1"/>
    </xf>
    <xf borderId="9" fillId="2" fontId="15" numFmtId="0" xfId="0" applyAlignment="1" applyBorder="1" applyFill="1" applyFont="1">
      <alignment horizontal="center" shrinkToFit="0" vertical="center" wrapText="1"/>
    </xf>
    <xf borderId="9" fillId="2" fontId="15" numFmtId="4" xfId="0" applyAlignment="1" applyBorder="1" applyFill="1" applyFont="1" applyNumberFormat="1">
      <alignment horizontal="center" shrinkToFit="0" vertical="center" wrapText="1"/>
    </xf>
    <xf borderId="9" fillId="2" fontId="15" numFmtId="10" xfId="0" applyAlignment="1" applyBorder="1" applyFill="1" applyFont="1" applyNumberForma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9" fillId="2" fontId="15" numFmtId="164" xfId="0" applyAlignment="1" applyBorder="1" applyFill="1" applyFont="1" applyNumberFormat="1">
      <alignment horizontal="center" readingOrder="0" shrinkToFit="0" vertical="center" wrapText="1"/>
    </xf>
    <xf borderId="9" fillId="2" fontId="15" numFmtId="164" xfId="0" applyAlignment="1" applyBorder="1" applyFill="1" applyFont="1" applyNumberFormat="1">
      <alignment horizontal="center" shrinkToFit="0" vertical="center" wrapText="1"/>
    </xf>
    <xf borderId="9" fillId="2" fontId="15" numFmtId="49" xfId="0" applyAlignment="1" applyBorder="1" applyFill="1" applyFont="1" applyNumberFormat="1">
      <alignment horizontal="center" shrinkToFit="0" vertical="center" wrapText="1"/>
    </xf>
    <xf borderId="9" fillId="2" fontId="15" numFmtId="0" xfId="0" applyAlignment="1" applyBorder="1" applyFill="1" applyFont="1">
      <alignment horizontal="center" readingOrder="0" shrinkToFit="0" vertical="center" wrapText="1"/>
    </xf>
    <xf borderId="9" fillId="12" fontId="15" numFmtId="166" xfId="0" applyAlignment="1" applyBorder="1" applyFill="1" applyFont="1" applyNumberFormat="1">
      <alignment horizontal="center" shrinkToFit="0" vertical="center" wrapText="1"/>
    </xf>
    <xf borderId="9" fillId="0" fontId="15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vertical="center"/>
    </xf>
    <xf borderId="9" fillId="2" fontId="4" numFmtId="0" xfId="0" applyAlignment="1" applyBorder="1" applyFill="1" applyFont="1">
      <alignment vertical="center"/>
    </xf>
    <xf borderId="1" fillId="2" fontId="15" numFmtId="0" xfId="0" applyAlignment="1" applyBorder="1" applyFill="1" applyFont="1">
      <alignment horizontal="center" shrinkToFit="0" vertical="center" wrapText="1"/>
    </xf>
    <xf borderId="9" fillId="2" fontId="4" numFmtId="2" xfId="0" applyAlignment="1" applyBorder="1" applyFill="1" applyFont="1" applyNumberFormat="1">
      <alignment vertical="center"/>
    </xf>
    <xf borderId="9" fillId="2" fontId="15" numFmtId="4" xfId="0" applyAlignment="1" applyBorder="1" applyFill="1" applyFont="1" applyNumberFormat="1">
      <alignment horizontal="center" shrinkToFit="0" vertical="center" wrapText="1"/>
    </xf>
    <xf borderId="9" fillId="2" fontId="15" numFmtId="165" xfId="0" applyAlignment="1" applyBorder="1" applyFill="1" applyFont="1" applyNumberFormat="1">
      <alignment horizontal="center" shrinkToFit="0" vertical="center" wrapText="1"/>
    </xf>
    <xf borderId="9" fillId="2" fontId="15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ill="1" applyFont="1">
      <alignment vertical="center"/>
    </xf>
    <xf borderId="9" fillId="2" fontId="4" numFmtId="2" xfId="0" applyAlignment="1" applyBorder="1" applyFill="1" applyFont="1" applyNumberFormat="1">
      <alignment vertical="center"/>
    </xf>
    <xf borderId="9" fillId="2" fontId="15" numFmtId="10" xfId="0" applyAlignment="1" applyBorder="1" applyFill="1" applyFont="1" applyNumberFormat="1">
      <alignment horizontal="center" shrinkToFit="0" vertical="center" wrapText="1"/>
    </xf>
    <xf borderId="9" fillId="2" fontId="15" numFmtId="164" xfId="0" applyAlignment="1" applyBorder="1" applyFill="1" applyFont="1" applyNumberFormat="1">
      <alignment horizontal="center" readingOrder="0" shrinkToFit="0" vertical="center" wrapText="1"/>
    </xf>
    <xf borderId="9" fillId="2" fontId="15" numFmtId="164" xfId="0" applyAlignment="1" applyBorder="1" applyFill="1" applyFont="1" applyNumberFormat="1">
      <alignment horizontal="center" shrinkToFit="0" vertical="center" wrapText="1"/>
    </xf>
    <xf borderId="9" fillId="2" fontId="15" numFmtId="49" xfId="0" applyAlignment="1" applyBorder="1" applyFill="1" applyFont="1" applyNumberFormat="1">
      <alignment horizontal="center" shrinkToFit="0" vertical="center" wrapText="1"/>
    </xf>
    <xf borderId="9" fillId="2" fontId="15" numFmtId="0" xfId="0" applyAlignment="1" applyBorder="1" applyFill="1" applyFont="1">
      <alignment horizontal="center" readingOrder="0" shrinkToFit="0" vertical="center" wrapText="1"/>
    </xf>
    <xf borderId="9" fillId="2" fontId="15" numFmtId="166" xfId="0" applyAlignment="1" applyBorder="1" applyFill="1" applyFont="1" applyNumberFormat="1">
      <alignment horizontal="center" shrinkToFit="0" vertical="center" wrapText="1"/>
    </xf>
    <xf borderId="9" fillId="13" fontId="15" numFmtId="4" xfId="0" applyAlignment="1" applyBorder="1" applyFill="1" applyFont="1" applyNumberFormat="1">
      <alignment horizontal="center" shrinkToFit="0" vertical="center" wrapText="1"/>
    </xf>
    <xf borderId="9" fillId="13" fontId="15" numFmtId="165" xfId="0" applyAlignment="1" applyBorder="1" applyFill="1" applyFont="1" applyNumberFormat="1">
      <alignment horizontal="center" shrinkToFit="0" vertical="center" wrapText="1"/>
    </xf>
    <xf borderId="9" fillId="13" fontId="15" numFmtId="0" xfId="0" applyAlignment="1" applyBorder="1" applyFill="1" applyFont="1">
      <alignment horizontal="center" shrinkToFit="0" vertical="center" wrapText="1"/>
    </xf>
    <xf borderId="9" fillId="13" fontId="15" numFmtId="10" xfId="0" applyAlignment="1" applyBorder="1" applyFill="1" applyFont="1" applyNumberFormat="1">
      <alignment horizontal="center" shrinkToFit="0" vertical="center" wrapText="1"/>
    </xf>
    <xf borderId="9" fillId="13" fontId="15" numFmtId="164" xfId="0" applyAlignment="1" applyBorder="1" applyFill="1" applyFont="1" applyNumberFormat="1">
      <alignment horizontal="center" readingOrder="0" shrinkToFit="0" vertical="center" wrapText="1"/>
    </xf>
    <xf borderId="9" fillId="13" fontId="15" numFmtId="164" xfId="0" applyAlignment="1" applyBorder="1" applyFill="1" applyFont="1" applyNumberFormat="1">
      <alignment horizontal="center" shrinkToFit="0" vertical="center" wrapText="1"/>
    </xf>
    <xf borderId="9" fillId="13" fontId="15" numFmtId="49" xfId="0" applyAlignment="1" applyBorder="1" applyFill="1" applyFont="1" applyNumberFormat="1">
      <alignment horizontal="center" shrinkToFit="0" vertical="center" wrapText="1"/>
    </xf>
    <xf borderId="9" fillId="13" fontId="15" numFmtId="0" xfId="0" applyAlignment="1" applyBorder="1" applyFill="1" applyFont="1">
      <alignment horizontal="center" readingOrder="0" shrinkToFit="0" vertical="center" wrapText="1"/>
    </xf>
    <xf borderId="9" fillId="13" fontId="15" numFmtId="166" xfId="0" applyAlignment="1" applyBorder="1" applyFill="1" applyFont="1" applyNumberFormat="1">
      <alignment horizontal="center" shrinkToFit="0" vertical="center" wrapText="1"/>
    </xf>
    <xf borderId="9" fillId="13" fontId="4" numFmtId="0" xfId="0" applyAlignment="1" applyBorder="1" applyFill="1" applyFont="1">
      <alignment vertical="center"/>
    </xf>
    <xf borderId="9" fillId="13" fontId="4" numFmtId="0" xfId="0" applyAlignment="1" applyBorder="1" applyFill="1" applyFont="1">
      <alignment readingOrder="0" vertical="center"/>
    </xf>
    <xf borderId="9" fillId="2" fontId="4" numFmtId="0" xfId="0" applyAlignment="1" applyBorder="1" applyFill="1" applyFont="1">
      <alignment readingOrder="0" vertical="center"/>
    </xf>
    <xf borderId="9" fillId="13" fontId="4" numFmtId="2" xfId="0" applyAlignment="1" applyBorder="1" applyFill="1" applyFont="1" applyNumberFormat="1">
      <alignment vertical="center"/>
    </xf>
    <xf borderId="1" fillId="2" fontId="15" numFmtId="0" xfId="0" applyAlignment="1" applyBorder="1" applyFill="1" applyFont="1">
      <alignment horizontal="center" shrinkToFit="0" vertical="center" wrapText="1"/>
    </xf>
    <xf borderId="9" fillId="7" fontId="4" numFmtId="0" xfId="0" applyBorder="1" applyFill="1" applyFont="1"/>
    <xf borderId="0" fillId="0" fontId="4" numFmtId="9" xfId="0" applyAlignment="1" applyFont="1" applyNumberFormat="1">
      <alignment vertical="center"/>
    </xf>
    <xf borderId="0" fillId="0" fontId="4" numFmtId="4" xfId="0" applyAlignment="1" applyFont="1" applyNumberFormat="1">
      <alignment vertical="center"/>
    </xf>
    <xf borderId="0" fillId="7" fontId="4" numFmtId="0" xfId="0" applyFill="1" applyFont="1"/>
    <xf borderId="0" fillId="2" fontId="1" numFmtId="4" xfId="0" applyAlignment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5" fillId="0" fontId="7" numFmtId="4" xfId="0" applyAlignment="1" applyBorder="1" applyFont="1" applyNumberFormat="1">
      <alignment readingOrder="0" vertical="center"/>
    </xf>
    <xf borderId="12" fillId="0" fontId="7" numFmtId="0" xfId="0" applyAlignment="1" applyBorder="1" applyFont="1">
      <alignment vertical="center"/>
    </xf>
    <xf borderId="12" fillId="0" fontId="7" numFmtId="4" xfId="0" applyAlignment="1" applyBorder="1" applyFont="1" applyNumberFormat="1">
      <alignment horizontal="center" vertical="center"/>
    </xf>
    <xf borderId="14" fillId="0" fontId="7" numFmtId="4" xfId="0" applyAlignment="1" applyBorder="1" applyFont="1" applyNumberFormat="1">
      <alignment horizontal="center" readingOrder="0" vertical="center"/>
    </xf>
    <xf borderId="12" fillId="0" fontId="7" numFmtId="4" xfId="0" applyAlignment="1" applyBorder="1" applyFont="1" applyNumberFormat="1">
      <alignment horizontal="center" readingOrder="0" vertical="center"/>
    </xf>
    <xf borderId="17" fillId="0" fontId="7" numFmtId="4" xfId="0" applyAlignment="1" applyBorder="1" applyFont="1" applyNumberFormat="1">
      <alignment horizontal="center" readingOrder="0" vertical="center"/>
    </xf>
    <xf borderId="15" fillId="0" fontId="7" numFmtId="4" xfId="0" applyAlignment="1" applyBorder="1" applyFont="1" applyNumberFormat="1">
      <alignment horizontal="center" readingOrder="0" vertical="center"/>
    </xf>
    <xf borderId="12" fillId="0" fontId="7" numFmtId="4" xfId="0" applyAlignment="1" applyBorder="1" applyFont="1" applyNumberFormat="1">
      <alignment readingOrder="0" vertical="center"/>
    </xf>
    <xf borderId="12" fillId="0" fontId="9" numFmtId="0" xfId="0" applyAlignment="1" applyBorder="1" applyFont="1">
      <alignment readingOrder="0" vertical="center"/>
    </xf>
    <xf borderId="14" fillId="0" fontId="7" numFmtId="0" xfId="0" applyAlignment="1" applyBorder="1" applyFont="1">
      <alignment horizontal="center" vertical="center"/>
    </xf>
    <xf borderId="14" fillId="0" fontId="7" numFmtId="167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vertical="center"/>
    </xf>
    <xf borderId="15" fillId="0" fontId="1" numFmtId="10" xfId="0" applyAlignment="1" applyBorder="1" applyFont="1" applyNumberFormat="1">
      <alignment vertical="center"/>
    </xf>
    <xf borderId="7" fillId="0" fontId="7" numFmtId="167" xfId="0" applyAlignment="1" applyBorder="1" applyFont="1" applyNumberFormat="1">
      <alignment horizontal="center" readingOrder="0" vertical="center"/>
    </xf>
    <xf borderId="13" fillId="0" fontId="7" numFmtId="4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readingOrder="0" vertical="center"/>
    </xf>
    <xf borderId="13" fillId="0" fontId="7" numFmtId="167" xfId="0" applyAlignment="1" applyBorder="1" applyFont="1" applyNumberFormat="1">
      <alignment horizontal="center" readingOrder="0" vertical="center"/>
    </xf>
    <xf borderId="8" fillId="11" fontId="1" numFmtId="0" xfId="0" applyAlignment="1" applyBorder="1" applyFill="1" applyFont="1">
      <alignment horizontal="center" vertical="center"/>
    </xf>
    <xf borderId="8" fillId="11" fontId="1" numFmtId="4" xfId="0" applyAlignment="1" applyBorder="1" applyFill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16" fillId="2" fontId="1" numFmtId="0" xfId="0" applyAlignment="1" applyBorder="1" applyFill="1" applyFont="1">
      <alignment horizontal="center" readingOrder="0" vertical="center"/>
    </xf>
    <xf borderId="8" fillId="3" fontId="6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3" fontId="7" numFmtId="0" xfId="0" applyAlignment="1" applyFill="1" applyFont="1">
      <alignment horizontal="center" vertical="center"/>
    </xf>
    <xf borderId="0" fillId="3" fontId="9" numFmtId="0" xfId="0" applyAlignment="1" applyFill="1" applyFont="1">
      <alignment vertical="center"/>
    </xf>
    <xf borderId="0" fillId="3" fontId="7" numFmtId="4" xfId="0" applyAlignment="1" applyFill="1" applyFont="1" applyNumberFormat="1">
      <alignment horizontal="center" vertical="center"/>
    </xf>
    <xf borderId="7" fillId="3" fontId="2" numFmtId="4" xfId="0" applyAlignment="1" applyBorder="1" applyFill="1" applyFont="1" applyNumberFormat="1">
      <alignment horizontal="center" shrinkToFit="0" vertical="center" wrapText="1"/>
    </xf>
    <xf borderId="0" fillId="2" fontId="1" numFmtId="0" xfId="0" applyAlignment="1" applyFill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4" fillId="2" fontId="11" numFmtId="4" xfId="0" applyAlignment="1" applyBorder="1" applyFill="1" applyFont="1" applyNumberFormat="1">
      <alignment horizontal="center" readingOrder="0" vertical="center"/>
    </xf>
    <xf borderId="7" fillId="0" fontId="1" numFmtId="10" xfId="0" applyAlignment="1" applyBorder="1" applyFont="1" applyNumberForma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FF0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10.5"/>
    <col customWidth="1" min="2" max="2" width="13.5"/>
    <col customWidth="1" min="3" max="3" width="1.88"/>
    <col customWidth="1" min="4" max="4" width="27.63"/>
    <col customWidth="1" min="5" max="5" width="14.63"/>
    <col customWidth="1" hidden="1" min="6" max="7" width="12.5"/>
    <col customWidth="1" min="8" max="11" width="17.75"/>
    <col customWidth="1" min="12" max="12" width="8.13"/>
    <col customWidth="1" min="13" max="13" width="10.38"/>
    <col customWidth="1" min="19" max="19" width="4.63"/>
    <col customWidth="1" min="20" max="20" width="16.5"/>
    <col customWidth="1" min="21" max="21" width="24.0"/>
    <col customWidth="1" min="29" max="29" width="16.25"/>
    <col customWidth="1" min="30" max="30" width="29.63"/>
    <col customWidth="1" min="31" max="31" width="40.13"/>
    <col customWidth="1" min="32" max="32" width="19.25"/>
  </cols>
  <sheetData>
    <row r="1">
      <c r="A1" s="5"/>
      <c r="B1" s="5"/>
      <c r="C1" s="7"/>
      <c r="D1" s="5"/>
      <c r="E1" s="5"/>
      <c r="F1" s="5"/>
      <c r="G1" s="10"/>
      <c r="H1" s="14"/>
      <c r="I1" s="14"/>
      <c r="J1" s="14"/>
      <c r="K1" s="14"/>
      <c r="L1" s="14"/>
      <c r="M1" s="14"/>
      <c r="N1" s="5"/>
      <c r="O1" s="5"/>
      <c r="P1" s="16"/>
      <c r="Q1" s="16"/>
      <c r="R1" s="16"/>
      <c r="S1" s="18"/>
      <c r="T1" s="18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</row>
    <row r="2">
      <c r="A2" s="27" t="s">
        <v>13</v>
      </c>
      <c r="B2" s="27" t="s">
        <v>13</v>
      </c>
      <c r="C2" s="30"/>
      <c r="D2" s="32" t="s">
        <v>16</v>
      </c>
      <c r="E2" s="32" t="s">
        <v>1</v>
      </c>
      <c r="F2" s="32" t="s">
        <v>18</v>
      </c>
      <c r="G2" s="35" t="s">
        <v>20</v>
      </c>
      <c r="H2" s="37" t="s">
        <v>16</v>
      </c>
      <c r="I2" s="11"/>
      <c r="J2" s="11"/>
      <c r="K2" s="11"/>
      <c r="L2" s="11"/>
      <c r="M2" s="13"/>
      <c r="N2" s="39" t="s">
        <v>21</v>
      </c>
      <c r="O2" s="13"/>
      <c r="P2" s="43" t="s">
        <v>22</v>
      </c>
      <c r="Q2" s="11"/>
      <c r="R2" s="11"/>
      <c r="S2" s="45"/>
      <c r="T2" s="47"/>
      <c r="U2" s="39" t="s">
        <v>6</v>
      </c>
      <c r="V2" s="50" t="s">
        <v>24</v>
      </c>
      <c r="W2" s="11"/>
      <c r="X2" s="11"/>
      <c r="Y2" s="11"/>
      <c r="Z2" s="11"/>
      <c r="AA2" s="13"/>
      <c r="AB2" s="39" t="s">
        <v>26</v>
      </c>
      <c r="AC2" s="11"/>
      <c r="AD2" s="13"/>
      <c r="AE2" s="32" t="s">
        <v>30</v>
      </c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</row>
    <row r="3">
      <c r="A3" s="57" t="s">
        <v>39</v>
      </c>
      <c r="B3" s="57" t="s">
        <v>40</v>
      </c>
      <c r="C3" s="30"/>
      <c r="D3" s="61" t="s">
        <v>42</v>
      </c>
      <c r="E3" s="61" t="s">
        <v>45</v>
      </c>
      <c r="F3" s="64" t="s">
        <v>46</v>
      </c>
      <c r="G3" s="66" t="s">
        <v>49</v>
      </c>
      <c r="H3" s="68" t="s">
        <v>4</v>
      </c>
      <c r="I3" s="69" t="s">
        <v>2</v>
      </c>
      <c r="J3" s="69" t="s">
        <v>5</v>
      </c>
      <c r="K3" s="70" t="s">
        <v>50</v>
      </c>
      <c r="L3" s="72" t="s">
        <v>51</v>
      </c>
      <c r="M3" s="70" t="s">
        <v>52</v>
      </c>
      <c r="N3" s="69" t="s">
        <v>53</v>
      </c>
      <c r="O3" s="75" t="s">
        <v>54</v>
      </c>
      <c r="P3" s="77" t="s">
        <v>57</v>
      </c>
      <c r="Q3" s="79" t="s">
        <v>59</v>
      </c>
      <c r="R3" s="80" t="s">
        <v>62</v>
      </c>
      <c r="S3" s="81"/>
      <c r="T3" s="32" t="s">
        <v>64</v>
      </c>
      <c r="U3" s="61" t="s">
        <v>65</v>
      </c>
      <c r="V3" s="82" t="s">
        <v>66</v>
      </c>
      <c r="W3" s="82" t="s">
        <v>67</v>
      </c>
      <c r="X3" s="82" t="s">
        <v>68</v>
      </c>
      <c r="Y3" s="82" t="s">
        <v>69</v>
      </c>
      <c r="Z3" s="82" t="s">
        <v>70</v>
      </c>
      <c r="AA3" s="82" t="s">
        <v>71</v>
      </c>
      <c r="AB3" s="64" t="s">
        <v>72</v>
      </c>
      <c r="AC3" s="64" t="s">
        <v>73</v>
      </c>
      <c r="AD3" s="64" t="s">
        <v>74</v>
      </c>
      <c r="AE3" s="64" t="s">
        <v>75</v>
      </c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</row>
    <row r="4">
      <c r="A4" s="89"/>
      <c r="B4" s="89"/>
      <c r="C4" s="91"/>
      <c r="D4" s="92"/>
      <c r="E4" s="93"/>
      <c r="F4" s="93"/>
      <c r="G4" s="95">
        <f>Sum(G15:G46)</f>
        <v>0</v>
      </c>
      <c r="H4" s="95">
        <f t="shared" ref="H4:K4" si="1">SUM(H15:H46)</f>
        <v>38272055.39</v>
      </c>
      <c r="I4" s="95">
        <f t="shared" si="1"/>
        <v>7606375.502</v>
      </c>
      <c r="J4" s="95">
        <f t="shared" si="1"/>
        <v>30156179.64</v>
      </c>
      <c r="K4" s="95">
        <f t="shared" si="1"/>
        <v>8314656.266</v>
      </c>
      <c r="L4" s="110"/>
      <c r="M4" s="111"/>
      <c r="N4" s="112"/>
      <c r="O4" s="112"/>
      <c r="P4" s="112"/>
      <c r="Q4" s="112"/>
      <c r="R4" s="112"/>
      <c r="S4" s="112"/>
      <c r="T4" s="112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</row>
    <row r="5">
      <c r="A5" s="135" t="str">
        <f t="array" ref="A5">"Q" &amp; INT((MATCH(B5, {"ม.ค.-26","ก.พ.-26","มี.ค.-26","เม.ย.-26","พ.ค.-26","มิ.ย.-26","ก.ค.-26","ส.ค.-26","ก.ย.-26","ต.ค.-26","พ.ย.-26","ธ.ค.-26"}, 0) + 2) / 3)</f>
        <v>Q3</v>
      </c>
      <c r="B5" s="136" t="str">
        <f>TEXT(O5, "mmm-yy")</f>
        <v>ก.ค.-26</v>
      </c>
      <c r="C5" s="91"/>
      <c r="D5" s="137" t="str">
        <f>'The Origin Sukhumvit-Praksa'!B19</f>
        <v>The Origin Sukhumvit-Praksa</v>
      </c>
      <c r="E5" s="137" t="str">
        <f>VLOOKUP($D$5,'The Origin Sukhumvit-Praksa'!$B$19:$O$19,2)</f>
        <v>Room 2514</v>
      </c>
      <c r="F5" s="137" t="str">
        <f>VLOOKUP($D$5,'The Origin Sukhumvit-Praksa'!$B$19:$O$19,2)</f>
        <v>Room 2514</v>
      </c>
      <c r="G5" s="137" t="str">
        <f>VLOOKUP($D$5,'The Origin Sukhumvit-Praksa'!$B$19:$O$19,2)</f>
        <v>Room 2514</v>
      </c>
      <c r="H5" s="138">
        <f>'The Origin Sukhumvit-Praksa'!I19</f>
        <v>9345.794393</v>
      </c>
      <c r="I5" s="138">
        <f>'The Origin Sukhumvit-Praksa'!J19</f>
        <v>8000</v>
      </c>
      <c r="J5" s="138">
        <f>'The Origin Sukhumvit-Praksa'!M19</f>
        <v>7800</v>
      </c>
      <c r="K5" s="138">
        <f>H5-I5</f>
        <v>1345.794393</v>
      </c>
      <c r="L5" s="139">
        <f>K5/H5</f>
        <v>0.144</v>
      </c>
      <c r="M5" s="140" t="s">
        <v>103</v>
      </c>
      <c r="N5" s="141">
        <v>46201.0</v>
      </c>
      <c r="O5" s="141">
        <v>46233.0</v>
      </c>
      <c r="P5" s="142">
        <f>N5+14</f>
        <v>46215</v>
      </c>
      <c r="Q5" s="141">
        <v>46218.0</v>
      </c>
      <c r="R5" s="143">
        <f>P5-Q5</f>
        <v>-3</v>
      </c>
      <c r="S5" s="144" t="b">
        <v>0</v>
      </c>
      <c r="T5" s="145" t="str">
        <f>IFS(S5=true,"แล้วเสร็จ",R5&lt;1,"เลยกำหนด", R5&gt;=1,"อยู่ในกำหนด")</f>
        <v>เลยกำหนด</v>
      </c>
      <c r="U5" s="146" t="s">
        <v>104</v>
      </c>
      <c r="V5" s="144" t="b">
        <v>0</v>
      </c>
      <c r="W5" s="144" t="b">
        <v>0</v>
      </c>
      <c r="X5" s="144" t="b">
        <v>0</v>
      </c>
      <c r="Y5" s="144" t="b">
        <v>0</v>
      </c>
      <c r="Z5" s="144" t="b">
        <v>0</v>
      </c>
      <c r="AA5" s="144" t="b">
        <v>0</v>
      </c>
      <c r="AB5" s="147"/>
      <c r="AC5" s="146" t="s">
        <v>105</v>
      </c>
      <c r="AD5" s="148"/>
      <c r="AE5" s="148"/>
      <c r="AF5" s="148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</row>
    <row r="6">
      <c r="A6" s="135"/>
      <c r="B6" s="136"/>
      <c r="C6" s="91"/>
      <c r="D6" s="149"/>
      <c r="E6" s="137"/>
      <c r="F6" s="148"/>
      <c r="G6" s="150"/>
      <c r="H6" s="138"/>
      <c r="I6" s="138"/>
      <c r="J6" s="138"/>
      <c r="K6" s="138"/>
      <c r="L6" s="139"/>
      <c r="M6" s="140"/>
      <c r="N6" s="141"/>
      <c r="O6" s="141"/>
      <c r="P6" s="142"/>
      <c r="Q6" s="141"/>
      <c r="R6" s="143"/>
      <c r="S6" s="144" t="b">
        <v>0</v>
      </c>
      <c r="T6" s="145"/>
      <c r="U6" s="146"/>
      <c r="V6" s="137" t="b">
        <v>0</v>
      </c>
      <c r="W6" s="137" t="b">
        <v>0</v>
      </c>
      <c r="X6" s="137" t="b">
        <v>0</v>
      </c>
      <c r="Y6" s="137" t="b">
        <v>0</v>
      </c>
      <c r="Z6" s="137" t="b">
        <v>0</v>
      </c>
      <c r="AA6" s="137" t="b">
        <v>0</v>
      </c>
      <c r="AB6" s="147"/>
      <c r="AC6" s="140"/>
      <c r="AD6" s="148"/>
      <c r="AE6" s="148"/>
      <c r="AF6" s="148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</row>
    <row r="7">
      <c r="A7" s="135" t="str">
        <f t="array" ref="A7">"Q" &amp; INT((MATCH(B7, {"ม.ค.-26","ก.พ.-26","มี.ค.-26","เม.ย.-26","พ.ค.-26","มิ.ย.-26","ก.ค.-26","ส.ค.-26","ก.ย.-26","ต.ค.-26","พ.ย.-26","ธ.ค.-26"}, 0) + 2) / 3)</f>
        <v>Q3</v>
      </c>
      <c r="B7" s="136" t="str">
        <f>TEXT(O7, "mmm-yy")</f>
        <v>ส.ค.-26</v>
      </c>
      <c r="C7" s="91"/>
      <c r="D7" s="137" t="str">
        <f>'Origin Plug &amp; Play Sirindhorn S'!B11</f>
        <v>Origin Plug &amp; Play Sirindhorn Station</v>
      </c>
      <c r="E7" s="137" t="str">
        <f>'Origin Plug &amp; Play Sirindhorn S'!C11</f>
        <v>Room B1009</v>
      </c>
      <c r="F7" s="137" t="str">
        <f>VLOOKUP($D$5,'The Origin Sukhumvit-Praksa'!$B$19:$O$19,2)</f>
        <v>Room 2514</v>
      </c>
      <c r="G7" s="137" t="str">
        <f>VLOOKUP($D$5,'The Origin Sukhumvit-Praksa'!$B$19:$O$19,2)</f>
        <v>Room 2514</v>
      </c>
      <c r="H7" s="138">
        <f>'Origin Plug &amp; Play Sirindhorn S'!I11</f>
        <v>138317.757</v>
      </c>
      <c r="I7" s="138">
        <f>'Origin Plug &amp; Play Sirindhorn S'!J11</f>
        <v>90654.21</v>
      </c>
      <c r="J7" s="138">
        <f>'Origin Plug &amp; Play Sirindhorn S'!M11</f>
        <v>96000</v>
      </c>
      <c r="K7" s="138">
        <f>H7-J7</f>
        <v>42317.75701</v>
      </c>
      <c r="L7" s="139">
        <f>K7/H7</f>
        <v>0.3059459459</v>
      </c>
      <c r="M7" s="140" t="s">
        <v>103</v>
      </c>
      <c r="N7" s="141">
        <v>46232.0</v>
      </c>
      <c r="O7" s="141">
        <v>46265.0</v>
      </c>
      <c r="P7" s="142">
        <f>N7+14</f>
        <v>46246</v>
      </c>
      <c r="Q7" s="141"/>
      <c r="R7" s="143">
        <f>P7-Q7</f>
        <v>46246</v>
      </c>
      <c r="S7" s="144" t="b">
        <v>0</v>
      </c>
      <c r="T7" s="145" t="str">
        <f>IFS(S7=true,"แล้วเสร็จ",R7&lt;1,"เลยกำหนด", R7&gt;=1,"อยู่ในกำหนด")</f>
        <v>อยู่ในกำหนด</v>
      </c>
      <c r="U7" s="146" t="s">
        <v>104</v>
      </c>
      <c r="V7" s="144" t="b">
        <v>0</v>
      </c>
      <c r="W7" s="144" t="b">
        <v>0</v>
      </c>
      <c r="X7" s="144" t="b">
        <v>0</v>
      </c>
      <c r="Y7" s="144" t="b">
        <v>0</v>
      </c>
      <c r="Z7" s="144" t="b">
        <v>0</v>
      </c>
      <c r="AA7" s="144" t="b">
        <v>0</v>
      </c>
      <c r="AB7" s="147"/>
      <c r="AC7" s="146" t="s">
        <v>105</v>
      </c>
      <c r="AD7" s="148"/>
      <c r="AE7" s="148"/>
      <c r="AF7" s="148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</row>
    <row r="8">
      <c r="A8" s="135"/>
      <c r="B8" s="136"/>
      <c r="C8" s="91"/>
      <c r="D8" s="149"/>
      <c r="E8" s="137"/>
      <c r="F8" s="148"/>
      <c r="G8" s="150"/>
      <c r="H8" s="138"/>
      <c r="I8" s="138"/>
      <c r="J8" s="138"/>
      <c r="K8" s="138"/>
      <c r="L8" s="139"/>
      <c r="M8" s="140"/>
      <c r="N8" s="141"/>
      <c r="O8" s="141"/>
      <c r="P8" s="142"/>
      <c r="Q8" s="141"/>
      <c r="R8" s="143"/>
      <c r="S8" s="144" t="b">
        <v>0</v>
      </c>
      <c r="T8" s="145"/>
      <c r="U8" s="146"/>
      <c r="V8" s="137" t="b">
        <v>0</v>
      </c>
      <c r="W8" s="137" t="b">
        <v>0</v>
      </c>
      <c r="X8" s="137" t="b">
        <v>0</v>
      </c>
      <c r="Y8" s="137" t="b">
        <v>0</v>
      </c>
      <c r="Z8" s="137" t="b">
        <v>0</v>
      </c>
      <c r="AA8" s="137" t="b">
        <v>0</v>
      </c>
      <c r="AB8" s="147"/>
      <c r="AC8" s="140"/>
      <c r="AD8" s="148"/>
      <c r="AE8" s="148"/>
      <c r="AF8" s="148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</row>
    <row r="9">
      <c r="A9" s="135" t="str">
        <f t="array" ref="A9">"Q" &amp; INT((MATCH(B9, {"ม.ค.-26","ก.พ.-26","มี.ค.-26","เม.ย.-26","พ.ค.-26","มิ.ย.-26","ก.ค.-26","ส.ค.-26","ก.ย.-26","ต.ค.-26","พ.ย.-26","ธ.ค.-26"}, 0) + 2) / 3)</f>
        <v>Q3</v>
      </c>
      <c r="B9" s="136" t="str">
        <f>TEXT(O9, "mmm-yy")</f>
        <v>ส.ค.-26</v>
      </c>
      <c r="C9" s="91"/>
      <c r="D9" s="137" t="str">
        <f>'Origin Place Bangna'!B21</f>
        <v>Origin Place Bangna</v>
      </c>
      <c r="E9" s="137" t="str">
        <f>'Origin Place Bangna'!C21</f>
        <v>Room 532</v>
      </c>
      <c r="F9" s="137" t="str">
        <f>VLOOKUP($D$5,'The Origin Sukhumvit-Praksa'!$B$19:$O$19,2)</f>
        <v>Room 2514</v>
      </c>
      <c r="G9" s="137" t="str">
        <f>VLOOKUP($D$5,'The Origin Sukhumvit-Praksa'!$B$19:$O$19,2)</f>
        <v>Room 2514</v>
      </c>
      <c r="H9" s="138">
        <f>'Origin Place Bangna'!I21</f>
        <v>185887.8505</v>
      </c>
      <c r="I9" s="138">
        <f>'Origin Place Bangna'!J21</f>
        <v>84656.08</v>
      </c>
      <c r="J9" s="138">
        <f>'Origin Place Bangna'!M21</f>
        <v>138550</v>
      </c>
      <c r="K9" s="138">
        <f>H9-I9</f>
        <v>101231.7705</v>
      </c>
      <c r="L9" s="139">
        <f>K9/H9</f>
        <v>0.5445851905</v>
      </c>
      <c r="M9" s="140" t="s">
        <v>103</v>
      </c>
      <c r="N9" s="141">
        <v>46188.0</v>
      </c>
      <c r="O9" s="141">
        <v>46265.0</v>
      </c>
      <c r="P9" s="142">
        <f>N9+14</f>
        <v>46202</v>
      </c>
      <c r="Q9" s="141">
        <v>46195.0</v>
      </c>
      <c r="R9" s="143">
        <f>P9-Q9</f>
        <v>7</v>
      </c>
      <c r="S9" s="144" t="b">
        <v>0</v>
      </c>
      <c r="T9" s="145" t="str">
        <f>IFS(S9=true,"แล้วเสร็จ",R9&lt;1,"เลยกำหนด", R9&gt;=1,"อยู่ในกำหนด")</f>
        <v>อยู่ในกำหนด</v>
      </c>
      <c r="U9" s="146" t="s">
        <v>104</v>
      </c>
      <c r="V9" s="144" t="b">
        <v>0</v>
      </c>
      <c r="W9" s="144" t="b">
        <v>0</v>
      </c>
      <c r="X9" s="144" t="b">
        <v>0</v>
      </c>
      <c r="Y9" s="144" t="b">
        <v>0</v>
      </c>
      <c r="Z9" s="144" t="b">
        <v>0</v>
      </c>
      <c r="AA9" s="144" t="b">
        <v>0</v>
      </c>
      <c r="AB9" s="147"/>
      <c r="AC9" s="146" t="s">
        <v>105</v>
      </c>
      <c r="AD9" s="148"/>
      <c r="AE9" s="148"/>
      <c r="AF9" s="148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</row>
    <row r="10">
      <c r="A10" s="135"/>
      <c r="B10" s="136"/>
      <c r="C10" s="91"/>
      <c r="D10" s="149"/>
      <c r="E10" s="137"/>
      <c r="F10" s="148"/>
      <c r="G10" s="150"/>
      <c r="H10" s="138"/>
      <c r="I10" s="138"/>
      <c r="J10" s="138"/>
      <c r="K10" s="138"/>
      <c r="L10" s="139"/>
      <c r="M10" s="140"/>
      <c r="N10" s="141"/>
      <c r="O10" s="141"/>
      <c r="P10" s="142"/>
      <c r="Q10" s="141"/>
      <c r="R10" s="143"/>
      <c r="S10" s="144" t="b">
        <v>0</v>
      </c>
      <c r="T10" s="145"/>
      <c r="U10" s="146"/>
      <c r="V10" s="137" t="b">
        <v>0</v>
      </c>
      <c r="W10" s="137" t="b">
        <v>0</v>
      </c>
      <c r="X10" s="137" t="b">
        <v>0</v>
      </c>
      <c r="Y10" s="137" t="b">
        <v>0</v>
      </c>
      <c r="Z10" s="137" t="b">
        <v>0</v>
      </c>
      <c r="AA10" s="137" t="b">
        <v>0</v>
      </c>
      <c r="AB10" s="147"/>
      <c r="AC10" s="140"/>
      <c r="AD10" s="148"/>
      <c r="AE10" s="148"/>
      <c r="AF10" s="148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</row>
    <row r="11">
      <c r="A11" s="135" t="str">
        <f t="shared" ref="A11:A13" si="2">"Q" &amp; INT((MATCH(B11, {"ม.ค.-26","ก.พ.-26","มี.ค.-26","เม.ย.-26","พ.ค.-26","มิ.ย.-26","ก.ค.-26","ส.ค.-26","ก.ย.-26","ต.ค.-26","พ.ย.-26","ธ.ค.-26"}, 0) + 2) / 3)</f>
        <v>Q3</v>
      </c>
      <c r="B11" s="136" t="str">
        <f t="shared" ref="B11:B13" si="3">TEXT(O11, "mmm-yy")</f>
        <v>ก.ค.-26</v>
      </c>
      <c r="C11" s="91"/>
      <c r="D11" s="149" t="str">
        <f>'Origin Place Phetkasem'!B21</f>
        <v>Origin Place Phetkasem</v>
      </c>
      <c r="E11" s="149" t="str">
        <f>'Origin Place Phetkasem'!C21</f>
        <v>Room 919</v>
      </c>
      <c r="F11" s="148"/>
      <c r="G11" s="150"/>
      <c r="H11" s="138">
        <f>'Origin Place Phetkasem'!I21</f>
        <v>51028.03738</v>
      </c>
      <c r="I11" s="138">
        <f>'Origin Place Phetkasem'!J21</f>
        <v>32175</v>
      </c>
      <c r="J11" s="138">
        <f>'Origin Place Phetkasem'!M21</f>
        <v>37500</v>
      </c>
      <c r="K11" s="138">
        <f t="shared" ref="K11:K13" si="4">H11-I11</f>
        <v>18853.03738</v>
      </c>
      <c r="L11" s="139">
        <f t="shared" ref="L11:L13" si="5">K11/H11</f>
        <v>0.3694642857</v>
      </c>
      <c r="M11" s="140" t="s">
        <v>103</v>
      </c>
      <c r="N11" s="141">
        <v>46201.0</v>
      </c>
      <c r="O11" s="141">
        <v>46233.0</v>
      </c>
      <c r="P11" s="142">
        <f t="shared" ref="P11:P13" si="6">N11+14</f>
        <v>46215</v>
      </c>
      <c r="Q11" s="141">
        <v>46218.0</v>
      </c>
      <c r="R11" s="143">
        <f t="shared" ref="R11:R13" si="7">P11-Q11</f>
        <v>-3</v>
      </c>
      <c r="S11" s="144" t="b">
        <v>0</v>
      </c>
      <c r="T11" s="145" t="str">
        <f t="shared" ref="T11:T13" si="8">IFS(S11=true,"แล้วเสร็จ",R11&lt;1,"เลยกำหนด", R11&gt;=1,"อยู่ในกำหนด")</f>
        <v>เลยกำหนด</v>
      </c>
      <c r="U11" s="146" t="s">
        <v>104</v>
      </c>
      <c r="V11" s="137" t="b">
        <v>0</v>
      </c>
      <c r="W11" s="137" t="b">
        <v>0</v>
      </c>
      <c r="X11" s="137" t="b">
        <v>0</v>
      </c>
      <c r="Y11" s="137" t="b">
        <v>0</v>
      </c>
      <c r="Z11" s="137" t="b">
        <v>0</v>
      </c>
      <c r="AA11" s="137" t="b">
        <v>0</v>
      </c>
      <c r="AB11" s="147"/>
      <c r="AC11" s="146" t="s">
        <v>105</v>
      </c>
      <c r="AD11" s="148"/>
      <c r="AE11" s="148"/>
      <c r="AF11" s="148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</row>
    <row r="12">
      <c r="A12" s="135" t="str">
        <f t="shared" si="2"/>
        <v>Q3</v>
      </c>
      <c r="B12" s="136" t="str">
        <f t="shared" si="3"/>
        <v>ก.ค.-26</v>
      </c>
      <c r="C12" s="91"/>
      <c r="D12" s="149" t="str">
        <f>'Origin Place Phetkasem'!B38</f>
        <v>Origin Place Phetkasem</v>
      </c>
      <c r="E12" s="149" t="str">
        <f>'Origin Place Phetkasem'!C38</f>
        <v>Room 818</v>
      </c>
      <c r="F12" s="148"/>
      <c r="G12" s="150"/>
      <c r="H12" s="138">
        <f>'Origin Place Phetkasem'!I38</f>
        <v>27644.85981</v>
      </c>
      <c r="I12" s="138">
        <f>'Origin Place Phetkasem'!J38</f>
        <v>16775</v>
      </c>
      <c r="J12" s="138">
        <f>'Origin Place Phetkasem'!M38</f>
        <v>20025</v>
      </c>
      <c r="K12" s="138">
        <f t="shared" si="4"/>
        <v>10869.85981</v>
      </c>
      <c r="L12" s="139">
        <f t="shared" si="5"/>
        <v>0.3931964165</v>
      </c>
      <c r="M12" s="140" t="s">
        <v>103</v>
      </c>
      <c r="N12" s="141">
        <v>46201.0</v>
      </c>
      <c r="O12" s="141">
        <v>46233.0</v>
      </c>
      <c r="P12" s="142">
        <f t="shared" si="6"/>
        <v>46215</v>
      </c>
      <c r="Q12" s="141">
        <v>46218.0</v>
      </c>
      <c r="R12" s="143">
        <f t="shared" si="7"/>
        <v>-3</v>
      </c>
      <c r="S12" s="144" t="b">
        <v>0</v>
      </c>
      <c r="T12" s="145" t="str">
        <f t="shared" si="8"/>
        <v>เลยกำหนด</v>
      </c>
      <c r="U12" s="146" t="s">
        <v>104</v>
      </c>
      <c r="V12" s="137" t="b">
        <v>0</v>
      </c>
      <c r="W12" s="137" t="b">
        <v>0</v>
      </c>
      <c r="X12" s="137" t="b">
        <v>0</v>
      </c>
      <c r="Y12" s="137" t="b">
        <v>0</v>
      </c>
      <c r="Z12" s="137" t="b">
        <v>0</v>
      </c>
      <c r="AA12" s="137" t="b">
        <v>0</v>
      </c>
      <c r="AB12" s="147"/>
      <c r="AC12" s="146" t="s">
        <v>105</v>
      </c>
      <c r="AD12" s="148"/>
      <c r="AE12" s="148"/>
      <c r="AF12" s="148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</row>
    <row r="13">
      <c r="A13" s="135" t="str">
        <f t="shared" si="2"/>
        <v>Q3</v>
      </c>
      <c r="B13" s="136" t="str">
        <f t="shared" si="3"/>
        <v>ก.ย.-26</v>
      </c>
      <c r="C13" s="91"/>
      <c r="D13" s="149" t="str">
        <f>'Origin Place Phetkasem'!B54</f>
        <v>Origin Place Phetkasem</v>
      </c>
      <c r="E13" s="149" t="str">
        <f>'Origin Place Phetkasem'!C54</f>
        <v>Room 502</v>
      </c>
      <c r="F13" s="148"/>
      <c r="G13" s="150"/>
      <c r="H13" s="138">
        <f>'Origin Place Phetkasem'!I54</f>
        <v>457943.9252</v>
      </c>
      <c r="I13" s="138" t="str">
        <f>'Origin Place Phetkasem'!J39</f>
        <v/>
      </c>
      <c r="J13" s="138">
        <f>'Origin Place Phetkasem'!M54</f>
        <v>332219.6262</v>
      </c>
      <c r="K13" s="138">
        <f t="shared" si="4"/>
        <v>457943.9252</v>
      </c>
      <c r="L13" s="139">
        <f t="shared" si="5"/>
        <v>1</v>
      </c>
      <c r="M13" s="140" t="s">
        <v>103</v>
      </c>
      <c r="N13" s="141">
        <v>46247.0</v>
      </c>
      <c r="O13" s="141">
        <v>46295.0</v>
      </c>
      <c r="P13" s="142">
        <f t="shared" si="6"/>
        <v>46261</v>
      </c>
      <c r="Q13" s="141">
        <v>46260.0</v>
      </c>
      <c r="R13" s="143">
        <f t="shared" si="7"/>
        <v>1</v>
      </c>
      <c r="S13" s="144" t="b">
        <v>0</v>
      </c>
      <c r="T13" s="145" t="str">
        <f t="shared" si="8"/>
        <v>อยู่ในกำหนด</v>
      </c>
      <c r="U13" s="146" t="s">
        <v>104</v>
      </c>
      <c r="V13" s="137" t="b">
        <v>0</v>
      </c>
      <c r="W13" s="137" t="b">
        <v>0</v>
      </c>
      <c r="X13" s="137" t="b">
        <v>0</v>
      </c>
      <c r="Y13" s="137" t="b">
        <v>0</v>
      </c>
      <c r="Z13" s="137" t="b">
        <v>0</v>
      </c>
      <c r="AA13" s="137" t="b">
        <v>0</v>
      </c>
      <c r="AB13" s="147"/>
      <c r="AC13" s="146" t="s">
        <v>105</v>
      </c>
      <c r="AD13" s="148"/>
      <c r="AE13" s="148"/>
      <c r="AF13" s="148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</row>
    <row r="14">
      <c r="A14" s="135"/>
      <c r="B14" s="136"/>
      <c r="C14" s="91"/>
      <c r="D14" s="149"/>
      <c r="E14" s="137"/>
      <c r="F14" s="148"/>
      <c r="G14" s="150"/>
      <c r="H14" s="138"/>
      <c r="I14" s="138"/>
      <c r="J14" s="138"/>
      <c r="K14" s="138"/>
      <c r="L14" s="139"/>
      <c r="M14" s="140"/>
      <c r="N14" s="141"/>
      <c r="O14" s="141"/>
      <c r="P14" s="142"/>
      <c r="Q14" s="141"/>
      <c r="R14" s="143"/>
      <c r="S14" s="144" t="b">
        <v>0</v>
      </c>
      <c r="T14" s="145"/>
      <c r="U14" s="146"/>
      <c r="V14" s="137" t="b">
        <v>0</v>
      </c>
      <c r="W14" s="137" t="b">
        <v>0</v>
      </c>
      <c r="X14" s="137" t="b">
        <v>0</v>
      </c>
      <c r="Y14" s="137" t="b">
        <v>0</v>
      </c>
      <c r="Z14" s="137" t="b">
        <v>0</v>
      </c>
      <c r="AA14" s="137" t="b">
        <v>0</v>
      </c>
      <c r="AB14" s="147"/>
      <c r="AC14" s="140"/>
      <c r="AD14" s="148"/>
      <c r="AE14" s="148"/>
      <c r="AF14" s="148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</row>
    <row r="15">
      <c r="A15" s="151" t="str">
        <f t="shared" ref="A15:A20" si="9">"Q" &amp; INT((MATCH(B15, {"ม.ค.-26","ก.พ.-26","มี.ค.-26","เม.ย.-26","พ.ค.-26","มิ.ย.-26","ก.ค.-26","ส.ค.-26","ก.ย.-26","ต.ค.-26","พ.ย.-26","ธ.ค.-26"}, 0) + 2) / 3)</f>
        <v>Q3</v>
      </c>
      <c r="B15" s="152" t="str">
        <f t="shared" ref="B15:B20" si="10">TEXT(O15, "mmm-yy")</f>
        <v>ก.ค.-26</v>
      </c>
      <c r="C15" s="91"/>
      <c r="D15" s="153" t="str">
        <f>'Origin Play Bangkhunnon'!B19</f>
        <v>Origin Play Bangkhunnon</v>
      </c>
      <c r="E15" s="153" t="str">
        <f>VLOOKUP(D15,'Origin Play Bangkhunnon'!B19:O19,2)</f>
        <v>Room 1809</v>
      </c>
      <c r="F15" s="154"/>
      <c r="G15" s="155"/>
      <c r="H15" s="151">
        <f>'Origin Play Bangkhunnon'!I19</f>
        <v>26000</v>
      </c>
      <c r="I15" s="151">
        <f>'Origin Play Bangkhunnon'!J19</f>
        <v>14000</v>
      </c>
      <c r="J15" s="151">
        <f>'Origin Play Bangkhunnon'!M19</f>
        <v>17000</v>
      </c>
      <c r="K15" s="151">
        <f t="shared" ref="K15:K19" si="11">H15-I15</f>
        <v>12000</v>
      </c>
      <c r="L15" s="156">
        <f t="shared" ref="L15:L20" si="12">K15/H15</f>
        <v>0.4615384615</v>
      </c>
      <c r="M15" s="153" t="s">
        <v>103</v>
      </c>
      <c r="N15" s="157">
        <v>46201.0</v>
      </c>
      <c r="O15" s="157">
        <v>46219.0</v>
      </c>
      <c r="P15" s="158">
        <f t="shared" ref="P15:P20" si="13">N15+14</f>
        <v>46215</v>
      </c>
      <c r="Q15" s="157">
        <v>46203.0</v>
      </c>
      <c r="R15" s="159">
        <f t="shared" ref="R15:R20" si="14">P15-Q15</f>
        <v>12</v>
      </c>
      <c r="S15" s="160" t="b">
        <v>0</v>
      </c>
      <c r="T15" s="161" t="str">
        <f t="shared" ref="T15:T20" si="15">IFS(S15=true,"แล้วเสร็จ",R15&lt;1,"เลยกำหนด", R15&gt;=1,"อยู่ในกำหนด")</f>
        <v>อยู่ในกำหนด</v>
      </c>
      <c r="U15" s="160" t="s">
        <v>106</v>
      </c>
      <c r="V15" s="160" t="b">
        <v>0</v>
      </c>
      <c r="W15" s="153" t="b">
        <v>0</v>
      </c>
      <c r="X15" s="153" t="b">
        <v>0</v>
      </c>
      <c r="Y15" s="153" t="b">
        <v>0</v>
      </c>
      <c r="Z15" s="153" t="b">
        <v>0</v>
      </c>
      <c r="AA15" s="153" t="b">
        <v>0</v>
      </c>
      <c r="AB15" s="154"/>
      <c r="AC15" s="153" t="s">
        <v>107</v>
      </c>
      <c r="AD15" s="154"/>
      <c r="AE15" s="154"/>
      <c r="AF15" s="154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</row>
    <row r="16">
      <c r="A16" s="162" t="str">
        <f t="shared" si="9"/>
        <v>Q3</v>
      </c>
      <c r="B16" s="163" t="str">
        <f t="shared" si="10"/>
        <v>ก.ค.-26</v>
      </c>
      <c r="C16" s="91"/>
      <c r="D16" s="164" t="str">
        <f>'Origin Play Bangkhunnon'!B34</f>
        <v>Origin Play Bangkhunnon</v>
      </c>
      <c r="E16" s="164" t="str">
        <f>'Origin Play Bangkhunnon'!C34</f>
        <v>Room 901</v>
      </c>
      <c r="F16" s="164" t="str">
        <f>VLOOKUP($D$24,'The Origin Bangkae'!$B$19:$O$19,2)</f>
        <v>Room C310</v>
      </c>
      <c r="G16" s="164" t="str">
        <f>VLOOKUP($D$24,'The Origin Bangkae'!$B$19:$O$19,2)</f>
        <v>Room C310</v>
      </c>
      <c r="H16" s="162">
        <f>'Origin Play Bangkhunnon'!I34</f>
        <v>167514.0187</v>
      </c>
      <c r="I16" s="162">
        <f>'Origin Play Bangkhunnon'!J34</f>
        <v>114840.88</v>
      </c>
      <c r="J16" s="162">
        <f>'Origin Play Bangkhunnon'!M34</f>
        <v>0</v>
      </c>
      <c r="K16" s="162">
        <f t="shared" si="11"/>
        <v>52673.13869</v>
      </c>
      <c r="L16" s="165">
        <f t="shared" si="12"/>
        <v>0.314440183</v>
      </c>
      <c r="M16" s="164" t="s">
        <v>103</v>
      </c>
      <c r="N16" s="166">
        <v>46201.0</v>
      </c>
      <c r="O16" s="166">
        <v>46233.0</v>
      </c>
      <c r="P16" s="167">
        <f t="shared" si="13"/>
        <v>46215</v>
      </c>
      <c r="Q16" s="166">
        <v>46203.0</v>
      </c>
      <c r="R16" s="168">
        <f t="shared" si="14"/>
        <v>12</v>
      </c>
      <c r="S16" s="169" t="b">
        <v>0</v>
      </c>
      <c r="T16" s="170" t="str">
        <f t="shared" si="15"/>
        <v>อยู่ในกำหนด</v>
      </c>
      <c r="U16" s="169" t="s">
        <v>106</v>
      </c>
      <c r="V16" s="164" t="b">
        <v>0</v>
      </c>
      <c r="W16" s="164" t="b">
        <v>0</v>
      </c>
      <c r="X16" s="164" t="b">
        <v>0</v>
      </c>
      <c r="Y16" s="164" t="b">
        <v>0</v>
      </c>
      <c r="Z16" s="164" t="b">
        <v>0</v>
      </c>
      <c r="AA16" s="164" t="b">
        <v>0</v>
      </c>
      <c r="AB16" s="171"/>
      <c r="AC16" s="169" t="s">
        <v>105</v>
      </c>
      <c r="AD16" s="171"/>
      <c r="AE16" s="171"/>
      <c r="AF16" s="171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</row>
    <row r="17">
      <c r="A17" s="151" t="str">
        <f t="shared" si="9"/>
        <v>Q3</v>
      </c>
      <c r="B17" s="152" t="str">
        <f t="shared" si="10"/>
        <v>ก.ค.-26</v>
      </c>
      <c r="C17" s="91"/>
      <c r="D17" s="153" t="str">
        <f>'Origin Play Bangkhunnon'!B41</f>
        <v>Origin Play Bangkhunnon</v>
      </c>
      <c r="E17" s="153" t="str">
        <f>'Origin Play Bangkhunnon'!C41</f>
        <v>Room 2324</v>
      </c>
      <c r="F17" s="154"/>
      <c r="G17" s="155"/>
      <c r="H17" s="151">
        <f>'Origin Play Bangkhunnon'!I41</f>
        <v>5140.186916</v>
      </c>
      <c r="I17" s="151">
        <f>'Origin Play Bangkhunnon'!J41</f>
        <v>3378.88</v>
      </c>
      <c r="J17" s="151">
        <f>'Origin Play Bangkhunnon'!M41</f>
        <v>3366</v>
      </c>
      <c r="K17" s="151">
        <f t="shared" si="11"/>
        <v>1761.306916</v>
      </c>
      <c r="L17" s="156">
        <f t="shared" si="12"/>
        <v>0.3426542545</v>
      </c>
      <c r="M17" s="153" t="s">
        <v>103</v>
      </c>
      <c r="N17" s="157">
        <v>46201.0</v>
      </c>
      <c r="O17" s="157">
        <v>46219.0</v>
      </c>
      <c r="P17" s="158">
        <f t="shared" si="13"/>
        <v>46215</v>
      </c>
      <c r="Q17" s="157">
        <v>46223.0</v>
      </c>
      <c r="R17" s="159">
        <f t="shared" si="14"/>
        <v>-8</v>
      </c>
      <c r="S17" s="160" t="b">
        <v>0</v>
      </c>
      <c r="T17" s="161" t="str">
        <f t="shared" si="15"/>
        <v>เลยกำหนด</v>
      </c>
      <c r="U17" s="160" t="s">
        <v>104</v>
      </c>
      <c r="V17" s="160" t="b">
        <v>0</v>
      </c>
      <c r="W17" s="153" t="b">
        <v>0</v>
      </c>
      <c r="X17" s="153" t="b">
        <v>0</v>
      </c>
      <c r="Y17" s="153" t="b">
        <v>0</v>
      </c>
      <c r="Z17" s="153" t="b">
        <v>0</v>
      </c>
      <c r="AA17" s="153" t="b">
        <v>0</v>
      </c>
      <c r="AB17" s="154"/>
      <c r="AC17" s="153" t="s">
        <v>107</v>
      </c>
      <c r="AD17" s="154"/>
      <c r="AE17" s="154"/>
      <c r="AF17" s="154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</row>
    <row r="18">
      <c r="A18" s="162" t="str">
        <f t="shared" si="9"/>
        <v>Q3</v>
      </c>
      <c r="B18" s="163" t="str">
        <f t="shared" si="10"/>
        <v>ก.ค.-26</v>
      </c>
      <c r="C18" s="91"/>
      <c r="D18" s="164" t="str">
        <f>'Origin Play Bangkhunnon'!B53</f>
        <v>Origin Play Bangkhunnon</v>
      </c>
      <c r="E18" s="164" t="str">
        <f>'Origin Play Bangkhunnon'!C53</f>
        <v>Room 1121</v>
      </c>
      <c r="F18" s="164" t="str">
        <f>VLOOKUP($D$24,'The Origin Bangkae'!$B$19:$O$19,2)</f>
        <v>Room C310</v>
      </c>
      <c r="G18" s="164" t="str">
        <f>VLOOKUP($D$24,'The Origin Bangkae'!$B$19:$O$19,2)</f>
        <v>Room C310</v>
      </c>
      <c r="H18" s="162">
        <f>'Origin Play Bangkhunnon'!I53</f>
        <v>109644.8598</v>
      </c>
      <c r="I18" s="162">
        <f>'Origin Play Bangkhunnon'!J53</f>
        <v>60350</v>
      </c>
      <c r="J18" s="162">
        <f>'Origin Play Bangkhunnon'!M53</f>
        <v>84961.25</v>
      </c>
      <c r="K18" s="162">
        <f t="shared" si="11"/>
        <v>49294.85981</v>
      </c>
      <c r="L18" s="165">
        <f t="shared" si="12"/>
        <v>0.4495866008</v>
      </c>
      <c r="M18" s="164" t="s">
        <v>103</v>
      </c>
      <c r="N18" s="166">
        <v>46201.0</v>
      </c>
      <c r="O18" s="166">
        <v>46233.0</v>
      </c>
      <c r="P18" s="167">
        <f t="shared" si="13"/>
        <v>46215</v>
      </c>
      <c r="Q18" s="166">
        <v>46223.0</v>
      </c>
      <c r="R18" s="168">
        <f t="shared" si="14"/>
        <v>-8</v>
      </c>
      <c r="S18" s="169" t="b">
        <v>0</v>
      </c>
      <c r="T18" s="170" t="str">
        <f t="shared" si="15"/>
        <v>เลยกำหนด</v>
      </c>
      <c r="U18" s="169" t="s">
        <v>104</v>
      </c>
      <c r="V18" s="169" t="b">
        <v>1</v>
      </c>
      <c r="W18" s="164" t="b">
        <v>0</v>
      </c>
      <c r="X18" s="164" t="b">
        <v>0</v>
      </c>
      <c r="Y18" s="169" t="b">
        <v>1</v>
      </c>
      <c r="Z18" s="164" t="b">
        <v>0</v>
      </c>
      <c r="AA18" s="164" t="b">
        <v>0</v>
      </c>
      <c r="AB18" s="171"/>
      <c r="AC18" s="169" t="s">
        <v>105</v>
      </c>
      <c r="AD18" s="172"/>
      <c r="AE18" s="171"/>
      <c r="AF18" s="171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</row>
    <row r="19">
      <c r="A19" s="151" t="str">
        <f t="shared" si="9"/>
        <v>Q3</v>
      </c>
      <c r="B19" s="152" t="str">
        <f t="shared" si="10"/>
        <v>ก.ค.-26</v>
      </c>
      <c r="C19" s="91"/>
      <c r="D19" s="153" t="str">
        <f>'Origin Play Bangkhunnon'!B70</f>
        <v>Origin Play Bangkhunnon</v>
      </c>
      <c r="E19" s="153" t="str">
        <f>'Origin Play Bangkhunnon'!C70</f>
        <v>Room 1621</v>
      </c>
      <c r="F19" s="153" t="str">
        <f>VLOOKUP($D$24,'The Origin Bangkae'!$B$19:$O$19,2)</f>
        <v>Room C310</v>
      </c>
      <c r="G19" s="153" t="str">
        <f>VLOOKUP($D$24,'The Origin Bangkae'!$B$19:$O$19,2)</f>
        <v>Room C310</v>
      </c>
      <c r="H19" s="151">
        <f>'Origin Play Bangkhunnon'!I70</f>
        <v>23065.42056</v>
      </c>
      <c r="I19" s="151">
        <f>'Origin Play Bangkhunnon'!J70</f>
        <v>15000</v>
      </c>
      <c r="J19" s="151">
        <f>'Origin Play Bangkhunnon'!M70</f>
        <v>16000</v>
      </c>
      <c r="K19" s="151">
        <f t="shared" si="11"/>
        <v>8065.420561</v>
      </c>
      <c r="L19" s="156">
        <f t="shared" si="12"/>
        <v>0.3496758509</v>
      </c>
      <c r="M19" s="153" t="s">
        <v>103</v>
      </c>
      <c r="N19" s="157">
        <v>46201.0</v>
      </c>
      <c r="O19" s="157">
        <v>46233.0</v>
      </c>
      <c r="P19" s="158">
        <f t="shared" si="13"/>
        <v>46215</v>
      </c>
      <c r="Q19" s="157">
        <v>46209.0</v>
      </c>
      <c r="R19" s="159">
        <f t="shared" si="14"/>
        <v>6</v>
      </c>
      <c r="S19" s="160" t="b">
        <v>0</v>
      </c>
      <c r="T19" s="161" t="str">
        <f t="shared" si="15"/>
        <v>อยู่ในกำหนด</v>
      </c>
      <c r="U19" s="160" t="s">
        <v>104</v>
      </c>
      <c r="V19" s="160" t="b">
        <v>1</v>
      </c>
      <c r="W19" s="153" t="b">
        <v>0</v>
      </c>
      <c r="X19" s="153" t="b">
        <v>0</v>
      </c>
      <c r="Y19" s="160" t="b">
        <v>1</v>
      </c>
      <c r="Z19" s="153" t="b">
        <v>0</v>
      </c>
      <c r="AA19" s="153" t="b">
        <v>0</v>
      </c>
      <c r="AB19" s="154"/>
      <c r="AC19" s="160" t="s">
        <v>105</v>
      </c>
      <c r="AD19" s="173"/>
      <c r="AE19" s="154"/>
      <c r="AF19" s="154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</row>
    <row r="20">
      <c r="A20" s="162" t="str">
        <f t="shared" si="9"/>
        <v>Q3</v>
      </c>
      <c r="B20" s="163" t="str">
        <f t="shared" si="10"/>
        <v>ส.ค.-26</v>
      </c>
      <c r="C20" s="91"/>
      <c r="D20" s="164" t="str">
        <f>'Origin Play Bangkhunnon'!B72</f>
        <v>Origin Play Bangkhunnon</v>
      </c>
      <c r="E20" s="164" t="str">
        <f>'Origin Play Bangkhunnon'!C72</f>
        <v>Room 1601</v>
      </c>
      <c r="F20" s="171"/>
      <c r="G20" s="174"/>
      <c r="H20" s="162">
        <f>'Origin Play Bangkhunnon'!I87</f>
        <v>33532.71028</v>
      </c>
      <c r="I20" s="162">
        <f>'Origin Play Bangkhunnon'!J87</f>
        <v>7000</v>
      </c>
      <c r="J20" s="162">
        <f>'Origin Play Bangkhunnon'!M87</f>
        <v>23600</v>
      </c>
      <c r="K20" s="162">
        <f>H20-J20</f>
        <v>9932.71028</v>
      </c>
      <c r="L20" s="165">
        <f t="shared" si="12"/>
        <v>0.2962095875</v>
      </c>
      <c r="M20" s="169" t="s">
        <v>103</v>
      </c>
      <c r="N20" s="166">
        <v>46233.0</v>
      </c>
      <c r="O20" s="166">
        <v>46264.0</v>
      </c>
      <c r="P20" s="167">
        <f t="shared" si="13"/>
        <v>46247</v>
      </c>
      <c r="Q20" s="166">
        <v>46234.0</v>
      </c>
      <c r="R20" s="168">
        <f t="shared" si="14"/>
        <v>13</v>
      </c>
      <c r="S20" s="169" t="b">
        <v>0</v>
      </c>
      <c r="T20" s="170" t="str">
        <f t="shared" si="15"/>
        <v>อยู่ในกำหนด</v>
      </c>
      <c r="U20" s="169" t="s">
        <v>104</v>
      </c>
      <c r="V20" s="169" t="b">
        <v>1</v>
      </c>
      <c r="W20" s="164" t="b">
        <v>0</v>
      </c>
      <c r="X20" s="164" t="b">
        <v>0</v>
      </c>
      <c r="Y20" s="169" t="b">
        <v>1</v>
      </c>
      <c r="Z20" s="164" t="b">
        <v>0</v>
      </c>
      <c r="AA20" s="164" t="b">
        <v>0</v>
      </c>
      <c r="AB20" s="171"/>
      <c r="AC20" s="169" t="s">
        <v>108</v>
      </c>
      <c r="AD20" s="171"/>
      <c r="AE20" s="171"/>
      <c r="AF20" s="171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</row>
    <row r="21">
      <c r="A21" s="151"/>
      <c r="B21" s="152"/>
      <c r="C21" s="91"/>
      <c r="D21" s="175"/>
      <c r="E21" s="153"/>
      <c r="F21" s="154"/>
      <c r="G21" s="155"/>
      <c r="H21" s="151"/>
      <c r="I21" s="151"/>
      <c r="J21" s="151"/>
      <c r="K21" s="151"/>
      <c r="L21" s="156"/>
      <c r="M21" s="153"/>
      <c r="N21" s="157"/>
      <c r="O21" s="157"/>
      <c r="P21" s="158"/>
      <c r="Q21" s="157"/>
      <c r="R21" s="159"/>
      <c r="S21" s="160" t="b">
        <v>0</v>
      </c>
      <c r="T21" s="161"/>
      <c r="U21" s="160"/>
      <c r="V21" s="153" t="b">
        <v>0</v>
      </c>
      <c r="W21" s="153" t="b">
        <v>0</v>
      </c>
      <c r="X21" s="153" t="b">
        <v>0</v>
      </c>
      <c r="Y21" s="153" t="b">
        <v>0</v>
      </c>
      <c r="Z21" s="153" t="b">
        <v>0</v>
      </c>
      <c r="AA21" s="153" t="b">
        <v>0</v>
      </c>
      <c r="AB21" s="154"/>
      <c r="AC21" s="153"/>
      <c r="AD21" s="154"/>
      <c r="AE21" s="154"/>
      <c r="AF21" s="154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</row>
    <row r="22">
      <c r="A22" s="162" t="str">
        <f t="array" ref="A22">"Q" &amp; INT((MATCH(B22, {"ม.ค.-26","ก.พ.-26","มี.ค.-26","เม.ย.-26","พ.ค.-26","มิ.ย.-26","ก.ค.-26","ส.ค.-26","ก.ย.-26","ต.ค.-26","พ.ย.-26","ธ.ค.-26"}, 0) + 2) / 3)</f>
        <v>Q3</v>
      </c>
      <c r="B22" s="163" t="str">
        <f>TEXT(O22, "mmm-yy")</f>
        <v>ส.ค.-26</v>
      </c>
      <c r="C22" s="91"/>
      <c r="D22" s="164" t="str">
        <f>'IP Program Origin Place Bangna'!B46</f>
        <v>Origin Place Bangna</v>
      </c>
      <c r="E22" s="164" t="str">
        <f>'IP Program Origin Place Bangna'!C46</f>
        <v>IP Program</v>
      </c>
      <c r="F22" s="171"/>
      <c r="G22" s="174"/>
      <c r="H22" s="162">
        <f>'IP Program Origin Place Bangna'!J46</f>
        <v>36618503.61</v>
      </c>
      <c r="I22" s="162">
        <f>'IP Program Origin Place Bangna'!K46</f>
        <v>6960379.27</v>
      </c>
      <c r="J22" s="162">
        <f>H22*0.8</f>
        <v>29294802.89</v>
      </c>
      <c r="K22" s="162">
        <f>H22-J22</f>
        <v>7323700.722</v>
      </c>
      <c r="L22" s="165">
        <f>K22/H22</f>
        <v>0.2</v>
      </c>
      <c r="M22" s="169" t="s">
        <v>103</v>
      </c>
      <c r="N22" s="166">
        <v>46233.0</v>
      </c>
      <c r="O22" s="166">
        <v>46264.0</v>
      </c>
      <c r="P22" s="167">
        <f>N22+14</f>
        <v>46247</v>
      </c>
      <c r="Q22" s="166">
        <v>46234.0</v>
      </c>
      <c r="R22" s="168">
        <f>P22-Q22</f>
        <v>13</v>
      </c>
      <c r="S22" s="169" t="b">
        <v>0</v>
      </c>
      <c r="T22" s="170" t="str">
        <f>IFS(S22=true,"แล้วเสร็จ",R22&lt;1,"เลยกำหนด", R22&gt;=1,"อยู่ในกำหนด")</f>
        <v>อยู่ในกำหนด</v>
      </c>
      <c r="U22" s="169" t="s">
        <v>104</v>
      </c>
      <c r="V22" s="169" t="b">
        <v>1</v>
      </c>
      <c r="W22" s="164" t="b">
        <v>0</v>
      </c>
      <c r="X22" s="164" t="b">
        <v>0</v>
      </c>
      <c r="Y22" s="169" t="b">
        <v>1</v>
      </c>
      <c r="Z22" s="164" t="b">
        <v>0</v>
      </c>
      <c r="AA22" s="164" t="b">
        <v>0</v>
      </c>
      <c r="AB22" s="171"/>
      <c r="AC22" s="169" t="s">
        <v>108</v>
      </c>
      <c r="AD22" s="171"/>
      <c r="AE22" s="171"/>
      <c r="AF22" s="171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</row>
    <row r="23">
      <c r="A23" s="151"/>
      <c r="B23" s="152"/>
      <c r="C23" s="91"/>
      <c r="D23" s="175"/>
      <c r="E23" s="153"/>
      <c r="F23" s="153"/>
      <c r="G23" s="153"/>
      <c r="H23" s="153"/>
      <c r="I23" s="153"/>
      <c r="J23" s="153"/>
      <c r="K23" s="151"/>
      <c r="L23" s="156"/>
      <c r="M23" s="153"/>
      <c r="N23" s="157"/>
      <c r="O23" s="157"/>
      <c r="P23" s="158"/>
      <c r="Q23" s="157"/>
      <c r="R23" s="159"/>
      <c r="S23" s="160" t="b">
        <v>0</v>
      </c>
      <c r="T23" s="161"/>
      <c r="U23" s="160"/>
      <c r="V23" s="153" t="b">
        <v>0</v>
      </c>
      <c r="W23" s="153" t="b">
        <v>0</v>
      </c>
      <c r="X23" s="153" t="b">
        <v>0</v>
      </c>
      <c r="Y23" s="153" t="b">
        <v>0</v>
      </c>
      <c r="Z23" s="153" t="b">
        <v>0</v>
      </c>
      <c r="AA23" s="153" t="b">
        <v>0</v>
      </c>
      <c r="AB23" s="154"/>
      <c r="AC23" s="160"/>
      <c r="AD23" s="154"/>
      <c r="AE23" s="154"/>
      <c r="AF23" s="154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</row>
    <row r="24">
      <c r="A24" s="162" t="str">
        <f t="shared" ref="A24:A25" si="16">"Q" &amp; INT((MATCH(B24, {"ม.ค.-26","ก.พ.-26","มี.ค.-26","เม.ย.-26","พ.ค.-26","มิ.ย.-26","ก.ค.-26","ส.ค.-26","ก.ย.-26","ต.ค.-26","พ.ย.-26","ธ.ค.-26"}, 0) + 2) / 3)</f>
        <v>Q3</v>
      </c>
      <c r="B24" s="163" t="str">
        <f t="shared" ref="B24:B25" si="17">TEXT(O24, "mmm-yy")</f>
        <v>ก.ค.-26</v>
      </c>
      <c r="C24" s="91"/>
      <c r="D24" s="164" t="str">
        <f>'The Origin Bangkae'!B19</f>
        <v>The Origin Bangkae</v>
      </c>
      <c r="E24" s="164" t="str">
        <f>'The Origin Bangkae'!C19</f>
        <v>Room C310</v>
      </c>
      <c r="F24" s="164" t="str">
        <f>VLOOKUP($D$24,'The Origin Bangkae'!$B$19:$O$19,2)</f>
        <v>Room C310</v>
      </c>
      <c r="G24" s="164" t="str">
        <f>VLOOKUP($D$24,'The Origin Bangkae'!$B$19:$O$19,2)</f>
        <v>Room C310</v>
      </c>
      <c r="H24" s="162">
        <f>'The Origin Bangkae'!I19</f>
        <v>7242.990654</v>
      </c>
      <c r="I24" s="162">
        <f>'The Origin Bangkae'!J19</f>
        <v>4060.747664</v>
      </c>
      <c r="J24" s="162">
        <f>'The Origin Bangkae'!M19</f>
        <v>4345</v>
      </c>
      <c r="K24" s="162">
        <f t="shared" ref="K24:K25" si="18">H24-I24</f>
        <v>3182.242991</v>
      </c>
      <c r="L24" s="165">
        <f t="shared" ref="L24:L25" si="19">K24/H24</f>
        <v>0.4393548387</v>
      </c>
      <c r="M24" s="164" t="s">
        <v>103</v>
      </c>
      <c r="N24" s="166">
        <v>46201.0</v>
      </c>
      <c r="O24" s="166">
        <v>46233.0</v>
      </c>
      <c r="P24" s="167">
        <f t="shared" ref="P24:P25" si="20">N24+14</f>
        <v>46215</v>
      </c>
      <c r="Q24" s="166">
        <v>46209.0</v>
      </c>
      <c r="R24" s="168">
        <f t="shared" ref="R24:R25" si="21">P24-Q24</f>
        <v>6</v>
      </c>
      <c r="S24" s="169" t="b">
        <v>0</v>
      </c>
      <c r="T24" s="170" t="str">
        <f t="shared" ref="T24:T25" si="22">IFS(S24=true,"แล้วเสร็จ",R24&lt;1,"เลยกำหนด", R24&gt;=1,"อยู่ในกำหนด")</f>
        <v>อยู่ในกำหนด</v>
      </c>
      <c r="U24" s="169" t="s">
        <v>104</v>
      </c>
      <c r="V24" s="164" t="b">
        <v>0</v>
      </c>
      <c r="W24" s="164" t="b">
        <v>0</v>
      </c>
      <c r="X24" s="164" t="b">
        <v>0</v>
      </c>
      <c r="Y24" s="164" t="b">
        <v>0</v>
      </c>
      <c r="Z24" s="164" t="b">
        <v>0</v>
      </c>
      <c r="AA24" s="164" t="b">
        <v>0</v>
      </c>
      <c r="AB24" s="171"/>
      <c r="AC24" s="169" t="s">
        <v>105</v>
      </c>
      <c r="AD24" s="171"/>
      <c r="AE24" s="171"/>
      <c r="AF24" s="171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</row>
    <row r="25">
      <c r="A25" s="151" t="str">
        <f t="shared" si="16"/>
        <v>Q3</v>
      </c>
      <c r="B25" s="152" t="str">
        <f t="shared" si="17"/>
        <v>ก.ค.-26</v>
      </c>
      <c r="C25" s="91"/>
      <c r="D25" s="153" t="str">
        <f>'The Origin Bangkae'!B21</f>
        <v>The Origin Bangkae</v>
      </c>
      <c r="E25" s="153" t="str">
        <f>'The Origin Bangkae'!C21</f>
        <v>Room A202</v>
      </c>
      <c r="F25" s="153" t="str">
        <f>VLOOKUP($D$24,'The Origin Bangkae'!$B$19:$O$19,2)</f>
        <v>Room C310</v>
      </c>
      <c r="G25" s="153" t="str">
        <f>VLOOKUP($D$24,'The Origin Bangkae'!$B$19:$O$19,2)</f>
        <v>Room C310</v>
      </c>
      <c r="H25" s="151">
        <f>'The Origin Bangkae'!I36</f>
        <v>4672.897196</v>
      </c>
      <c r="I25" s="151">
        <f>'The Origin Bangkae'!J36</f>
        <v>2200</v>
      </c>
      <c r="J25" s="151">
        <f>'The Origin Bangkae'!M36</f>
        <v>2200</v>
      </c>
      <c r="K25" s="151">
        <f t="shared" si="18"/>
        <v>2472.897196</v>
      </c>
      <c r="L25" s="156">
        <f t="shared" si="19"/>
        <v>0.5292</v>
      </c>
      <c r="M25" s="153" t="s">
        <v>103</v>
      </c>
      <c r="N25" s="157">
        <v>46208.0</v>
      </c>
      <c r="O25" s="157">
        <v>46220.0</v>
      </c>
      <c r="P25" s="158">
        <f t="shared" si="20"/>
        <v>46222</v>
      </c>
      <c r="Q25" s="157">
        <v>46209.0</v>
      </c>
      <c r="R25" s="159">
        <f t="shared" si="21"/>
        <v>13</v>
      </c>
      <c r="S25" s="160" t="b">
        <v>0</v>
      </c>
      <c r="T25" s="161" t="str">
        <f t="shared" si="22"/>
        <v>อยู่ในกำหนด</v>
      </c>
      <c r="U25" s="160" t="s">
        <v>104</v>
      </c>
      <c r="V25" s="153" t="b">
        <v>0</v>
      </c>
      <c r="W25" s="153" t="b">
        <v>0</v>
      </c>
      <c r="X25" s="153" t="b">
        <v>0</v>
      </c>
      <c r="Y25" s="153" t="b">
        <v>0</v>
      </c>
      <c r="Z25" s="153" t="b">
        <v>0</v>
      </c>
      <c r="AA25" s="153" t="b">
        <v>0</v>
      </c>
      <c r="AB25" s="154"/>
      <c r="AC25" s="160" t="s">
        <v>105</v>
      </c>
      <c r="AD25" s="154"/>
      <c r="AE25" s="154"/>
      <c r="AF25" s="154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</row>
    <row r="26">
      <c r="A26" s="162"/>
      <c r="B26" s="163"/>
      <c r="C26" s="91"/>
      <c r="D26" s="164"/>
      <c r="E26" s="164"/>
      <c r="F26" s="171"/>
      <c r="G26" s="174"/>
      <c r="H26" s="162"/>
      <c r="I26" s="162"/>
      <c r="J26" s="162"/>
      <c r="K26" s="162"/>
      <c r="L26" s="165"/>
      <c r="M26" s="164"/>
      <c r="N26" s="166"/>
      <c r="O26" s="166"/>
      <c r="P26" s="167"/>
      <c r="Q26" s="166"/>
      <c r="R26" s="168"/>
      <c r="S26" s="169" t="b">
        <v>0</v>
      </c>
      <c r="T26" s="170"/>
      <c r="U26" s="169"/>
      <c r="V26" s="164" t="b">
        <v>0</v>
      </c>
      <c r="W26" s="164" t="b">
        <v>0</v>
      </c>
      <c r="X26" s="164" t="b">
        <v>0</v>
      </c>
      <c r="Y26" s="164" t="b">
        <v>0</v>
      </c>
      <c r="Z26" s="164" t="b">
        <v>0</v>
      </c>
      <c r="AA26" s="164" t="b">
        <v>0</v>
      </c>
      <c r="AB26" s="171"/>
      <c r="AC26" s="169"/>
      <c r="AD26" s="171"/>
      <c r="AE26" s="171"/>
      <c r="AF26" s="171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</row>
    <row r="27">
      <c r="A27" s="151" t="str">
        <f t="array" ref="A27">"Q" &amp; INT((MATCH(B27, {"ม.ค.-26","ก.พ.-26","มี.ค.-26","เม.ย.-26","พ.ค.-26","มิ.ย.-26","ก.ค.-26","ส.ค.-26","ก.ย.-26","ต.ค.-26","พ.ย.-26","ธ.ค.-26"}, 0) + 2) / 3)</f>
        <v>Q3</v>
      </c>
      <c r="B27" s="152" t="str">
        <f>TEXT(O27, "mmm-yy")</f>
        <v>ส.ค.-26</v>
      </c>
      <c r="C27" s="91"/>
      <c r="D27" s="153" t="str">
        <f>'The Origin Kathu - Patong'!B20</f>
        <v>The Origin Kathu - Patong</v>
      </c>
      <c r="E27" s="153" t="str">
        <f>'The Origin Kathu - Patong'!C20</f>
        <v>Room B418</v>
      </c>
      <c r="F27" s="153" t="str">
        <f>VLOOKUP($D$24,'The Origin Bangkae'!$B$19:$O$19,2)</f>
        <v>Room C310</v>
      </c>
      <c r="G27" s="153" t="str">
        <f>VLOOKUP($D$24,'The Origin Bangkae'!$B$19:$O$19,2)</f>
        <v>Room C310</v>
      </c>
      <c r="H27" s="151">
        <f>'The Origin Kathu - Patong'!I20</f>
        <v>23962.61682</v>
      </c>
      <c r="I27" s="151">
        <f>'The Origin Kathu - Patong'!J20</f>
        <v>15240</v>
      </c>
      <c r="J27" s="151">
        <f>'The Origin Kathu - Patong'!M20</f>
        <v>17255</v>
      </c>
      <c r="K27" s="151">
        <f>H27-I27</f>
        <v>8722.616822</v>
      </c>
      <c r="L27" s="156">
        <f>K27/H27</f>
        <v>0.3640093604</v>
      </c>
      <c r="M27" s="153" t="s">
        <v>103</v>
      </c>
      <c r="N27" s="157">
        <v>46223.0</v>
      </c>
      <c r="O27" s="157">
        <v>46265.0</v>
      </c>
      <c r="P27" s="158">
        <f>N27+14</f>
        <v>46237</v>
      </c>
      <c r="Q27" s="157">
        <v>46227.0</v>
      </c>
      <c r="R27" s="159">
        <f>P27-Q27</f>
        <v>10</v>
      </c>
      <c r="S27" s="160" t="b">
        <v>0</v>
      </c>
      <c r="T27" s="161" t="str">
        <f>IFS(S27=true,"แล้วเสร็จ",R27&lt;1,"เลยกำหนด", R27&gt;=1,"อยู่ในกำหนด")</f>
        <v>อยู่ในกำหนด</v>
      </c>
      <c r="U27" s="160" t="s">
        <v>104</v>
      </c>
      <c r="V27" s="153" t="b">
        <v>0</v>
      </c>
      <c r="W27" s="153" t="b">
        <v>0</v>
      </c>
      <c r="X27" s="153" t="b">
        <v>0</v>
      </c>
      <c r="Y27" s="153" t="b">
        <v>0</v>
      </c>
      <c r="Z27" s="153" t="b">
        <v>0</v>
      </c>
      <c r="AA27" s="153" t="b">
        <v>0</v>
      </c>
      <c r="AB27" s="154"/>
      <c r="AC27" s="160" t="s">
        <v>105</v>
      </c>
      <c r="AD27" s="154"/>
      <c r="AE27" s="154"/>
      <c r="AF27" s="154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</row>
    <row r="28">
      <c r="A28" s="162"/>
      <c r="B28" s="163"/>
      <c r="C28" s="91"/>
      <c r="D28" s="164"/>
      <c r="E28" s="164"/>
      <c r="F28" s="171"/>
      <c r="G28" s="174"/>
      <c r="H28" s="162"/>
      <c r="I28" s="162"/>
      <c r="J28" s="162"/>
      <c r="K28" s="162"/>
      <c r="L28" s="165"/>
      <c r="M28" s="164"/>
      <c r="N28" s="166"/>
      <c r="O28" s="166"/>
      <c r="P28" s="167"/>
      <c r="Q28" s="166"/>
      <c r="R28" s="168"/>
      <c r="S28" s="169" t="b">
        <v>0</v>
      </c>
      <c r="T28" s="170"/>
      <c r="U28" s="169"/>
      <c r="V28" s="164" t="b">
        <v>0</v>
      </c>
      <c r="W28" s="164" t="b">
        <v>0</v>
      </c>
      <c r="X28" s="164" t="b">
        <v>0</v>
      </c>
      <c r="Y28" s="164" t="b">
        <v>0</v>
      </c>
      <c r="Z28" s="164" t="b">
        <v>0</v>
      </c>
      <c r="AA28" s="164" t="b">
        <v>0</v>
      </c>
      <c r="AB28" s="171"/>
      <c r="AC28" s="169"/>
      <c r="AD28" s="171"/>
      <c r="AE28" s="171"/>
      <c r="AF28" s="171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</row>
    <row r="29">
      <c r="A29" s="151" t="str">
        <f t="shared" ref="A29:A30" si="23">"Q" &amp; INT((MATCH(B29, {"ม.ค.-26","ก.พ.-26","มี.ค.-26","เม.ย.-26","พ.ค.-26","มิ.ย.-26","ก.ค.-26","ส.ค.-26","ก.ย.-26","ต.ค.-26","พ.ย.-26","ธ.ค.-26"}, 0) + 2) / 3)</f>
        <v>Q3</v>
      </c>
      <c r="B29" s="152" t="str">
        <f t="shared" ref="B29:B30" si="24">TEXT(O29, "mmm-yy")</f>
        <v>ส.ค.-26</v>
      </c>
      <c r="C29" s="91"/>
      <c r="D29" s="153" t="str">
        <f>'The Origin Phahol 57'!B16</f>
        <v>The Origin Phahol 57</v>
      </c>
      <c r="E29" s="153" t="str">
        <f>'The Origin Phahol 57'!C16</f>
        <v>Room A402</v>
      </c>
      <c r="F29" s="153" t="str">
        <f>VLOOKUP($D$24,'The Origin Bangkae'!$B$19:$O$19,2)</f>
        <v>Room C310</v>
      </c>
      <c r="G29" s="153" t="str">
        <f>VLOOKUP($D$24,'The Origin Bangkae'!$B$19:$O$19,2)</f>
        <v>Room C310</v>
      </c>
      <c r="H29" s="151">
        <f>'The Origin Phahol 57'!I16</f>
        <v>12336.4486</v>
      </c>
      <c r="I29" s="151" t="str">
        <f>'The Origin Kathu - Patong'!J22</f>
        <v/>
      </c>
      <c r="J29" s="151">
        <f>'The Origin Phahol 57'!M16</f>
        <v>7500</v>
      </c>
      <c r="K29" s="151">
        <f t="shared" ref="K29:K30" si="25">H29-I29</f>
        <v>12336.4486</v>
      </c>
      <c r="L29" s="156">
        <f t="shared" ref="L29:L30" si="26">K29/H29</f>
        <v>1</v>
      </c>
      <c r="M29" s="153" t="s">
        <v>103</v>
      </c>
      <c r="N29" s="157">
        <v>46223.0</v>
      </c>
      <c r="O29" s="157">
        <v>46265.0</v>
      </c>
      <c r="P29" s="158">
        <f t="shared" ref="P29:P30" si="27">N29+14</f>
        <v>46237</v>
      </c>
      <c r="Q29" s="157">
        <v>46227.0</v>
      </c>
      <c r="R29" s="159">
        <f t="shared" ref="R29:R30" si="28">P29-Q29</f>
        <v>10</v>
      </c>
      <c r="S29" s="160" t="b">
        <v>0</v>
      </c>
      <c r="T29" s="161" t="str">
        <f t="shared" ref="T29:T30" si="29">IFS(S29=true,"แล้วเสร็จ",R29&lt;1,"เลยกำหนด", R29&gt;=1,"อยู่ในกำหนด")</f>
        <v>อยู่ในกำหนด</v>
      </c>
      <c r="U29" s="160" t="s">
        <v>109</v>
      </c>
      <c r="V29" s="153" t="b">
        <v>0</v>
      </c>
      <c r="W29" s="153" t="b">
        <v>0</v>
      </c>
      <c r="X29" s="153" t="b">
        <v>0</v>
      </c>
      <c r="Y29" s="153" t="b">
        <v>0</v>
      </c>
      <c r="Z29" s="153" t="b">
        <v>0</v>
      </c>
      <c r="AA29" s="153" t="b">
        <v>0</v>
      </c>
      <c r="AB29" s="154"/>
      <c r="AC29" s="160" t="s">
        <v>105</v>
      </c>
      <c r="AD29" s="154"/>
      <c r="AE29" s="154"/>
      <c r="AF29" s="154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</row>
    <row r="30">
      <c r="A30" s="162" t="str">
        <f t="shared" si="23"/>
        <v>Q3</v>
      </c>
      <c r="B30" s="163" t="str">
        <f t="shared" si="24"/>
        <v>ส.ค.-26</v>
      </c>
      <c r="C30" s="91"/>
      <c r="D30" s="164" t="str">
        <f>'The Origin Phahol 57'!B30</f>
        <v>The Origin Phahol 57</v>
      </c>
      <c r="E30" s="164" t="str">
        <f>'The Origin Phahol 57'!C30</f>
        <v>Room B720</v>
      </c>
      <c r="F30" s="164" t="str">
        <f>VLOOKUP($D$24,'The Origin Bangkae'!$B$19:$O$19,2)</f>
        <v>Room C310</v>
      </c>
      <c r="G30" s="164" t="str">
        <f>VLOOKUP($D$24,'The Origin Bangkae'!$B$19:$O$19,2)</f>
        <v>Room C310</v>
      </c>
      <c r="H30" s="162">
        <f>'The Origin Phahol 57'!I30</f>
        <v>9345.794393</v>
      </c>
      <c r="I30" s="162" t="str">
        <f>'The Origin Kathu - Patong'!J23</f>
        <v/>
      </c>
      <c r="J30" s="162">
        <f>'The Origin Phahol 57'!M30</f>
        <v>5000</v>
      </c>
      <c r="K30" s="162">
        <f t="shared" si="25"/>
        <v>9345.794393</v>
      </c>
      <c r="L30" s="165">
        <f t="shared" si="26"/>
        <v>1</v>
      </c>
      <c r="M30" s="164" t="s">
        <v>103</v>
      </c>
      <c r="N30" s="166">
        <v>46223.0</v>
      </c>
      <c r="O30" s="166">
        <v>46265.0</v>
      </c>
      <c r="P30" s="167">
        <f t="shared" si="27"/>
        <v>46237</v>
      </c>
      <c r="Q30" s="166">
        <v>46227.0</v>
      </c>
      <c r="R30" s="168">
        <f t="shared" si="28"/>
        <v>10</v>
      </c>
      <c r="S30" s="169" t="b">
        <v>0</v>
      </c>
      <c r="T30" s="170" t="str">
        <f t="shared" si="29"/>
        <v>อยู่ในกำหนด</v>
      </c>
      <c r="U30" s="169" t="s">
        <v>109</v>
      </c>
      <c r="V30" s="164" t="b">
        <v>0</v>
      </c>
      <c r="W30" s="164" t="b">
        <v>0</v>
      </c>
      <c r="X30" s="164" t="b">
        <v>0</v>
      </c>
      <c r="Y30" s="164" t="b">
        <v>0</v>
      </c>
      <c r="Z30" s="164" t="b">
        <v>0</v>
      </c>
      <c r="AA30" s="164" t="b">
        <v>0</v>
      </c>
      <c r="AB30" s="171"/>
      <c r="AC30" s="169" t="s">
        <v>105</v>
      </c>
      <c r="AD30" s="171"/>
      <c r="AE30" s="171"/>
      <c r="AF30" s="171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</row>
    <row r="31">
      <c r="A31" s="151"/>
      <c r="B31" s="152"/>
      <c r="C31" s="91"/>
      <c r="D31" s="153"/>
      <c r="E31" s="153"/>
      <c r="F31" s="154"/>
      <c r="G31" s="155"/>
      <c r="H31" s="151"/>
      <c r="I31" s="151"/>
      <c r="J31" s="151"/>
      <c r="K31" s="151"/>
      <c r="L31" s="156"/>
      <c r="M31" s="153"/>
      <c r="N31" s="157"/>
      <c r="O31" s="157"/>
      <c r="P31" s="158"/>
      <c r="Q31" s="157"/>
      <c r="R31" s="159"/>
      <c r="S31" s="160" t="b">
        <v>0</v>
      </c>
      <c r="T31" s="161"/>
      <c r="U31" s="160"/>
      <c r="V31" s="153" t="b">
        <v>0</v>
      </c>
      <c r="W31" s="153" t="b">
        <v>0</v>
      </c>
      <c r="X31" s="153" t="b">
        <v>0</v>
      </c>
      <c r="Y31" s="153" t="b">
        <v>0</v>
      </c>
      <c r="Z31" s="153" t="b">
        <v>0</v>
      </c>
      <c r="AA31" s="153" t="b">
        <v>0</v>
      </c>
      <c r="AB31" s="154"/>
      <c r="AC31" s="160"/>
      <c r="AD31" s="154"/>
      <c r="AE31" s="154"/>
      <c r="AF31" s="154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</row>
    <row r="32">
      <c r="A32" s="162" t="str">
        <f t="array" ref="A32">"Q" &amp; INT((MATCH(B32, {"ม.ค.-26","ก.พ.-26","มี.ค.-26","เม.ย.-26","พ.ค.-26","มิ.ย.-26","ก.ค.-26","ส.ค.-26","ก.ย.-26","ต.ค.-26","พ.ย.-26","ธ.ค.-26"}, 0) + 2) / 3)</f>
        <v>Q3</v>
      </c>
      <c r="B32" s="163" t="str">
        <f>TEXT(O32, "mmm-yy")</f>
        <v>ก.ย.-26</v>
      </c>
      <c r="C32" s="91"/>
      <c r="D32" s="164" t="str">
        <f>'Origin Play Bangsaen'!B17</f>
        <v>Origin Play Bangsaen</v>
      </c>
      <c r="E32" s="164" t="str">
        <f>'Origin Play Bangsaen'!C17</f>
        <v>Room 1218</v>
      </c>
      <c r="F32" s="164" t="str">
        <f>VLOOKUP($D$24,'The Origin Bangkae'!$B$19:$O$19,2)</f>
        <v>Room C310</v>
      </c>
      <c r="G32" s="164" t="str">
        <f>VLOOKUP($D$24,'The Origin Bangkae'!$B$19:$O$19,2)</f>
        <v>Room C310</v>
      </c>
      <c r="H32" s="162">
        <f>'Origin Play Bangsaen'!I17</f>
        <v>401869.1589</v>
      </c>
      <c r="I32" s="162" t="str">
        <f>'The Origin Kathu - Patong'!J25</f>
        <v/>
      </c>
      <c r="J32" s="162">
        <f>'Origin Play Bangsaen'!M17</f>
        <v>286940</v>
      </c>
      <c r="K32" s="162">
        <f>H32-I32</f>
        <v>401869.1589</v>
      </c>
      <c r="L32" s="165">
        <f>K32/H32</f>
        <v>1</v>
      </c>
      <c r="M32" s="164" t="s">
        <v>103</v>
      </c>
      <c r="N32" s="166">
        <v>46223.0</v>
      </c>
      <c r="O32" s="166">
        <v>46295.0</v>
      </c>
      <c r="P32" s="167">
        <f>N32+14</f>
        <v>46237</v>
      </c>
      <c r="Q32" s="166">
        <v>46227.0</v>
      </c>
      <c r="R32" s="168">
        <f>P32-Q32</f>
        <v>10</v>
      </c>
      <c r="S32" s="169" t="b">
        <v>0</v>
      </c>
      <c r="T32" s="170" t="str">
        <f>IFS(S32=true,"แล้วเสร็จ",R32&lt;1,"เลยกำหนด", R32&gt;=1,"อยู่ในกำหนด")</f>
        <v>อยู่ในกำหนด</v>
      </c>
      <c r="U32" s="169" t="s">
        <v>109</v>
      </c>
      <c r="V32" s="164" t="b">
        <v>0</v>
      </c>
      <c r="W32" s="164" t="b">
        <v>0</v>
      </c>
      <c r="X32" s="164" t="b">
        <v>0</v>
      </c>
      <c r="Y32" s="164" t="b">
        <v>0</v>
      </c>
      <c r="Z32" s="164" t="b">
        <v>0</v>
      </c>
      <c r="AA32" s="164" t="b">
        <v>0</v>
      </c>
      <c r="AB32" s="171"/>
      <c r="AC32" s="169" t="s">
        <v>105</v>
      </c>
      <c r="AD32" s="171"/>
      <c r="AE32" s="171"/>
      <c r="AF32" s="171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</row>
    <row r="33">
      <c r="A33" s="151"/>
      <c r="B33" s="152"/>
      <c r="C33" s="91"/>
      <c r="D33" s="153"/>
      <c r="E33" s="153"/>
      <c r="F33" s="154"/>
      <c r="G33" s="155"/>
      <c r="H33" s="151"/>
      <c r="I33" s="151"/>
      <c r="J33" s="151"/>
      <c r="K33" s="151"/>
      <c r="L33" s="156"/>
      <c r="M33" s="153"/>
      <c r="N33" s="157"/>
      <c r="O33" s="157"/>
      <c r="P33" s="158"/>
      <c r="Q33" s="157"/>
      <c r="R33" s="159"/>
      <c r="S33" s="160" t="b">
        <v>0</v>
      </c>
      <c r="T33" s="161"/>
      <c r="U33" s="160"/>
      <c r="V33" s="153" t="b">
        <v>0</v>
      </c>
      <c r="W33" s="153" t="b">
        <v>0</v>
      </c>
      <c r="X33" s="153" t="b">
        <v>0</v>
      </c>
      <c r="Y33" s="153" t="b">
        <v>0</v>
      </c>
      <c r="Z33" s="153" t="b">
        <v>0</v>
      </c>
      <c r="AA33" s="153" t="b">
        <v>0</v>
      </c>
      <c r="AB33" s="154"/>
      <c r="AC33" s="160"/>
      <c r="AD33" s="154"/>
      <c r="AE33" s="154"/>
      <c r="AF33" s="154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</row>
    <row r="34">
      <c r="A34" s="162" t="str">
        <f t="shared" ref="A34:A49" si="30">"Q" &amp; INT((MATCH(B34, {"ม.ค.-26","ก.พ.-26","มี.ค.-26","เม.ย.-26","พ.ค.-26","มิ.ย.-26","ก.ค.-26","ส.ค.-26","ก.ย.-26","ต.ค.-26","พ.ย.-26","ธ.ค.-26"}, 0) + 2) / 3)</f>
        <v>Q3</v>
      </c>
      <c r="B34" s="163" t="str">
        <f t="shared" ref="B34:B49" si="31">TEXT(O34, "mmm-yy")</f>
        <v>ก.ค.-26</v>
      </c>
      <c r="C34" s="91"/>
      <c r="D34" s="164" t="str">
        <f>'Origin Plug &amp; Play E22 Station'!B4</f>
        <v>Origin Plug &amp; Play E22 Station</v>
      </c>
      <c r="E34" s="164" t="str">
        <f>'Origin Plug &amp; Play E22 Station'!C4</f>
        <v>Room 1833</v>
      </c>
      <c r="F34" s="171"/>
      <c r="G34" s="174"/>
      <c r="H34" s="162">
        <f>'Origin Plug &amp; Play E22 Station'!I28</f>
        <v>130841.1215</v>
      </c>
      <c r="I34" s="162">
        <f>'Origin Plug &amp; Play E22 Station'!J28</f>
        <v>66105.75607</v>
      </c>
      <c r="J34" s="162">
        <f>'Origin Plug &amp; Play E22 Station'!M28</f>
        <v>61651.7</v>
      </c>
      <c r="K34" s="162">
        <f t="shared" ref="K34:K49" si="32">H34-I34</f>
        <v>64735.36542</v>
      </c>
      <c r="L34" s="165">
        <f t="shared" ref="L34:L49" si="33">K34/H34</f>
        <v>0.49476315</v>
      </c>
      <c r="M34" s="164" t="s">
        <v>103</v>
      </c>
      <c r="N34" s="166">
        <v>46201.0</v>
      </c>
      <c r="O34" s="166">
        <v>46233.0</v>
      </c>
      <c r="P34" s="167">
        <f t="shared" ref="P34:P49" si="34">N34+14</f>
        <v>46215</v>
      </c>
      <c r="Q34" s="166">
        <v>46204.0</v>
      </c>
      <c r="R34" s="168">
        <f t="shared" ref="R34:R49" si="35">P34-Q34</f>
        <v>11</v>
      </c>
      <c r="S34" s="169" t="b">
        <v>0</v>
      </c>
      <c r="T34" s="170" t="str">
        <f t="shared" ref="T34:T49" si="36">IFS(S34=true,"แล้วเสร็จ",R34&lt;1,"เลยกำหนด", R34&gt;=1,"อยู่ในกำหนด")</f>
        <v>อยู่ในกำหนด</v>
      </c>
      <c r="U34" s="169" t="s">
        <v>104</v>
      </c>
      <c r="V34" s="164" t="b">
        <v>0</v>
      </c>
      <c r="W34" s="164" t="b">
        <v>0</v>
      </c>
      <c r="X34" s="164" t="b">
        <v>0</v>
      </c>
      <c r="Y34" s="164" t="b">
        <v>0</v>
      </c>
      <c r="Z34" s="164" t="b">
        <v>0</v>
      </c>
      <c r="AA34" s="164" t="b">
        <v>0</v>
      </c>
      <c r="AB34" s="171"/>
      <c r="AC34" s="169" t="s">
        <v>105</v>
      </c>
      <c r="AD34" s="171"/>
      <c r="AE34" s="171"/>
      <c r="AF34" s="171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</row>
    <row r="35">
      <c r="A35" s="151" t="str">
        <f t="shared" si="30"/>
        <v>Q3</v>
      </c>
      <c r="B35" s="152" t="str">
        <f t="shared" si="31"/>
        <v>ก.ค.-26</v>
      </c>
      <c r="C35" s="91"/>
      <c r="D35" s="153" t="str">
        <f>'Origin Plug &amp; Play E22 Station'!B40</f>
        <v>Origin Plug &amp; Play E22 Station</v>
      </c>
      <c r="E35" s="153" t="str">
        <f>'Origin Plug &amp; Play E22 Station'!C40</f>
        <v>Room 1833</v>
      </c>
      <c r="F35" s="154"/>
      <c r="G35" s="155"/>
      <c r="H35" s="151">
        <f>'Origin Plug &amp; Play E22 Station'!I40</f>
        <v>29830</v>
      </c>
      <c r="I35" s="151">
        <f>'Origin Plug &amp; Play E22 Station'!J40</f>
        <v>13000</v>
      </c>
      <c r="J35" s="151">
        <f>'Origin Plug &amp; Play E22 Station'!M40</f>
        <v>13000</v>
      </c>
      <c r="K35" s="151">
        <f t="shared" si="32"/>
        <v>16830</v>
      </c>
      <c r="L35" s="156">
        <f t="shared" si="33"/>
        <v>0.564197117</v>
      </c>
      <c r="M35" s="153" t="s">
        <v>103</v>
      </c>
      <c r="N35" s="157">
        <v>46201.0</v>
      </c>
      <c r="O35" s="157">
        <v>46233.0</v>
      </c>
      <c r="P35" s="158">
        <f t="shared" si="34"/>
        <v>46215</v>
      </c>
      <c r="Q35" s="157">
        <v>46204.0</v>
      </c>
      <c r="R35" s="159">
        <f t="shared" si="35"/>
        <v>11</v>
      </c>
      <c r="S35" s="160" t="b">
        <v>0</v>
      </c>
      <c r="T35" s="161" t="str">
        <f t="shared" si="36"/>
        <v>อยู่ในกำหนด</v>
      </c>
      <c r="U35" s="160" t="s">
        <v>104</v>
      </c>
      <c r="V35" s="153" t="b">
        <v>0</v>
      </c>
      <c r="W35" s="153" t="b">
        <v>0</v>
      </c>
      <c r="X35" s="153" t="b">
        <v>0</v>
      </c>
      <c r="Y35" s="153" t="b">
        <v>0</v>
      </c>
      <c r="Z35" s="153" t="b">
        <v>0</v>
      </c>
      <c r="AA35" s="153" t="b">
        <v>0</v>
      </c>
      <c r="AB35" s="154"/>
      <c r="AC35" s="160" t="s">
        <v>105</v>
      </c>
      <c r="AD35" s="154"/>
      <c r="AE35" s="154"/>
      <c r="AF35" s="154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</row>
    <row r="36">
      <c r="A36" s="162" t="str">
        <f t="shared" si="30"/>
        <v>Q3</v>
      </c>
      <c r="B36" s="163" t="str">
        <f t="shared" si="31"/>
        <v>ก.ค.-26</v>
      </c>
      <c r="C36" s="91"/>
      <c r="D36" s="164" t="str">
        <f>'Origin Plug &amp; Play E22 Station'!B53</f>
        <v>Origin Plug &amp; Play E22 Station</v>
      </c>
      <c r="E36" s="164" t="str">
        <f>'Origin Plug &amp; Play E22 Station'!C53</f>
        <v>Room 1833</v>
      </c>
      <c r="F36" s="171"/>
      <c r="G36" s="174"/>
      <c r="H36" s="162">
        <f>'Origin Plug &amp; Play E22 Station'!I53</f>
        <v>8411.214953</v>
      </c>
      <c r="I36" s="162">
        <f>'Origin Plug &amp; Play E22 Station'!J53</f>
        <v>6710</v>
      </c>
      <c r="J36" s="162">
        <f>'Origin Plug &amp; Play E22 Station'!M53</f>
        <v>6710</v>
      </c>
      <c r="K36" s="162">
        <f t="shared" si="32"/>
        <v>1701.214953</v>
      </c>
      <c r="L36" s="165">
        <f t="shared" si="33"/>
        <v>0.2022555556</v>
      </c>
      <c r="M36" s="164" t="s">
        <v>103</v>
      </c>
      <c r="N36" s="166">
        <v>46201.0</v>
      </c>
      <c r="O36" s="166">
        <v>46233.0</v>
      </c>
      <c r="P36" s="167">
        <f t="shared" si="34"/>
        <v>46215</v>
      </c>
      <c r="Q36" s="166">
        <v>46204.0</v>
      </c>
      <c r="R36" s="168">
        <f t="shared" si="35"/>
        <v>11</v>
      </c>
      <c r="S36" s="169" t="b">
        <v>0</v>
      </c>
      <c r="T36" s="170" t="str">
        <f t="shared" si="36"/>
        <v>อยู่ในกำหนด</v>
      </c>
      <c r="U36" s="169" t="s">
        <v>104</v>
      </c>
      <c r="V36" s="164" t="b">
        <v>0</v>
      </c>
      <c r="W36" s="164" t="b">
        <v>0</v>
      </c>
      <c r="X36" s="164" t="b">
        <v>0</v>
      </c>
      <c r="Y36" s="164" t="b">
        <v>0</v>
      </c>
      <c r="Z36" s="164" t="b">
        <v>0</v>
      </c>
      <c r="AA36" s="164" t="b">
        <v>0</v>
      </c>
      <c r="AB36" s="171"/>
      <c r="AC36" s="169" t="s">
        <v>105</v>
      </c>
      <c r="AD36" s="171"/>
      <c r="AE36" s="171"/>
      <c r="AF36" s="171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</row>
    <row r="37">
      <c r="A37" s="151" t="str">
        <f t="shared" si="30"/>
        <v>Q3</v>
      </c>
      <c r="B37" s="152" t="str">
        <f t="shared" si="31"/>
        <v>ก.ค.-26</v>
      </c>
      <c r="C37" s="91"/>
      <c r="D37" s="153" t="str">
        <f>'Origin Plug &amp; Play E22 Station'!B80</f>
        <v>Origin Plug &amp; Play E22 Station</v>
      </c>
      <c r="E37" s="153" t="str">
        <f>'Origin Plug &amp; Play E22 Station'!C80</f>
        <v>Room 1628</v>
      </c>
      <c r="F37" s="154"/>
      <c r="G37" s="155"/>
      <c r="H37" s="151">
        <f>'Origin Plug &amp; Play E22 Station'!I80</f>
        <v>140186.9159</v>
      </c>
      <c r="I37" s="151">
        <f>'Origin Plug &amp; Play E22 Station'!J80</f>
        <v>71605.75607</v>
      </c>
      <c r="J37" s="151">
        <f>'Origin Plug &amp; Play E22 Station'!M80</f>
        <v>67151.7</v>
      </c>
      <c r="K37" s="151">
        <f t="shared" si="32"/>
        <v>68581.15981</v>
      </c>
      <c r="L37" s="156">
        <f t="shared" si="33"/>
        <v>0.4892122733</v>
      </c>
      <c r="M37" s="153" t="s">
        <v>103</v>
      </c>
      <c r="N37" s="157">
        <v>46201.0</v>
      </c>
      <c r="O37" s="157">
        <v>46233.0</v>
      </c>
      <c r="P37" s="158">
        <f t="shared" si="34"/>
        <v>46215</v>
      </c>
      <c r="Q37" s="157">
        <v>46204.0</v>
      </c>
      <c r="R37" s="159">
        <f t="shared" si="35"/>
        <v>11</v>
      </c>
      <c r="S37" s="160" t="b">
        <v>0</v>
      </c>
      <c r="T37" s="161" t="str">
        <f t="shared" si="36"/>
        <v>อยู่ในกำหนด</v>
      </c>
      <c r="U37" s="160" t="s">
        <v>104</v>
      </c>
      <c r="V37" s="153" t="b">
        <v>0</v>
      </c>
      <c r="W37" s="153" t="b">
        <v>0</v>
      </c>
      <c r="X37" s="153" t="b">
        <v>0</v>
      </c>
      <c r="Y37" s="153" t="b">
        <v>0</v>
      </c>
      <c r="Z37" s="153" t="b">
        <v>0</v>
      </c>
      <c r="AA37" s="153" t="b">
        <v>0</v>
      </c>
      <c r="AB37" s="154"/>
      <c r="AC37" s="160" t="s">
        <v>105</v>
      </c>
      <c r="AD37" s="154"/>
      <c r="AE37" s="154"/>
      <c r="AF37" s="154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</row>
    <row r="38">
      <c r="A38" s="162" t="str">
        <f t="shared" si="30"/>
        <v>Q3</v>
      </c>
      <c r="B38" s="163" t="str">
        <f t="shared" si="31"/>
        <v>ก.ค.-26</v>
      </c>
      <c r="C38" s="91"/>
      <c r="D38" s="164" t="str">
        <f>'Origin Plug &amp; Play E22 Station'!B92</f>
        <v>Origin Plug &amp; Play E22 Station</v>
      </c>
      <c r="E38" s="164" t="str">
        <f>'Origin Plug &amp; Play E22 Station'!C92</f>
        <v>Room 1628</v>
      </c>
      <c r="F38" s="171"/>
      <c r="G38" s="174"/>
      <c r="H38" s="162">
        <f>'Origin Plug &amp; Play E22 Station'!I92</f>
        <v>32970</v>
      </c>
      <c r="I38" s="162">
        <f>'Origin Plug &amp; Play E22 Station'!J92</f>
        <v>13000</v>
      </c>
      <c r="J38" s="162">
        <f>'Origin Plug &amp; Play E22 Station'!M92</f>
        <v>13000</v>
      </c>
      <c r="K38" s="162">
        <f t="shared" si="32"/>
        <v>19970</v>
      </c>
      <c r="L38" s="165">
        <f t="shared" si="33"/>
        <v>0.6057021535</v>
      </c>
      <c r="M38" s="164" t="s">
        <v>103</v>
      </c>
      <c r="N38" s="166">
        <v>46201.0</v>
      </c>
      <c r="O38" s="166">
        <v>46233.0</v>
      </c>
      <c r="P38" s="167">
        <f t="shared" si="34"/>
        <v>46215</v>
      </c>
      <c r="Q38" s="166">
        <v>46204.0</v>
      </c>
      <c r="R38" s="168">
        <f t="shared" si="35"/>
        <v>11</v>
      </c>
      <c r="S38" s="169" t="b">
        <v>0</v>
      </c>
      <c r="T38" s="170" t="str">
        <f t="shared" si="36"/>
        <v>อยู่ในกำหนด</v>
      </c>
      <c r="U38" s="169" t="s">
        <v>104</v>
      </c>
      <c r="V38" s="164" t="b">
        <v>0</v>
      </c>
      <c r="W38" s="164" t="b">
        <v>0</v>
      </c>
      <c r="X38" s="164" t="b">
        <v>0</v>
      </c>
      <c r="Y38" s="164" t="b">
        <v>0</v>
      </c>
      <c r="Z38" s="164" t="b">
        <v>0</v>
      </c>
      <c r="AA38" s="164" t="b">
        <v>0</v>
      </c>
      <c r="AB38" s="171"/>
      <c r="AC38" s="169" t="s">
        <v>105</v>
      </c>
      <c r="AD38" s="171"/>
      <c r="AE38" s="171"/>
      <c r="AF38" s="171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</row>
    <row r="39">
      <c r="A39" s="151" t="str">
        <f t="shared" si="30"/>
        <v>Q3</v>
      </c>
      <c r="B39" s="152" t="str">
        <f t="shared" si="31"/>
        <v>ก.ค.-26</v>
      </c>
      <c r="C39" s="91"/>
      <c r="D39" s="153" t="str">
        <f>'Origin Plug &amp; Play E22 Station'!B105</f>
        <v>Origin Plug &amp; Play E22 Station</v>
      </c>
      <c r="E39" s="153" t="str">
        <f>'Origin Plug &amp; Play E22 Station'!C105</f>
        <v>Room 1628</v>
      </c>
      <c r="F39" s="154"/>
      <c r="G39" s="155"/>
      <c r="H39" s="151">
        <f>'Origin Plug &amp; Play E22 Station'!I105</f>
        <v>8411.214953</v>
      </c>
      <c r="I39" s="151">
        <f>'Origin Plug &amp; Play E22 Station'!J105</f>
        <v>6710</v>
      </c>
      <c r="J39" s="151">
        <f>'Origin Plug &amp; Play E22 Station'!M105</f>
        <v>6710</v>
      </c>
      <c r="K39" s="151">
        <f t="shared" si="32"/>
        <v>1701.214953</v>
      </c>
      <c r="L39" s="156">
        <f t="shared" si="33"/>
        <v>0.2022555556</v>
      </c>
      <c r="M39" s="153" t="s">
        <v>103</v>
      </c>
      <c r="N39" s="157">
        <v>46201.0</v>
      </c>
      <c r="O39" s="157">
        <v>46233.0</v>
      </c>
      <c r="P39" s="158">
        <f t="shared" si="34"/>
        <v>46215</v>
      </c>
      <c r="Q39" s="157">
        <v>46204.0</v>
      </c>
      <c r="R39" s="159">
        <f t="shared" si="35"/>
        <v>11</v>
      </c>
      <c r="S39" s="160" t="b">
        <v>0</v>
      </c>
      <c r="T39" s="161" t="str">
        <f t="shared" si="36"/>
        <v>อยู่ในกำหนด</v>
      </c>
      <c r="U39" s="160" t="s">
        <v>104</v>
      </c>
      <c r="V39" s="153" t="b">
        <v>0</v>
      </c>
      <c r="W39" s="153" t="b">
        <v>0</v>
      </c>
      <c r="X39" s="153" t="b">
        <v>0</v>
      </c>
      <c r="Y39" s="153" t="b">
        <v>0</v>
      </c>
      <c r="Z39" s="153" t="b">
        <v>0</v>
      </c>
      <c r="AA39" s="153" t="b">
        <v>0</v>
      </c>
      <c r="AB39" s="154"/>
      <c r="AC39" s="160" t="s">
        <v>105</v>
      </c>
      <c r="AD39" s="154"/>
      <c r="AE39" s="154"/>
      <c r="AF39" s="154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</row>
    <row r="40">
      <c r="A40" s="162" t="str">
        <f t="shared" si="30"/>
        <v>Q3</v>
      </c>
      <c r="B40" s="163" t="str">
        <f t="shared" si="31"/>
        <v>ก.ค.-26</v>
      </c>
      <c r="C40" s="91"/>
      <c r="D40" s="164" t="str">
        <f>'Origin Plug &amp; Play E22 Station'!B125</f>
        <v>Origin Plug &amp; Play E22 Station</v>
      </c>
      <c r="E40" s="164" t="str">
        <f>'Origin Plug &amp; Play E22 Station'!C125</f>
        <v>Room 1629</v>
      </c>
      <c r="F40" s="171"/>
      <c r="G40" s="174"/>
      <c r="H40" s="162">
        <f>'Origin Plug &amp; Play E22 Station'!I125</f>
        <v>93457.94393</v>
      </c>
      <c r="I40" s="162">
        <f>'Origin Plug &amp; Play E22 Station'!J125</f>
        <v>36162.7</v>
      </c>
      <c r="J40" s="162">
        <f>'Origin Plug &amp; Play E22 Station'!M125</f>
        <v>37262.7</v>
      </c>
      <c r="K40" s="162">
        <f t="shared" si="32"/>
        <v>57295.24393</v>
      </c>
      <c r="L40" s="165">
        <f t="shared" si="33"/>
        <v>0.61305911</v>
      </c>
      <c r="M40" s="164" t="s">
        <v>103</v>
      </c>
      <c r="N40" s="166">
        <v>46201.0</v>
      </c>
      <c r="O40" s="166">
        <v>46233.0</v>
      </c>
      <c r="P40" s="167">
        <f t="shared" si="34"/>
        <v>46215</v>
      </c>
      <c r="Q40" s="166">
        <v>46204.0</v>
      </c>
      <c r="R40" s="168">
        <f t="shared" si="35"/>
        <v>11</v>
      </c>
      <c r="S40" s="169" t="b">
        <v>0</v>
      </c>
      <c r="T40" s="170" t="str">
        <f t="shared" si="36"/>
        <v>อยู่ในกำหนด</v>
      </c>
      <c r="U40" s="169" t="s">
        <v>104</v>
      </c>
      <c r="V40" s="164" t="b">
        <v>0</v>
      </c>
      <c r="W40" s="164" t="b">
        <v>0</v>
      </c>
      <c r="X40" s="164" t="b">
        <v>0</v>
      </c>
      <c r="Y40" s="164" t="b">
        <v>0</v>
      </c>
      <c r="Z40" s="164" t="b">
        <v>0</v>
      </c>
      <c r="AA40" s="164" t="b">
        <v>0</v>
      </c>
      <c r="AB40" s="171"/>
      <c r="AC40" s="169" t="s">
        <v>105</v>
      </c>
      <c r="AD40" s="171"/>
      <c r="AE40" s="171"/>
      <c r="AF40" s="171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</row>
    <row r="41">
      <c r="A41" s="151" t="str">
        <f t="shared" si="30"/>
        <v>Q3</v>
      </c>
      <c r="B41" s="152" t="str">
        <f t="shared" si="31"/>
        <v>ก.ค.-26</v>
      </c>
      <c r="C41" s="91"/>
      <c r="D41" s="153" t="str">
        <f>'Origin Plug &amp; Play E22 Station'!B137</f>
        <v>Origin Plug &amp; Play E22 Station</v>
      </c>
      <c r="E41" s="153" t="str">
        <f>'Origin Plug &amp; Play E22 Station'!C137</f>
        <v>Room 1629</v>
      </c>
      <c r="F41" s="154"/>
      <c r="G41" s="155"/>
      <c r="H41" s="151">
        <f>'Origin Plug &amp; Play E22 Station'!I137</f>
        <v>54950</v>
      </c>
      <c r="I41" s="151">
        <f>'Origin Plug &amp; Play E22 Station'!J137</f>
        <v>27000</v>
      </c>
      <c r="J41" s="151">
        <f>'Origin Plug &amp; Play E22 Station'!M137</f>
        <v>27000</v>
      </c>
      <c r="K41" s="151">
        <f t="shared" si="32"/>
        <v>27950</v>
      </c>
      <c r="L41" s="156">
        <f t="shared" si="33"/>
        <v>0.508644222</v>
      </c>
      <c r="M41" s="153" t="s">
        <v>103</v>
      </c>
      <c r="N41" s="157">
        <v>46201.0</v>
      </c>
      <c r="O41" s="157">
        <v>46233.0</v>
      </c>
      <c r="P41" s="158">
        <f t="shared" si="34"/>
        <v>46215</v>
      </c>
      <c r="Q41" s="157">
        <v>46204.0</v>
      </c>
      <c r="R41" s="159">
        <f t="shared" si="35"/>
        <v>11</v>
      </c>
      <c r="S41" s="160" t="b">
        <v>0</v>
      </c>
      <c r="T41" s="161" t="str">
        <f t="shared" si="36"/>
        <v>อยู่ในกำหนด</v>
      </c>
      <c r="U41" s="160" t="s">
        <v>104</v>
      </c>
      <c r="V41" s="153" t="b">
        <v>0</v>
      </c>
      <c r="W41" s="153" t="b">
        <v>0</v>
      </c>
      <c r="X41" s="153" t="b">
        <v>0</v>
      </c>
      <c r="Y41" s="153" t="b">
        <v>0</v>
      </c>
      <c r="Z41" s="153" t="b">
        <v>0</v>
      </c>
      <c r="AA41" s="153" t="b">
        <v>0</v>
      </c>
      <c r="AB41" s="154"/>
      <c r="AC41" s="160" t="s">
        <v>105</v>
      </c>
      <c r="AD41" s="154"/>
      <c r="AE41" s="154"/>
      <c r="AF41" s="154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</row>
    <row r="42">
      <c r="A42" s="162" t="str">
        <f t="shared" si="30"/>
        <v>Q3</v>
      </c>
      <c r="B42" s="163" t="str">
        <f t="shared" si="31"/>
        <v>ก.ค.-26</v>
      </c>
      <c r="C42" s="91"/>
      <c r="D42" s="164" t="str">
        <f>'Origin Plug &amp; Play E22 Station'!B150</f>
        <v>Origin Plug &amp; Play E22 Station</v>
      </c>
      <c r="E42" s="164" t="str">
        <f>'Origin Plug &amp; Play E22 Station'!C150</f>
        <v>Room 1629</v>
      </c>
      <c r="F42" s="171"/>
      <c r="G42" s="174"/>
      <c r="H42" s="162">
        <f>'Origin Plug &amp; Play E22 Station'!I150</f>
        <v>8411.214953</v>
      </c>
      <c r="I42" s="162">
        <f>'Origin Plug &amp; Play E22 Station'!J150</f>
        <v>6710</v>
      </c>
      <c r="J42" s="162">
        <f>'Origin Plug &amp; Play E22 Station'!M150</f>
        <v>6710</v>
      </c>
      <c r="K42" s="162">
        <f t="shared" si="32"/>
        <v>1701.214953</v>
      </c>
      <c r="L42" s="165">
        <f t="shared" si="33"/>
        <v>0.2022555556</v>
      </c>
      <c r="M42" s="164" t="s">
        <v>103</v>
      </c>
      <c r="N42" s="166">
        <v>46201.0</v>
      </c>
      <c r="O42" s="166">
        <v>46233.0</v>
      </c>
      <c r="P42" s="167">
        <f t="shared" si="34"/>
        <v>46215</v>
      </c>
      <c r="Q42" s="166">
        <v>46204.0</v>
      </c>
      <c r="R42" s="168">
        <f t="shared" si="35"/>
        <v>11</v>
      </c>
      <c r="S42" s="169" t="b">
        <v>0</v>
      </c>
      <c r="T42" s="170" t="str">
        <f t="shared" si="36"/>
        <v>อยู่ในกำหนด</v>
      </c>
      <c r="U42" s="169" t="s">
        <v>104</v>
      </c>
      <c r="V42" s="164" t="b">
        <v>0</v>
      </c>
      <c r="W42" s="164" t="b">
        <v>0</v>
      </c>
      <c r="X42" s="164" t="b">
        <v>0</v>
      </c>
      <c r="Y42" s="164" t="b">
        <v>0</v>
      </c>
      <c r="Z42" s="164" t="b">
        <v>0</v>
      </c>
      <c r="AA42" s="164" t="b">
        <v>0</v>
      </c>
      <c r="AB42" s="171"/>
      <c r="AC42" s="169" t="s">
        <v>105</v>
      </c>
      <c r="AD42" s="171"/>
      <c r="AE42" s="171"/>
      <c r="AF42" s="171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</row>
    <row r="43">
      <c r="A43" s="151" t="str">
        <f t="shared" si="30"/>
        <v>Q3</v>
      </c>
      <c r="B43" s="152" t="str">
        <f t="shared" si="31"/>
        <v>ก.ค.-26</v>
      </c>
      <c r="C43" s="91"/>
      <c r="D43" s="153" t="str">
        <f>'Origin Plug &amp; Play E22 Station'!B177</f>
        <v>Origin Plug &amp; Play E22 Station</v>
      </c>
      <c r="E43" s="153" t="str">
        <f>'Origin Plug &amp; Play E22 Station'!C177</f>
        <v>Room 2222</v>
      </c>
      <c r="F43" s="154"/>
      <c r="G43" s="155"/>
      <c r="H43" s="151">
        <f>'Origin Plug &amp; Play E22 Station'!I177</f>
        <v>140186.9159</v>
      </c>
      <c r="I43" s="151">
        <f>'Origin Plug &amp; Play E22 Station'!J177</f>
        <v>71605.75607</v>
      </c>
      <c r="J43" s="151">
        <f>'Origin Plug &amp; Play E22 Station'!M177</f>
        <v>67151.7</v>
      </c>
      <c r="K43" s="151">
        <f t="shared" si="32"/>
        <v>68581.15981</v>
      </c>
      <c r="L43" s="156">
        <f t="shared" si="33"/>
        <v>0.4892122733</v>
      </c>
      <c r="M43" s="153" t="s">
        <v>103</v>
      </c>
      <c r="N43" s="157">
        <v>46201.0</v>
      </c>
      <c r="O43" s="157">
        <v>46233.0</v>
      </c>
      <c r="P43" s="158">
        <f t="shared" si="34"/>
        <v>46215</v>
      </c>
      <c r="Q43" s="157">
        <v>46204.0</v>
      </c>
      <c r="R43" s="159">
        <f t="shared" si="35"/>
        <v>11</v>
      </c>
      <c r="S43" s="160" t="b">
        <v>0</v>
      </c>
      <c r="T43" s="161" t="str">
        <f t="shared" si="36"/>
        <v>อยู่ในกำหนด</v>
      </c>
      <c r="U43" s="160" t="s">
        <v>104</v>
      </c>
      <c r="V43" s="153" t="b">
        <v>0</v>
      </c>
      <c r="W43" s="153" t="b">
        <v>0</v>
      </c>
      <c r="X43" s="153" t="b">
        <v>0</v>
      </c>
      <c r="Y43" s="153" t="b">
        <v>0</v>
      </c>
      <c r="Z43" s="153" t="b">
        <v>0</v>
      </c>
      <c r="AA43" s="153" t="b">
        <v>0</v>
      </c>
      <c r="AB43" s="154"/>
      <c r="AC43" s="160" t="s">
        <v>105</v>
      </c>
      <c r="AD43" s="154"/>
      <c r="AE43" s="154"/>
      <c r="AF43" s="154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</row>
    <row r="44">
      <c r="A44" s="162" t="str">
        <f t="shared" si="30"/>
        <v>Q3</v>
      </c>
      <c r="B44" s="163" t="str">
        <f t="shared" si="31"/>
        <v>ก.ค.-26</v>
      </c>
      <c r="C44" s="91"/>
      <c r="D44" s="164" t="str">
        <f>'Origin Plug &amp; Play E22 Station'!B189</f>
        <v>Origin Plug &amp; Play E22 Station</v>
      </c>
      <c r="E44" s="164" t="str">
        <f>'Origin Plug &amp; Play E22 Station'!C189</f>
        <v>Room 2222</v>
      </c>
      <c r="F44" s="171"/>
      <c r="G44" s="174"/>
      <c r="H44" s="162">
        <f>'Origin Plug &amp; Play E22 Station'!I189</f>
        <v>32970</v>
      </c>
      <c r="I44" s="162">
        <f>'Origin Plug &amp; Play E22 Station'!J189</f>
        <v>13000</v>
      </c>
      <c r="J44" s="162">
        <f>'Origin Plug &amp; Play E22 Station'!M189</f>
        <v>13000</v>
      </c>
      <c r="K44" s="162">
        <f t="shared" si="32"/>
        <v>19970</v>
      </c>
      <c r="L44" s="165">
        <f t="shared" si="33"/>
        <v>0.6057021535</v>
      </c>
      <c r="M44" s="164" t="s">
        <v>103</v>
      </c>
      <c r="N44" s="166">
        <v>46201.0</v>
      </c>
      <c r="O44" s="166">
        <v>46233.0</v>
      </c>
      <c r="P44" s="167">
        <f t="shared" si="34"/>
        <v>46215</v>
      </c>
      <c r="Q44" s="166">
        <v>46204.0</v>
      </c>
      <c r="R44" s="168">
        <f t="shared" si="35"/>
        <v>11</v>
      </c>
      <c r="S44" s="169" t="b">
        <v>0</v>
      </c>
      <c r="T44" s="170" t="str">
        <f t="shared" si="36"/>
        <v>อยู่ในกำหนด</v>
      </c>
      <c r="U44" s="169" t="s">
        <v>104</v>
      </c>
      <c r="V44" s="164" t="b">
        <v>0</v>
      </c>
      <c r="W44" s="164" t="b">
        <v>0</v>
      </c>
      <c r="X44" s="164" t="b">
        <v>0</v>
      </c>
      <c r="Y44" s="164" t="b">
        <v>0</v>
      </c>
      <c r="Z44" s="164" t="b">
        <v>0</v>
      </c>
      <c r="AA44" s="164" t="b">
        <v>0</v>
      </c>
      <c r="AB44" s="171"/>
      <c r="AC44" s="169" t="s">
        <v>105</v>
      </c>
      <c r="AD44" s="171"/>
      <c r="AE44" s="171"/>
      <c r="AF44" s="171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</row>
    <row r="45">
      <c r="A45" s="151" t="str">
        <f t="shared" si="30"/>
        <v>Q3</v>
      </c>
      <c r="B45" s="152" t="str">
        <f t="shared" si="31"/>
        <v>ก.ค.-26</v>
      </c>
      <c r="C45" s="91"/>
      <c r="D45" s="153" t="str">
        <f>'Origin Plug &amp; Play E22 Station'!B202</f>
        <v>Origin Plug &amp; Play E22 Station</v>
      </c>
      <c r="E45" s="153" t="str">
        <f>'Origin Plug &amp; Play E22 Station'!C202</f>
        <v>Room 2222</v>
      </c>
      <c r="F45" s="154"/>
      <c r="G45" s="155"/>
      <c r="H45" s="151">
        <f>'Origin Plug &amp; Play E22 Station'!I202</f>
        <v>8411.214953</v>
      </c>
      <c r="I45" s="151">
        <f>'Origin Plug &amp; Play E22 Station'!J202</f>
        <v>6710</v>
      </c>
      <c r="J45" s="151">
        <f>'Origin Plug &amp; Play E22 Station'!M202</f>
        <v>6710</v>
      </c>
      <c r="K45" s="151">
        <f t="shared" si="32"/>
        <v>1701.214953</v>
      </c>
      <c r="L45" s="156">
        <f t="shared" si="33"/>
        <v>0.2022555556</v>
      </c>
      <c r="M45" s="153" t="s">
        <v>103</v>
      </c>
      <c r="N45" s="157">
        <v>46201.0</v>
      </c>
      <c r="O45" s="157">
        <v>46233.0</v>
      </c>
      <c r="P45" s="158">
        <f t="shared" si="34"/>
        <v>46215</v>
      </c>
      <c r="Q45" s="157">
        <v>46204.0</v>
      </c>
      <c r="R45" s="159">
        <f t="shared" si="35"/>
        <v>11</v>
      </c>
      <c r="S45" s="160" t="b">
        <v>0</v>
      </c>
      <c r="T45" s="161" t="str">
        <f t="shared" si="36"/>
        <v>อยู่ในกำหนด</v>
      </c>
      <c r="U45" s="160" t="s">
        <v>104</v>
      </c>
      <c r="V45" s="153" t="b">
        <v>0</v>
      </c>
      <c r="W45" s="153" t="b">
        <v>0</v>
      </c>
      <c r="X45" s="153" t="b">
        <v>0</v>
      </c>
      <c r="Y45" s="153" t="b">
        <v>0</v>
      </c>
      <c r="Z45" s="153" t="b">
        <v>0</v>
      </c>
      <c r="AA45" s="153" t="b">
        <v>0</v>
      </c>
      <c r="AB45" s="154"/>
      <c r="AC45" s="160" t="s">
        <v>105</v>
      </c>
      <c r="AD45" s="154"/>
      <c r="AE45" s="154"/>
      <c r="AF45" s="154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</row>
    <row r="46">
      <c r="A46" s="162" t="str">
        <f t="shared" si="30"/>
        <v>Q3</v>
      </c>
      <c r="B46" s="163" t="str">
        <f t="shared" si="31"/>
        <v>ก.ค.-26</v>
      </c>
      <c r="C46" s="91"/>
      <c r="D46" s="164" t="str">
        <f>'Origin Plug &amp; Play E22 Station'!B229</f>
        <v>Origin Plug &amp; Play E22 Station</v>
      </c>
      <c r="E46" s="164" t="str">
        <f>'Origin Plug &amp; Play E22 Station'!C229</f>
        <v>Room 1818</v>
      </c>
      <c r="F46" s="171"/>
      <c r="G46" s="174"/>
      <c r="H46" s="162">
        <f>'Origin Plug &amp; Play E22 Station'!I229</f>
        <v>140186.9159</v>
      </c>
      <c r="I46" s="162">
        <f>'Origin Plug &amp; Play E22 Station'!J229</f>
        <v>71605.75607</v>
      </c>
      <c r="J46" s="162">
        <f>'Origin Plug &amp; Play E22 Station'!M229</f>
        <v>67151.7</v>
      </c>
      <c r="K46" s="162">
        <f t="shared" si="32"/>
        <v>68581.15981</v>
      </c>
      <c r="L46" s="165">
        <f t="shared" si="33"/>
        <v>0.4892122733</v>
      </c>
      <c r="M46" s="164" t="s">
        <v>103</v>
      </c>
      <c r="N46" s="166">
        <v>46201.0</v>
      </c>
      <c r="O46" s="166">
        <v>46233.0</v>
      </c>
      <c r="P46" s="167">
        <f t="shared" si="34"/>
        <v>46215</v>
      </c>
      <c r="Q46" s="166">
        <v>46204.0</v>
      </c>
      <c r="R46" s="168">
        <f t="shared" si="35"/>
        <v>11</v>
      </c>
      <c r="S46" s="169" t="b">
        <v>0</v>
      </c>
      <c r="T46" s="170" t="str">
        <f t="shared" si="36"/>
        <v>อยู่ในกำหนด</v>
      </c>
      <c r="U46" s="169" t="s">
        <v>104</v>
      </c>
      <c r="V46" s="164" t="b">
        <v>0</v>
      </c>
      <c r="W46" s="164" t="b">
        <v>0</v>
      </c>
      <c r="X46" s="164" t="b">
        <v>0</v>
      </c>
      <c r="Y46" s="164" t="b">
        <v>0</v>
      </c>
      <c r="Z46" s="164" t="b">
        <v>0</v>
      </c>
      <c r="AA46" s="164" t="b">
        <v>0</v>
      </c>
      <c r="AB46" s="171"/>
      <c r="AC46" s="169" t="s">
        <v>105</v>
      </c>
      <c r="AD46" s="171"/>
      <c r="AE46" s="171"/>
      <c r="AF46" s="171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</row>
    <row r="47">
      <c r="A47" s="151" t="str">
        <f t="shared" si="30"/>
        <v>Q3</v>
      </c>
      <c r="B47" s="152" t="str">
        <f t="shared" si="31"/>
        <v>ก.ค.-26</v>
      </c>
      <c r="C47" s="91"/>
      <c r="D47" s="153" t="str">
        <f>'Origin Plug &amp; Play E22 Station'!B241</f>
        <v>Origin Plug &amp; Play E22 Station</v>
      </c>
      <c r="E47" s="153" t="str">
        <f>'Origin Plug &amp; Play E22 Station'!C241</f>
        <v>Room 1818</v>
      </c>
      <c r="F47" s="154"/>
      <c r="G47" s="155"/>
      <c r="H47" s="151">
        <f>'Origin Plug &amp; Play E22 Station'!I241</f>
        <v>32970</v>
      </c>
      <c r="I47" s="151">
        <f>'Origin Plug &amp; Play E22 Station'!J241</f>
        <v>13000</v>
      </c>
      <c r="J47" s="151">
        <f>'Origin Plug &amp; Play E22 Station'!M241</f>
        <v>13000</v>
      </c>
      <c r="K47" s="151">
        <f t="shared" si="32"/>
        <v>19970</v>
      </c>
      <c r="L47" s="156">
        <f t="shared" si="33"/>
        <v>0.6057021535</v>
      </c>
      <c r="M47" s="153" t="s">
        <v>103</v>
      </c>
      <c r="N47" s="157">
        <v>46201.0</v>
      </c>
      <c r="O47" s="157">
        <v>46233.0</v>
      </c>
      <c r="P47" s="158">
        <f t="shared" si="34"/>
        <v>46215</v>
      </c>
      <c r="Q47" s="157">
        <v>46204.0</v>
      </c>
      <c r="R47" s="159">
        <f t="shared" si="35"/>
        <v>11</v>
      </c>
      <c r="S47" s="160" t="b">
        <v>0</v>
      </c>
      <c r="T47" s="161" t="str">
        <f t="shared" si="36"/>
        <v>อยู่ในกำหนด</v>
      </c>
      <c r="U47" s="160" t="s">
        <v>104</v>
      </c>
      <c r="V47" s="153" t="b">
        <v>0</v>
      </c>
      <c r="W47" s="153" t="b">
        <v>0</v>
      </c>
      <c r="X47" s="153" t="b">
        <v>0</v>
      </c>
      <c r="Y47" s="153" t="b">
        <v>0</v>
      </c>
      <c r="Z47" s="153" t="b">
        <v>0</v>
      </c>
      <c r="AA47" s="153" t="b">
        <v>0</v>
      </c>
      <c r="AB47" s="154"/>
      <c r="AC47" s="160" t="s">
        <v>105</v>
      </c>
      <c r="AD47" s="154"/>
      <c r="AE47" s="154"/>
      <c r="AF47" s="154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</row>
    <row r="48">
      <c r="A48" s="162" t="str">
        <f t="shared" si="30"/>
        <v>Q3</v>
      </c>
      <c r="B48" s="163" t="str">
        <f t="shared" si="31"/>
        <v>ก.ค.-26</v>
      </c>
      <c r="C48" s="91"/>
      <c r="D48" s="164" t="str">
        <f>'Origin Plug &amp; Play E22 Station'!B254</f>
        <v>Origin Plug &amp; Play E22 Station</v>
      </c>
      <c r="E48" s="164" t="str">
        <f>'Origin Plug &amp; Play E22 Station'!C254</f>
        <v>Room 1818</v>
      </c>
      <c r="F48" s="171"/>
      <c r="G48" s="174"/>
      <c r="H48" s="162">
        <f>'Origin Plug &amp; Play E22 Station'!I254</f>
        <v>8411.214953</v>
      </c>
      <c r="I48" s="162">
        <f>'Origin Plug &amp; Play E22 Station'!J254</f>
        <v>6710</v>
      </c>
      <c r="J48" s="162">
        <f>'Origin Plug &amp; Play E22 Station'!M254</f>
        <v>6710</v>
      </c>
      <c r="K48" s="162">
        <f t="shared" si="32"/>
        <v>1701.214953</v>
      </c>
      <c r="L48" s="165">
        <f t="shared" si="33"/>
        <v>0.2022555556</v>
      </c>
      <c r="M48" s="164" t="s">
        <v>103</v>
      </c>
      <c r="N48" s="166">
        <v>46201.0</v>
      </c>
      <c r="O48" s="166">
        <v>46233.0</v>
      </c>
      <c r="P48" s="167">
        <f t="shared" si="34"/>
        <v>46215</v>
      </c>
      <c r="Q48" s="166">
        <v>46204.0</v>
      </c>
      <c r="R48" s="168">
        <f t="shared" si="35"/>
        <v>11</v>
      </c>
      <c r="S48" s="169" t="b">
        <v>0</v>
      </c>
      <c r="T48" s="170" t="str">
        <f t="shared" si="36"/>
        <v>อยู่ในกำหนด</v>
      </c>
      <c r="U48" s="169" t="s">
        <v>104</v>
      </c>
      <c r="V48" s="164" t="b">
        <v>0</v>
      </c>
      <c r="W48" s="164" t="b">
        <v>0</v>
      </c>
      <c r="X48" s="164" t="b">
        <v>0</v>
      </c>
      <c r="Y48" s="164" t="b">
        <v>0</v>
      </c>
      <c r="Z48" s="164" t="b">
        <v>0</v>
      </c>
      <c r="AA48" s="164" t="b">
        <v>0</v>
      </c>
      <c r="AB48" s="171"/>
      <c r="AC48" s="169" t="s">
        <v>105</v>
      </c>
      <c r="AD48" s="171"/>
      <c r="AE48" s="171"/>
      <c r="AF48" s="171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</row>
    <row r="49">
      <c r="A49" s="151" t="str">
        <f t="shared" si="30"/>
        <v>Q3</v>
      </c>
      <c r="B49" s="152" t="str">
        <f t="shared" si="31"/>
        <v>ก.ค.-26</v>
      </c>
      <c r="C49" s="91"/>
      <c r="D49" s="153" t="str">
        <f>'Origin Plug &amp; Play E22 Station'!B276</f>
        <v>Origin Plug &amp; Play E22 Station</v>
      </c>
      <c r="E49" s="153" t="str">
        <f>'Origin Plug &amp; Play E22 Station'!C276</f>
        <v>Room 1737</v>
      </c>
      <c r="F49" s="154"/>
      <c r="G49" s="155"/>
      <c r="H49" s="151">
        <f>'Origin Plug &amp; Play E22 Station'!I276</f>
        <v>252336.4486</v>
      </c>
      <c r="I49" s="151">
        <f>'Origin Plug &amp; Play E22 Station'!J276</f>
        <v>168971.96</v>
      </c>
      <c r="J49" s="151">
        <f>'Origin Plug &amp; Play E22 Station'!M276</f>
        <v>175820</v>
      </c>
      <c r="K49" s="151">
        <f t="shared" si="32"/>
        <v>83364.4886</v>
      </c>
      <c r="L49" s="156">
        <f t="shared" si="33"/>
        <v>0.3303703807</v>
      </c>
      <c r="M49" s="153" t="s">
        <v>103</v>
      </c>
      <c r="N49" s="157">
        <v>46201.0</v>
      </c>
      <c r="O49" s="157">
        <v>46233.0</v>
      </c>
      <c r="P49" s="158">
        <f t="shared" si="34"/>
        <v>46215</v>
      </c>
      <c r="Q49" s="157">
        <v>46204.0</v>
      </c>
      <c r="R49" s="159">
        <f t="shared" si="35"/>
        <v>11</v>
      </c>
      <c r="S49" s="160" t="b">
        <v>0</v>
      </c>
      <c r="T49" s="161" t="str">
        <f t="shared" si="36"/>
        <v>อยู่ในกำหนด</v>
      </c>
      <c r="U49" s="160" t="s">
        <v>104</v>
      </c>
      <c r="V49" s="153" t="b">
        <v>0</v>
      </c>
      <c r="W49" s="153" t="b">
        <v>0</v>
      </c>
      <c r="X49" s="153" t="b">
        <v>0</v>
      </c>
      <c r="Y49" s="153" t="b">
        <v>0</v>
      </c>
      <c r="Z49" s="153" t="b">
        <v>0</v>
      </c>
      <c r="AA49" s="153" t="b">
        <v>0</v>
      </c>
      <c r="AB49" s="154"/>
      <c r="AC49" s="160" t="s">
        <v>105</v>
      </c>
      <c r="AD49" s="154"/>
      <c r="AE49" s="154"/>
      <c r="AF49" s="154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</row>
    <row r="50">
      <c r="A50" s="52"/>
      <c r="B50" s="52"/>
      <c r="C50" s="176"/>
      <c r="D50" s="52"/>
      <c r="E50" s="52"/>
      <c r="F50" s="52"/>
      <c r="G50" s="52"/>
      <c r="H50" s="52"/>
      <c r="I50" s="52"/>
      <c r="J50" s="177"/>
      <c r="K50" s="52"/>
      <c r="L50" s="52"/>
      <c r="M50" s="52"/>
      <c r="N50" s="52"/>
      <c r="O50" s="52"/>
      <c r="P50" s="178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</row>
    <row r="51">
      <c r="A51" s="52"/>
      <c r="B51" s="52"/>
      <c r="C51" s="176"/>
      <c r="D51" s="52"/>
      <c r="E51" s="52"/>
      <c r="F51" s="52"/>
      <c r="G51" s="52"/>
      <c r="H51" s="52"/>
      <c r="I51" s="52"/>
      <c r="J51" s="177"/>
      <c r="K51" s="52"/>
      <c r="L51" s="52"/>
      <c r="M51" s="52"/>
      <c r="N51" s="52"/>
      <c r="O51" s="52"/>
      <c r="P51" s="178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</row>
    <row r="52">
      <c r="A52" s="52"/>
      <c r="B52" s="52"/>
      <c r="C52" s="176"/>
      <c r="D52" s="52"/>
      <c r="E52" s="52"/>
      <c r="F52" s="52"/>
      <c r="G52" s="52"/>
      <c r="H52" s="52"/>
      <c r="I52" s="52"/>
      <c r="J52" s="177"/>
      <c r="K52" s="52"/>
      <c r="L52" s="52"/>
      <c r="M52" s="52"/>
      <c r="N52" s="52"/>
      <c r="O52" s="52"/>
      <c r="P52" s="178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</row>
    <row r="53">
      <c r="A53" s="52"/>
      <c r="B53" s="52"/>
      <c r="C53" s="176"/>
      <c r="D53" s="52"/>
      <c r="E53" s="52"/>
      <c r="F53" s="52"/>
      <c r="G53" s="52"/>
      <c r="H53" s="52"/>
      <c r="I53" s="52"/>
      <c r="J53" s="177"/>
      <c r="K53" s="52"/>
      <c r="L53" s="52"/>
      <c r="M53" s="52"/>
      <c r="N53" s="52"/>
      <c r="O53" s="52"/>
      <c r="P53" s="178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</row>
    <row r="54">
      <c r="A54" s="52"/>
      <c r="B54" s="52"/>
      <c r="C54" s="176"/>
      <c r="D54" s="52"/>
      <c r="E54" s="52"/>
      <c r="F54" s="52"/>
      <c r="G54" s="52"/>
      <c r="H54" s="52"/>
      <c r="I54" s="177"/>
      <c r="J54" s="177"/>
      <c r="K54" s="52"/>
      <c r="L54" s="52"/>
      <c r="M54" s="52"/>
      <c r="N54" s="52"/>
      <c r="O54" s="52"/>
      <c r="P54" s="178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</row>
    <row r="55">
      <c r="A55" s="52"/>
      <c r="B55" s="52"/>
      <c r="C55" s="176"/>
      <c r="D55" s="52"/>
      <c r="E55" s="52"/>
      <c r="F55" s="52"/>
      <c r="G55" s="52"/>
      <c r="H55" s="52"/>
      <c r="I55" s="177"/>
      <c r="J55" s="177"/>
      <c r="K55" s="52"/>
      <c r="L55" s="52"/>
      <c r="M55" s="52"/>
      <c r="N55" s="52"/>
      <c r="O55" s="52"/>
      <c r="P55" s="178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</row>
    <row r="56">
      <c r="A56" s="52"/>
      <c r="B56" s="52"/>
      <c r="C56" s="176"/>
      <c r="D56" s="52"/>
      <c r="E56" s="52"/>
      <c r="F56" s="52"/>
      <c r="G56" s="52"/>
      <c r="H56" s="52"/>
      <c r="I56" s="177"/>
      <c r="J56" s="177"/>
      <c r="K56" s="52"/>
      <c r="L56" s="52"/>
      <c r="M56" s="52"/>
      <c r="N56" s="52"/>
      <c r="O56" s="52"/>
      <c r="P56" s="178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</row>
    <row r="57">
      <c r="A57" s="52"/>
      <c r="B57" s="52"/>
      <c r="C57" s="176"/>
      <c r="D57" s="52"/>
      <c r="E57" s="52"/>
      <c r="F57" s="52"/>
      <c r="G57" s="52"/>
      <c r="H57" s="52"/>
      <c r="I57" s="177"/>
      <c r="J57" s="177"/>
      <c r="K57" s="52"/>
      <c r="L57" s="52"/>
      <c r="M57" s="52"/>
      <c r="N57" s="52"/>
      <c r="O57" s="52"/>
      <c r="P57" s="178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</row>
    <row r="58">
      <c r="A58" s="52"/>
      <c r="B58" s="52"/>
      <c r="C58" s="176"/>
      <c r="D58" s="52"/>
      <c r="E58" s="52"/>
      <c r="F58" s="52"/>
      <c r="G58" s="52"/>
      <c r="H58" s="52"/>
      <c r="I58" s="177"/>
      <c r="J58" s="177"/>
      <c r="K58" s="52"/>
      <c r="L58" s="52"/>
      <c r="M58" s="52"/>
      <c r="N58" s="52"/>
      <c r="O58" s="52"/>
      <c r="P58" s="178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</row>
    <row r="59">
      <c r="A59" s="52"/>
      <c r="B59" s="52"/>
      <c r="C59" s="176"/>
      <c r="D59" s="52"/>
      <c r="E59" s="52"/>
      <c r="F59" s="52"/>
      <c r="G59" s="52"/>
      <c r="H59" s="52"/>
      <c r="I59" s="177"/>
      <c r="J59" s="177"/>
      <c r="K59" s="52"/>
      <c r="L59" s="52"/>
      <c r="M59" s="52"/>
      <c r="N59" s="52"/>
      <c r="O59" s="52"/>
      <c r="P59" s="178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</row>
    <row r="60">
      <c r="A60" s="52"/>
      <c r="B60" s="52"/>
      <c r="C60" s="176"/>
      <c r="D60" s="52"/>
      <c r="E60" s="52"/>
      <c r="F60" s="52"/>
      <c r="G60" s="52"/>
      <c r="H60" s="52"/>
      <c r="I60" s="177"/>
      <c r="J60" s="177"/>
      <c r="K60" s="52"/>
      <c r="L60" s="52"/>
      <c r="M60" s="52"/>
      <c r="N60" s="52"/>
      <c r="O60" s="52"/>
      <c r="P60" s="178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</row>
    <row r="61">
      <c r="A61" s="52"/>
      <c r="B61" s="52"/>
      <c r="C61" s="176"/>
      <c r="D61" s="52"/>
      <c r="E61" s="52"/>
      <c r="F61" s="52"/>
      <c r="G61" s="52"/>
      <c r="H61" s="52"/>
      <c r="I61" s="177"/>
      <c r="J61" s="177"/>
      <c r="K61" s="52"/>
      <c r="L61" s="52"/>
      <c r="M61" s="52"/>
      <c r="N61" s="52"/>
      <c r="O61" s="52"/>
      <c r="P61" s="178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</row>
    <row r="62">
      <c r="A62" s="52"/>
      <c r="B62" s="52"/>
      <c r="C62" s="176"/>
      <c r="D62" s="52"/>
      <c r="E62" s="52"/>
      <c r="F62" s="52"/>
      <c r="G62" s="52"/>
      <c r="H62" s="52"/>
      <c r="I62" s="177"/>
      <c r="J62" s="177"/>
      <c r="K62" s="52"/>
      <c r="L62" s="52"/>
      <c r="M62" s="52"/>
      <c r="N62" s="52"/>
      <c r="O62" s="52"/>
      <c r="P62" s="178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</row>
    <row r="63">
      <c r="A63" s="52"/>
      <c r="B63" s="52"/>
      <c r="C63" s="176"/>
      <c r="D63" s="52"/>
      <c r="E63" s="52"/>
      <c r="F63" s="52"/>
      <c r="G63" s="52"/>
      <c r="H63" s="52"/>
      <c r="I63" s="177"/>
      <c r="J63" s="177"/>
      <c r="K63" s="52"/>
      <c r="L63" s="52"/>
      <c r="M63" s="52"/>
      <c r="N63" s="52"/>
      <c r="O63" s="52"/>
      <c r="P63" s="178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</row>
    <row r="64">
      <c r="A64" s="52"/>
      <c r="B64" s="52"/>
      <c r="C64" s="176"/>
      <c r="D64" s="52"/>
      <c r="E64" s="52"/>
      <c r="F64" s="52"/>
      <c r="G64" s="52"/>
      <c r="H64" s="52"/>
      <c r="I64" s="177"/>
      <c r="J64" s="177"/>
      <c r="K64" s="52"/>
      <c r="L64" s="52"/>
      <c r="M64" s="52"/>
      <c r="N64" s="52"/>
      <c r="O64" s="52"/>
      <c r="P64" s="178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</row>
    <row r="65">
      <c r="A65" s="52"/>
      <c r="B65" s="52"/>
      <c r="C65" s="176"/>
      <c r="D65" s="52"/>
      <c r="E65" s="52"/>
      <c r="F65" s="52"/>
      <c r="G65" s="52"/>
      <c r="H65" s="52"/>
      <c r="I65" s="177"/>
      <c r="J65" s="177"/>
      <c r="K65" s="52"/>
      <c r="L65" s="52"/>
      <c r="M65" s="52"/>
      <c r="N65" s="52"/>
      <c r="O65" s="52"/>
      <c r="P65" s="178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</row>
    <row r="66">
      <c r="A66" s="52"/>
      <c r="B66" s="52"/>
      <c r="C66" s="176"/>
      <c r="D66" s="52"/>
      <c r="E66" s="52"/>
      <c r="F66" s="52"/>
      <c r="G66" s="52"/>
      <c r="H66" s="52"/>
      <c r="I66" s="177"/>
      <c r="J66" s="177"/>
      <c r="K66" s="52"/>
      <c r="L66" s="52"/>
      <c r="M66" s="52"/>
      <c r="N66" s="52"/>
      <c r="O66" s="52"/>
      <c r="P66" s="178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</row>
    <row r="67">
      <c r="A67" s="52"/>
      <c r="B67" s="52"/>
      <c r="C67" s="176"/>
      <c r="D67" s="52"/>
      <c r="E67" s="52"/>
      <c r="F67" s="52"/>
      <c r="G67" s="52"/>
      <c r="H67" s="52"/>
      <c r="I67" s="177"/>
      <c r="J67" s="177"/>
      <c r="K67" s="52"/>
      <c r="L67" s="52"/>
      <c r="M67" s="52"/>
      <c r="N67" s="52"/>
      <c r="O67" s="52"/>
      <c r="P67" s="178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</row>
    <row r="68">
      <c r="A68" s="52"/>
      <c r="B68" s="52"/>
      <c r="C68" s="176"/>
      <c r="D68" s="52"/>
      <c r="E68" s="52"/>
      <c r="F68" s="52"/>
      <c r="G68" s="52"/>
      <c r="H68" s="52"/>
      <c r="I68" s="177"/>
      <c r="J68" s="177"/>
      <c r="K68" s="52"/>
      <c r="L68" s="52"/>
      <c r="M68" s="52"/>
      <c r="N68" s="52"/>
      <c r="O68" s="52"/>
      <c r="P68" s="178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</row>
    <row r="69">
      <c r="A69" s="52"/>
      <c r="B69" s="52"/>
      <c r="C69" s="176"/>
      <c r="D69" s="52"/>
      <c r="E69" s="52"/>
      <c r="F69" s="52"/>
      <c r="G69" s="52"/>
      <c r="H69" s="52"/>
      <c r="I69" s="177"/>
      <c r="J69" s="177"/>
      <c r="K69" s="52"/>
      <c r="L69" s="52"/>
      <c r="M69" s="52"/>
      <c r="N69" s="52"/>
      <c r="O69" s="52"/>
      <c r="P69" s="178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</row>
    <row r="70">
      <c r="A70" s="52"/>
      <c r="B70" s="52"/>
      <c r="C70" s="176"/>
      <c r="D70" s="52"/>
      <c r="E70" s="52"/>
      <c r="F70" s="52"/>
      <c r="G70" s="52"/>
      <c r="H70" s="52"/>
      <c r="I70" s="177"/>
      <c r="J70" s="177"/>
      <c r="K70" s="52"/>
      <c r="L70" s="52"/>
      <c r="M70" s="52"/>
      <c r="N70" s="52"/>
      <c r="O70" s="52"/>
      <c r="P70" s="178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</row>
    <row r="71">
      <c r="A71" s="52"/>
      <c r="B71" s="52"/>
      <c r="C71" s="176"/>
      <c r="D71" s="52"/>
      <c r="E71" s="52"/>
      <c r="F71" s="52"/>
      <c r="G71" s="52"/>
      <c r="H71" s="52"/>
      <c r="I71" s="177"/>
      <c r="J71" s="177"/>
      <c r="K71" s="52"/>
      <c r="L71" s="52"/>
      <c r="M71" s="52"/>
      <c r="N71" s="52"/>
      <c r="O71" s="52"/>
      <c r="P71" s="178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</row>
    <row r="72">
      <c r="A72" s="52"/>
      <c r="B72" s="52"/>
      <c r="C72" s="176"/>
      <c r="D72" s="52"/>
      <c r="E72" s="52"/>
      <c r="F72" s="52"/>
      <c r="G72" s="52"/>
      <c r="H72" s="52"/>
      <c r="I72" s="177"/>
      <c r="J72" s="177"/>
      <c r="K72" s="52"/>
      <c r="L72" s="52"/>
      <c r="M72" s="52"/>
      <c r="N72" s="52"/>
      <c r="O72" s="52"/>
      <c r="P72" s="178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</row>
    <row r="73">
      <c r="A73" s="52"/>
      <c r="B73" s="52"/>
      <c r="C73" s="176"/>
      <c r="D73" s="52"/>
      <c r="E73" s="52"/>
      <c r="F73" s="52"/>
      <c r="G73" s="52"/>
      <c r="H73" s="52"/>
      <c r="I73" s="177"/>
      <c r="J73" s="177"/>
      <c r="K73" s="52"/>
      <c r="L73" s="52"/>
      <c r="M73" s="52"/>
      <c r="N73" s="52"/>
      <c r="O73" s="52"/>
      <c r="P73" s="178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</row>
    <row r="74">
      <c r="A74" s="52"/>
      <c r="B74" s="52"/>
      <c r="C74" s="176"/>
      <c r="D74" s="52"/>
      <c r="E74" s="52"/>
      <c r="F74" s="52"/>
      <c r="G74" s="52"/>
      <c r="H74" s="52"/>
      <c r="I74" s="177"/>
      <c r="J74" s="177"/>
      <c r="K74" s="52"/>
      <c r="L74" s="52"/>
      <c r="M74" s="52"/>
      <c r="N74" s="52"/>
      <c r="O74" s="52"/>
      <c r="P74" s="178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</row>
    <row r="75">
      <c r="A75" s="52"/>
      <c r="B75" s="52"/>
      <c r="C75" s="176"/>
      <c r="D75" s="52"/>
      <c r="E75" s="52"/>
      <c r="F75" s="52"/>
      <c r="G75" s="52"/>
      <c r="H75" s="52"/>
      <c r="I75" s="177"/>
      <c r="J75" s="177"/>
      <c r="K75" s="52"/>
      <c r="L75" s="52"/>
      <c r="M75" s="52"/>
      <c r="N75" s="52"/>
      <c r="O75" s="52"/>
      <c r="P75" s="178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</row>
    <row r="76">
      <c r="A76" s="52"/>
      <c r="B76" s="52"/>
      <c r="C76" s="176"/>
      <c r="D76" s="52"/>
      <c r="E76" s="52"/>
      <c r="F76" s="52"/>
      <c r="G76" s="52"/>
      <c r="H76" s="52"/>
      <c r="I76" s="177"/>
      <c r="J76" s="177"/>
      <c r="K76" s="52"/>
      <c r="L76" s="52"/>
      <c r="M76" s="52"/>
      <c r="N76" s="52"/>
      <c r="O76" s="52"/>
      <c r="P76" s="178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>
      <c r="A77" s="52"/>
      <c r="B77" s="52"/>
      <c r="C77" s="176"/>
      <c r="D77" s="52"/>
      <c r="E77" s="52"/>
      <c r="F77" s="52"/>
      <c r="G77" s="52"/>
      <c r="H77" s="52"/>
      <c r="I77" s="177"/>
      <c r="J77" s="177"/>
      <c r="K77" s="52"/>
      <c r="L77" s="52"/>
      <c r="M77" s="52"/>
      <c r="N77" s="52"/>
      <c r="O77" s="52"/>
      <c r="P77" s="178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</row>
    <row r="78">
      <c r="A78" s="52"/>
      <c r="B78" s="52"/>
      <c r="C78" s="176"/>
      <c r="D78" s="52"/>
      <c r="E78" s="52"/>
      <c r="F78" s="52"/>
      <c r="G78" s="52"/>
      <c r="H78" s="52"/>
      <c r="I78" s="177"/>
      <c r="J78" s="177"/>
      <c r="K78" s="52"/>
      <c r="L78" s="52"/>
      <c r="M78" s="52"/>
      <c r="N78" s="52"/>
      <c r="O78" s="52"/>
      <c r="P78" s="178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</row>
    <row r="79">
      <c r="A79" s="52"/>
      <c r="B79" s="52"/>
      <c r="C79" s="176"/>
      <c r="D79" s="52"/>
      <c r="E79" s="52"/>
      <c r="F79" s="52"/>
      <c r="G79" s="52"/>
      <c r="H79" s="52"/>
      <c r="I79" s="177"/>
      <c r="J79" s="177"/>
      <c r="K79" s="52"/>
      <c r="L79" s="52"/>
      <c r="M79" s="52"/>
      <c r="N79" s="52"/>
      <c r="O79" s="52"/>
      <c r="P79" s="178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</row>
    <row r="80">
      <c r="A80" s="52"/>
      <c r="B80" s="52"/>
      <c r="C80" s="176"/>
      <c r="D80" s="52"/>
      <c r="E80" s="52"/>
      <c r="F80" s="52"/>
      <c r="G80" s="52"/>
      <c r="H80" s="52"/>
      <c r="I80" s="177"/>
      <c r="J80" s="177"/>
      <c r="K80" s="52"/>
      <c r="L80" s="52"/>
      <c r="M80" s="52"/>
      <c r="N80" s="52"/>
      <c r="O80" s="52"/>
      <c r="P80" s="178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</row>
    <row r="81">
      <c r="A81" s="52"/>
      <c r="B81" s="52"/>
      <c r="C81" s="176"/>
      <c r="D81" s="52"/>
      <c r="E81" s="52"/>
      <c r="F81" s="52"/>
      <c r="G81" s="52"/>
      <c r="H81" s="52"/>
      <c r="I81" s="177"/>
      <c r="J81" s="177"/>
      <c r="K81" s="52"/>
      <c r="L81" s="52"/>
      <c r="M81" s="52"/>
      <c r="N81" s="52"/>
      <c r="O81" s="52"/>
      <c r="P81" s="178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</row>
    <row r="82">
      <c r="A82" s="52"/>
      <c r="B82" s="52"/>
      <c r="C82" s="176"/>
      <c r="D82" s="52"/>
      <c r="E82" s="52"/>
      <c r="F82" s="52"/>
      <c r="G82" s="52"/>
      <c r="H82" s="52"/>
      <c r="I82" s="177"/>
      <c r="J82" s="177"/>
      <c r="K82" s="52"/>
      <c r="L82" s="52"/>
      <c r="M82" s="52"/>
      <c r="N82" s="52"/>
      <c r="O82" s="52"/>
      <c r="P82" s="178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</row>
    <row r="83">
      <c r="A83" s="52"/>
      <c r="B83" s="52"/>
      <c r="C83" s="176"/>
      <c r="D83" s="52"/>
      <c r="E83" s="52"/>
      <c r="F83" s="52"/>
      <c r="G83" s="52"/>
      <c r="H83" s="52"/>
      <c r="I83" s="177"/>
      <c r="J83" s="177"/>
      <c r="K83" s="52"/>
      <c r="L83" s="52"/>
      <c r="M83" s="52"/>
      <c r="N83" s="52"/>
      <c r="O83" s="52"/>
      <c r="P83" s="178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</row>
    <row r="84">
      <c r="A84" s="52"/>
      <c r="B84" s="52"/>
      <c r="C84" s="176"/>
      <c r="D84" s="52"/>
      <c r="E84" s="52"/>
      <c r="F84" s="52"/>
      <c r="G84" s="52"/>
      <c r="H84" s="52"/>
      <c r="I84" s="177"/>
      <c r="J84" s="177"/>
      <c r="K84" s="52"/>
      <c r="L84" s="52"/>
      <c r="M84" s="52"/>
      <c r="N84" s="52"/>
      <c r="O84" s="52"/>
      <c r="P84" s="178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</row>
    <row r="85">
      <c r="A85" s="52"/>
      <c r="B85" s="52"/>
      <c r="C85" s="176"/>
      <c r="D85" s="52"/>
      <c r="E85" s="52"/>
      <c r="F85" s="52"/>
      <c r="G85" s="52"/>
      <c r="H85" s="52"/>
      <c r="I85" s="177"/>
      <c r="J85" s="177"/>
      <c r="K85" s="52"/>
      <c r="L85" s="52"/>
      <c r="M85" s="52"/>
      <c r="N85" s="52"/>
      <c r="O85" s="52"/>
      <c r="P85" s="178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</row>
    <row r="86">
      <c r="A86" s="52"/>
      <c r="B86" s="52"/>
      <c r="C86" s="176"/>
      <c r="D86" s="52"/>
      <c r="E86" s="52"/>
      <c r="F86" s="52"/>
      <c r="G86" s="52"/>
      <c r="H86" s="52"/>
      <c r="I86" s="177"/>
      <c r="J86" s="177"/>
      <c r="K86" s="52"/>
      <c r="L86" s="52"/>
      <c r="M86" s="52"/>
      <c r="N86" s="52"/>
      <c r="O86" s="52"/>
      <c r="P86" s="178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</row>
    <row r="87">
      <c r="A87" s="52"/>
      <c r="B87" s="52"/>
      <c r="C87" s="176"/>
      <c r="D87" s="52"/>
      <c r="E87" s="52"/>
      <c r="F87" s="52"/>
      <c r="G87" s="52"/>
      <c r="H87" s="52"/>
      <c r="I87" s="177"/>
      <c r="J87" s="177"/>
      <c r="K87" s="52"/>
      <c r="L87" s="52"/>
      <c r="M87" s="52"/>
      <c r="N87" s="52"/>
      <c r="O87" s="52"/>
      <c r="P87" s="178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</row>
    <row r="88">
      <c r="A88" s="52"/>
      <c r="B88" s="52"/>
      <c r="C88" s="176"/>
      <c r="D88" s="52"/>
      <c r="E88" s="52"/>
      <c r="F88" s="52"/>
      <c r="G88" s="52"/>
      <c r="H88" s="52"/>
      <c r="I88" s="177"/>
      <c r="J88" s="177"/>
      <c r="K88" s="52"/>
      <c r="L88" s="52"/>
      <c r="M88" s="52"/>
      <c r="N88" s="52"/>
      <c r="O88" s="52"/>
      <c r="P88" s="178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</row>
    <row r="89">
      <c r="A89" s="52"/>
      <c r="B89" s="52"/>
      <c r="C89" s="176"/>
      <c r="D89" s="52"/>
      <c r="E89" s="52"/>
      <c r="F89" s="52"/>
      <c r="G89" s="52"/>
      <c r="H89" s="52"/>
      <c r="I89" s="177"/>
      <c r="J89" s="177"/>
      <c r="K89" s="52"/>
      <c r="L89" s="52"/>
      <c r="M89" s="52"/>
      <c r="N89" s="52"/>
      <c r="O89" s="52"/>
      <c r="P89" s="178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</row>
    <row r="90">
      <c r="A90" s="52"/>
      <c r="B90" s="52"/>
      <c r="C90" s="176"/>
      <c r="D90" s="52"/>
      <c r="E90" s="52"/>
      <c r="F90" s="52"/>
      <c r="G90" s="52"/>
      <c r="H90" s="52"/>
      <c r="I90" s="177"/>
      <c r="J90" s="177"/>
      <c r="K90" s="52"/>
      <c r="L90" s="52"/>
      <c r="M90" s="52"/>
      <c r="N90" s="52"/>
      <c r="O90" s="52"/>
      <c r="P90" s="178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</row>
    <row r="91">
      <c r="A91" s="52"/>
      <c r="B91" s="52"/>
      <c r="C91" s="176"/>
      <c r="D91" s="52"/>
      <c r="E91" s="52"/>
      <c r="F91" s="52"/>
      <c r="G91" s="52"/>
      <c r="H91" s="52"/>
      <c r="I91" s="177"/>
      <c r="J91" s="177"/>
      <c r="K91" s="52"/>
      <c r="L91" s="52"/>
      <c r="M91" s="52"/>
      <c r="N91" s="52"/>
      <c r="O91" s="52"/>
      <c r="P91" s="178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</row>
    <row r="92">
      <c r="A92" s="52"/>
      <c r="B92" s="52"/>
      <c r="C92" s="176"/>
      <c r="D92" s="52"/>
      <c r="E92" s="52"/>
      <c r="F92" s="52"/>
      <c r="G92" s="52"/>
      <c r="H92" s="52"/>
      <c r="I92" s="177"/>
      <c r="J92" s="177"/>
      <c r="K92" s="52"/>
      <c r="L92" s="52"/>
      <c r="M92" s="52"/>
      <c r="N92" s="52"/>
      <c r="O92" s="52"/>
      <c r="P92" s="178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</row>
    <row r="93">
      <c r="A93" s="52"/>
      <c r="B93" s="52"/>
      <c r="C93" s="176"/>
      <c r="D93" s="52"/>
      <c r="E93" s="52"/>
      <c r="F93" s="52"/>
      <c r="G93" s="52"/>
      <c r="H93" s="52"/>
      <c r="I93" s="177"/>
      <c r="J93" s="177"/>
      <c r="K93" s="52"/>
      <c r="L93" s="52"/>
      <c r="M93" s="52"/>
      <c r="N93" s="52"/>
      <c r="O93" s="52"/>
      <c r="P93" s="178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</row>
    <row r="94">
      <c r="A94" s="52"/>
      <c r="B94" s="52"/>
      <c r="C94" s="176"/>
      <c r="D94" s="52"/>
      <c r="E94" s="52"/>
      <c r="F94" s="52"/>
      <c r="G94" s="52"/>
      <c r="H94" s="52"/>
      <c r="I94" s="177"/>
      <c r="J94" s="177"/>
      <c r="K94" s="52"/>
      <c r="L94" s="52"/>
      <c r="M94" s="52"/>
      <c r="N94" s="52"/>
      <c r="O94" s="52"/>
      <c r="P94" s="178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</row>
    <row r="95">
      <c r="A95" s="52"/>
      <c r="B95" s="52"/>
      <c r="C95" s="176"/>
      <c r="D95" s="52"/>
      <c r="E95" s="52"/>
      <c r="F95" s="52"/>
      <c r="G95" s="52"/>
      <c r="H95" s="52"/>
      <c r="I95" s="177"/>
      <c r="J95" s="177"/>
      <c r="K95" s="52"/>
      <c r="L95" s="52"/>
      <c r="M95" s="52"/>
      <c r="N95" s="52"/>
      <c r="O95" s="52"/>
      <c r="P95" s="178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</row>
    <row r="96">
      <c r="A96" s="52"/>
      <c r="B96" s="52"/>
      <c r="C96" s="176"/>
      <c r="D96" s="52"/>
      <c r="E96" s="52"/>
      <c r="F96" s="52"/>
      <c r="G96" s="52"/>
      <c r="H96" s="52"/>
      <c r="I96" s="177"/>
      <c r="J96" s="177"/>
      <c r="K96" s="52"/>
      <c r="L96" s="52"/>
      <c r="M96" s="52"/>
      <c r="N96" s="52"/>
      <c r="O96" s="52"/>
      <c r="P96" s="178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</row>
    <row r="97">
      <c r="A97" s="52"/>
      <c r="B97" s="52"/>
      <c r="C97" s="176"/>
      <c r="D97" s="52"/>
      <c r="E97" s="52"/>
      <c r="F97" s="52"/>
      <c r="G97" s="52"/>
      <c r="H97" s="52"/>
      <c r="I97" s="177"/>
      <c r="J97" s="177"/>
      <c r="K97" s="52"/>
      <c r="L97" s="52"/>
      <c r="M97" s="52"/>
      <c r="N97" s="52"/>
      <c r="O97" s="52"/>
      <c r="P97" s="178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</row>
    <row r="98">
      <c r="A98" s="52"/>
      <c r="B98" s="52"/>
      <c r="C98" s="176"/>
      <c r="D98" s="52"/>
      <c r="E98" s="52"/>
      <c r="F98" s="52"/>
      <c r="G98" s="52"/>
      <c r="H98" s="52"/>
      <c r="I98" s="177"/>
      <c r="J98" s="177"/>
      <c r="K98" s="52"/>
      <c r="L98" s="52"/>
      <c r="M98" s="52"/>
      <c r="N98" s="52"/>
      <c r="O98" s="52"/>
      <c r="P98" s="178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</row>
    <row r="99">
      <c r="A99" s="52"/>
      <c r="B99" s="52"/>
      <c r="C99" s="176"/>
      <c r="D99" s="52"/>
      <c r="E99" s="52"/>
      <c r="F99" s="52"/>
      <c r="G99" s="52"/>
      <c r="H99" s="52"/>
      <c r="I99" s="177"/>
      <c r="J99" s="177"/>
      <c r="K99" s="52"/>
      <c r="L99" s="52"/>
      <c r="M99" s="52"/>
      <c r="N99" s="52"/>
      <c r="O99" s="52"/>
      <c r="P99" s="178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</row>
    <row r="100">
      <c r="A100" s="52"/>
      <c r="B100" s="52"/>
      <c r="C100" s="176"/>
      <c r="D100" s="52"/>
      <c r="E100" s="52"/>
      <c r="F100" s="52"/>
      <c r="G100" s="52"/>
      <c r="H100" s="52"/>
      <c r="I100" s="177"/>
      <c r="J100" s="177"/>
      <c r="K100" s="52"/>
      <c r="L100" s="52"/>
      <c r="M100" s="52"/>
      <c r="N100" s="52"/>
      <c r="O100" s="52"/>
      <c r="P100" s="178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</row>
    <row r="101">
      <c r="A101" s="52"/>
      <c r="B101" s="52"/>
      <c r="C101" s="176"/>
      <c r="D101" s="52"/>
      <c r="E101" s="52"/>
      <c r="F101" s="52"/>
      <c r="G101" s="52"/>
      <c r="H101" s="52"/>
      <c r="I101" s="177"/>
      <c r="J101" s="177"/>
      <c r="K101" s="52"/>
      <c r="L101" s="52"/>
      <c r="M101" s="52"/>
      <c r="N101" s="52"/>
      <c r="O101" s="52"/>
      <c r="P101" s="178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</row>
    <row r="102">
      <c r="A102" s="52"/>
      <c r="B102" s="52"/>
      <c r="C102" s="176"/>
      <c r="D102" s="52"/>
      <c r="E102" s="52"/>
      <c r="F102" s="52"/>
      <c r="G102" s="52"/>
      <c r="H102" s="52"/>
      <c r="I102" s="177"/>
      <c r="J102" s="177"/>
      <c r="K102" s="52"/>
      <c r="L102" s="52"/>
      <c r="M102" s="52"/>
      <c r="N102" s="52"/>
      <c r="O102" s="52"/>
      <c r="P102" s="178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</row>
    <row r="103">
      <c r="A103" s="52"/>
      <c r="B103" s="52"/>
      <c r="C103" s="176"/>
      <c r="D103" s="52"/>
      <c r="E103" s="52"/>
      <c r="F103" s="52"/>
      <c r="G103" s="52"/>
      <c r="H103" s="52"/>
      <c r="I103" s="177"/>
      <c r="J103" s="177"/>
      <c r="K103" s="52"/>
      <c r="L103" s="52"/>
      <c r="M103" s="52"/>
      <c r="N103" s="52"/>
      <c r="O103" s="52"/>
      <c r="P103" s="178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</row>
    <row r="104">
      <c r="A104" s="52"/>
      <c r="B104" s="52"/>
      <c r="C104" s="176"/>
      <c r="D104" s="52"/>
      <c r="E104" s="52"/>
      <c r="F104" s="52"/>
      <c r="G104" s="52"/>
      <c r="H104" s="52"/>
      <c r="I104" s="177"/>
      <c r="J104" s="177"/>
      <c r="K104" s="52"/>
      <c r="L104" s="52"/>
      <c r="M104" s="52"/>
      <c r="N104" s="52"/>
      <c r="O104" s="52"/>
      <c r="P104" s="178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</row>
    <row r="105">
      <c r="A105" s="52"/>
      <c r="B105" s="52"/>
      <c r="C105" s="176"/>
      <c r="D105" s="52"/>
      <c r="E105" s="52"/>
      <c r="F105" s="52"/>
      <c r="G105" s="52"/>
      <c r="H105" s="52"/>
      <c r="I105" s="177"/>
      <c r="J105" s="177"/>
      <c r="K105" s="52"/>
      <c r="L105" s="52"/>
      <c r="M105" s="52"/>
      <c r="N105" s="52"/>
      <c r="O105" s="52"/>
      <c r="P105" s="178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</row>
    <row r="106">
      <c r="A106" s="52"/>
      <c r="B106" s="52"/>
      <c r="C106" s="176"/>
      <c r="D106" s="52"/>
      <c r="E106" s="52"/>
      <c r="F106" s="52"/>
      <c r="G106" s="52"/>
      <c r="H106" s="52"/>
      <c r="I106" s="177"/>
      <c r="J106" s="177"/>
      <c r="K106" s="52"/>
      <c r="L106" s="52"/>
      <c r="M106" s="52"/>
      <c r="N106" s="52"/>
      <c r="O106" s="52"/>
      <c r="P106" s="178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</row>
    <row r="107">
      <c r="A107" s="52"/>
      <c r="B107" s="52"/>
      <c r="C107" s="176"/>
      <c r="D107" s="52"/>
      <c r="E107" s="52"/>
      <c r="F107" s="52"/>
      <c r="G107" s="52"/>
      <c r="H107" s="52"/>
      <c r="I107" s="177"/>
      <c r="J107" s="177"/>
      <c r="K107" s="52"/>
      <c r="L107" s="52"/>
      <c r="M107" s="52"/>
      <c r="N107" s="52"/>
      <c r="O107" s="52"/>
      <c r="P107" s="178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</row>
    <row r="108">
      <c r="A108" s="52"/>
      <c r="B108" s="52"/>
      <c r="C108" s="176"/>
      <c r="D108" s="52"/>
      <c r="E108" s="52"/>
      <c r="F108" s="52"/>
      <c r="G108" s="52"/>
      <c r="H108" s="52"/>
      <c r="I108" s="177"/>
      <c r="J108" s="177"/>
      <c r="K108" s="52"/>
      <c r="L108" s="52"/>
      <c r="M108" s="52"/>
      <c r="N108" s="52"/>
      <c r="O108" s="52"/>
      <c r="P108" s="178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</row>
    <row r="109">
      <c r="A109" s="52"/>
      <c r="B109" s="52"/>
      <c r="C109" s="176"/>
      <c r="D109" s="52"/>
      <c r="E109" s="52"/>
      <c r="F109" s="52"/>
      <c r="G109" s="52"/>
      <c r="H109" s="52"/>
      <c r="I109" s="177"/>
      <c r="J109" s="177"/>
      <c r="K109" s="52"/>
      <c r="L109" s="52"/>
      <c r="M109" s="52"/>
      <c r="N109" s="52"/>
      <c r="O109" s="52"/>
      <c r="P109" s="178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</row>
    <row r="110">
      <c r="A110" s="52"/>
      <c r="B110" s="52"/>
      <c r="C110" s="176"/>
      <c r="D110" s="52"/>
      <c r="E110" s="52"/>
      <c r="F110" s="52"/>
      <c r="G110" s="52"/>
      <c r="H110" s="52"/>
      <c r="I110" s="177"/>
      <c r="J110" s="177"/>
      <c r="K110" s="52"/>
      <c r="L110" s="52"/>
      <c r="M110" s="52"/>
      <c r="N110" s="52"/>
      <c r="O110" s="52"/>
      <c r="P110" s="178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</row>
    <row r="111">
      <c r="A111" s="52"/>
      <c r="B111" s="52"/>
      <c r="C111" s="176"/>
      <c r="D111" s="52"/>
      <c r="E111" s="52"/>
      <c r="F111" s="52"/>
      <c r="G111" s="52"/>
      <c r="H111" s="52"/>
      <c r="I111" s="177"/>
      <c r="J111" s="177"/>
      <c r="K111" s="52"/>
      <c r="L111" s="52"/>
      <c r="M111" s="52"/>
      <c r="N111" s="52"/>
      <c r="O111" s="52"/>
      <c r="P111" s="178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</row>
    <row r="112">
      <c r="A112" s="52"/>
      <c r="B112" s="52"/>
      <c r="C112" s="176"/>
      <c r="D112" s="52"/>
      <c r="E112" s="52"/>
      <c r="F112" s="52"/>
      <c r="G112" s="52"/>
      <c r="H112" s="52"/>
      <c r="I112" s="177"/>
      <c r="J112" s="177"/>
      <c r="K112" s="52"/>
      <c r="L112" s="52"/>
      <c r="M112" s="52"/>
      <c r="N112" s="52"/>
      <c r="O112" s="52"/>
      <c r="P112" s="178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</row>
    <row r="113">
      <c r="A113" s="52"/>
      <c r="B113" s="52"/>
      <c r="C113" s="176"/>
      <c r="D113" s="52"/>
      <c r="E113" s="52"/>
      <c r="F113" s="52"/>
      <c r="G113" s="52"/>
      <c r="H113" s="52"/>
      <c r="I113" s="177"/>
      <c r="J113" s="177"/>
      <c r="K113" s="52"/>
      <c r="L113" s="52"/>
      <c r="M113" s="52"/>
      <c r="N113" s="52"/>
      <c r="O113" s="52"/>
      <c r="P113" s="178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</row>
    <row r="114">
      <c r="A114" s="52"/>
      <c r="B114" s="52"/>
      <c r="C114" s="176"/>
      <c r="D114" s="52"/>
      <c r="E114" s="52"/>
      <c r="F114" s="52"/>
      <c r="G114" s="52"/>
      <c r="H114" s="52"/>
      <c r="I114" s="177"/>
      <c r="J114" s="177"/>
      <c r="K114" s="52"/>
      <c r="L114" s="52"/>
      <c r="M114" s="52"/>
      <c r="N114" s="52"/>
      <c r="O114" s="52"/>
      <c r="P114" s="178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</row>
    <row r="115">
      <c r="A115" s="52"/>
      <c r="B115" s="52"/>
      <c r="C115" s="176"/>
      <c r="D115" s="52"/>
      <c r="E115" s="52"/>
      <c r="F115" s="52"/>
      <c r="G115" s="52"/>
      <c r="H115" s="52"/>
      <c r="I115" s="177"/>
      <c r="J115" s="177"/>
      <c r="K115" s="52"/>
      <c r="L115" s="52"/>
      <c r="M115" s="52"/>
      <c r="N115" s="52"/>
      <c r="O115" s="52"/>
      <c r="P115" s="178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</row>
    <row r="116">
      <c r="A116" s="52"/>
      <c r="B116" s="52"/>
      <c r="C116" s="176"/>
      <c r="D116" s="52"/>
      <c r="E116" s="52"/>
      <c r="F116" s="52"/>
      <c r="G116" s="52"/>
      <c r="H116" s="52"/>
      <c r="I116" s="177"/>
      <c r="J116" s="177"/>
      <c r="K116" s="52"/>
      <c r="L116" s="52"/>
      <c r="M116" s="52"/>
      <c r="N116" s="52"/>
      <c r="O116" s="52"/>
      <c r="P116" s="178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</row>
    <row r="117">
      <c r="A117" s="52"/>
      <c r="B117" s="52"/>
      <c r="C117" s="176"/>
      <c r="D117" s="52"/>
      <c r="E117" s="52"/>
      <c r="F117" s="52"/>
      <c r="G117" s="52"/>
      <c r="H117" s="52"/>
      <c r="I117" s="177"/>
      <c r="J117" s="177"/>
      <c r="K117" s="52"/>
      <c r="L117" s="52"/>
      <c r="M117" s="52"/>
      <c r="N117" s="52"/>
      <c r="O117" s="52"/>
      <c r="P117" s="178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</row>
    <row r="118">
      <c r="A118" s="52"/>
      <c r="B118" s="52"/>
      <c r="C118" s="179"/>
      <c r="D118" s="52"/>
      <c r="E118" s="52"/>
      <c r="F118" s="52"/>
      <c r="G118" s="52"/>
      <c r="H118" s="52"/>
      <c r="I118" s="177"/>
      <c r="J118" s="177"/>
      <c r="K118" s="52"/>
      <c r="L118" s="52"/>
      <c r="M118" s="52"/>
      <c r="N118" s="52"/>
      <c r="O118" s="52"/>
      <c r="P118" s="178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</row>
    <row r="119">
      <c r="A119" s="52"/>
      <c r="B119" s="52"/>
      <c r="C119" s="179"/>
      <c r="D119" s="52"/>
      <c r="E119" s="52"/>
      <c r="F119" s="52"/>
      <c r="G119" s="52"/>
      <c r="H119" s="52"/>
      <c r="I119" s="177"/>
      <c r="J119" s="177"/>
      <c r="K119" s="52"/>
      <c r="L119" s="52"/>
      <c r="M119" s="52"/>
      <c r="N119" s="52"/>
      <c r="O119" s="52"/>
      <c r="P119" s="178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</row>
    <row r="120">
      <c r="A120" s="52"/>
      <c r="B120" s="52"/>
      <c r="C120" s="179"/>
      <c r="D120" s="52"/>
      <c r="E120" s="52"/>
      <c r="F120" s="52"/>
      <c r="G120" s="52"/>
      <c r="H120" s="52"/>
      <c r="I120" s="177"/>
      <c r="J120" s="177"/>
      <c r="K120" s="52"/>
      <c r="L120" s="52"/>
      <c r="M120" s="52"/>
      <c r="N120" s="52"/>
      <c r="O120" s="52"/>
      <c r="P120" s="178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</row>
    <row r="121">
      <c r="A121" s="52"/>
      <c r="B121" s="52"/>
      <c r="C121" s="179"/>
      <c r="D121" s="52"/>
      <c r="E121" s="52"/>
      <c r="F121" s="52"/>
      <c r="G121" s="52"/>
      <c r="H121" s="52"/>
      <c r="I121" s="177"/>
      <c r="J121" s="177"/>
      <c r="K121" s="52"/>
      <c r="L121" s="52"/>
      <c r="M121" s="52"/>
      <c r="N121" s="52"/>
      <c r="O121" s="52"/>
      <c r="P121" s="178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</row>
    <row r="122">
      <c r="A122" s="52"/>
      <c r="B122" s="52"/>
      <c r="C122" s="179"/>
      <c r="D122" s="52"/>
      <c r="E122" s="52"/>
      <c r="F122" s="52"/>
      <c r="G122" s="52"/>
      <c r="H122" s="52"/>
      <c r="I122" s="177"/>
      <c r="J122" s="177"/>
      <c r="K122" s="52"/>
      <c r="L122" s="52"/>
      <c r="M122" s="52"/>
      <c r="N122" s="52"/>
      <c r="O122" s="52"/>
      <c r="P122" s="178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</row>
    <row r="123">
      <c r="A123" s="52"/>
      <c r="B123" s="52"/>
      <c r="C123" s="179"/>
      <c r="D123" s="52"/>
      <c r="E123" s="52"/>
      <c r="F123" s="52"/>
      <c r="G123" s="52"/>
      <c r="H123" s="52"/>
      <c r="I123" s="177"/>
      <c r="J123" s="177"/>
      <c r="K123" s="52"/>
      <c r="L123" s="52"/>
      <c r="M123" s="52"/>
      <c r="N123" s="52"/>
      <c r="O123" s="52"/>
      <c r="P123" s="178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</row>
    <row r="124">
      <c r="A124" s="52"/>
      <c r="B124" s="52"/>
      <c r="C124" s="179"/>
      <c r="D124" s="52"/>
      <c r="E124" s="52"/>
      <c r="F124" s="52"/>
      <c r="G124" s="52"/>
      <c r="H124" s="52"/>
      <c r="I124" s="177"/>
      <c r="J124" s="177"/>
      <c r="K124" s="52"/>
      <c r="L124" s="52"/>
      <c r="M124" s="52"/>
      <c r="N124" s="52"/>
      <c r="O124" s="52"/>
      <c r="P124" s="178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</row>
    <row r="125">
      <c r="A125" s="52"/>
      <c r="B125" s="52"/>
      <c r="C125" s="179"/>
      <c r="D125" s="52"/>
      <c r="E125" s="52"/>
      <c r="F125" s="52"/>
      <c r="G125" s="52"/>
      <c r="H125" s="52"/>
      <c r="I125" s="177"/>
      <c r="J125" s="177"/>
      <c r="K125" s="52"/>
      <c r="L125" s="52"/>
      <c r="M125" s="52"/>
      <c r="N125" s="52"/>
      <c r="O125" s="52"/>
      <c r="P125" s="178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</row>
    <row r="126">
      <c r="A126" s="52"/>
      <c r="B126" s="52"/>
      <c r="C126" s="179"/>
      <c r="D126" s="52"/>
      <c r="E126" s="52"/>
      <c r="F126" s="52"/>
      <c r="G126" s="52"/>
      <c r="H126" s="52"/>
      <c r="I126" s="177"/>
      <c r="J126" s="177"/>
      <c r="K126" s="52"/>
      <c r="L126" s="52"/>
      <c r="M126" s="52"/>
      <c r="N126" s="52"/>
      <c r="O126" s="52"/>
      <c r="P126" s="178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</row>
    <row r="127">
      <c r="A127" s="52"/>
      <c r="B127" s="52"/>
      <c r="C127" s="179"/>
      <c r="D127" s="52"/>
      <c r="E127" s="52"/>
      <c r="F127" s="52"/>
      <c r="G127" s="52"/>
      <c r="H127" s="52"/>
      <c r="I127" s="177"/>
      <c r="J127" s="177"/>
      <c r="K127" s="52"/>
      <c r="L127" s="52"/>
      <c r="M127" s="52"/>
      <c r="N127" s="52"/>
      <c r="O127" s="52"/>
      <c r="P127" s="178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</row>
    <row r="128">
      <c r="A128" s="52"/>
      <c r="B128" s="52"/>
      <c r="C128" s="179"/>
      <c r="D128" s="52"/>
      <c r="E128" s="52"/>
      <c r="F128" s="52"/>
      <c r="G128" s="52"/>
      <c r="H128" s="52"/>
      <c r="I128" s="177"/>
      <c r="J128" s="177"/>
      <c r="K128" s="52"/>
      <c r="L128" s="52"/>
      <c r="M128" s="52"/>
      <c r="N128" s="52"/>
      <c r="O128" s="52"/>
      <c r="P128" s="178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</row>
    <row r="129">
      <c r="A129" s="52"/>
      <c r="B129" s="52"/>
      <c r="C129" s="179"/>
      <c r="D129" s="52"/>
      <c r="E129" s="52"/>
      <c r="F129" s="52"/>
      <c r="G129" s="52"/>
      <c r="H129" s="52"/>
      <c r="I129" s="177"/>
      <c r="J129" s="177"/>
      <c r="K129" s="52"/>
      <c r="L129" s="52"/>
      <c r="M129" s="52"/>
      <c r="N129" s="52"/>
      <c r="O129" s="52"/>
      <c r="P129" s="178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</row>
    <row r="130">
      <c r="A130" s="52"/>
      <c r="B130" s="52"/>
      <c r="C130" s="179"/>
      <c r="D130" s="52"/>
      <c r="E130" s="52"/>
      <c r="F130" s="52"/>
      <c r="G130" s="52"/>
      <c r="H130" s="52"/>
      <c r="I130" s="177"/>
      <c r="J130" s="177"/>
      <c r="K130" s="52"/>
      <c r="L130" s="52"/>
      <c r="M130" s="52"/>
      <c r="N130" s="52"/>
      <c r="O130" s="52"/>
      <c r="P130" s="178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</row>
    <row r="131">
      <c r="A131" s="52"/>
      <c r="B131" s="52"/>
      <c r="C131" s="179"/>
      <c r="D131" s="52"/>
      <c r="E131" s="52"/>
      <c r="F131" s="52"/>
      <c r="G131" s="52"/>
      <c r="H131" s="52"/>
      <c r="I131" s="177"/>
      <c r="J131" s="177"/>
      <c r="K131" s="52"/>
      <c r="L131" s="52"/>
      <c r="M131" s="52"/>
      <c r="N131" s="52"/>
      <c r="O131" s="52"/>
      <c r="P131" s="178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</row>
    <row r="132">
      <c r="A132" s="52"/>
      <c r="B132" s="52"/>
      <c r="C132" s="179"/>
      <c r="D132" s="52"/>
      <c r="E132" s="52"/>
      <c r="F132" s="52"/>
      <c r="G132" s="52"/>
      <c r="H132" s="52"/>
      <c r="I132" s="177"/>
      <c r="J132" s="177"/>
      <c r="K132" s="52"/>
      <c r="L132" s="52"/>
      <c r="M132" s="52"/>
      <c r="N132" s="52"/>
      <c r="O132" s="52"/>
      <c r="P132" s="178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</row>
    <row r="133">
      <c r="A133" s="52"/>
      <c r="B133" s="52"/>
      <c r="C133" s="179"/>
      <c r="D133" s="52"/>
      <c r="E133" s="52"/>
      <c r="F133" s="52"/>
      <c r="G133" s="52"/>
      <c r="H133" s="52"/>
      <c r="I133" s="177"/>
      <c r="J133" s="177"/>
      <c r="K133" s="52"/>
      <c r="L133" s="52"/>
      <c r="M133" s="52"/>
      <c r="N133" s="52"/>
      <c r="O133" s="52"/>
      <c r="P133" s="178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</row>
    <row r="134">
      <c r="A134" s="52"/>
      <c r="B134" s="52"/>
      <c r="C134" s="179"/>
      <c r="D134" s="52"/>
      <c r="E134" s="52"/>
      <c r="F134" s="52"/>
      <c r="G134" s="52"/>
      <c r="H134" s="52"/>
      <c r="I134" s="177"/>
      <c r="J134" s="177"/>
      <c r="K134" s="52"/>
      <c r="L134" s="52"/>
      <c r="M134" s="52"/>
      <c r="N134" s="52"/>
      <c r="O134" s="52"/>
      <c r="P134" s="178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</row>
    <row r="135">
      <c r="A135" s="52"/>
      <c r="B135" s="52"/>
      <c r="C135" s="179"/>
      <c r="D135" s="52"/>
      <c r="E135" s="52"/>
      <c r="F135" s="52"/>
      <c r="G135" s="52"/>
      <c r="H135" s="52"/>
      <c r="I135" s="177"/>
      <c r="J135" s="177"/>
      <c r="K135" s="52"/>
      <c r="L135" s="52"/>
      <c r="M135" s="52"/>
      <c r="N135" s="52"/>
      <c r="O135" s="52"/>
      <c r="P135" s="178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</row>
    <row r="136">
      <c r="A136" s="52"/>
      <c r="B136" s="52"/>
      <c r="C136" s="179"/>
      <c r="D136" s="52"/>
      <c r="E136" s="52"/>
      <c r="F136" s="52"/>
      <c r="G136" s="52"/>
      <c r="H136" s="52"/>
      <c r="I136" s="177"/>
      <c r="J136" s="177"/>
      <c r="K136" s="52"/>
      <c r="L136" s="52"/>
      <c r="M136" s="52"/>
      <c r="N136" s="52"/>
      <c r="O136" s="52"/>
      <c r="P136" s="178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</row>
    <row r="137">
      <c r="A137" s="52"/>
      <c r="B137" s="52"/>
      <c r="C137" s="179"/>
      <c r="D137" s="52"/>
      <c r="E137" s="52"/>
      <c r="F137" s="52"/>
      <c r="G137" s="52"/>
      <c r="H137" s="52"/>
      <c r="I137" s="177"/>
      <c r="J137" s="177"/>
      <c r="K137" s="52"/>
      <c r="L137" s="52"/>
      <c r="M137" s="52"/>
      <c r="N137" s="52"/>
      <c r="O137" s="52"/>
      <c r="P137" s="178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</row>
    <row r="138">
      <c r="A138" s="52"/>
      <c r="B138" s="52"/>
      <c r="C138" s="179"/>
      <c r="D138" s="52"/>
      <c r="E138" s="52"/>
      <c r="F138" s="52"/>
      <c r="G138" s="52"/>
      <c r="H138" s="52"/>
      <c r="I138" s="177"/>
      <c r="J138" s="177"/>
      <c r="K138" s="52"/>
      <c r="L138" s="52"/>
      <c r="M138" s="52"/>
      <c r="N138" s="52"/>
      <c r="O138" s="52"/>
      <c r="P138" s="178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</row>
    <row r="139">
      <c r="A139" s="52"/>
      <c r="B139" s="52"/>
      <c r="C139" s="179"/>
      <c r="D139" s="52"/>
      <c r="E139" s="52"/>
      <c r="F139" s="52"/>
      <c r="G139" s="52"/>
      <c r="H139" s="52"/>
      <c r="I139" s="177"/>
      <c r="J139" s="177"/>
      <c r="K139" s="52"/>
      <c r="L139" s="52"/>
      <c r="M139" s="52"/>
      <c r="N139" s="52"/>
      <c r="O139" s="52"/>
      <c r="P139" s="178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</row>
    <row r="140">
      <c r="A140" s="52"/>
      <c r="B140" s="52"/>
      <c r="C140" s="179"/>
      <c r="D140" s="52"/>
      <c r="E140" s="52"/>
      <c r="F140" s="52"/>
      <c r="G140" s="52"/>
      <c r="H140" s="52"/>
      <c r="I140" s="177"/>
      <c r="J140" s="177"/>
      <c r="K140" s="52"/>
      <c r="L140" s="52"/>
      <c r="M140" s="52"/>
      <c r="N140" s="52"/>
      <c r="O140" s="52"/>
      <c r="P140" s="178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</row>
    <row r="141">
      <c r="A141" s="52"/>
      <c r="B141" s="52"/>
      <c r="C141" s="179"/>
      <c r="D141" s="52"/>
      <c r="E141" s="52"/>
      <c r="F141" s="52"/>
      <c r="G141" s="52"/>
      <c r="H141" s="52"/>
      <c r="I141" s="177"/>
      <c r="J141" s="177"/>
      <c r="K141" s="52"/>
      <c r="L141" s="52"/>
      <c r="M141" s="52"/>
      <c r="N141" s="52"/>
      <c r="O141" s="52"/>
      <c r="P141" s="178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</row>
    <row r="142">
      <c r="A142" s="52"/>
      <c r="B142" s="52"/>
      <c r="C142" s="179"/>
      <c r="D142" s="52"/>
      <c r="E142" s="52"/>
      <c r="F142" s="52"/>
      <c r="G142" s="52"/>
      <c r="H142" s="52"/>
      <c r="I142" s="177"/>
      <c r="J142" s="177"/>
      <c r="K142" s="52"/>
      <c r="L142" s="52"/>
      <c r="M142" s="52"/>
      <c r="N142" s="52"/>
      <c r="O142" s="52"/>
      <c r="P142" s="178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</row>
    <row r="143">
      <c r="A143" s="52"/>
      <c r="B143" s="52"/>
      <c r="C143" s="179"/>
      <c r="D143" s="52"/>
      <c r="E143" s="52"/>
      <c r="F143" s="52"/>
      <c r="G143" s="52"/>
      <c r="H143" s="52"/>
      <c r="I143" s="177"/>
      <c r="J143" s="177"/>
      <c r="K143" s="52"/>
      <c r="L143" s="52"/>
      <c r="M143" s="52"/>
      <c r="N143" s="52"/>
      <c r="O143" s="52"/>
      <c r="P143" s="178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</row>
    <row r="144">
      <c r="A144" s="52"/>
      <c r="B144" s="52"/>
      <c r="C144" s="179"/>
      <c r="D144" s="52"/>
      <c r="E144" s="52"/>
      <c r="F144" s="52"/>
      <c r="G144" s="52"/>
      <c r="H144" s="52"/>
      <c r="I144" s="177"/>
      <c r="J144" s="177"/>
      <c r="K144" s="52"/>
      <c r="L144" s="52"/>
      <c r="M144" s="52"/>
      <c r="N144" s="52"/>
      <c r="O144" s="52"/>
      <c r="P144" s="178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</row>
    <row r="145">
      <c r="A145" s="52"/>
      <c r="B145" s="52"/>
      <c r="C145" s="179"/>
      <c r="D145" s="52"/>
      <c r="E145" s="52"/>
      <c r="F145" s="52"/>
      <c r="G145" s="52"/>
      <c r="H145" s="52"/>
      <c r="I145" s="177"/>
      <c r="J145" s="177"/>
      <c r="K145" s="52"/>
      <c r="L145" s="52"/>
      <c r="M145" s="52"/>
      <c r="N145" s="52"/>
      <c r="O145" s="52"/>
      <c r="P145" s="178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</row>
    <row r="146">
      <c r="A146" s="52"/>
      <c r="B146" s="52"/>
      <c r="C146" s="179"/>
      <c r="D146" s="52"/>
      <c r="E146" s="52"/>
      <c r="F146" s="52"/>
      <c r="G146" s="52"/>
      <c r="H146" s="52"/>
      <c r="I146" s="177"/>
      <c r="J146" s="177"/>
      <c r="K146" s="52"/>
      <c r="L146" s="52"/>
      <c r="M146" s="52"/>
      <c r="N146" s="52"/>
      <c r="O146" s="52"/>
      <c r="P146" s="178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</row>
    <row r="147">
      <c r="A147" s="52"/>
      <c r="B147" s="52"/>
      <c r="C147" s="179"/>
      <c r="D147" s="52"/>
      <c r="E147" s="52"/>
      <c r="F147" s="52"/>
      <c r="G147" s="52"/>
      <c r="H147" s="52"/>
      <c r="I147" s="177"/>
      <c r="J147" s="177"/>
      <c r="K147" s="52"/>
      <c r="L147" s="52"/>
      <c r="M147" s="52"/>
      <c r="N147" s="52"/>
      <c r="O147" s="52"/>
      <c r="P147" s="178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</row>
    <row r="148">
      <c r="A148" s="52"/>
      <c r="B148" s="52"/>
      <c r="C148" s="179"/>
      <c r="D148" s="52"/>
      <c r="E148" s="52"/>
      <c r="F148" s="52"/>
      <c r="G148" s="52"/>
      <c r="H148" s="52"/>
      <c r="I148" s="177"/>
      <c r="J148" s="177"/>
      <c r="K148" s="52"/>
      <c r="L148" s="52"/>
      <c r="M148" s="52"/>
      <c r="N148" s="52"/>
      <c r="O148" s="52"/>
      <c r="P148" s="178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</row>
    <row r="149">
      <c r="A149" s="52"/>
      <c r="B149" s="52"/>
      <c r="C149" s="179"/>
      <c r="D149" s="52"/>
      <c r="E149" s="52"/>
      <c r="F149" s="52"/>
      <c r="G149" s="52"/>
      <c r="H149" s="52"/>
      <c r="I149" s="177"/>
      <c r="J149" s="177"/>
      <c r="K149" s="52"/>
      <c r="L149" s="52"/>
      <c r="M149" s="52"/>
      <c r="N149" s="52"/>
      <c r="O149" s="52"/>
      <c r="P149" s="178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</row>
    <row r="150">
      <c r="A150" s="52"/>
      <c r="B150" s="52"/>
      <c r="C150" s="179"/>
      <c r="D150" s="52"/>
      <c r="E150" s="52"/>
      <c r="F150" s="52"/>
      <c r="G150" s="52"/>
      <c r="H150" s="52"/>
      <c r="I150" s="177"/>
      <c r="J150" s="177"/>
      <c r="K150" s="52"/>
      <c r="L150" s="52"/>
      <c r="M150" s="52"/>
      <c r="N150" s="52"/>
      <c r="O150" s="52"/>
      <c r="P150" s="178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</row>
    <row r="151">
      <c r="A151" s="52"/>
      <c r="B151" s="52"/>
      <c r="C151" s="179"/>
      <c r="D151" s="52"/>
      <c r="E151" s="52"/>
      <c r="F151" s="52"/>
      <c r="G151" s="52"/>
      <c r="H151" s="52"/>
      <c r="I151" s="177"/>
      <c r="J151" s="177"/>
      <c r="K151" s="52"/>
      <c r="L151" s="52"/>
      <c r="M151" s="52"/>
      <c r="N151" s="52"/>
      <c r="O151" s="52"/>
      <c r="P151" s="178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</row>
    <row r="152">
      <c r="A152" s="52"/>
      <c r="B152" s="52"/>
      <c r="C152" s="179"/>
      <c r="D152" s="52"/>
      <c r="E152" s="52"/>
      <c r="F152" s="52"/>
      <c r="G152" s="52"/>
      <c r="H152" s="52"/>
      <c r="I152" s="177"/>
      <c r="J152" s="177"/>
      <c r="K152" s="52"/>
      <c r="L152" s="52"/>
      <c r="M152" s="52"/>
      <c r="N152" s="52"/>
      <c r="O152" s="52"/>
      <c r="P152" s="178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</row>
    <row r="153">
      <c r="A153" s="52"/>
      <c r="B153" s="52"/>
      <c r="C153" s="179"/>
      <c r="D153" s="52"/>
      <c r="E153" s="52"/>
      <c r="F153" s="52"/>
      <c r="G153" s="52"/>
      <c r="H153" s="52"/>
      <c r="I153" s="177"/>
      <c r="J153" s="177"/>
      <c r="K153" s="52"/>
      <c r="L153" s="52"/>
      <c r="M153" s="52"/>
      <c r="N153" s="52"/>
      <c r="O153" s="52"/>
      <c r="P153" s="178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</row>
    <row r="154">
      <c r="A154" s="52"/>
      <c r="B154" s="52"/>
      <c r="C154" s="179"/>
      <c r="D154" s="52"/>
      <c r="E154" s="52"/>
      <c r="F154" s="52"/>
      <c r="G154" s="52"/>
      <c r="H154" s="52"/>
      <c r="I154" s="177"/>
      <c r="J154" s="177"/>
      <c r="K154" s="52"/>
      <c r="L154" s="52"/>
      <c r="M154" s="52"/>
      <c r="N154" s="52"/>
      <c r="O154" s="52"/>
      <c r="P154" s="178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</row>
    <row r="155">
      <c r="A155" s="52"/>
      <c r="B155" s="52"/>
      <c r="C155" s="179"/>
      <c r="D155" s="52"/>
      <c r="E155" s="52"/>
      <c r="F155" s="52"/>
      <c r="G155" s="52"/>
      <c r="H155" s="52"/>
      <c r="I155" s="177"/>
      <c r="J155" s="177"/>
      <c r="K155" s="52"/>
      <c r="L155" s="52"/>
      <c r="M155" s="52"/>
      <c r="N155" s="52"/>
      <c r="O155" s="52"/>
      <c r="P155" s="178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</row>
    <row r="156">
      <c r="A156" s="52"/>
      <c r="B156" s="52"/>
      <c r="C156" s="179"/>
      <c r="D156" s="52"/>
      <c r="E156" s="52"/>
      <c r="F156" s="52"/>
      <c r="G156" s="52"/>
      <c r="H156" s="52"/>
      <c r="I156" s="177"/>
      <c r="J156" s="177"/>
      <c r="K156" s="52"/>
      <c r="L156" s="52"/>
      <c r="M156" s="52"/>
      <c r="N156" s="52"/>
      <c r="O156" s="52"/>
      <c r="P156" s="178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</row>
    <row r="157">
      <c r="A157" s="52"/>
      <c r="B157" s="52"/>
      <c r="C157" s="179"/>
      <c r="D157" s="52"/>
      <c r="E157" s="52"/>
      <c r="F157" s="52"/>
      <c r="G157" s="52"/>
      <c r="H157" s="52"/>
      <c r="I157" s="177"/>
      <c r="J157" s="177"/>
      <c r="K157" s="52"/>
      <c r="L157" s="52"/>
      <c r="M157" s="52"/>
      <c r="N157" s="52"/>
      <c r="O157" s="52"/>
      <c r="P157" s="178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</row>
    <row r="158">
      <c r="A158" s="52"/>
      <c r="B158" s="52"/>
      <c r="C158" s="179"/>
      <c r="D158" s="52"/>
      <c r="E158" s="52"/>
      <c r="F158" s="52"/>
      <c r="G158" s="52"/>
      <c r="H158" s="52"/>
      <c r="I158" s="177"/>
      <c r="J158" s="177"/>
      <c r="K158" s="52"/>
      <c r="L158" s="52"/>
      <c r="M158" s="52"/>
      <c r="N158" s="52"/>
      <c r="O158" s="52"/>
      <c r="P158" s="178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</row>
    <row r="159">
      <c r="A159" s="52"/>
      <c r="B159" s="52"/>
      <c r="C159" s="179"/>
      <c r="D159" s="52"/>
      <c r="E159" s="52"/>
      <c r="F159" s="52"/>
      <c r="G159" s="52"/>
      <c r="H159" s="52"/>
      <c r="I159" s="177"/>
      <c r="J159" s="177"/>
      <c r="K159" s="52"/>
      <c r="L159" s="52"/>
      <c r="M159" s="52"/>
      <c r="N159" s="52"/>
      <c r="O159" s="52"/>
      <c r="P159" s="178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</row>
    <row r="160">
      <c r="A160" s="52"/>
      <c r="B160" s="52"/>
      <c r="C160" s="179"/>
      <c r="D160" s="52"/>
      <c r="E160" s="52"/>
      <c r="F160" s="52"/>
      <c r="G160" s="52"/>
      <c r="H160" s="52"/>
      <c r="I160" s="177"/>
      <c r="J160" s="177"/>
      <c r="K160" s="52"/>
      <c r="L160" s="52"/>
      <c r="M160" s="52"/>
      <c r="N160" s="52"/>
      <c r="O160" s="52"/>
      <c r="P160" s="178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</row>
    <row r="161">
      <c r="A161" s="52"/>
      <c r="B161" s="52"/>
      <c r="C161" s="179"/>
      <c r="D161" s="52"/>
      <c r="E161" s="52"/>
      <c r="F161" s="52"/>
      <c r="G161" s="52"/>
      <c r="H161" s="52"/>
      <c r="I161" s="177"/>
      <c r="J161" s="177"/>
      <c r="K161" s="52"/>
      <c r="L161" s="52"/>
      <c r="M161" s="52"/>
      <c r="N161" s="52"/>
      <c r="O161" s="52"/>
      <c r="P161" s="178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</row>
    <row r="162">
      <c r="A162" s="52"/>
      <c r="B162" s="52"/>
      <c r="C162" s="179"/>
      <c r="D162" s="52"/>
      <c r="E162" s="52"/>
      <c r="F162" s="52"/>
      <c r="G162" s="52"/>
      <c r="H162" s="52"/>
      <c r="I162" s="177"/>
      <c r="J162" s="177"/>
      <c r="K162" s="52"/>
      <c r="L162" s="52"/>
      <c r="M162" s="52"/>
      <c r="N162" s="52"/>
      <c r="O162" s="52"/>
      <c r="P162" s="178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</row>
    <row r="163">
      <c r="A163" s="52"/>
      <c r="B163" s="52"/>
      <c r="C163" s="179"/>
      <c r="D163" s="52"/>
      <c r="E163" s="52"/>
      <c r="F163" s="52"/>
      <c r="G163" s="52"/>
      <c r="H163" s="52"/>
      <c r="I163" s="177"/>
      <c r="J163" s="177"/>
      <c r="K163" s="52"/>
      <c r="L163" s="52"/>
      <c r="M163" s="52"/>
      <c r="N163" s="52"/>
      <c r="O163" s="52"/>
      <c r="P163" s="178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</row>
    <row r="164">
      <c r="A164" s="52"/>
      <c r="B164" s="52"/>
      <c r="C164" s="179"/>
      <c r="D164" s="52"/>
      <c r="E164" s="52"/>
      <c r="F164" s="52"/>
      <c r="G164" s="52"/>
      <c r="H164" s="52"/>
      <c r="I164" s="177"/>
      <c r="J164" s="177"/>
      <c r="K164" s="52"/>
      <c r="L164" s="52"/>
      <c r="M164" s="52"/>
      <c r="N164" s="52"/>
      <c r="O164" s="52"/>
      <c r="P164" s="178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</row>
    <row r="165">
      <c r="A165" s="52"/>
      <c r="B165" s="52"/>
      <c r="C165" s="179"/>
      <c r="D165" s="52"/>
      <c r="E165" s="52"/>
      <c r="F165" s="52"/>
      <c r="G165" s="52"/>
      <c r="H165" s="52"/>
      <c r="I165" s="177"/>
      <c r="J165" s="177"/>
      <c r="K165" s="52"/>
      <c r="L165" s="52"/>
      <c r="M165" s="52"/>
      <c r="N165" s="52"/>
      <c r="O165" s="52"/>
      <c r="P165" s="178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</row>
    <row r="166">
      <c r="A166" s="52"/>
      <c r="B166" s="52"/>
      <c r="C166" s="179"/>
      <c r="D166" s="52"/>
      <c r="E166" s="52"/>
      <c r="F166" s="52"/>
      <c r="G166" s="52"/>
      <c r="H166" s="52"/>
      <c r="I166" s="177"/>
      <c r="J166" s="177"/>
      <c r="K166" s="52"/>
      <c r="L166" s="52"/>
      <c r="M166" s="52"/>
      <c r="N166" s="52"/>
      <c r="O166" s="52"/>
      <c r="P166" s="178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</row>
    <row r="167">
      <c r="A167" s="52"/>
      <c r="B167" s="52"/>
      <c r="C167" s="179"/>
      <c r="D167" s="52"/>
      <c r="E167" s="52"/>
      <c r="F167" s="52"/>
      <c r="G167" s="52"/>
      <c r="H167" s="52"/>
      <c r="I167" s="177"/>
      <c r="J167" s="177"/>
      <c r="K167" s="52"/>
      <c r="L167" s="52"/>
      <c r="M167" s="52"/>
      <c r="N167" s="52"/>
      <c r="O167" s="52"/>
      <c r="P167" s="178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</row>
    <row r="168">
      <c r="A168" s="52"/>
      <c r="B168" s="52"/>
      <c r="C168" s="179"/>
      <c r="D168" s="52"/>
      <c r="E168" s="52"/>
      <c r="F168" s="52"/>
      <c r="G168" s="52"/>
      <c r="H168" s="52"/>
      <c r="I168" s="177"/>
      <c r="J168" s="177"/>
      <c r="K168" s="52"/>
      <c r="L168" s="52"/>
      <c r="M168" s="52"/>
      <c r="N168" s="52"/>
      <c r="O168" s="52"/>
      <c r="P168" s="178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</row>
    <row r="169">
      <c r="A169" s="52"/>
      <c r="B169" s="52"/>
      <c r="C169" s="179"/>
      <c r="D169" s="52"/>
      <c r="E169" s="52"/>
      <c r="F169" s="52"/>
      <c r="G169" s="52"/>
      <c r="H169" s="52"/>
      <c r="I169" s="177"/>
      <c r="J169" s="177"/>
      <c r="K169" s="52"/>
      <c r="L169" s="52"/>
      <c r="M169" s="52"/>
      <c r="N169" s="52"/>
      <c r="O169" s="52"/>
      <c r="P169" s="178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</row>
    <row r="170">
      <c r="A170" s="52"/>
      <c r="B170" s="52"/>
      <c r="C170" s="179"/>
      <c r="D170" s="52"/>
      <c r="E170" s="52"/>
      <c r="F170" s="52"/>
      <c r="G170" s="52"/>
      <c r="H170" s="52"/>
      <c r="I170" s="177"/>
      <c r="J170" s="177"/>
      <c r="K170" s="52"/>
      <c r="L170" s="52"/>
      <c r="M170" s="52"/>
      <c r="N170" s="52"/>
      <c r="O170" s="52"/>
      <c r="P170" s="178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</row>
    <row r="171">
      <c r="A171" s="52"/>
      <c r="B171" s="52"/>
      <c r="C171" s="179"/>
      <c r="D171" s="52"/>
      <c r="E171" s="52"/>
      <c r="F171" s="52"/>
      <c r="G171" s="52"/>
      <c r="H171" s="52"/>
      <c r="I171" s="177"/>
      <c r="J171" s="177"/>
      <c r="K171" s="52"/>
      <c r="L171" s="52"/>
      <c r="M171" s="52"/>
      <c r="N171" s="52"/>
      <c r="O171" s="52"/>
      <c r="P171" s="178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</row>
    <row r="172">
      <c r="A172" s="52"/>
      <c r="B172" s="52"/>
      <c r="C172" s="179"/>
      <c r="D172" s="52"/>
      <c r="E172" s="52"/>
      <c r="F172" s="52"/>
      <c r="G172" s="52"/>
      <c r="H172" s="52"/>
      <c r="I172" s="177"/>
      <c r="J172" s="177"/>
      <c r="K172" s="52"/>
      <c r="L172" s="52"/>
      <c r="M172" s="52"/>
      <c r="N172" s="52"/>
      <c r="O172" s="52"/>
      <c r="P172" s="178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</row>
    <row r="173">
      <c r="A173" s="52"/>
      <c r="B173" s="52"/>
      <c r="C173" s="179"/>
      <c r="D173" s="52"/>
      <c r="E173" s="52"/>
      <c r="F173" s="52"/>
      <c r="G173" s="52"/>
      <c r="H173" s="52"/>
      <c r="I173" s="177"/>
      <c r="J173" s="177"/>
      <c r="K173" s="52"/>
      <c r="L173" s="52"/>
      <c r="M173" s="52"/>
      <c r="N173" s="52"/>
      <c r="O173" s="52"/>
      <c r="P173" s="178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</row>
    <row r="174">
      <c r="A174" s="52"/>
      <c r="B174" s="52"/>
      <c r="C174" s="179"/>
      <c r="D174" s="52"/>
      <c r="E174" s="52"/>
      <c r="F174" s="52"/>
      <c r="G174" s="52"/>
      <c r="H174" s="52"/>
      <c r="I174" s="177"/>
      <c r="J174" s="177"/>
      <c r="K174" s="52"/>
      <c r="L174" s="52"/>
      <c r="M174" s="52"/>
      <c r="N174" s="52"/>
      <c r="O174" s="52"/>
      <c r="P174" s="178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</row>
    <row r="175">
      <c r="A175" s="52"/>
      <c r="B175" s="52"/>
      <c r="C175" s="179"/>
      <c r="D175" s="52"/>
      <c r="E175" s="52"/>
      <c r="F175" s="52"/>
      <c r="G175" s="52"/>
      <c r="H175" s="52"/>
      <c r="I175" s="177"/>
      <c r="J175" s="177"/>
      <c r="K175" s="52"/>
      <c r="L175" s="52"/>
      <c r="M175" s="52"/>
      <c r="N175" s="52"/>
      <c r="O175" s="52"/>
      <c r="P175" s="178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</row>
    <row r="176">
      <c r="A176" s="52"/>
      <c r="B176" s="52"/>
      <c r="C176" s="179"/>
      <c r="D176" s="52"/>
      <c r="E176" s="52"/>
      <c r="F176" s="52"/>
      <c r="G176" s="52"/>
      <c r="H176" s="52"/>
      <c r="I176" s="177"/>
      <c r="J176" s="177"/>
      <c r="K176" s="52"/>
      <c r="L176" s="52"/>
      <c r="M176" s="52"/>
      <c r="N176" s="52"/>
      <c r="O176" s="52"/>
      <c r="P176" s="178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</row>
    <row r="177">
      <c r="A177" s="52"/>
      <c r="B177" s="52"/>
      <c r="C177" s="179"/>
      <c r="D177" s="52"/>
      <c r="E177" s="52"/>
      <c r="F177" s="52"/>
      <c r="G177" s="52"/>
      <c r="H177" s="52"/>
      <c r="I177" s="177"/>
      <c r="J177" s="177"/>
      <c r="K177" s="52"/>
      <c r="L177" s="52"/>
      <c r="M177" s="52"/>
      <c r="N177" s="52"/>
      <c r="O177" s="52"/>
      <c r="P177" s="178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</row>
    <row r="178">
      <c r="A178" s="52"/>
      <c r="B178" s="52"/>
      <c r="C178" s="179"/>
      <c r="D178" s="52"/>
      <c r="E178" s="52"/>
      <c r="F178" s="52"/>
      <c r="G178" s="52"/>
      <c r="H178" s="52"/>
      <c r="I178" s="177"/>
      <c r="J178" s="177"/>
      <c r="K178" s="52"/>
      <c r="L178" s="52"/>
      <c r="M178" s="52"/>
      <c r="N178" s="52"/>
      <c r="O178" s="52"/>
      <c r="P178" s="178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</row>
    <row r="179">
      <c r="A179" s="52"/>
      <c r="B179" s="52"/>
      <c r="C179" s="179"/>
      <c r="D179" s="52"/>
      <c r="E179" s="52"/>
      <c r="F179" s="52"/>
      <c r="G179" s="52"/>
      <c r="H179" s="52"/>
      <c r="I179" s="177"/>
      <c r="J179" s="177"/>
      <c r="K179" s="52"/>
      <c r="L179" s="52"/>
      <c r="M179" s="52"/>
      <c r="N179" s="52"/>
      <c r="O179" s="52"/>
      <c r="P179" s="178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</row>
    <row r="180">
      <c r="A180" s="52"/>
      <c r="B180" s="52"/>
      <c r="C180" s="179"/>
      <c r="D180" s="52"/>
      <c r="E180" s="52"/>
      <c r="F180" s="52"/>
      <c r="G180" s="52"/>
      <c r="H180" s="52"/>
      <c r="I180" s="177"/>
      <c r="J180" s="177"/>
      <c r="K180" s="52"/>
      <c r="L180" s="52"/>
      <c r="M180" s="52"/>
      <c r="N180" s="52"/>
      <c r="O180" s="52"/>
      <c r="P180" s="178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</row>
    <row r="181">
      <c r="A181" s="52"/>
      <c r="B181" s="52"/>
      <c r="C181" s="179"/>
      <c r="D181" s="52"/>
      <c r="E181" s="52"/>
      <c r="F181" s="52"/>
      <c r="G181" s="52"/>
      <c r="H181" s="52"/>
      <c r="I181" s="177"/>
      <c r="J181" s="177"/>
      <c r="K181" s="52"/>
      <c r="L181" s="52"/>
      <c r="M181" s="52"/>
      <c r="N181" s="52"/>
      <c r="O181" s="52"/>
      <c r="P181" s="178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</row>
    <row r="182">
      <c r="A182" s="52"/>
      <c r="B182" s="52"/>
      <c r="C182" s="179"/>
      <c r="D182" s="52"/>
      <c r="E182" s="52"/>
      <c r="F182" s="52"/>
      <c r="G182" s="52"/>
      <c r="H182" s="52"/>
      <c r="I182" s="177"/>
      <c r="J182" s="177"/>
      <c r="K182" s="52"/>
      <c r="L182" s="52"/>
      <c r="M182" s="52"/>
      <c r="N182" s="52"/>
      <c r="O182" s="52"/>
      <c r="P182" s="178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</row>
    <row r="183">
      <c r="A183" s="52"/>
      <c r="B183" s="52"/>
      <c r="C183" s="179"/>
      <c r="D183" s="52"/>
      <c r="E183" s="52"/>
      <c r="F183" s="52"/>
      <c r="G183" s="52"/>
      <c r="H183" s="52"/>
      <c r="I183" s="177"/>
      <c r="J183" s="177"/>
      <c r="K183" s="52"/>
      <c r="L183" s="52"/>
      <c r="M183" s="52"/>
      <c r="N183" s="52"/>
      <c r="O183" s="52"/>
      <c r="P183" s="178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</row>
    <row r="184">
      <c r="A184" s="52"/>
      <c r="B184" s="52"/>
      <c r="C184" s="179"/>
      <c r="D184" s="52"/>
      <c r="E184" s="52"/>
      <c r="F184" s="52"/>
      <c r="G184" s="52"/>
      <c r="H184" s="52"/>
      <c r="I184" s="177"/>
      <c r="J184" s="177"/>
      <c r="K184" s="52"/>
      <c r="L184" s="52"/>
      <c r="M184" s="52"/>
      <c r="N184" s="52"/>
      <c r="O184" s="52"/>
      <c r="P184" s="178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</row>
    <row r="185">
      <c r="A185" s="52"/>
      <c r="B185" s="52"/>
      <c r="C185" s="179"/>
      <c r="D185" s="52"/>
      <c r="E185" s="52"/>
      <c r="F185" s="52"/>
      <c r="G185" s="52"/>
      <c r="H185" s="52"/>
      <c r="I185" s="177"/>
      <c r="J185" s="177"/>
      <c r="K185" s="52"/>
      <c r="L185" s="52"/>
      <c r="M185" s="52"/>
      <c r="N185" s="52"/>
      <c r="O185" s="52"/>
      <c r="P185" s="178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</row>
    <row r="186">
      <c r="A186" s="52"/>
      <c r="B186" s="52"/>
      <c r="C186" s="179"/>
      <c r="D186" s="52"/>
      <c r="E186" s="52"/>
      <c r="F186" s="52"/>
      <c r="G186" s="52"/>
      <c r="H186" s="52"/>
      <c r="I186" s="177"/>
      <c r="J186" s="177"/>
      <c r="K186" s="52"/>
      <c r="L186" s="52"/>
      <c r="M186" s="52"/>
      <c r="N186" s="52"/>
      <c r="O186" s="52"/>
      <c r="P186" s="178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</row>
    <row r="187">
      <c r="A187" s="52"/>
      <c r="B187" s="52"/>
      <c r="C187" s="179"/>
      <c r="D187" s="52"/>
      <c r="E187" s="52"/>
      <c r="F187" s="52"/>
      <c r="G187" s="52"/>
      <c r="H187" s="52"/>
      <c r="I187" s="177"/>
      <c r="J187" s="177"/>
      <c r="K187" s="52"/>
      <c r="L187" s="52"/>
      <c r="M187" s="52"/>
      <c r="N187" s="52"/>
      <c r="O187" s="52"/>
      <c r="P187" s="178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</row>
    <row r="188">
      <c r="A188" s="52"/>
      <c r="B188" s="52"/>
      <c r="C188" s="179"/>
      <c r="D188" s="52"/>
      <c r="E188" s="52"/>
      <c r="F188" s="52"/>
      <c r="G188" s="52"/>
      <c r="H188" s="52"/>
      <c r="I188" s="177"/>
      <c r="J188" s="177"/>
      <c r="K188" s="52"/>
      <c r="L188" s="52"/>
      <c r="M188" s="52"/>
      <c r="N188" s="52"/>
      <c r="O188" s="52"/>
      <c r="P188" s="178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</row>
    <row r="189">
      <c r="A189" s="52"/>
      <c r="B189" s="52"/>
      <c r="C189" s="179"/>
      <c r="D189" s="52"/>
      <c r="E189" s="52"/>
      <c r="F189" s="52"/>
      <c r="G189" s="52"/>
      <c r="H189" s="52"/>
      <c r="I189" s="177"/>
      <c r="J189" s="177"/>
      <c r="K189" s="52"/>
      <c r="L189" s="52"/>
      <c r="M189" s="52"/>
      <c r="N189" s="52"/>
      <c r="O189" s="52"/>
      <c r="P189" s="178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</row>
    <row r="190">
      <c r="A190" s="52"/>
      <c r="B190" s="52"/>
      <c r="C190" s="179"/>
      <c r="D190" s="52"/>
      <c r="E190" s="52"/>
      <c r="F190" s="52"/>
      <c r="G190" s="52"/>
      <c r="H190" s="52"/>
      <c r="I190" s="177"/>
      <c r="J190" s="177"/>
      <c r="K190" s="52"/>
      <c r="L190" s="52"/>
      <c r="M190" s="52"/>
      <c r="N190" s="52"/>
      <c r="O190" s="52"/>
      <c r="P190" s="178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</row>
    <row r="191">
      <c r="A191" s="52"/>
      <c r="B191" s="52"/>
      <c r="C191" s="179"/>
      <c r="D191" s="52"/>
      <c r="E191" s="52"/>
      <c r="F191" s="52"/>
      <c r="G191" s="52"/>
      <c r="H191" s="52"/>
      <c r="I191" s="177"/>
      <c r="J191" s="177"/>
      <c r="K191" s="52"/>
      <c r="L191" s="52"/>
      <c r="M191" s="52"/>
      <c r="N191" s="52"/>
      <c r="O191" s="52"/>
      <c r="P191" s="178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</row>
    <row r="192">
      <c r="A192" s="52"/>
      <c r="B192" s="52"/>
      <c r="C192" s="179"/>
      <c r="D192" s="52"/>
      <c r="E192" s="52"/>
      <c r="F192" s="52"/>
      <c r="G192" s="52"/>
      <c r="H192" s="52"/>
      <c r="I192" s="177"/>
      <c r="J192" s="177"/>
      <c r="K192" s="52"/>
      <c r="L192" s="52"/>
      <c r="M192" s="52"/>
      <c r="N192" s="52"/>
      <c r="O192" s="52"/>
      <c r="P192" s="178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</row>
    <row r="193">
      <c r="A193" s="52"/>
      <c r="B193" s="52"/>
      <c r="C193" s="179"/>
      <c r="D193" s="52"/>
      <c r="E193" s="52"/>
      <c r="F193" s="52"/>
      <c r="G193" s="52"/>
      <c r="H193" s="52"/>
      <c r="I193" s="177"/>
      <c r="J193" s="177"/>
      <c r="K193" s="52"/>
      <c r="L193" s="52"/>
      <c r="M193" s="52"/>
      <c r="N193" s="52"/>
      <c r="O193" s="52"/>
      <c r="P193" s="178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</row>
    <row r="194">
      <c r="A194" s="52"/>
      <c r="B194" s="52"/>
      <c r="C194" s="179"/>
      <c r="D194" s="52"/>
      <c r="E194" s="52"/>
      <c r="F194" s="52"/>
      <c r="G194" s="52"/>
      <c r="H194" s="52"/>
      <c r="I194" s="177"/>
      <c r="J194" s="177"/>
      <c r="K194" s="52"/>
      <c r="L194" s="52"/>
      <c r="M194" s="52"/>
      <c r="N194" s="52"/>
      <c r="O194" s="52"/>
      <c r="P194" s="178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</row>
    <row r="195">
      <c r="A195" s="52"/>
      <c r="B195" s="52"/>
      <c r="C195" s="179"/>
      <c r="D195" s="52"/>
      <c r="E195" s="52"/>
      <c r="F195" s="52"/>
      <c r="G195" s="52"/>
      <c r="H195" s="52"/>
      <c r="I195" s="177"/>
      <c r="J195" s="177"/>
      <c r="K195" s="52"/>
      <c r="L195" s="52"/>
      <c r="M195" s="52"/>
      <c r="N195" s="52"/>
      <c r="O195" s="52"/>
      <c r="P195" s="178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</row>
    <row r="196">
      <c r="A196" s="52"/>
      <c r="B196" s="52"/>
      <c r="C196" s="179"/>
      <c r="D196" s="52"/>
      <c r="E196" s="52"/>
      <c r="F196" s="52"/>
      <c r="G196" s="52"/>
      <c r="H196" s="52"/>
      <c r="I196" s="177"/>
      <c r="J196" s="177"/>
      <c r="K196" s="52"/>
      <c r="L196" s="52"/>
      <c r="M196" s="52"/>
      <c r="N196" s="52"/>
      <c r="O196" s="52"/>
      <c r="P196" s="178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</row>
    <row r="197">
      <c r="A197" s="52"/>
      <c r="B197" s="52"/>
      <c r="C197" s="179"/>
      <c r="D197" s="52"/>
      <c r="E197" s="52"/>
      <c r="F197" s="52"/>
      <c r="G197" s="52"/>
      <c r="H197" s="52"/>
      <c r="I197" s="177"/>
      <c r="J197" s="177"/>
      <c r="K197" s="52"/>
      <c r="L197" s="52"/>
      <c r="M197" s="52"/>
      <c r="N197" s="52"/>
      <c r="O197" s="52"/>
      <c r="P197" s="178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</row>
    <row r="198">
      <c r="A198" s="52"/>
      <c r="B198" s="52"/>
      <c r="C198" s="179"/>
      <c r="D198" s="52"/>
      <c r="E198" s="52"/>
      <c r="F198" s="52"/>
      <c r="G198" s="52"/>
      <c r="H198" s="52"/>
      <c r="I198" s="177"/>
      <c r="J198" s="177"/>
      <c r="K198" s="52"/>
      <c r="L198" s="52"/>
      <c r="M198" s="52"/>
      <c r="N198" s="52"/>
      <c r="O198" s="52"/>
      <c r="P198" s="178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</row>
    <row r="199">
      <c r="A199" s="52"/>
      <c r="B199" s="52"/>
      <c r="C199" s="179"/>
      <c r="D199" s="52"/>
      <c r="E199" s="52"/>
      <c r="F199" s="52"/>
      <c r="G199" s="52"/>
      <c r="H199" s="52"/>
      <c r="I199" s="177"/>
      <c r="J199" s="177"/>
      <c r="K199" s="52"/>
      <c r="L199" s="52"/>
      <c r="M199" s="52"/>
      <c r="N199" s="52"/>
      <c r="O199" s="52"/>
      <c r="P199" s="178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</row>
    <row r="200">
      <c r="A200" s="52"/>
      <c r="B200" s="52"/>
      <c r="C200" s="179"/>
      <c r="D200" s="52"/>
      <c r="E200" s="52"/>
      <c r="F200" s="52"/>
      <c r="G200" s="52"/>
      <c r="H200" s="52"/>
      <c r="I200" s="177"/>
      <c r="J200" s="177"/>
      <c r="K200" s="52"/>
      <c r="L200" s="52"/>
      <c r="M200" s="52"/>
      <c r="N200" s="52"/>
      <c r="O200" s="52"/>
      <c r="P200" s="178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</row>
    <row r="201">
      <c r="A201" s="52"/>
      <c r="B201" s="52"/>
      <c r="C201" s="179"/>
      <c r="D201" s="52"/>
      <c r="E201" s="52"/>
      <c r="F201" s="52"/>
      <c r="G201" s="52"/>
      <c r="H201" s="52"/>
      <c r="I201" s="177"/>
      <c r="J201" s="177"/>
      <c r="K201" s="52"/>
      <c r="L201" s="52"/>
      <c r="M201" s="52"/>
      <c r="N201" s="52"/>
      <c r="O201" s="52"/>
      <c r="P201" s="178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</row>
    <row r="202">
      <c r="A202" s="52"/>
      <c r="B202" s="52"/>
      <c r="C202" s="179"/>
      <c r="D202" s="52"/>
      <c r="E202" s="52"/>
      <c r="F202" s="52"/>
      <c r="G202" s="52"/>
      <c r="H202" s="52"/>
      <c r="I202" s="177"/>
      <c r="J202" s="177"/>
      <c r="K202" s="52"/>
      <c r="L202" s="52"/>
      <c r="M202" s="52"/>
      <c r="N202" s="52"/>
      <c r="O202" s="52"/>
      <c r="P202" s="178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</row>
    <row r="203">
      <c r="A203" s="52"/>
      <c r="B203" s="52"/>
      <c r="C203" s="179"/>
      <c r="D203" s="52"/>
      <c r="E203" s="52"/>
      <c r="F203" s="52"/>
      <c r="G203" s="52"/>
      <c r="H203" s="52"/>
      <c r="I203" s="177"/>
      <c r="J203" s="177"/>
      <c r="K203" s="52"/>
      <c r="L203" s="52"/>
      <c r="M203" s="52"/>
      <c r="N203" s="52"/>
      <c r="O203" s="52"/>
      <c r="P203" s="178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</row>
    <row r="204">
      <c r="A204" s="52"/>
      <c r="B204" s="52"/>
      <c r="C204" s="179"/>
      <c r="D204" s="52"/>
      <c r="E204" s="52"/>
      <c r="F204" s="52"/>
      <c r="G204" s="52"/>
      <c r="H204" s="52"/>
      <c r="I204" s="177"/>
      <c r="J204" s="177"/>
      <c r="K204" s="52"/>
      <c r="L204" s="52"/>
      <c r="M204" s="52"/>
      <c r="N204" s="52"/>
      <c r="O204" s="52"/>
      <c r="P204" s="178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</row>
    <row r="205">
      <c r="A205" s="52"/>
      <c r="B205" s="52"/>
      <c r="C205" s="179"/>
      <c r="D205" s="52"/>
      <c r="E205" s="52"/>
      <c r="F205" s="52"/>
      <c r="G205" s="52"/>
      <c r="H205" s="52"/>
      <c r="I205" s="177"/>
      <c r="J205" s="177"/>
      <c r="K205" s="52"/>
      <c r="L205" s="52"/>
      <c r="M205" s="52"/>
      <c r="N205" s="52"/>
      <c r="O205" s="52"/>
      <c r="P205" s="178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</row>
    <row r="206">
      <c r="A206" s="52"/>
      <c r="B206" s="52"/>
      <c r="C206" s="179"/>
      <c r="D206" s="52"/>
      <c r="E206" s="52"/>
      <c r="F206" s="52"/>
      <c r="G206" s="52"/>
      <c r="H206" s="52"/>
      <c r="I206" s="177"/>
      <c r="J206" s="177"/>
      <c r="K206" s="52"/>
      <c r="L206" s="52"/>
      <c r="M206" s="52"/>
      <c r="N206" s="52"/>
      <c r="O206" s="52"/>
      <c r="P206" s="178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</row>
    <row r="207">
      <c r="A207" s="52"/>
      <c r="B207" s="52"/>
      <c r="C207" s="179"/>
      <c r="D207" s="52"/>
      <c r="E207" s="52"/>
      <c r="F207" s="52"/>
      <c r="G207" s="52"/>
      <c r="H207" s="52"/>
      <c r="I207" s="177"/>
      <c r="J207" s="177"/>
      <c r="K207" s="52"/>
      <c r="L207" s="52"/>
      <c r="M207" s="52"/>
      <c r="N207" s="52"/>
      <c r="O207" s="52"/>
      <c r="P207" s="178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</row>
    <row r="208">
      <c r="A208" s="52"/>
      <c r="B208" s="52"/>
      <c r="C208" s="179"/>
      <c r="D208" s="52"/>
      <c r="E208" s="52"/>
      <c r="F208" s="52"/>
      <c r="G208" s="52"/>
      <c r="H208" s="52"/>
      <c r="I208" s="177"/>
      <c r="J208" s="177"/>
      <c r="K208" s="52"/>
      <c r="L208" s="52"/>
      <c r="M208" s="52"/>
      <c r="N208" s="52"/>
      <c r="O208" s="52"/>
      <c r="P208" s="178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</row>
    <row r="209">
      <c r="A209" s="52"/>
      <c r="B209" s="52"/>
      <c r="C209" s="179"/>
      <c r="D209" s="52"/>
      <c r="E209" s="52"/>
      <c r="F209" s="52"/>
      <c r="G209" s="52"/>
      <c r="H209" s="52"/>
      <c r="I209" s="177"/>
      <c r="J209" s="177"/>
      <c r="K209" s="52"/>
      <c r="L209" s="52"/>
      <c r="M209" s="52"/>
      <c r="N209" s="52"/>
      <c r="O209" s="52"/>
      <c r="P209" s="178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</row>
    <row r="210">
      <c r="A210" s="52"/>
      <c r="B210" s="52"/>
      <c r="C210" s="179"/>
      <c r="D210" s="52"/>
      <c r="E210" s="52"/>
      <c r="F210" s="52"/>
      <c r="G210" s="52"/>
      <c r="H210" s="52"/>
      <c r="I210" s="177"/>
      <c r="J210" s="177"/>
      <c r="K210" s="52"/>
      <c r="L210" s="52"/>
      <c r="M210" s="52"/>
      <c r="N210" s="52"/>
      <c r="O210" s="52"/>
      <c r="P210" s="178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</row>
    <row r="211">
      <c r="A211" s="52"/>
      <c r="B211" s="52"/>
      <c r="C211" s="179"/>
      <c r="D211" s="52"/>
      <c r="E211" s="52"/>
      <c r="F211" s="52"/>
      <c r="G211" s="52"/>
      <c r="H211" s="52"/>
      <c r="I211" s="177"/>
      <c r="J211" s="177"/>
      <c r="K211" s="52"/>
      <c r="L211" s="52"/>
      <c r="M211" s="52"/>
      <c r="N211" s="52"/>
      <c r="O211" s="52"/>
      <c r="P211" s="178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</row>
    <row r="212">
      <c r="A212" s="52"/>
      <c r="B212" s="52"/>
      <c r="C212" s="179"/>
      <c r="D212" s="52"/>
      <c r="E212" s="52"/>
      <c r="F212" s="52"/>
      <c r="G212" s="52"/>
      <c r="H212" s="52"/>
      <c r="I212" s="177"/>
      <c r="J212" s="177"/>
      <c r="K212" s="52"/>
      <c r="L212" s="52"/>
      <c r="M212" s="52"/>
      <c r="N212" s="52"/>
      <c r="O212" s="52"/>
      <c r="P212" s="178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</row>
    <row r="213">
      <c r="A213" s="52"/>
      <c r="B213" s="52"/>
      <c r="C213" s="179"/>
      <c r="D213" s="52"/>
      <c r="E213" s="52"/>
      <c r="F213" s="52"/>
      <c r="G213" s="52"/>
      <c r="H213" s="52"/>
      <c r="I213" s="177"/>
      <c r="J213" s="177"/>
      <c r="K213" s="52"/>
      <c r="L213" s="52"/>
      <c r="M213" s="52"/>
      <c r="N213" s="52"/>
      <c r="O213" s="52"/>
      <c r="P213" s="178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</row>
    <row r="214">
      <c r="A214" s="52"/>
      <c r="B214" s="52"/>
      <c r="C214" s="179"/>
      <c r="D214" s="52"/>
      <c r="E214" s="52"/>
      <c r="F214" s="52"/>
      <c r="G214" s="52"/>
      <c r="H214" s="52"/>
      <c r="I214" s="177"/>
      <c r="J214" s="177"/>
      <c r="K214" s="52"/>
      <c r="L214" s="52"/>
      <c r="M214" s="52"/>
      <c r="N214" s="52"/>
      <c r="O214" s="52"/>
      <c r="P214" s="178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</row>
    <row r="215">
      <c r="A215" s="52"/>
      <c r="B215" s="52"/>
      <c r="C215" s="179"/>
      <c r="D215" s="52"/>
      <c r="E215" s="52"/>
      <c r="F215" s="52"/>
      <c r="G215" s="52"/>
      <c r="H215" s="52"/>
      <c r="I215" s="177"/>
      <c r="J215" s="177"/>
      <c r="K215" s="52"/>
      <c r="L215" s="52"/>
      <c r="M215" s="52"/>
      <c r="N215" s="52"/>
      <c r="O215" s="52"/>
      <c r="P215" s="178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</row>
    <row r="216">
      <c r="A216" s="52"/>
      <c r="B216" s="52"/>
      <c r="C216" s="179"/>
      <c r="D216" s="52"/>
      <c r="E216" s="52"/>
      <c r="F216" s="52"/>
      <c r="G216" s="52"/>
      <c r="H216" s="52"/>
      <c r="I216" s="177"/>
      <c r="J216" s="177"/>
      <c r="K216" s="52"/>
      <c r="L216" s="52"/>
      <c r="M216" s="52"/>
      <c r="N216" s="52"/>
      <c r="O216" s="52"/>
      <c r="P216" s="178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</row>
    <row r="217">
      <c r="A217" s="52"/>
      <c r="B217" s="52"/>
      <c r="C217" s="179"/>
      <c r="D217" s="52"/>
      <c r="E217" s="52"/>
      <c r="F217" s="52"/>
      <c r="G217" s="52"/>
      <c r="H217" s="52"/>
      <c r="I217" s="177"/>
      <c r="J217" s="177"/>
      <c r="K217" s="52"/>
      <c r="L217" s="52"/>
      <c r="M217" s="52"/>
      <c r="N217" s="52"/>
      <c r="O217" s="52"/>
      <c r="P217" s="178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</row>
    <row r="218">
      <c r="A218" s="52"/>
      <c r="B218" s="52"/>
      <c r="C218" s="179"/>
      <c r="D218" s="52"/>
      <c r="E218" s="52"/>
      <c r="F218" s="52"/>
      <c r="G218" s="52"/>
      <c r="H218" s="52"/>
      <c r="I218" s="177"/>
      <c r="J218" s="177"/>
      <c r="K218" s="52"/>
      <c r="L218" s="52"/>
      <c r="M218" s="52"/>
      <c r="N218" s="52"/>
      <c r="O218" s="52"/>
      <c r="P218" s="178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</row>
    <row r="219">
      <c r="A219" s="52"/>
      <c r="B219" s="52"/>
      <c r="C219" s="179"/>
      <c r="D219" s="52"/>
      <c r="E219" s="52"/>
      <c r="F219" s="52"/>
      <c r="G219" s="52"/>
      <c r="H219" s="52"/>
      <c r="I219" s="177"/>
      <c r="J219" s="177"/>
      <c r="K219" s="52"/>
      <c r="L219" s="52"/>
      <c r="M219" s="52"/>
      <c r="N219" s="52"/>
      <c r="O219" s="52"/>
      <c r="P219" s="178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</row>
    <row r="220">
      <c r="A220" s="52"/>
      <c r="B220" s="52"/>
      <c r="C220" s="179"/>
      <c r="D220" s="52"/>
      <c r="E220" s="52"/>
      <c r="F220" s="52"/>
      <c r="G220" s="52"/>
      <c r="H220" s="52"/>
      <c r="I220" s="177"/>
      <c r="J220" s="177"/>
      <c r="K220" s="52"/>
      <c r="L220" s="52"/>
      <c r="M220" s="52"/>
      <c r="N220" s="52"/>
      <c r="O220" s="52"/>
      <c r="P220" s="178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</row>
    <row r="221">
      <c r="A221" s="52"/>
      <c r="B221" s="52"/>
      <c r="C221" s="179"/>
      <c r="D221" s="52"/>
      <c r="E221" s="52"/>
      <c r="F221" s="52"/>
      <c r="G221" s="52"/>
      <c r="H221" s="52"/>
      <c r="I221" s="177"/>
      <c r="J221" s="177"/>
      <c r="K221" s="52"/>
      <c r="L221" s="52"/>
      <c r="M221" s="52"/>
      <c r="N221" s="52"/>
      <c r="O221" s="52"/>
      <c r="P221" s="178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</row>
    <row r="222">
      <c r="A222" s="52"/>
      <c r="B222" s="52"/>
      <c r="C222" s="179"/>
      <c r="D222" s="52"/>
      <c r="E222" s="52"/>
      <c r="F222" s="52"/>
      <c r="G222" s="52"/>
      <c r="H222" s="52"/>
      <c r="I222" s="177"/>
      <c r="J222" s="177"/>
      <c r="K222" s="52"/>
      <c r="L222" s="52"/>
      <c r="M222" s="52"/>
      <c r="N222" s="52"/>
      <c r="O222" s="52"/>
      <c r="P222" s="178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</row>
    <row r="223">
      <c r="A223" s="52"/>
      <c r="B223" s="52"/>
      <c r="C223" s="179"/>
      <c r="D223" s="52"/>
      <c r="E223" s="52"/>
      <c r="F223" s="52"/>
      <c r="G223" s="52"/>
      <c r="H223" s="52"/>
      <c r="I223" s="177"/>
      <c r="J223" s="177"/>
      <c r="K223" s="52"/>
      <c r="L223" s="52"/>
      <c r="M223" s="52"/>
      <c r="N223" s="52"/>
      <c r="O223" s="52"/>
      <c r="P223" s="178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</row>
    <row r="224">
      <c r="A224" s="52"/>
      <c r="B224" s="52"/>
      <c r="C224" s="179"/>
      <c r="D224" s="52"/>
      <c r="E224" s="52"/>
      <c r="F224" s="52"/>
      <c r="G224" s="52"/>
      <c r="H224" s="52"/>
      <c r="I224" s="177"/>
      <c r="J224" s="177"/>
      <c r="K224" s="52"/>
      <c r="L224" s="52"/>
      <c r="M224" s="52"/>
      <c r="N224" s="52"/>
      <c r="O224" s="52"/>
      <c r="P224" s="178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</row>
    <row r="225">
      <c r="A225" s="52"/>
      <c r="B225" s="52"/>
      <c r="C225" s="179"/>
      <c r="D225" s="52"/>
      <c r="E225" s="52"/>
      <c r="F225" s="52"/>
      <c r="G225" s="52"/>
      <c r="H225" s="52"/>
      <c r="I225" s="177"/>
      <c r="J225" s="177"/>
      <c r="K225" s="52"/>
      <c r="L225" s="52"/>
      <c r="M225" s="52"/>
      <c r="N225" s="52"/>
      <c r="O225" s="52"/>
      <c r="P225" s="178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</row>
    <row r="226">
      <c r="A226" s="52"/>
      <c r="B226" s="52"/>
      <c r="C226" s="179"/>
      <c r="D226" s="52"/>
      <c r="E226" s="52"/>
      <c r="F226" s="52"/>
      <c r="G226" s="52"/>
      <c r="H226" s="52"/>
      <c r="I226" s="177"/>
      <c r="J226" s="177"/>
      <c r="K226" s="52"/>
      <c r="L226" s="52"/>
      <c r="M226" s="52"/>
      <c r="N226" s="52"/>
      <c r="O226" s="52"/>
      <c r="P226" s="178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</row>
    <row r="227">
      <c r="A227" s="52"/>
      <c r="B227" s="52"/>
      <c r="C227" s="179"/>
      <c r="D227" s="52"/>
      <c r="E227" s="52"/>
      <c r="F227" s="52"/>
      <c r="G227" s="52"/>
      <c r="H227" s="52"/>
      <c r="I227" s="177"/>
      <c r="J227" s="177"/>
      <c r="K227" s="52"/>
      <c r="L227" s="52"/>
      <c r="M227" s="52"/>
      <c r="N227" s="52"/>
      <c r="O227" s="52"/>
      <c r="P227" s="178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</row>
    <row r="228">
      <c r="A228" s="52"/>
      <c r="B228" s="52"/>
      <c r="C228" s="179"/>
      <c r="D228" s="52"/>
      <c r="E228" s="52"/>
      <c r="F228" s="52"/>
      <c r="G228" s="52"/>
      <c r="H228" s="52"/>
      <c r="I228" s="177"/>
      <c r="J228" s="177"/>
      <c r="K228" s="52"/>
      <c r="L228" s="52"/>
      <c r="M228" s="52"/>
      <c r="N228" s="52"/>
      <c r="O228" s="52"/>
      <c r="P228" s="178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</row>
    <row r="229">
      <c r="A229" s="52"/>
      <c r="B229" s="52"/>
      <c r="C229" s="179"/>
      <c r="D229" s="52"/>
      <c r="E229" s="52"/>
      <c r="F229" s="52"/>
      <c r="G229" s="52"/>
      <c r="H229" s="52"/>
      <c r="I229" s="177"/>
      <c r="J229" s="177"/>
      <c r="K229" s="52"/>
      <c r="L229" s="52"/>
      <c r="M229" s="52"/>
      <c r="N229" s="52"/>
      <c r="O229" s="52"/>
      <c r="P229" s="178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</row>
    <row r="230">
      <c r="A230" s="52"/>
      <c r="B230" s="52"/>
      <c r="C230" s="179"/>
      <c r="D230" s="52"/>
      <c r="E230" s="52"/>
      <c r="F230" s="52"/>
      <c r="G230" s="52"/>
      <c r="H230" s="52"/>
      <c r="I230" s="177"/>
      <c r="J230" s="177"/>
      <c r="K230" s="52"/>
      <c r="L230" s="52"/>
      <c r="M230" s="52"/>
      <c r="N230" s="52"/>
      <c r="O230" s="52"/>
      <c r="P230" s="178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</row>
    <row r="231">
      <c r="A231" s="52"/>
      <c r="B231" s="52"/>
      <c r="C231" s="179"/>
      <c r="D231" s="52"/>
      <c r="E231" s="52"/>
      <c r="F231" s="52"/>
      <c r="G231" s="52"/>
      <c r="H231" s="52"/>
      <c r="I231" s="177"/>
      <c r="J231" s="177"/>
      <c r="K231" s="52"/>
      <c r="L231" s="52"/>
      <c r="M231" s="52"/>
      <c r="N231" s="52"/>
      <c r="O231" s="52"/>
      <c r="P231" s="178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</row>
    <row r="232">
      <c r="A232" s="52"/>
      <c r="B232" s="52"/>
      <c r="C232" s="179"/>
      <c r="D232" s="52"/>
      <c r="E232" s="52"/>
      <c r="F232" s="52"/>
      <c r="G232" s="52"/>
      <c r="H232" s="52"/>
      <c r="I232" s="177"/>
      <c r="J232" s="177"/>
      <c r="K232" s="52"/>
      <c r="L232" s="52"/>
      <c r="M232" s="52"/>
      <c r="N232" s="52"/>
      <c r="O232" s="52"/>
      <c r="P232" s="178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</row>
    <row r="233">
      <c r="A233" s="52"/>
      <c r="B233" s="52"/>
      <c r="C233" s="179"/>
      <c r="D233" s="52"/>
      <c r="E233" s="52"/>
      <c r="F233" s="52"/>
      <c r="G233" s="52"/>
      <c r="H233" s="52"/>
      <c r="I233" s="177"/>
      <c r="J233" s="177"/>
      <c r="K233" s="52"/>
      <c r="L233" s="52"/>
      <c r="M233" s="52"/>
      <c r="N233" s="52"/>
      <c r="O233" s="52"/>
      <c r="P233" s="178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</row>
    <row r="234">
      <c r="A234" s="52"/>
      <c r="B234" s="52"/>
      <c r="C234" s="179"/>
      <c r="D234" s="52"/>
      <c r="E234" s="52"/>
      <c r="F234" s="52"/>
      <c r="G234" s="52"/>
      <c r="H234" s="52"/>
      <c r="I234" s="177"/>
      <c r="J234" s="177"/>
      <c r="K234" s="52"/>
      <c r="L234" s="52"/>
      <c r="M234" s="52"/>
      <c r="N234" s="52"/>
      <c r="O234" s="52"/>
      <c r="P234" s="178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</row>
    <row r="235">
      <c r="A235" s="52"/>
      <c r="B235" s="52"/>
      <c r="C235" s="179"/>
      <c r="D235" s="52"/>
      <c r="E235" s="52"/>
      <c r="F235" s="52"/>
      <c r="G235" s="52"/>
      <c r="H235" s="52"/>
      <c r="I235" s="177"/>
      <c r="J235" s="177"/>
      <c r="K235" s="52"/>
      <c r="L235" s="52"/>
      <c r="M235" s="52"/>
      <c r="N235" s="52"/>
      <c r="O235" s="52"/>
      <c r="P235" s="178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</row>
    <row r="236">
      <c r="A236" s="52"/>
      <c r="B236" s="52"/>
      <c r="C236" s="179"/>
      <c r="D236" s="52"/>
      <c r="E236" s="52"/>
      <c r="F236" s="52"/>
      <c r="G236" s="52"/>
      <c r="H236" s="52"/>
      <c r="I236" s="177"/>
      <c r="J236" s="177"/>
      <c r="K236" s="52"/>
      <c r="L236" s="52"/>
      <c r="M236" s="52"/>
      <c r="N236" s="52"/>
      <c r="O236" s="52"/>
      <c r="P236" s="178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</row>
    <row r="237">
      <c r="A237" s="52"/>
      <c r="B237" s="52"/>
      <c r="C237" s="179"/>
      <c r="D237" s="52"/>
      <c r="E237" s="52"/>
      <c r="F237" s="52"/>
      <c r="G237" s="52"/>
      <c r="H237" s="52"/>
      <c r="I237" s="177"/>
      <c r="J237" s="177"/>
      <c r="K237" s="52"/>
      <c r="L237" s="52"/>
      <c r="M237" s="52"/>
      <c r="N237" s="52"/>
      <c r="O237" s="52"/>
      <c r="P237" s="178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</row>
    <row r="238">
      <c r="A238" s="52"/>
      <c r="B238" s="52"/>
      <c r="C238" s="179"/>
      <c r="D238" s="52"/>
      <c r="E238" s="52"/>
      <c r="F238" s="52"/>
      <c r="G238" s="52"/>
      <c r="H238" s="52"/>
      <c r="I238" s="177"/>
      <c r="J238" s="177"/>
      <c r="K238" s="52"/>
      <c r="L238" s="52"/>
      <c r="M238" s="52"/>
      <c r="N238" s="52"/>
      <c r="O238" s="52"/>
      <c r="P238" s="178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</row>
    <row r="239">
      <c r="A239" s="52"/>
      <c r="B239" s="52"/>
      <c r="C239" s="179"/>
      <c r="D239" s="52"/>
      <c r="E239" s="52"/>
      <c r="F239" s="52"/>
      <c r="G239" s="52"/>
      <c r="H239" s="52"/>
      <c r="I239" s="177"/>
      <c r="J239" s="177"/>
      <c r="K239" s="52"/>
      <c r="L239" s="52"/>
      <c r="M239" s="52"/>
      <c r="N239" s="52"/>
      <c r="O239" s="52"/>
      <c r="P239" s="178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</row>
    <row r="240">
      <c r="A240" s="52"/>
      <c r="B240" s="52"/>
      <c r="C240" s="179"/>
      <c r="D240" s="52"/>
      <c r="E240" s="52"/>
      <c r="F240" s="52"/>
      <c r="G240" s="52"/>
      <c r="H240" s="52"/>
      <c r="I240" s="177"/>
      <c r="J240" s="177"/>
      <c r="K240" s="52"/>
      <c r="L240" s="52"/>
      <c r="M240" s="52"/>
      <c r="N240" s="52"/>
      <c r="O240" s="52"/>
      <c r="P240" s="178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</row>
    <row r="241">
      <c r="A241" s="52"/>
      <c r="B241" s="52"/>
      <c r="C241" s="179"/>
      <c r="D241" s="52"/>
      <c r="E241" s="52"/>
      <c r="F241" s="52"/>
      <c r="G241" s="52"/>
      <c r="H241" s="52"/>
      <c r="I241" s="177"/>
      <c r="J241" s="177"/>
      <c r="K241" s="52"/>
      <c r="L241" s="52"/>
      <c r="M241" s="52"/>
      <c r="N241" s="52"/>
      <c r="O241" s="52"/>
      <c r="P241" s="178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</row>
    <row r="242">
      <c r="A242" s="52"/>
      <c r="B242" s="52"/>
      <c r="C242" s="179"/>
      <c r="D242" s="52"/>
      <c r="E242" s="52"/>
      <c r="F242" s="52"/>
      <c r="G242" s="52"/>
      <c r="H242" s="52"/>
      <c r="I242" s="177"/>
      <c r="J242" s="177"/>
      <c r="K242" s="52"/>
      <c r="L242" s="52"/>
      <c r="M242" s="52"/>
      <c r="N242" s="52"/>
      <c r="O242" s="52"/>
      <c r="P242" s="178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</row>
    <row r="243">
      <c r="A243" s="52"/>
      <c r="B243" s="52"/>
      <c r="C243" s="179"/>
      <c r="D243" s="52"/>
      <c r="E243" s="52"/>
      <c r="F243" s="52"/>
      <c r="G243" s="52"/>
      <c r="H243" s="52"/>
      <c r="I243" s="177"/>
      <c r="J243" s="177"/>
      <c r="K243" s="52"/>
      <c r="L243" s="52"/>
      <c r="M243" s="52"/>
      <c r="N243" s="52"/>
      <c r="O243" s="52"/>
      <c r="P243" s="178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</row>
    <row r="244">
      <c r="A244" s="52"/>
      <c r="B244" s="52"/>
      <c r="C244" s="179"/>
      <c r="D244" s="52"/>
      <c r="E244" s="52"/>
      <c r="F244" s="52"/>
      <c r="G244" s="52"/>
      <c r="H244" s="52"/>
      <c r="I244" s="177"/>
      <c r="J244" s="177"/>
      <c r="K244" s="52"/>
      <c r="L244" s="52"/>
      <c r="M244" s="52"/>
      <c r="N244" s="52"/>
      <c r="O244" s="52"/>
      <c r="P244" s="178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</row>
    <row r="245">
      <c r="A245" s="52"/>
      <c r="B245" s="52"/>
      <c r="C245" s="179"/>
      <c r="D245" s="52"/>
      <c r="E245" s="52"/>
      <c r="F245" s="52"/>
      <c r="G245" s="52"/>
      <c r="H245" s="52"/>
      <c r="I245" s="177"/>
      <c r="J245" s="177"/>
      <c r="K245" s="52"/>
      <c r="L245" s="52"/>
      <c r="M245" s="52"/>
      <c r="N245" s="52"/>
      <c r="O245" s="52"/>
      <c r="P245" s="178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</row>
    <row r="246">
      <c r="A246" s="52"/>
      <c r="B246" s="52"/>
      <c r="C246" s="179"/>
      <c r="D246" s="52"/>
      <c r="E246" s="52"/>
      <c r="F246" s="52"/>
      <c r="G246" s="52"/>
      <c r="H246" s="52"/>
      <c r="I246" s="177"/>
      <c r="J246" s="177"/>
      <c r="K246" s="52"/>
      <c r="L246" s="52"/>
      <c r="M246" s="52"/>
      <c r="N246" s="52"/>
      <c r="O246" s="52"/>
      <c r="P246" s="178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</row>
    <row r="247">
      <c r="A247" s="52"/>
      <c r="B247" s="52"/>
      <c r="C247" s="179"/>
      <c r="D247" s="52"/>
      <c r="E247" s="52"/>
      <c r="F247" s="52"/>
      <c r="G247" s="52"/>
      <c r="H247" s="52"/>
      <c r="I247" s="177"/>
      <c r="J247" s="177"/>
      <c r="K247" s="52"/>
      <c r="L247" s="52"/>
      <c r="M247" s="52"/>
      <c r="N247" s="52"/>
      <c r="O247" s="52"/>
      <c r="P247" s="178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</row>
    <row r="248">
      <c r="A248" s="52"/>
      <c r="B248" s="52"/>
      <c r="C248" s="179"/>
      <c r="D248" s="52"/>
      <c r="E248" s="52"/>
      <c r="F248" s="52"/>
      <c r="G248" s="52"/>
      <c r="H248" s="52"/>
      <c r="I248" s="177"/>
      <c r="J248" s="177"/>
      <c r="K248" s="52"/>
      <c r="L248" s="52"/>
      <c r="M248" s="52"/>
      <c r="N248" s="52"/>
      <c r="O248" s="52"/>
      <c r="P248" s="178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</row>
    <row r="249">
      <c r="A249" s="52"/>
      <c r="B249" s="52"/>
      <c r="C249" s="179"/>
      <c r="D249" s="52"/>
      <c r="E249" s="52"/>
      <c r="F249" s="52"/>
      <c r="G249" s="52"/>
      <c r="H249" s="52"/>
      <c r="I249" s="177"/>
      <c r="J249" s="177"/>
      <c r="K249" s="52"/>
      <c r="L249" s="52"/>
      <c r="M249" s="52"/>
      <c r="N249" s="52"/>
      <c r="O249" s="52"/>
      <c r="P249" s="178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</row>
    <row r="250">
      <c r="A250" s="52"/>
      <c r="B250" s="52"/>
      <c r="C250" s="179"/>
      <c r="D250" s="52"/>
      <c r="E250" s="52"/>
      <c r="F250" s="52"/>
      <c r="G250" s="52"/>
      <c r="H250" s="52"/>
      <c r="I250" s="177"/>
      <c r="J250" s="177"/>
      <c r="K250" s="52"/>
      <c r="L250" s="52"/>
      <c r="M250" s="52"/>
      <c r="N250" s="52"/>
      <c r="O250" s="52"/>
      <c r="P250" s="178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</row>
    <row r="251">
      <c r="A251" s="52"/>
      <c r="B251" s="52"/>
      <c r="C251" s="179"/>
      <c r="D251" s="52"/>
      <c r="E251" s="52"/>
      <c r="F251" s="52"/>
      <c r="G251" s="52"/>
      <c r="H251" s="52"/>
      <c r="I251" s="177"/>
      <c r="J251" s="177"/>
      <c r="K251" s="52"/>
      <c r="L251" s="52"/>
      <c r="M251" s="52"/>
      <c r="N251" s="52"/>
      <c r="O251" s="52"/>
      <c r="P251" s="178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</row>
    <row r="252">
      <c r="A252" s="52"/>
      <c r="B252" s="52"/>
      <c r="C252" s="179"/>
      <c r="D252" s="52"/>
      <c r="E252" s="52"/>
      <c r="F252" s="52"/>
      <c r="G252" s="52"/>
      <c r="H252" s="52"/>
      <c r="I252" s="177"/>
      <c r="J252" s="177"/>
      <c r="K252" s="52"/>
      <c r="L252" s="52"/>
      <c r="M252" s="52"/>
      <c r="N252" s="52"/>
      <c r="O252" s="52"/>
      <c r="P252" s="178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</row>
    <row r="253">
      <c r="A253" s="52"/>
      <c r="B253" s="52"/>
      <c r="C253" s="179"/>
      <c r="D253" s="52"/>
      <c r="E253" s="52"/>
      <c r="F253" s="52"/>
      <c r="G253" s="52"/>
      <c r="H253" s="52"/>
      <c r="I253" s="177"/>
      <c r="J253" s="177"/>
      <c r="K253" s="52"/>
      <c r="L253" s="52"/>
      <c r="M253" s="52"/>
      <c r="N253" s="52"/>
      <c r="O253" s="52"/>
      <c r="P253" s="178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</row>
    <row r="254">
      <c r="A254" s="52"/>
      <c r="B254" s="52"/>
      <c r="C254" s="179"/>
      <c r="D254" s="52"/>
      <c r="E254" s="52"/>
      <c r="F254" s="52"/>
      <c r="G254" s="52"/>
      <c r="H254" s="52"/>
      <c r="I254" s="177"/>
      <c r="J254" s="177"/>
      <c r="K254" s="52"/>
      <c r="L254" s="52"/>
      <c r="M254" s="52"/>
      <c r="N254" s="52"/>
      <c r="O254" s="52"/>
      <c r="P254" s="178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</row>
    <row r="255">
      <c r="A255" s="52"/>
      <c r="B255" s="52"/>
      <c r="C255" s="179"/>
      <c r="D255" s="52"/>
      <c r="E255" s="52"/>
      <c r="F255" s="52"/>
      <c r="G255" s="52"/>
      <c r="H255" s="52"/>
      <c r="I255" s="177"/>
      <c r="J255" s="177"/>
      <c r="K255" s="52"/>
      <c r="L255" s="52"/>
      <c r="M255" s="52"/>
      <c r="N255" s="52"/>
      <c r="O255" s="52"/>
      <c r="P255" s="178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</row>
    <row r="256">
      <c r="A256" s="52"/>
      <c r="B256" s="52"/>
      <c r="C256" s="179"/>
      <c r="D256" s="52"/>
      <c r="E256" s="52"/>
      <c r="F256" s="52"/>
      <c r="G256" s="52"/>
      <c r="H256" s="52"/>
      <c r="I256" s="177"/>
      <c r="J256" s="177"/>
      <c r="K256" s="52"/>
      <c r="L256" s="52"/>
      <c r="M256" s="52"/>
      <c r="N256" s="52"/>
      <c r="O256" s="52"/>
      <c r="P256" s="178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</row>
    <row r="257">
      <c r="A257" s="52"/>
      <c r="B257" s="52"/>
      <c r="C257" s="179"/>
      <c r="D257" s="52"/>
      <c r="E257" s="52"/>
      <c r="F257" s="52"/>
      <c r="G257" s="52"/>
      <c r="H257" s="52"/>
      <c r="I257" s="177"/>
      <c r="J257" s="177"/>
      <c r="K257" s="52"/>
      <c r="L257" s="52"/>
      <c r="M257" s="52"/>
      <c r="N257" s="52"/>
      <c r="O257" s="52"/>
      <c r="P257" s="178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</row>
    <row r="258">
      <c r="A258" s="52"/>
      <c r="B258" s="52"/>
      <c r="C258" s="179"/>
      <c r="D258" s="52"/>
      <c r="E258" s="52"/>
      <c r="F258" s="52"/>
      <c r="G258" s="52"/>
      <c r="H258" s="52"/>
      <c r="I258" s="177"/>
      <c r="J258" s="177"/>
      <c r="K258" s="52"/>
      <c r="L258" s="52"/>
      <c r="M258" s="52"/>
      <c r="N258" s="52"/>
      <c r="O258" s="52"/>
      <c r="P258" s="178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</row>
    <row r="259">
      <c r="A259" s="52"/>
      <c r="B259" s="52"/>
      <c r="C259" s="179"/>
      <c r="D259" s="52"/>
      <c r="E259" s="52"/>
      <c r="F259" s="52"/>
      <c r="G259" s="52"/>
      <c r="H259" s="52"/>
      <c r="I259" s="177"/>
      <c r="J259" s="177"/>
      <c r="K259" s="52"/>
      <c r="L259" s="52"/>
      <c r="M259" s="52"/>
      <c r="N259" s="52"/>
      <c r="O259" s="52"/>
      <c r="P259" s="178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</row>
    <row r="260">
      <c r="A260" s="52"/>
      <c r="B260" s="52"/>
      <c r="C260" s="179"/>
      <c r="D260" s="52"/>
      <c r="E260" s="52"/>
      <c r="F260" s="52"/>
      <c r="G260" s="52"/>
      <c r="H260" s="52"/>
      <c r="I260" s="177"/>
      <c r="J260" s="177"/>
      <c r="K260" s="52"/>
      <c r="L260" s="52"/>
      <c r="M260" s="52"/>
      <c r="N260" s="52"/>
      <c r="O260" s="52"/>
      <c r="P260" s="178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</row>
    <row r="261">
      <c r="A261" s="52"/>
      <c r="B261" s="52"/>
      <c r="C261" s="179"/>
      <c r="D261" s="52"/>
      <c r="E261" s="52"/>
      <c r="F261" s="52"/>
      <c r="G261" s="52"/>
      <c r="H261" s="52"/>
      <c r="I261" s="177"/>
      <c r="J261" s="177"/>
      <c r="K261" s="52"/>
      <c r="L261" s="52"/>
      <c r="M261" s="52"/>
      <c r="N261" s="52"/>
      <c r="O261" s="52"/>
      <c r="P261" s="178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</row>
    <row r="262">
      <c r="A262" s="52"/>
      <c r="B262" s="52"/>
      <c r="C262" s="179"/>
      <c r="D262" s="52"/>
      <c r="E262" s="52"/>
      <c r="F262" s="52"/>
      <c r="G262" s="52"/>
      <c r="H262" s="52"/>
      <c r="I262" s="177"/>
      <c r="J262" s="177"/>
      <c r="K262" s="52"/>
      <c r="L262" s="52"/>
      <c r="M262" s="52"/>
      <c r="N262" s="52"/>
      <c r="O262" s="52"/>
      <c r="P262" s="178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</row>
    <row r="263">
      <c r="A263" s="52"/>
      <c r="B263" s="52"/>
      <c r="C263" s="179"/>
      <c r="D263" s="52"/>
      <c r="E263" s="52"/>
      <c r="F263" s="52"/>
      <c r="G263" s="52"/>
      <c r="H263" s="52"/>
      <c r="I263" s="177"/>
      <c r="J263" s="177"/>
      <c r="K263" s="52"/>
      <c r="L263" s="52"/>
      <c r="M263" s="52"/>
      <c r="N263" s="52"/>
      <c r="O263" s="52"/>
      <c r="P263" s="178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</row>
    <row r="264">
      <c r="A264" s="52"/>
      <c r="B264" s="52"/>
      <c r="C264" s="179"/>
      <c r="D264" s="52"/>
      <c r="E264" s="52"/>
      <c r="F264" s="52"/>
      <c r="G264" s="52"/>
      <c r="H264" s="52"/>
      <c r="I264" s="177"/>
      <c r="J264" s="177"/>
      <c r="K264" s="52"/>
      <c r="L264" s="52"/>
      <c r="M264" s="52"/>
      <c r="N264" s="52"/>
      <c r="O264" s="52"/>
      <c r="P264" s="178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</row>
    <row r="265">
      <c r="A265" s="52"/>
      <c r="B265" s="52"/>
      <c r="C265" s="179"/>
      <c r="D265" s="52"/>
      <c r="E265" s="52"/>
      <c r="F265" s="52"/>
      <c r="G265" s="52"/>
      <c r="H265" s="52"/>
      <c r="I265" s="177"/>
      <c r="J265" s="177"/>
      <c r="K265" s="52"/>
      <c r="L265" s="52"/>
      <c r="M265" s="52"/>
      <c r="N265" s="52"/>
      <c r="O265" s="52"/>
      <c r="P265" s="178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</row>
    <row r="266">
      <c r="A266" s="52"/>
      <c r="B266" s="52"/>
      <c r="C266" s="179"/>
      <c r="D266" s="52"/>
      <c r="E266" s="52"/>
      <c r="F266" s="52"/>
      <c r="G266" s="52"/>
      <c r="H266" s="52"/>
      <c r="I266" s="177"/>
      <c r="J266" s="177"/>
      <c r="K266" s="52"/>
      <c r="L266" s="52"/>
      <c r="M266" s="52"/>
      <c r="N266" s="52"/>
      <c r="O266" s="52"/>
      <c r="P266" s="178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</row>
    <row r="267">
      <c r="A267" s="52"/>
      <c r="B267" s="52"/>
      <c r="C267" s="179"/>
      <c r="D267" s="52"/>
      <c r="E267" s="52"/>
      <c r="F267" s="52"/>
      <c r="G267" s="52"/>
      <c r="H267" s="52"/>
      <c r="I267" s="177"/>
      <c r="J267" s="177"/>
      <c r="K267" s="52"/>
      <c r="L267" s="52"/>
      <c r="M267" s="52"/>
      <c r="N267" s="52"/>
      <c r="O267" s="52"/>
      <c r="P267" s="178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</row>
    <row r="268">
      <c r="A268" s="52"/>
      <c r="B268" s="52"/>
      <c r="C268" s="179"/>
      <c r="D268" s="52"/>
      <c r="E268" s="52"/>
      <c r="F268" s="52"/>
      <c r="G268" s="52"/>
      <c r="H268" s="52"/>
      <c r="I268" s="177"/>
      <c r="J268" s="177"/>
      <c r="K268" s="52"/>
      <c r="L268" s="52"/>
      <c r="M268" s="52"/>
      <c r="N268" s="52"/>
      <c r="O268" s="52"/>
      <c r="P268" s="178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</row>
    <row r="269">
      <c r="A269" s="52"/>
      <c r="B269" s="52"/>
      <c r="C269" s="179"/>
      <c r="D269" s="52"/>
      <c r="E269" s="52"/>
      <c r="F269" s="52"/>
      <c r="G269" s="52"/>
      <c r="H269" s="52"/>
      <c r="I269" s="177"/>
      <c r="J269" s="177"/>
      <c r="K269" s="52"/>
      <c r="L269" s="52"/>
      <c r="M269" s="52"/>
      <c r="N269" s="52"/>
      <c r="O269" s="52"/>
      <c r="P269" s="178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</row>
    <row r="270">
      <c r="A270" s="52"/>
      <c r="B270" s="52"/>
      <c r="C270" s="179"/>
      <c r="D270" s="52"/>
      <c r="E270" s="52"/>
      <c r="F270" s="52"/>
      <c r="G270" s="52"/>
      <c r="H270" s="52"/>
      <c r="I270" s="177"/>
      <c r="J270" s="177"/>
      <c r="K270" s="52"/>
      <c r="L270" s="52"/>
      <c r="M270" s="52"/>
      <c r="N270" s="52"/>
      <c r="O270" s="52"/>
      <c r="P270" s="178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</row>
    <row r="271">
      <c r="A271" s="52"/>
      <c r="B271" s="52"/>
      <c r="C271" s="179"/>
      <c r="D271" s="52"/>
      <c r="E271" s="52"/>
      <c r="F271" s="52"/>
      <c r="G271" s="52"/>
      <c r="H271" s="52"/>
      <c r="I271" s="177"/>
      <c r="J271" s="177"/>
      <c r="K271" s="52"/>
      <c r="L271" s="52"/>
      <c r="M271" s="52"/>
      <c r="N271" s="52"/>
      <c r="O271" s="52"/>
      <c r="P271" s="178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</row>
    <row r="272">
      <c r="A272" s="52"/>
      <c r="B272" s="52"/>
      <c r="C272" s="179"/>
      <c r="D272" s="52"/>
      <c r="E272" s="52"/>
      <c r="F272" s="52"/>
      <c r="G272" s="52"/>
      <c r="H272" s="52"/>
      <c r="I272" s="177"/>
      <c r="J272" s="177"/>
      <c r="K272" s="52"/>
      <c r="L272" s="52"/>
      <c r="M272" s="52"/>
      <c r="N272" s="52"/>
      <c r="O272" s="52"/>
      <c r="P272" s="178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</row>
    <row r="273">
      <c r="A273" s="52"/>
      <c r="B273" s="52"/>
      <c r="C273" s="179"/>
      <c r="D273" s="52"/>
      <c r="E273" s="52"/>
      <c r="F273" s="52"/>
      <c r="G273" s="52"/>
      <c r="H273" s="52"/>
      <c r="I273" s="177"/>
      <c r="J273" s="177"/>
      <c r="K273" s="52"/>
      <c r="L273" s="52"/>
      <c r="M273" s="52"/>
      <c r="N273" s="52"/>
      <c r="O273" s="52"/>
      <c r="P273" s="178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</row>
    <row r="274">
      <c r="A274" s="52"/>
      <c r="B274" s="52"/>
      <c r="C274" s="179"/>
      <c r="D274" s="52"/>
      <c r="E274" s="52"/>
      <c r="F274" s="52"/>
      <c r="G274" s="52"/>
      <c r="H274" s="52"/>
      <c r="I274" s="177"/>
      <c r="J274" s="177"/>
      <c r="K274" s="52"/>
      <c r="L274" s="52"/>
      <c r="M274" s="52"/>
      <c r="N274" s="52"/>
      <c r="O274" s="52"/>
      <c r="P274" s="178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</row>
    <row r="275">
      <c r="A275" s="52"/>
      <c r="B275" s="52"/>
      <c r="C275" s="179"/>
      <c r="D275" s="52"/>
      <c r="E275" s="52"/>
      <c r="F275" s="52"/>
      <c r="G275" s="52"/>
      <c r="H275" s="52"/>
      <c r="I275" s="177"/>
      <c r="J275" s="177"/>
      <c r="K275" s="52"/>
      <c r="L275" s="52"/>
      <c r="M275" s="52"/>
      <c r="N275" s="52"/>
      <c r="O275" s="52"/>
      <c r="P275" s="178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</row>
    <row r="276">
      <c r="A276" s="52"/>
      <c r="B276" s="52"/>
      <c r="C276" s="179"/>
      <c r="D276" s="52"/>
      <c r="E276" s="52"/>
      <c r="F276" s="52"/>
      <c r="G276" s="52"/>
      <c r="H276" s="52"/>
      <c r="I276" s="177"/>
      <c r="J276" s="177"/>
      <c r="K276" s="52"/>
      <c r="L276" s="52"/>
      <c r="M276" s="52"/>
      <c r="N276" s="52"/>
      <c r="O276" s="52"/>
      <c r="P276" s="178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</row>
    <row r="277">
      <c r="A277" s="52"/>
      <c r="B277" s="52"/>
      <c r="C277" s="179"/>
      <c r="D277" s="52"/>
      <c r="E277" s="52"/>
      <c r="F277" s="52"/>
      <c r="G277" s="52"/>
      <c r="H277" s="52"/>
      <c r="I277" s="177"/>
      <c r="J277" s="177"/>
      <c r="K277" s="52"/>
      <c r="L277" s="52"/>
      <c r="M277" s="52"/>
      <c r="N277" s="52"/>
      <c r="O277" s="52"/>
      <c r="P277" s="178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</row>
    <row r="278">
      <c r="A278" s="52"/>
      <c r="B278" s="52"/>
      <c r="C278" s="179"/>
      <c r="D278" s="52"/>
      <c r="E278" s="52"/>
      <c r="F278" s="52"/>
      <c r="G278" s="52"/>
      <c r="H278" s="52"/>
      <c r="I278" s="177"/>
      <c r="J278" s="177"/>
      <c r="K278" s="52"/>
      <c r="L278" s="52"/>
      <c r="M278" s="52"/>
      <c r="N278" s="52"/>
      <c r="O278" s="52"/>
      <c r="P278" s="178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</row>
    <row r="279">
      <c r="A279" s="52"/>
      <c r="B279" s="52"/>
      <c r="C279" s="179"/>
      <c r="D279" s="52"/>
      <c r="E279" s="52"/>
      <c r="F279" s="52"/>
      <c r="G279" s="52"/>
      <c r="H279" s="52"/>
      <c r="I279" s="177"/>
      <c r="J279" s="177"/>
      <c r="K279" s="52"/>
      <c r="L279" s="52"/>
      <c r="M279" s="52"/>
      <c r="N279" s="52"/>
      <c r="O279" s="52"/>
      <c r="P279" s="178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</row>
    <row r="280">
      <c r="A280" s="52"/>
      <c r="B280" s="52"/>
      <c r="C280" s="179"/>
      <c r="D280" s="52"/>
      <c r="E280" s="52"/>
      <c r="F280" s="52"/>
      <c r="G280" s="52"/>
      <c r="H280" s="52"/>
      <c r="I280" s="177"/>
      <c r="J280" s="177"/>
      <c r="K280" s="52"/>
      <c r="L280" s="52"/>
      <c r="M280" s="52"/>
      <c r="N280" s="52"/>
      <c r="O280" s="52"/>
      <c r="P280" s="178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</row>
    <row r="281">
      <c r="A281" s="52"/>
      <c r="B281" s="52"/>
      <c r="C281" s="179"/>
      <c r="D281" s="52"/>
      <c r="E281" s="52"/>
      <c r="F281" s="52"/>
      <c r="G281" s="52"/>
      <c r="H281" s="52"/>
      <c r="I281" s="177"/>
      <c r="J281" s="177"/>
      <c r="K281" s="52"/>
      <c r="L281" s="52"/>
      <c r="M281" s="52"/>
      <c r="N281" s="52"/>
      <c r="O281" s="52"/>
      <c r="P281" s="178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</row>
    <row r="282">
      <c r="A282" s="52"/>
      <c r="B282" s="52"/>
      <c r="C282" s="179"/>
      <c r="D282" s="52"/>
      <c r="E282" s="52"/>
      <c r="F282" s="52"/>
      <c r="G282" s="52"/>
      <c r="H282" s="52"/>
      <c r="I282" s="177"/>
      <c r="J282" s="177"/>
      <c r="K282" s="52"/>
      <c r="L282" s="52"/>
      <c r="M282" s="52"/>
      <c r="N282" s="52"/>
      <c r="O282" s="52"/>
      <c r="P282" s="178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</row>
    <row r="283">
      <c r="A283" s="52"/>
      <c r="B283" s="52"/>
      <c r="C283" s="179"/>
      <c r="D283" s="52"/>
      <c r="E283" s="52"/>
      <c r="F283" s="52"/>
      <c r="G283" s="52"/>
      <c r="H283" s="52"/>
      <c r="I283" s="177"/>
      <c r="J283" s="177"/>
      <c r="K283" s="52"/>
      <c r="L283" s="52"/>
      <c r="M283" s="52"/>
      <c r="N283" s="52"/>
      <c r="O283" s="52"/>
      <c r="P283" s="178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</row>
    <row r="284">
      <c r="A284" s="52"/>
      <c r="B284" s="52"/>
      <c r="C284" s="179"/>
      <c r="D284" s="52"/>
      <c r="E284" s="52"/>
      <c r="F284" s="52"/>
      <c r="G284" s="52"/>
      <c r="H284" s="52"/>
      <c r="I284" s="177"/>
      <c r="J284" s="177"/>
      <c r="K284" s="52"/>
      <c r="L284" s="52"/>
      <c r="M284" s="52"/>
      <c r="N284" s="52"/>
      <c r="O284" s="52"/>
      <c r="P284" s="178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</row>
    <row r="285">
      <c r="A285" s="52"/>
      <c r="B285" s="52"/>
      <c r="C285" s="179"/>
      <c r="D285" s="52"/>
      <c r="E285" s="52"/>
      <c r="F285" s="52"/>
      <c r="G285" s="52"/>
      <c r="H285" s="52"/>
      <c r="I285" s="177"/>
      <c r="J285" s="177"/>
      <c r="K285" s="52"/>
      <c r="L285" s="52"/>
      <c r="M285" s="52"/>
      <c r="N285" s="52"/>
      <c r="O285" s="52"/>
      <c r="P285" s="178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</row>
    <row r="286">
      <c r="A286" s="52"/>
      <c r="B286" s="52"/>
      <c r="C286" s="179"/>
      <c r="D286" s="52"/>
      <c r="E286" s="52"/>
      <c r="F286" s="52"/>
      <c r="G286" s="52"/>
      <c r="H286" s="52"/>
      <c r="I286" s="177"/>
      <c r="J286" s="177"/>
      <c r="K286" s="52"/>
      <c r="L286" s="52"/>
      <c r="M286" s="52"/>
      <c r="N286" s="52"/>
      <c r="O286" s="52"/>
      <c r="P286" s="178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</row>
    <row r="287">
      <c r="A287" s="52"/>
      <c r="B287" s="52"/>
      <c r="C287" s="179"/>
      <c r="D287" s="52"/>
      <c r="E287" s="52"/>
      <c r="F287" s="52"/>
      <c r="G287" s="52"/>
      <c r="H287" s="52"/>
      <c r="I287" s="177"/>
      <c r="J287" s="177"/>
      <c r="K287" s="52"/>
      <c r="L287" s="52"/>
      <c r="M287" s="52"/>
      <c r="N287" s="52"/>
      <c r="O287" s="52"/>
      <c r="P287" s="178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</row>
    <row r="288">
      <c r="A288" s="52"/>
      <c r="B288" s="52"/>
      <c r="C288" s="179"/>
      <c r="D288" s="52"/>
      <c r="E288" s="52"/>
      <c r="F288" s="52"/>
      <c r="G288" s="52"/>
      <c r="H288" s="52"/>
      <c r="I288" s="177"/>
      <c r="J288" s="177"/>
      <c r="K288" s="52"/>
      <c r="L288" s="52"/>
      <c r="M288" s="52"/>
      <c r="N288" s="52"/>
      <c r="O288" s="52"/>
      <c r="P288" s="178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</row>
    <row r="289">
      <c r="A289" s="52"/>
      <c r="B289" s="52"/>
      <c r="C289" s="179"/>
      <c r="D289" s="52"/>
      <c r="E289" s="52"/>
      <c r="F289" s="52"/>
      <c r="G289" s="52"/>
      <c r="H289" s="52"/>
      <c r="I289" s="177"/>
      <c r="J289" s="177"/>
      <c r="K289" s="52"/>
      <c r="L289" s="52"/>
      <c r="M289" s="52"/>
      <c r="N289" s="52"/>
      <c r="O289" s="52"/>
      <c r="P289" s="178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</row>
    <row r="290">
      <c r="A290" s="52"/>
      <c r="B290" s="52"/>
      <c r="C290" s="179"/>
      <c r="D290" s="52"/>
      <c r="E290" s="52"/>
      <c r="F290" s="52"/>
      <c r="G290" s="52"/>
      <c r="H290" s="52"/>
      <c r="I290" s="177"/>
      <c r="J290" s="177"/>
      <c r="K290" s="52"/>
      <c r="L290" s="52"/>
      <c r="M290" s="52"/>
      <c r="N290" s="52"/>
      <c r="O290" s="52"/>
      <c r="P290" s="178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</row>
    <row r="291">
      <c r="A291" s="52"/>
      <c r="B291" s="52"/>
      <c r="C291" s="179"/>
      <c r="D291" s="52"/>
      <c r="E291" s="52"/>
      <c r="F291" s="52"/>
      <c r="G291" s="52"/>
      <c r="H291" s="52"/>
      <c r="I291" s="177"/>
      <c r="J291" s="177"/>
      <c r="K291" s="52"/>
      <c r="L291" s="52"/>
      <c r="M291" s="52"/>
      <c r="N291" s="52"/>
      <c r="O291" s="52"/>
      <c r="P291" s="178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</row>
    <row r="292">
      <c r="A292" s="52"/>
      <c r="B292" s="52"/>
      <c r="C292" s="179"/>
      <c r="D292" s="52"/>
      <c r="E292" s="52"/>
      <c r="F292" s="52"/>
      <c r="G292" s="52"/>
      <c r="H292" s="52"/>
      <c r="I292" s="177"/>
      <c r="J292" s="177"/>
      <c r="K292" s="52"/>
      <c r="L292" s="52"/>
      <c r="M292" s="52"/>
      <c r="N292" s="52"/>
      <c r="O292" s="52"/>
      <c r="P292" s="178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</row>
    <row r="293">
      <c r="A293" s="52"/>
      <c r="B293" s="52"/>
      <c r="C293" s="179"/>
      <c r="D293" s="52"/>
      <c r="E293" s="52"/>
      <c r="F293" s="52"/>
      <c r="G293" s="52"/>
      <c r="H293" s="52"/>
      <c r="I293" s="177"/>
      <c r="J293" s="177"/>
      <c r="K293" s="52"/>
      <c r="L293" s="52"/>
      <c r="M293" s="52"/>
      <c r="N293" s="52"/>
      <c r="O293" s="52"/>
      <c r="P293" s="178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</row>
    <row r="294">
      <c r="A294" s="52"/>
      <c r="B294" s="52"/>
      <c r="C294" s="179"/>
      <c r="D294" s="52"/>
      <c r="E294" s="52"/>
      <c r="F294" s="52"/>
      <c r="G294" s="52"/>
      <c r="H294" s="52"/>
      <c r="I294" s="177"/>
      <c r="J294" s="177"/>
      <c r="K294" s="52"/>
      <c r="L294" s="52"/>
      <c r="M294" s="52"/>
      <c r="N294" s="52"/>
      <c r="O294" s="52"/>
      <c r="P294" s="178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</row>
    <row r="295">
      <c r="A295" s="52"/>
      <c r="B295" s="52"/>
      <c r="C295" s="179"/>
      <c r="D295" s="52"/>
      <c r="E295" s="52"/>
      <c r="F295" s="52"/>
      <c r="G295" s="52"/>
      <c r="H295" s="52"/>
      <c r="I295" s="177"/>
      <c r="J295" s="177"/>
      <c r="K295" s="52"/>
      <c r="L295" s="52"/>
      <c r="M295" s="52"/>
      <c r="N295" s="52"/>
      <c r="O295" s="52"/>
      <c r="P295" s="178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</row>
    <row r="296">
      <c r="A296" s="52"/>
      <c r="B296" s="52"/>
      <c r="C296" s="179"/>
      <c r="D296" s="52"/>
      <c r="E296" s="52"/>
      <c r="F296" s="52"/>
      <c r="G296" s="52"/>
      <c r="H296" s="52"/>
      <c r="I296" s="177"/>
      <c r="J296" s="177"/>
      <c r="K296" s="52"/>
      <c r="L296" s="52"/>
      <c r="M296" s="52"/>
      <c r="N296" s="52"/>
      <c r="O296" s="52"/>
      <c r="P296" s="178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</row>
    <row r="297">
      <c r="A297" s="52"/>
      <c r="B297" s="52"/>
      <c r="C297" s="179"/>
      <c r="D297" s="52"/>
      <c r="E297" s="52"/>
      <c r="F297" s="52"/>
      <c r="G297" s="52"/>
      <c r="H297" s="52"/>
      <c r="I297" s="177"/>
      <c r="J297" s="177"/>
      <c r="K297" s="52"/>
      <c r="L297" s="52"/>
      <c r="M297" s="52"/>
      <c r="N297" s="52"/>
      <c r="O297" s="52"/>
      <c r="P297" s="178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</row>
    <row r="298">
      <c r="A298" s="52"/>
      <c r="B298" s="52"/>
      <c r="C298" s="179"/>
      <c r="D298" s="52"/>
      <c r="E298" s="52"/>
      <c r="F298" s="52"/>
      <c r="G298" s="52"/>
      <c r="H298" s="52"/>
      <c r="I298" s="177"/>
      <c r="J298" s="177"/>
      <c r="K298" s="52"/>
      <c r="L298" s="52"/>
      <c r="M298" s="52"/>
      <c r="N298" s="52"/>
      <c r="O298" s="52"/>
      <c r="P298" s="178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</row>
    <row r="299">
      <c r="A299" s="52"/>
      <c r="B299" s="52"/>
      <c r="C299" s="179"/>
      <c r="D299" s="52"/>
      <c r="E299" s="52"/>
      <c r="F299" s="52"/>
      <c r="G299" s="52"/>
      <c r="H299" s="52"/>
      <c r="I299" s="177"/>
      <c r="J299" s="177"/>
      <c r="K299" s="52"/>
      <c r="L299" s="52"/>
      <c r="M299" s="52"/>
      <c r="N299" s="52"/>
      <c r="O299" s="52"/>
      <c r="P299" s="178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</row>
    <row r="300">
      <c r="A300" s="52"/>
      <c r="B300" s="52"/>
      <c r="C300" s="179"/>
      <c r="D300" s="52"/>
      <c r="E300" s="52"/>
      <c r="F300" s="52"/>
      <c r="G300" s="52"/>
      <c r="H300" s="52"/>
      <c r="I300" s="177"/>
      <c r="J300" s="177"/>
      <c r="K300" s="52"/>
      <c r="L300" s="52"/>
      <c r="M300" s="52"/>
      <c r="N300" s="52"/>
      <c r="O300" s="52"/>
      <c r="P300" s="178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</row>
    <row r="301">
      <c r="A301" s="52"/>
      <c r="B301" s="52"/>
      <c r="C301" s="179"/>
      <c r="D301" s="52"/>
      <c r="E301" s="52"/>
      <c r="F301" s="52"/>
      <c r="G301" s="52"/>
      <c r="H301" s="52"/>
      <c r="I301" s="177"/>
      <c r="J301" s="177"/>
      <c r="K301" s="52"/>
      <c r="L301" s="52"/>
      <c r="M301" s="52"/>
      <c r="N301" s="52"/>
      <c r="O301" s="52"/>
      <c r="P301" s="178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</row>
    <row r="302">
      <c r="A302" s="52"/>
      <c r="B302" s="52"/>
      <c r="C302" s="179"/>
      <c r="D302" s="52"/>
      <c r="E302" s="52"/>
      <c r="F302" s="52"/>
      <c r="G302" s="52"/>
      <c r="H302" s="52"/>
      <c r="I302" s="177"/>
      <c r="J302" s="177"/>
      <c r="K302" s="52"/>
      <c r="L302" s="52"/>
      <c r="M302" s="52"/>
      <c r="N302" s="52"/>
      <c r="O302" s="52"/>
      <c r="P302" s="178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</row>
    <row r="303">
      <c r="A303" s="52"/>
      <c r="B303" s="52"/>
      <c r="C303" s="179"/>
      <c r="D303" s="52"/>
      <c r="E303" s="52"/>
      <c r="F303" s="52"/>
      <c r="G303" s="52"/>
      <c r="H303" s="52"/>
      <c r="I303" s="177"/>
      <c r="J303" s="177"/>
      <c r="K303" s="52"/>
      <c r="L303" s="52"/>
      <c r="M303" s="52"/>
      <c r="N303" s="52"/>
      <c r="O303" s="52"/>
      <c r="P303" s="178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</row>
    <row r="304">
      <c r="A304" s="52"/>
      <c r="B304" s="52"/>
      <c r="C304" s="179"/>
      <c r="D304" s="52"/>
      <c r="E304" s="52"/>
      <c r="F304" s="52"/>
      <c r="G304" s="52"/>
      <c r="H304" s="52"/>
      <c r="I304" s="177"/>
      <c r="J304" s="177"/>
      <c r="K304" s="52"/>
      <c r="L304" s="52"/>
      <c r="M304" s="52"/>
      <c r="N304" s="52"/>
      <c r="O304" s="52"/>
      <c r="P304" s="178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</row>
    <row r="305">
      <c r="A305" s="52"/>
      <c r="B305" s="52"/>
      <c r="C305" s="179"/>
      <c r="D305" s="52"/>
      <c r="E305" s="52"/>
      <c r="F305" s="52"/>
      <c r="G305" s="52"/>
      <c r="H305" s="52"/>
      <c r="I305" s="177"/>
      <c r="J305" s="177"/>
      <c r="K305" s="52"/>
      <c r="L305" s="52"/>
      <c r="M305" s="52"/>
      <c r="N305" s="52"/>
      <c r="O305" s="52"/>
      <c r="P305" s="178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</row>
    <row r="306">
      <c r="A306" s="52"/>
      <c r="B306" s="52"/>
      <c r="C306" s="179"/>
      <c r="D306" s="52"/>
      <c r="E306" s="52"/>
      <c r="F306" s="52"/>
      <c r="G306" s="52"/>
      <c r="H306" s="52"/>
      <c r="I306" s="177"/>
      <c r="J306" s="177"/>
      <c r="K306" s="52"/>
      <c r="L306" s="52"/>
      <c r="M306" s="52"/>
      <c r="N306" s="52"/>
      <c r="O306" s="52"/>
      <c r="P306" s="178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</row>
    <row r="307">
      <c r="A307" s="52"/>
      <c r="B307" s="52"/>
      <c r="C307" s="179"/>
      <c r="D307" s="52"/>
      <c r="E307" s="52"/>
      <c r="F307" s="52"/>
      <c r="G307" s="52"/>
      <c r="H307" s="52"/>
      <c r="I307" s="177"/>
      <c r="J307" s="177"/>
      <c r="K307" s="52"/>
      <c r="L307" s="52"/>
      <c r="M307" s="52"/>
      <c r="N307" s="52"/>
      <c r="O307" s="52"/>
      <c r="P307" s="178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</row>
    <row r="308">
      <c r="A308" s="52"/>
      <c r="B308" s="52"/>
      <c r="C308" s="179"/>
      <c r="D308" s="52"/>
      <c r="E308" s="52"/>
      <c r="F308" s="52"/>
      <c r="G308" s="52"/>
      <c r="H308" s="52"/>
      <c r="I308" s="177"/>
      <c r="J308" s="177"/>
      <c r="K308" s="52"/>
      <c r="L308" s="52"/>
      <c r="M308" s="52"/>
      <c r="N308" s="52"/>
      <c r="O308" s="52"/>
      <c r="P308" s="178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</row>
    <row r="309">
      <c r="A309" s="52"/>
      <c r="B309" s="52"/>
      <c r="C309" s="179"/>
      <c r="D309" s="52"/>
      <c r="E309" s="52"/>
      <c r="F309" s="52"/>
      <c r="G309" s="52"/>
      <c r="H309" s="52"/>
      <c r="I309" s="177"/>
      <c r="J309" s="177"/>
      <c r="K309" s="52"/>
      <c r="L309" s="52"/>
      <c r="M309" s="52"/>
      <c r="N309" s="52"/>
      <c r="O309" s="52"/>
      <c r="P309" s="178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</row>
    <row r="310">
      <c r="A310" s="52"/>
      <c r="B310" s="52"/>
      <c r="C310" s="179"/>
      <c r="D310" s="52"/>
      <c r="E310" s="52"/>
      <c r="F310" s="52"/>
      <c r="G310" s="52"/>
      <c r="H310" s="52"/>
      <c r="I310" s="177"/>
      <c r="J310" s="177"/>
      <c r="K310" s="52"/>
      <c r="L310" s="52"/>
      <c r="M310" s="52"/>
      <c r="N310" s="52"/>
      <c r="O310" s="52"/>
      <c r="P310" s="178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</row>
    <row r="311">
      <c r="A311" s="52"/>
      <c r="B311" s="52"/>
      <c r="C311" s="179"/>
      <c r="D311" s="52"/>
      <c r="E311" s="52"/>
      <c r="F311" s="52"/>
      <c r="G311" s="52"/>
      <c r="H311" s="52"/>
      <c r="I311" s="177"/>
      <c r="J311" s="177"/>
      <c r="K311" s="52"/>
      <c r="L311" s="52"/>
      <c r="M311" s="52"/>
      <c r="N311" s="52"/>
      <c r="O311" s="52"/>
      <c r="P311" s="178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</row>
    <row r="312">
      <c r="A312" s="52"/>
      <c r="B312" s="52"/>
      <c r="C312" s="179"/>
      <c r="D312" s="52"/>
      <c r="E312" s="52"/>
      <c r="F312" s="52"/>
      <c r="G312" s="52"/>
      <c r="H312" s="52"/>
      <c r="I312" s="177"/>
      <c r="J312" s="177"/>
      <c r="K312" s="52"/>
      <c r="L312" s="52"/>
      <c r="M312" s="52"/>
      <c r="N312" s="52"/>
      <c r="O312" s="52"/>
      <c r="P312" s="178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</row>
    <row r="313">
      <c r="A313" s="52"/>
      <c r="B313" s="52"/>
      <c r="C313" s="179"/>
      <c r="D313" s="52"/>
      <c r="E313" s="52"/>
      <c r="F313" s="52"/>
      <c r="G313" s="52"/>
      <c r="H313" s="52"/>
      <c r="I313" s="177"/>
      <c r="J313" s="177"/>
      <c r="K313" s="52"/>
      <c r="L313" s="52"/>
      <c r="M313" s="52"/>
      <c r="N313" s="52"/>
      <c r="O313" s="52"/>
      <c r="P313" s="178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</row>
    <row r="314">
      <c r="A314" s="52"/>
      <c r="B314" s="52"/>
      <c r="C314" s="179"/>
      <c r="D314" s="52"/>
      <c r="E314" s="52"/>
      <c r="F314" s="52"/>
      <c r="G314" s="52"/>
      <c r="H314" s="52"/>
      <c r="I314" s="177"/>
      <c r="J314" s="177"/>
      <c r="K314" s="52"/>
      <c r="L314" s="52"/>
      <c r="M314" s="52"/>
      <c r="N314" s="52"/>
      <c r="O314" s="52"/>
      <c r="P314" s="178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</row>
    <row r="315">
      <c r="A315" s="52"/>
      <c r="B315" s="52"/>
      <c r="C315" s="179"/>
      <c r="D315" s="52"/>
      <c r="E315" s="52"/>
      <c r="F315" s="52"/>
      <c r="G315" s="52"/>
      <c r="H315" s="52"/>
      <c r="I315" s="177"/>
      <c r="J315" s="177"/>
      <c r="K315" s="52"/>
      <c r="L315" s="52"/>
      <c r="M315" s="52"/>
      <c r="N315" s="52"/>
      <c r="O315" s="52"/>
      <c r="P315" s="178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</row>
    <row r="316">
      <c r="A316" s="52"/>
      <c r="B316" s="52"/>
      <c r="C316" s="179"/>
      <c r="D316" s="52"/>
      <c r="E316" s="52"/>
      <c r="F316" s="52"/>
      <c r="G316" s="52"/>
      <c r="H316" s="52"/>
      <c r="I316" s="177"/>
      <c r="J316" s="177"/>
      <c r="K316" s="52"/>
      <c r="L316" s="52"/>
      <c r="M316" s="52"/>
      <c r="N316" s="52"/>
      <c r="O316" s="52"/>
      <c r="P316" s="178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</row>
    <row r="317">
      <c r="A317" s="52"/>
      <c r="B317" s="52"/>
      <c r="C317" s="179"/>
      <c r="D317" s="52"/>
      <c r="E317" s="52"/>
      <c r="F317" s="52"/>
      <c r="G317" s="52"/>
      <c r="H317" s="52"/>
      <c r="I317" s="177"/>
      <c r="J317" s="177"/>
      <c r="K317" s="52"/>
      <c r="L317" s="52"/>
      <c r="M317" s="52"/>
      <c r="N317" s="52"/>
      <c r="O317" s="52"/>
      <c r="P317" s="178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</row>
    <row r="318">
      <c r="A318" s="52"/>
      <c r="B318" s="52"/>
      <c r="C318" s="179"/>
      <c r="D318" s="52"/>
      <c r="E318" s="52"/>
      <c r="F318" s="52"/>
      <c r="G318" s="52"/>
      <c r="H318" s="52"/>
      <c r="I318" s="177"/>
      <c r="J318" s="177"/>
      <c r="K318" s="52"/>
      <c r="L318" s="52"/>
      <c r="M318" s="52"/>
      <c r="N318" s="52"/>
      <c r="O318" s="52"/>
      <c r="P318" s="178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</row>
    <row r="319">
      <c r="A319" s="52"/>
      <c r="B319" s="52"/>
      <c r="C319" s="179"/>
      <c r="D319" s="52"/>
      <c r="E319" s="52"/>
      <c r="F319" s="52"/>
      <c r="G319" s="52"/>
      <c r="H319" s="52"/>
      <c r="I319" s="177"/>
      <c r="J319" s="177"/>
      <c r="K319" s="52"/>
      <c r="L319" s="52"/>
      <c r="M319" s="52"/>
      <c r="N319" s="52"/>
      <c r="O319" s="52"/>
      <c r="P319" s="178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</row>
    <row r="320">
      <c r="A320" s="52"/>
      <c r="B320" s="52"/>
      <c r="C320" s="179"/>
      <c r="D320" s="52"/>
      <c r="E320" s="52"/>
      <c r="F320" s="52"/>
      <c r="G320" s="52"/>
      <c r="H320" s="52"/>
      <c r="I320" s="177"/>
      <c r="J320" s="177"/>
      <c r="K320" s="52"/>
      <c r="L320" s="52"/>
      <c r="M320" s="52"/>
      <c r="N320" s="52"/>
      <c r="O320" s="52"/>
      <c r="P320" s="178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</row>
    <row r="321">
      <c r="A321" s="52"/>
      <c r="B321" s="52"/>
      <c r="C321" s="179"/>
      <c r="D321" s="52"/>
      <c r="E321" s="52"/>
      <c r="F321" s="52"/>
      <c r="G321" s="52"/>
      <c r="H321" s="52"/>
      <c r="I321" s="177"/>
      <c r="J321" s="177"/>
      <c r="K321" s="52"/>
      <c r="L321" s="52"/>
      <c r="M321" s="52"/>
      <c r="N321" s="52"/>
      <c r="O321" s="52"/>
      <c r="P321" s="178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</row>
    <row r="322">
      <c r="A322" s="52"/>
      <c r="B322" s="52"/>
      <c r="C322" s="179"/>
      <c r="D322" s="52"/>
      <c r="E322" s="52"/>
      <c r="F322" s="52"/>
      <c r="G322" s="52"/>
      <c r="H322" s="52"/>
      <c r="I322" s="177"/>
      <c r="J322" s="177"/>
      <c r="K322" s="52"/>
      <c r="L322" s="52"/>
      <c r="M322" s="52"/>
      <c r="N322" s="52"/>
      <c r="O322" s="52"/>
      <c r="P322" s="178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</row>
    <row r="323">
      <c r="A323" s="52"/>
      <c r="B323" s="52"/>
      <c r="C323" s="179"/>
      <c r="D323" s="52"/>
      <c r="E323" s="52"/>
      <c r="F323" s="52"/>
      <c r="G323" s="52"/>
      <c r="H323" s="52"/>
      <c r="I323" s="177"/>
      <c r="J323" s="177"/>
      <c r="K323" s="52"/>
      <c r="L323" s="52"/>
      <c r="M323" s="52"/>
      <c r="N323" s="52"/>
      <c r="O323" s="52"/>
      <c r="P323" s="178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</row>
    <row r="324">
      <c r="A324" s="52"/>
      <c r="B324" s="52"/>
      <c r="C324" s="179"/>
      <c r="D324" s="52"/>
      <c r="E324" s="52"/>
      <c r="F324" s="52"/>
      <c r="G324" s="52"/>
      <c r="H324" s="52"/>
      <c r="I324" s="177"/>
      <c r="J324" s="177"/>
      <c r="K324" s="52"/>
      <c r="L324" s="52"/>
      <c r="M324" s="52"/>
      <c r="N324" s="52"/>
      <c r="O324" s="52"/>
      <c r="P324" s="178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</row>
    <row r="325">
      <c r="A325" s="52"/>
      <c r="B325" s="52"/>
      <c r="C325" s="179"/>
      <c r="D325" s="52"/>
      <c r="E325" s="52"/>
      <c r="F325" s="52"/>
      <c r="G325" s="52"/>
      <c r="H325" s="52"/>
      <c r="I325" s="177"/>
      <c r="J325" s="177"/>
      <c r="K325" s="52"/>
      <c r="L325" s="52"/>
      <c r="M325" s="52"/>
      <c r="N325" s="52"/>
      <c r="O325" s="52"/>
      <c r="P325" s="178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</row>
    <row r="326">
      <c r="A326" s="52"/>
      <c r="B326" s="52"/>
      <c r="C326" s="179"/>
      <c r="D326" s="52"/>
      <c r="E326" s="52"/>
      <c r="F326" s="52"/>
      <c r="G326" s="52"/>
      <c r="H326" s="52"/>
      <c r="I326" s="177"/>
      <c r="J326" s="177"/>
      <c r="K326" s="52"/>
      <c r="L326" s="52"/>
      <c r="M326" s="52"/>
      <c r="N326" s="52"/>
      <c r="O326" s="52"/>
      <c r="P326" s="178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</row>
    <row r="327">
      <c r="A327" s="52"/>
      <c r="B327" s="52"/>
      <c r="C327" s="179"/>
      <c r="D327" s="52"/>
      <c r="E327" s="52"/>
      <c r="F327" s="52"/>
      <c r="G327" s="52"/>
      <c r="H327" s="52"/>
      <c r="I327" s="177"/>
      <c r="J327" s="177"/>
      <c r="K327" s="52"/>
      <c r="L327" s="52"/>
      <c r="M327" s="52"/>
      <c r="N327" s="52"/>
      <c r="O327" s="52"/>
      <c r="P327" s="178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</row>
    <row r="328">
      <c r="A328" s="52"/>
      <c r="B328" s="52"/>
      <c r="C328" s="179"/>
      <c r="D328" s="52"/>
      <c r="E328" s="52"/>
      <c r="F328" s="52"/>
      <c r="G328" s="52"/>
      <c r="H328" s="52"/>
      <c r="I328" s="177"/>
      <c r="J328" s="177"/>
      <c r="K328" s="52"/>
      <c r="L328" s="52"/>
      <c r="M328" s="52"/>
      <c r="N328" s="52"/>
      <c r="O328" s="52"/>
      <c r="P328" s="178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</row>
    <row r="329">
      <c r="A329" s="52"/>
      <c r="B329" s="52"/>
      <c r="C329" s="179"/>
      <c r="D329" s="52"/>
      <c r="E329" s="52"/>
      <c r="F329" s="52"/>
      <c r="G329" s="52"/>
      <c r="H329" s="52"/>
      <c r="I329" s="177"/>
      <c r="J329" s="177"/>
      <c r="K329" s="52"/>
      <c r="L329" s="52"/>
      <c r="M329" s="52"/>
      <c r="N329" s="52"/>
      <c r="O329" s="52"/>
      <c r="P329" s="178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</row>
    <row r="330">
      <c r="A330" s="52"/>
      <c r="B330" s="52"/>
      <c r="C330" s="179"/>
      <c r="D330" s="52"/>
      <c r="E330" s="52"/>
      <c r="F330" s="52"/>
      <c r="G330" s="52"/>
      <c r="H330" s="52"/>
      <c r="I330" s="177"/>
      <c r="J330" s="177"/>
      <c r="K330" s="52"/>
      <c r="L330" s="52"/>
      <c r="M330" s="52"/>
      <c r="N330" s="52"/>
      <c r="O330" s="52"/>
      <c r="P330" s="178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</row>
    <row r="331">
      <c r="A331" s="52"/>
      <c r="B331" s="52"/>
      <c r="C331" s="179"/>
      <c r="D331" s="52"/>
      <c r="E331" s="52"/>
      <c r="F331" s="52"/>
      <c r="G331" s="52"/>
      <c r="H331" s="52"/>
      <c r="I331" s="177"/>
      <c r="J331" s="177"/>
      <c r="K331" s="52"/>
      <c r="L331" s="52"/>
      <c r="M331" s="52"/>
      <c r="N331" s="52"/>
      <c r="O331" s="52"/>
      <c r="P331" s="178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</row>
    <row r="332">
      <c r="A332" s="52"/>
      <c r="B332" s="52"/>
      <c r="C332" s="179"/>
      <c r="D332" s="52"/>
      <c r="E332" s="52"/>
      <c r="F332" s="52"/>
      <c r="G332" s="52"/>
      <c r="H332" s="52"/>
      <c r="I332" s="177"/>
      <c r="J332" s="177"/>
      <c r="K332" s="52"/>
      <c r="L332" s="52"/>
      <c r="M332" s="52"/>
      <c r="N332" s="52"/>
      <c r="O332" s="52"/>
      <c r="P332" s="178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</row>
    <row r="333">
      <c r="A333" s="52"/>
      <c r="B333" s="52"/>
      <c r="C333" s="179"/>
      <c r="D333" s="52"/>
      <c r="E333" s="52"/>
      <c r="F333" s="52"/>
      <c r="G333" s="52"/>
      <c r="H333" s="52"/>
      <c r="I333" s="177"/>
      <c r="J333" s="177"/>
      <c r="K333" s="52"/>
      <c r="L333" s="52"/>
      <c r="M333" s="52"/>
      <c r="N333" s="52"/>
      <c r="O333" s="52"/>
      <c r="P333" s="178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</row>
    <row r="334">
      <c r="A334" s="52"/>
      <c r="B334" s="52"/>
      <c r="C334" s="179"/>
      <c r="D334" s="52"/>
      <c r="E334" s="52"/>
      <c r="F334" s="52"/>
      <c r="G334" s="52"/>
      <c r="H334" s="52"/>
      <c r="I334" s="177"/>
      <c r="J334" s="177"/>
      <c r="K334" s="52"/>
      <c r="L334" s="52"/>
      <c r="M334" s="52"/>
      <c r="N334" s="52"/>
      <c r="O334" s="52"/>
      <c r="P334" s="178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</row>
    <row r="335">
      <c r="A335" s="52"/>
      <c r="B335" s="52"/>
      <c r="C335" s="179"/>
      <c r="D335" s="52"/>
      <c r="E335" s="52"/>
      <c r="F335" s="52"/>
      <c r="G335" s="52"/>
      <c r="H335" s="52"/>
      <c r="I335" s="177"/>
      <c r="J335" s="177"/>
      <c r="K335" s="52"/>
      <c r="L335" s="52"/>
      <c r="M335" s="52"/>
      <c r="N335" s="52"/>
      <c r="O335" s="52"/>
      <c r="P335" s="178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</row>
    <row r="336">
      <c r="A336" s="52"/>
      <c r="B336" s="52"/>
      <c r="C336" s="179"/>
      <c r="D336" s="52"/>
      <c r="E336" s="52"/>
      <c r="F336" s="52"/>
      <c r="G336" s="52"/>
      <c r="H336" s="52"/>
      <c r="I336" s="177"/>
      <c r="J336" s="177"/>
      <c r="K336" s="52"/>
      <c r="L336" s="52"/>
      <c r="M336" s="52"/>
      <c r="N336" s="52"/>
      <c r="O336" s="52"/>
      <c r="P336" s="178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</row>
    <row r="337">
      <c r="A337" s="52"/>
      <c r="B337" s="52"/>
      <c r="C337" s="179"/>
      <c r="D337" s="52"/>
      <c r="E337" s="52"/>
      <c r="F337" s="52"/>
      <c r="G337" s="52"/>
      <c r="H337" s="52"/>
      <c r="I337" s="177"/>
      <c r="J337" s="177"/>
      <c r="K337" s="52"/>
      <c r="L337" s="52"/>
      <c r="M337" s="52"/>
      <c r="N337" s="52"/>
      <c r="O337" s="52"/>
      <c r="P337" s="178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</row>
    <row r="338">
      <c r="A338" s="52"/>
      <c r="B338" s="52"/>
      <c r="C338" s="179"/>
      <c r="D338" s="52"/>
      <c r="E338" s="52"/>
      <c r="F338" s="52"/>
      <c r="G338" s="52"/>
      <c r="H338" s="52"/>
      <c r="I338" s="177"/>
      <c r="J338" s="177"/>
      <c r="K338" s="52"/>
      <c r="L338" s="52"/>
      <c r="M338" s="52"/>
      <c r="N338" s="52"/>
      <c r="O338" s="52"/>
      <c r="P338" s="178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</row>
    <row r="339">
      <c r="A339" s="52"/>
      <c r="B339" s="52"/>
      <c r="C339" s="179"/>
      <c r="D339" s="52"/>
      <c r="E339" s="52"/>
      <c r="F339" s="52"/>
      <c r="G339" s="52"/>
      <c r="H339" s="52"/>
      <c r="I339" s="177"/>
      <c r="J339" s="177"/>
      <c r="K339" s="52"/>
      <c r="L339" s="52"/>
      <c r="M339" s="52"/>
      <c r="N339" s="52"/>
      <c r="O339" s="52"/>
      <c r="P339" s="178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</row>
    <row r="340">
      <c r="A340" s="52"/>
      <c r="B340" s="52"/>
      <c r="C340" s="179"/>
      <c r="D340" s="52"/>
      <c r="E340" s="52"/>
      <c r="F340" s="52"/>
      <c r="G340" s="52"/>
      <c r="H340" s="52"/>
      <c r="I340" s="177"/>
      <c r="J340" s="177"/>
      <c r="K340" s="52"/>
      <c r="L340" s="52"/>
      <c r="M340" s="52"/>
      <c r="N340" s="52"/>
      <c r="O340" s="52"/>
      <c r="P340" s="178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</row>
    <row r="341">
      <c r="A341" s="52"/>
      <c r="B341" s="52"/>
      <c r="C341" s="179"/>
      <c r="D341" s="52"/>
      <c r="E341" s="52"/>
      <c r="F341" s="52"/>
      <c r="G341" s="52"/>
      <c r="H341" s="52"/>
      <c r="I341" s="177"/>
      <c r="J341" s="177"/>
      <c r="K341" s="52"/>
      <c r="L341" s="52"/>
      <c r="M341" s="52"/>
      <c r="N341" s="52"/>
      <c r="O341" s="52"/>
      <c r="P341" s="178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</row>
    <row r="342">
      <c r="A342" s="52"/>
      <c r="B342" s="52"/>
      <c r="C342" s="179"/>
      <c r="D342" s="52"/>
      <c r="E342" s="52"/>
      <c r="F342" s="52"/>
      <c r="G342" s="52"/>
      <c r="H342" s="52"/>
      <c r="I342" s="177"/>
      <c r="J342" s="177"/>
      <c r="K342" s="52"/>
      <c r="L342" s="52"/>
      <c r="M342" s="52"/>
      <c r="N342" s="52"/>
      <c r="O342" s="52"/>
      <c r="P342" s="178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</row>
    <row r="343">
      <c r="A343" s="52"/>
      <c r="B343" s="52"/>
      <c r="C343" s="179"/>
      <c r="D343" s="52"/>
      <c r="E343" s="52"/>
      <c r="F343" s="52"/>
      <c r="G343" s="52"/>
      <c r="H343" s="52"/>
      <c r="I343" s="177"/>
      <c r="J343" s="177"/>
      <c r="K343" s="52"/>
      <c r="L343" s="52"/>
      <c r="M343" s="52"/>
      <c r="N343" s="52"/>
      <c r="O343" s="52"/>
      <c r="P343" s="178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</row>
    <row r="344">
      <c r="A344" s="52"/>
      <c r="B344" s="52"/>
      <c r="C344" s="179"/>
      <c r="D344" s="52"/>
      <c r="E344" s="52"/>
      <c r="F344" s="52"/>
      <c r="G344" s="52"/>
      <c r="H344" s="52"/>
      <c r="I344" s="177"/>
      <c r="J344" s="177"/>
      <c r="K344" s="52"/>
      <c r="L344" s="52"/>
      <c r="M344" s="52"/>
      <c r="N344" s="52"/>
      <c r="O344" s="52"/>
      <c r="P344" s="178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</row>
    <row r="345">
      <c r="A345" s="52"/>
      <c r="B345" s="52"/>
      <c r="C345" s="179"/>
      <c r="D345" s="52"/>
      <c r="E345" s="52"/>
      <c r="F345" s="52"/>
      <c r="G345" s="52"/>
      <c r="H345" s="52"/>
      <c r="I345" s="177"/>
      <c r="J345" s="177"/>
      <c r="K345" s="52"/>
      <c r="L345" s="52"/>
      <c r="M345" s="52"/>
      <c r="N345" s="52"/>
      <c r="O345" s="52"/>
      <c r="P345" s="178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</row>
    <row r="346">
      <c r="A346" s="52"/>
      <c r="B346" s="52"/>
      <c r="C346" s="179"/>
      <c r="D346" s="52"/>
      <c r="E346" s="52"/>
      <c r="F346" s="52"/>
      <c r="G346" s="52"/>
      <c r="H346" s="52"/>
      <c r="I346" s="177"/>
      <c r="J346" s="177"/>
      <c r="K346" s="52"/>
      <c r="L346" s="52"/>
      <c r="M346" s="52"/>
      <c r="N346" s="52"/>
      <c r="O346" s="52"/>
      <c r="P346" s="178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</row>
    <row r="347">
      <c r="A347" s="52"/>
      <c r="B347" s="52"/>
      <c r="C347" s="179"/>
      <c r="D347" s="52"/>
      <c r="E347" s="52"/>
      <c r="F347" s="52"/>
      <c r="G347" s="52"/>
      <c r="H347" s="52"/>
      <c r="I347" s="177"/>
      <c r="J347" s="177"/>
      <c r="K347" s="52"/>
      <c r="L347" s="52"/>
      <c r="M347" s="52"/>
      <c r="N347" s="52"/>
      <c r="O347" s="52"/>
      <c r="P347" s="178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</row>
    <row r="348">
      <c r="A348" s="52"/>
      <c r="B348" s="52"/>
      <c r="C348" s="179"/>
      <c r="D348" s="52"/>
      <c r="E348" s="52"/>
      <c r="F348" s="52"/>
      <c r="G348" s="52"/>
      <c r="H348" s="52"/>
      <c r="I348" s="177"/>
      <c r="J348" s="177"/>
      <c r="K348" s="52"/>
      <c r="L348" s="52"/>
      <c r="M348" s="52"/>
      <c r="N348" s="52"/>
      <c r="O348" s="52"/>
      <c r="P348" s="178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</row>
    <row r="349">
      <c r="A349" s="52"/>
      <c r="B349" s="52"/>
      <c r="C349" s="179"/>
      <c r="D349" s="52"/>
      <c r="E349" s="52"/>
      <c r="F349" s="52"/>
      <c r="G349" s="52"/>
      <c r="H349" s="52"/>
      <c r="I349" s="177"/>
      <c r="J349" s="177"/>
      <c r="K349" s="52"/>
      <c r="L349" s="52"/>
      <c r="M349" s="52"/>
      <c r="N349" s="52"/>
      <c r="O349" s="52"/>
      <c r="P349" s="178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</row>
    <row r="350">
      <c r="A350" s="52"/>
      <c r="B350" s="52"/>
      <c r="C350" s="179"/>
      <c r="D350" s="52"/>
      <c r="E350" s="52"/>
      <c r="F350" s="52"/>
      <c r="G350" s="52"/>
      <c r="H350" s="52"/>
      <c r="I350" s="177"/>
      <c r="J350" s="177"/>
      <c r="K350" s="52"/>
      <c r="L350" s="52"/>
      <c r="M350" s="52"/>
      <c r="N350" s="52"/>
      <c r="O350" s="52"/>
      <c r="P350" s="178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</row>
    <row r="351">
      <c r="A351" s="52"/>
      <c r="B351" s="52"/>
      <c r="C351" s="179"/>
      <c r="D351" s="52"/>
      <c r="E351" s="52"/>
      <c r="F351" s="52"/>
      <c r="G351" s="52"/>
      <c r="H351" s="52"/>
      <c r="I351" s="177"/>
      <c r="J351" s="177"/>
      <c r="K351" s="52"/>
      <c r="L351" s="52"/>
      <c r="M351" s="52"/>
      <c r="N351" s="52"/>
      <c r="O351" s="52"/>
      <c r="P351" s="178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</row>
    <row r="352">
      <c r="A352" s="52"/>
      <c r="B352" s="52"/>
      <c r="C352" s="179"/>
      <c r="D352" s="52"/>
      <c r="E352" s="52"/>
      <c r="F352" s="52"/>
      <c r="G352" s="52"/>
      <c r="H352" s="52"/>
      <c r="I352" s="177"/>
      <c r="J352" s="177"/>
      <c r="K352" s="52"/>
      <c r="L352" s="52"/>
      <c r="M352" s="52"/>
      <c r="N352" s="52"/>
      <c r="O352" s="52"/>
      <c r="P352" s="178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</row>
    <row r="353">
      <c r="A353" s="52"/>
      <c r="B353" s="52"/>
      <c r="C353" s="179"/>
      <c r="D353" s="52"/>
      <c r="E353" s="52"/>
      <c r="F353" s="52"/>
      <c r="G353" s="52"/>
      <c r="H353" s="52"/>
      <c r="I353" s="177"/>
      <c r="J353" s="177"/>
      <c r="K353" s="52"/>
      <c r="L353" s="52"/>
      <c r="M353" s="52"/>
      <c r="N353" s="52"/>
      <c r="O353" s="52"/>
      <c r="P353" s="178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</row>
    <row r="354">
      <c r="A354" s="52"/>
      <c r="B354" s="52"/>
      <c r="C354" s="179"/>
      <c r="D354" s="52"/>
      <c r="E354" s="52"/>
      <c r="F354" s="52"/>
      <c r="G354" s="52"/>
      <c r="H354" s="52"/>
      <c r="I354" s="177"/>
      <c r="J354" s="177"/>
      <c r="K354" s="52"/>
      <c r="L354" s="52"/>
      <c r="M354" s="52"/>
      <c r="N354" s="52"/>
      <c r="O354" s="52"/>
      <c r="P354" s="178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</row>
    <row r="355">
      <c r="A355" s="52"/>
      <c r="B355" s="52"/>
      <c r="C355" s="179"/>
      <c r="D355" s="52"/>
      <c r="E355" s="52"/>
      <c r="F355" s="52"/>
      <c r="G355" s="52"/>
      <c r="H355" s="52"/>
      <c r="I355" s="177"/>
      <c r="J355" s="177"/>
      <c r="K355" s="52"/>
      <c r="L355" s="52"/>
      <c r="M355" s="52"/>
      <c r="N355" s="52"/>
      <c r="O355" s="52"/>
      <c r="P355" s="178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</row>
    <row r="356">
      <c r="A356" s="52"/>
      <c r="B356" s="52"/>
      <c r="C356" s="179"/>
      <c r="D356" s="52"/>
      <c r="E356" s="52"/>
      <c r="F356" s="52"/>
      <c r="G356" s="52"/>
      <c r="H356" s="52"/>
      <c r="I356" s="177"/>
      <c r="J356" s="177"/>
      <c r="K356" s="52"/>
      <c r="L356" s="52"/>
      <c r="M356" s="52"/>
      <c r="N356" s="52"/>
      <c r="O356" s="52"/>
      <c r="P356" s="178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</row>
    <row r="357">
      <c r="A357" s="52"/>
      <c r="B357" s="52"/>
      <c r="C357" s="179"/>
      <c r="D357" s="52"/>
      <c r="E357" s="52"/>
      <c r="F357" s="52"/>
      <c r="G357" s="52"/>
      <c r="H357" s="52"/>
      <c r="I357" s="177"/>
      <c r="J357" s="177"/>
      <c r="K357" s="52"/>
      <c r="L357" s="52"/>
      <c r="M357" s="52"/>
      <c r="N357" s="52"/>
      <c r="O357" s="52"/>
      <c r="P357" s="178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</row>
    <row r="358">
      <c r="A358" s="52"/>
      <c r="B358" s="52"/>
      <c r="C358" s="179"/>
      <c r="D358" s="52"/>
      <c r="E358" s="52"/>
      <c r="F358" s="52"/>
      <c r="G358" s="52"/>
      <c r="H358" s="52"/>
      <c r="I358" s="177"/>
      <c r="J358" s="177"/>
      <c r="K358" s="52"/>
      <c r="L358" s="52"/>
      <c r="M358" s="52"/>
      <c r="N358" s="52"/>
      <c r="O358" s="52"/>
      <c r="P358" s="178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</row>
    <row r="359">
      <c r="A359" s="52"/>
      <c r="B359" s="52"/>
      <c r="C359" s="179"/>
      <c r="D359" s="52"/>
      <c r="E359" s="52"/>
      <c r="F359" s="52"/>
      <c r="G359" s="52"/>
      <c r="H359" s="52"/>
      <c r="I359" s="177"/>
      <c r="J359" s="177"/>
      <c r="K359" s="52"/>
      <c r="L359" s="52"/>
      <c r="M359" s="52"/>
      <c r="N359" s="52"/>
      <c r="O359" s="52"/>
      <c r="P359" s="178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</row>
    <row r="360">
      <c r="A360" s="52"/>
      <c r="B360" s="52"/>
      <c r="C360" s="179"/>
      <c r="D360" s="52"/>
      <c r="E360" s="52"/>
      <c r="F360" s="52"/>
      <c r="G360" s="52"/>
      <c r="H360" s="52"/>
      <c r="I360" s="177"/>
      <c r="J360" s="177"/>
      <c r="K360" s="52"/>
      <c r="L360" s="52"/>
      <c r="M360" s="52"/>
      <c r="N360" s="52"/>
      <c r="O360" s="52"/>
      <c r="P360" s="178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</row>
    <row r="361">
      <c r="A361" s="52"/>
      <c r="B361" s="52"/>
      <c r="C361" s="179"/>
      <c r="D361" s="52"/>
      <c r="E361" s="52"/>
      <c r="F361" s="52"/>
      <c r="G361" s="52"/>
      <c r="H361" s="52"/>
      <c r="I361" s="177"/>
      <c r="J361" s="177"/>
      <c r="K361" s="52"/>
      <c r="L361" s="52"/>
      <c r="M361" s="52"/>
      <c r="N361" s="52"/>
      <c r="O361" s="52"/>
      <c r="P361" s="178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</row>
    <row r="362">
      <c r="A362" s="52"/>
      <c r="B362" s="52"/>
      <c r="C362" s="179"/>
      <c r="D362" s="52"/>
      <c r="E362" s="52"/>
      <c r="F362" s="52"/>
      <c r="G362" s="52"/>
      <c r="H362" s="52"/>
      <c r="I362" s="177"/>
      <c r="J362" s="177"/>
      <c r="K362" s="52"/>
      <c r="L362" s="52"/>
      <c r="M362" s="52"/>
      <c r="N362" s="52"/>
      <c r="O362" s="52"/>
      <c r="P362" s="178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</row>
    <row r="363">
      <c r="A363" s="52"/>
      <c r="B363" s="52"/>
      <c r="C363" s="179"/>
      <c r="D363" s="52"/>
      <c r="E363" s="52"/>
      <c r="F363" s="52"/>
      <c r="G363" s="52"/>
      <c r="H363" s="52"/>
      <c r="I363" s="177"/>
      <c r="J363" s="177"/>
      <c r="K363" s="52"/>
      <c r="L363" s="52"/>
      <c r="M363" s="52"/>
      <c r="N363" s="52"/>
      <c r="O363" s="52"/>
      <c r="P363" s="178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</row>
    <row r="364">
      <c r="A364" s="52"/>
      <c r="B364" s="52"/>
      <c r="C364" s="179"/>
      <c r="D364" s="52"/>
      <c r="E364" s="52"/>
      <c r="F364" s="52"/>
      <c r="G364" s="52"/>
      <c r="H364" s="52"/>
      <c r="I364" s="177"/>
      <c r="J364" s="177"/>
      <c r="K364" s="52"/>
      <c r="L364" s="52"/>
      <c r="M364" s="52"/>
      <c r="N364" s="52"/>
      <c r="O364" s="52"/>
      <c r="P364" s="178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</row>
    <row r="365">
      <c r="A365" s="52"/>
      <c r="B365" s="52"/>
      <c r="C365" s="179"/>
      <c r="D365" s="52"/>
      <c r="E365" s="52"/>
      <c r="F365" s="52"/>
      <c r="G365" s="52"/>
      <c r="H365" s="52"/>
      <c r="I365" s="177"/>
      <c r="J365" s="177"/>
      <c r="K365" s="52"/>
      <c r="L365" s="52"/>
      <c r="M365" s="52"/>
      <c r="N365" s="52"/>
      <c r="O365" s="52"/>
      <c r="P365" s="178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</row>
    <row r="366">
      <c r="A366" s="52"/>
      <c r="B366" s="52"/>
      <c r="C366" s="179"/>
      <c r="D366" s="52"/>
      <c r="E366" s="52"/>
      <c r="F366" s="52"/>
      <c r="G366" s="52"/>
      <c r="H366" s="52"/>
      <c r="I366" s="177"/>
      <c r="J366" s="177"/>
      <c r="K366" s="52"/>
      <c r="L366" s="52"/>
      <c r="M366" s="52"/>
      <c r="N366" s="52"/>
      <c r="O366" s="52"/>
      <c r="P366" s="178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</row>
    <row r="367">
      <c r="A367" s="52"/>
      <c r="B367" s="52"/>
      <c r="C367" s="179"/>
      <c r="D367" s="52"/>
      <c r="E367" s="52"/>
      <c r="F367" s="52"/>
      <c r="G367" s="52"/>
      <c r="H367" s="52"/>
      <c r="I367" s="177"/>
      <c r="J367" s="177"/>
      <c r="K367" s="52"/>
      <c r="L367" s="52"/>
      <c r="M367" s="52"/>
      <c r="N367" s="52"/>
      <c r="O367" s="52"/>
      <c r="P367" s="178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</row>
    <row r="368">
      <c r="A368" s="52"/>
      <c r="B368" s="52"/>
      <c r="C368" s="179"/>
      <c r="D368" s="52"/>
      <c r="E368" s="52"/>
      <c r="F368" s="52"/>
      <c r="G368" s="52"/>
      <c r="H368" s="52"/>
      <c r="I368" s="177"/>
      <c r="J368" s="177"/>
      <c r="K368" s="52"/>
      <c r="L368" s="52"/>
      <c r="M368" s="52"/>
      <c r="N368" s="52"/>
      <c r="O368" s="52"/>
      <c r="P368" s="178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</row>
    <row r="369">
      <c r="A369" s="52"/>
      <c r="B369" s="52"/>
      <c r="C369" s="179"/>
      <c r="D369" s="52"/>
      <c r="E369" s="52"/>
      <c r="F369" s="52"/>
      <c r="G369" s="52"/>
      <c r="H369" s="52"/>
      <c r="I369" s="177"/>
      <c r="J369" s="177"/>
      <c r="K369" s="52"/>
      <c r="L369" s="52"/>
      <c r="M369" s="52"/>
      <c r="N369" s="52"/>
      <c r="O369" s="52"/>
      <c r="P369" s="178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</row>
    <row r="370">
      <c r="A370" s="52"/>
      <c r="B370" s="52"/>
      <c r="C370" s="179"/>
      <c r="D370" s="52"/>
      <c r="E370" s="52"/>
      <c r="F370" s="52"/>
      <c r="G370" s="52"/>
      <c r="H370" s="52"/>
      <c r="I370" s="177"/>
      <c r="J370" s="177"/>
      <c r="K370" s="52"/>
      <c r="L370" s="52"/>
      <c r="M370" s="52"/>
      <c r="N370" s="52"/>
      <c r="O370" s="52"/>
      <c r="P370" s="178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</row>
    <row r="371">
      <c r="A371" s="52"/>
      <c r="B371" s="52"/>
      <c r="C371" s="179"/>
      <c r="D371" s="52"/>
      <c r="E371" s="52"/>
      <c r="F371" s="52"/>
      <c r="G371" s="52"/>
      <c r="H371" s="52"/>
      <c r="I371" s="177"/>
      <c r="J371" s="177"/>
      <c r="K371" s="52"/>
      <c r="L371" s="52"/>
      <c r="M371" s="52"/>
      <c r="N371" s="52"/>
      <c r="O371" s="52"/>
      <c r="P371" s="178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</row>
    <row r="372">
      <c r="A372" s="52"/>
      <c r="B372" s="52"/>
      <c r="C372" s="179"/>
      <c r="D372" s="52"/>
      <c r="E372" s="52"/>
      <c r="F372" s="52"/>
      <c r="G372" s="52"/>
      <c r="H372" s="52"/>
      <c r="I372" s="177"/>
      <c r="J372" s="177"/>
      <c r="K372" s="52"/>
      <c r="L372" s="52"/>
      <c r="M372" s="52"/>
      <c r="N372" s="52"/>
      <c r="O372" s="52"/>
      <c r="P372" s="178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</row>
    <row r="373">
      <c r="A373" s="52"/>
      <c r="B373" s="52"/>
      <c r="C373" s="179"/>
      <c r="D373" s="52"/>
      <c r="E373" s="52"/>
      <c r="F373" s="52"/>
      <c r="G373" s="52"/>
      <c r="H373" s="52"/>
      <c r="I373" s="177"/>
      <c r="J373" s="177"/>
      <c r="K373" s="52"/>
      <c r="L373" s="52"/>
      <c r="M373" s="52"/>
      <c r="N373" s="52"/>
      <c r="O373" s="52"/>
      <c r="P373" s="178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</row>
    <row r="374">
      <c r="A374" s="52"/>
      <c r="B374" s="52"/>
      <c r="C374" s="179"/>
      <c r="D374" s="52"/>
      <c r="E374" s="52"/>
      <c r="F374" s="52"/>
      <c r="G374" s="52"/>
      <c r="H374" s="52"/>
      <c r="I374" s="177"/>
      <c r="J374" s="177"/>
      <c r="K374" s="52"/>
      <c r="L374" s="52"/>
      <c r="M374" s="52"/>
      <c r="N374" s="52"/>
      <c r="O374" s="52"/>
      <c r="P374" s="178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</row>
    <row r="375">
      <c r="A375" s="52"/>
      <c r="B375" s="52"/>
      <c r="C375" s="179"/>
      <c r="D375" s="52"/>
      <c r="E375" s="52"/>
      <c r="F375" s="52"/>
      <c r="G375" s="52"/>
      <c r="H375" s="52"/>
      <c r="I375" s="177"/>
      <c r="J375" s="177"/>
      <c r="K375" s="52"/>
      <c r="L375" s="52"/>
      <c r="M375" s="52"/>
      <c r="N375" s="52"/>
      <c r="O375" s="52"/>
      <c r="P375" s="178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</row>
    <row r="376">
      <c r="A376" s="52"/>
      <c r="B376" s="52"/>
      <c r="C376" s="179"/>
      <c r="D376" s="52"/>
      <c r="E376" s="52"/>
      <c r="F376" s="52"/>
      <c r="G376" s="52"/>
      <c r="H376" s="52"/>
      <c r="I376" s="177"/>
      <c r="J376" s="177"/>
      <c r="K376" s="52"/>
      <c r="L376" s="52"/>
      <c r="M376" s="52"/>
      <c r="N376" s="52"/>
      <c r="O376" s="52"/>
      <c r="P376" s="178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</row>
    <row r="377">
      <c r="A377" s="52"/>
      <c r="B377" s="52"/>
      <c r="C377" s="179"/>
      <c r="D377" s="52"/>
      <c r="E377" s="52"/>
      <c r="F377" s="52"/>
      <c r="G377" s="52"/>
      <c r="H377" s="52"/>
      <c r="I377" s="177"/>
      <c r="J377" s="177"/>
      <c r="K377" s="52"/>
      <c r="L377" s="52"/>
      <c r="M377" s="52"/>
      <c r="N377" s="52"/>
      <c r="O377" s="52"/>
      <c r="P377" s="178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</row>
    <row r="378">
      <c r="A378" s="52"/>
      <c r="B378" s="52"/>
      <c r="C378" s="179"/>
      <c r="D378" s="52"/>
      <c r="E378" s="52"/>
      <c r="F378" s="52"/>
      <c r="G378" s="52"/>
      <c r="H378" s="52"/>
      <c r="I378" s="177"/>
      <c r="J378" s="177"/>
      <c r="K378" s="52"/>
      <c r="L378" s="52"/>
      <c r="M378" s="52"/>
      <c r="N378" s="52"/>
      <c r="O378" s="52"/>
      <c r="P378" s="178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</row>
    <row r="379">
      <c r="A379" s="52"/>
      <c r="B379" s="52"/>
      <c r="C379" s="179"/>
      <c r="D379" s="52"/>
      <c r="E379" s="52"/>
      <c r="F379" s="52"/>
      <c r="G379" s="52"/>
      <c r="H379" s="52"/>
      <c r="I379" s="177"/>
      <c r="J379" s="177"/>
      <c r="K379" s="52"/>
      <c r="L379" s="52"/>
      <c r="M379" s="52"/>
      <c r="N379" s="52"/>
      <c r="O379" s="52"/>
      <c r="P379" s="178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</row>
    <row r="380">
      <c r="A380" s="52"/>
      <c r="B380" s="52"/>
      <c r="C380" s="179"/>
      <c r="D380" s="52"/>
      <c r="E380" s="52"/>
      <c r="F380" s="52"/>
      <c r="G380" s="52"/>
      <c r="H380" s="52"/>
      <c r="I380" s="177"/>
      <c r="J380" s="177"/>
      <c r="K380" s="52"/>
      <c r="L380" s="52"/>
      <c r="M380" s="52"/>
      <c r="N380" s="52"/>
      <c r="O380" s="52"/>
      <c r="P380" s="178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</row>
    <row r="381">
      <c r="A381" s="52"/>
      <c r="B381" s="52"/>
      <c r="C381" s="179"/>
      <c r="D381" s="52"/>
      <c r="E381" s="52"/>
      <c r="F381" s="52"/>
      <c r="G381" s="52"/>
      <c r="H381" s="52"/>
      <c r="I381" s="177"/>
      <c r="J381" s="177"/>
      <c r="K381" s="52"/>
      <c r="L381" s="52"/>
      <c r="M381" s="52"/>
      <c r="N381" s="52"/>
      <c r="O381" s="52"/>
      <c r="P381" s="178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</row>
    <row r="382">
      <c r="A382" s="52"/>
      <c r="B382" s="52"/>
      <c r="C382" s="179"/>
      <c r="D382" s="52"/>
      <c r="E382" s="52"/>
      <c r="F382" s="52"/>
      <c r="G382" s="52"/>
      <c r="H382" s="52"/>
      <c r="I382" s="177"/>
      <c r="J382" s="177"/>
      <c r="K382" s="52"/>
      <c r="L382" s="52"/>
      <c r="M382" s="52"/>
      <c r="N382" s="52"/>
      <c r="O382" s="52"/>
      <c r="P382" s="178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</row>
    <row r="383">
      <c r="A383" s="52"/>
      <c r="B383" s="52"/>
      <c r="C383" s="179"/>
      <c r="D383" s="52"/>
      <c r="E383" s="52"/>
      <c r="F383" s="52"/>
      <c r="G383" s="52"/>
      <c r="H383" s="52"/>
      <c r="I383" s="177"/>
      <c r="J383" s="177"/>
      <c r="K383" s="52"/>
      <c r="L383" s="52"/>
      <c r="M383" s="52"/>
      <c r="N383" s="52"/>
      <c r="O383" s="52"/>
      <c r="P383" s="178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</row>
    <row r="384">
      <c r="A384" s="52"/>
      <c r="B384" s="52"/>
      <c r="C384" s="179"/>
      <c r="D384" s="52"/>
      <c r="E384" s="52"/>
      <c r="F384" s="52"/>
      <c r="G384" s="52"/>
      <c r="H384" s="52"/>
      <c r="I384" s="177"/>
      <c r="J384" s="177"/>
      <c r="K384" s="52"/>
      <c r="L384" s="52"/>
      <c r="M384" s="52"/>
      <c r="N384" s="52"/>
      <c r="O384" s="52"/>
      <c r="P384" s="178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</row>
    <row r="385">
      <c r="A385" s="52"/>
      <c r="B385" s="52"/>
      <c r="C385" s="179"/>
      <c r="D385" s="52"/>
      <c r="E385" s="52"/>
      <c r="F385" s="52"/>
      <c r="G385" s="52"/>
      <c r="H385" s="52"/>
      <c r="I385" s="177"/>
      <c r="J385" s="177"/>
      <c r="K385" s="52"/>
      <c r="L385" s="52"/>
      <c r="M385" s="52"/>
      <c r="N385" s="52"/>
      <c r="O385" s="52"/>
      <c r="P385" s="178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</row>
    <row r="386">
      <c r="A386" s="52"/>
      <c r="B386" s="52"/>
      <c r="C386" s="179"/>
      <c r="D386" s="52"/>
      <c r="E386" s="52"/>
      <c r="F386" s="52"/>
      <c r="G386" s="52"/>
      <c r="H386" s="52"/>
      <c r="I386" s="177"/>
      <c r="J386" s="177"/>
      <c r="K386" s="52"/>
      <c r="L386" s="52"/>
      <c r="M386" s="52"/>
      <c r="N386" s="52"/>
      <c r="O386" s="52"/>
      <c r="P386" s="178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</row>
    <row r="387">
      <c r="A387" s="52"/>
      <c r="B387" s="52"/>
      <c r="C387" s="179"/>
      <c r="D387" s="52"/>
      <c r="E387" s="52"/>
      <c r="F387" s="52"/>
      <c r="G387" s="52"/>
      <c r="H387" s="52"/>
      <c r="I387" s="177"/>
      <c r="J387" s="177"/>
      <c r="K387" s="52"/>
      <c r="L387" s="52"/>
      <c r="M387" s="52"/>
      <c r="N387" s="52"/>
      <c r="O387" s="52"/>
      <c r="P387" s="178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</row>
    <row r="388">
      <c r="A388" s="52"/>
      <c r="B388" s="52"/>
      <c r="C388" s="179"/>
      <c r="D388" s="52"/>
      <c r="E388" s="52"/>
      <c r="F388" s="52"/>
      <c r="G388" s="52"/>
      <c r="H388" s="52"/>
      <c r="I388" s="177"/>
      <c r="J388" s="177"/>
      <c r="K388" s="52"/>
      <c r="L388" s="52"/>
      <c r="M388" s="52"/>
      <c r="N388" s="52"/>
      <c r="O388" s="52"/>
      <c r="P388" s="178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</row>
    <row r="389">
      <c r="A389" s="52"/>
      <c r="B389" s="52"/>
      <c r="C389" s="179"/>
      <c r="D389" s="52"/>
      <c r="E389" s="52"/>
      <c r="F389" s="52"/>
      <c r="G389" s="52"/>
      <c r="H389" s="52"/>
      <c r="I389" s="177"/>
      <c r="J389" s="177"/>
      <c r="K389" s="52"/>
      <c r="L389" s="52"/>
      <c r="M389" s="52"/>
      <c r="N389" s="52"/>
      <c r="O389" s="52"/>
      <c r="P389" s="178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</row>
    <row r="390">
      <c r="A390" s="52"/>
      <c r="B390" s="52"/>
      <c r="C390" s="179"/>
      <c r="D390" s="52"/>
      <c r="E390" s="52"/>
      <c r="F390" s="52"/>
      <c r="G390" s="52"/>
      <c r="H390" s="52"/>
      <c r="I390" s="177"/>
      <c r="J390" s="177"/>
      <c r="K390" s="52"/>
      <c r="L390" s="52"/>
      <c r="M390" s="52"/>
      <c r="N390" s="52"/>
      <c r="O390" s="52"/>
      <c r="P390" s="178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</row>
    <row r="391">
      <c r="A391" s="52"/>
      <c r="B391" s="52"/>
      <c r="C391" s="179"/>
      <c r="D391" s="52"/>
      <c r="E391" s="52"/>
      <c r="F391" s="52"/>
      <c r="G391" s="52"/>
      <c r="H391" s="52"/>
      <c r="I391" s="177"/>
      <c r="J391" s="177"/>
      <c r="K391" s="52"/>
      <c r="L391" s="52"/>
      <c r="M391" s="52"/>
      <c r="N391" s="52"/>
      <c r="O391" s="52"/>
      <c r="P391" s="178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</row>
    <row r="392">
      <c r="A392" s="52"/>
      <c r="B392" s="52"/>
      <c r="C392" s="179"/>
      <c r="D392" s="52"/>
      <c r="E392" s="52"/>
      <c r="F392" s="52"/>
      <c r="G392" s="52"/>
      <c r="H392" s="52"/>
      <c r="I392" s="177"/>
      <c r="J392" s="177"/>
      <c r="K392" s="52"/>
      <c r="L392" s="52"/>
      <c r="M392" s="52"/>
      <c r="N392" s="52"/>
      <c r="O392" s="52"/>
      <c r="P392" s="178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</row>
    <row r="393">
      <c r="A393" s="52"/>
      <c r="B393" s="52"/>
      <c r="C393" s="179"/>
      <c r="D393" s="52"/>
      <c r="E393" s="52"/>
      <c r="F393" s="52"/>
      <c r="G393" s="52"/>
      <c r="H393" s="52"/>
      <c r="I393" s="177"/>
      <c r="J393" s="177"/>
      <c r="K393" s="52"/>
      <c r="L393" s="52"/>
      <c r="M393" s="52"/>
      <c r="N393" s="52"/>
      <c r="O393" s="52"/>
      <c r="P393" s="178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</row>
    <row r="394">
      <c r="A394" s="52"/>
      <c r="B394" s="52"/>
      <c r="C394" s="179"/>
      <c r="D394" s="52"/>
      <c r="E394" s="52"/>
      <c r="F394" s="52"/>
      <c r="G394" s="52"/>
      <c r="H394" s="52"/>
      <c r="I394" s="177"/>
      <c r="J394" s="177"/>
      <c r="K394" s="52"/>
      <c r="L394" s="52"/>
      <c r="M394" s="52"/>
      <c r="N394" s="52"/>
      <c r="O394" s="52"/>
      <c r="P394" s="178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</row>
    <row r="395">
      <c r="A395" s="52"/>
      <c r="B395" s="52"/>
      <c r="C395" s="179"/>
      <c r="D395" s="52"/>
      <c r="E395" s="52"/>
      <c r="F395" s="52"/>
      <c r="G395" s="52"/>
      <c r="H395" s="52"/>
      <c r="I395" s="177"/>
      <c r="J395" s="177"/>
      <c r="K395" s="52"/>
      <c r="L395" s="52"/>
      <c r="M395" s="52"/>
      <c r="N395" s="52"/>
      <c r="O395" s="52"/>
      <c r="P395" s="178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</row>
    <row r="396">
      <c r="A396" s="52"/>
      <c r="B396" s="52"/>
      <c r="C396" s="179"/>
      <c r="D396" s="52"/>
      <c r="E396" s="52"/>
      <c r="F396" s="52"/>
      <c r="G396" s="52"/>
      <c r="H396" s="52"/>
      <c r="I396" s="177"/>
      <c r="J396" s="177"/>
      <c r="K396" s="52"/>
      <c r="L396" s="52"/>
      <c r="M396" s="52"/>
      <c r="N396" s="52"/>
      <c r="O396" s="52"/>
      <c r="P396" s="178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</row>
    <row r="397">
      <c r="A397" s="52"/>
      <c r="B397" s="52"/>
      <c r="C397" s="179"/>
      <c r="D397" s="52"/>
      <c r="E397" s="52"/>
      <c r="F397" s="52"/>
      <c r="G397" s="52"/>
      <c r="H397" s="52"/>
      <c r="I397" s="177"/>
      <c r="J397" s="177"/>
      <c r="K397" s="52"/>
      <c r="L397" s="52"/>
      <c r="M397" s="52"/>
      <c r="N397" s="52"/>
      <c r="O397" s="52"/>
      <c r="P397" s="178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</row>
    <row r="398">
      <c r="A398" s="52"/>
      <c r="B398" s="52"/>
      <c r="C398" s="179"/>
      <c r="D398" s="52"/>
      <c r="E398" s="52"/>
      <c r="F398" s="52"/>
      <c r="G398" s="52"/>
      <c r="H398" s="52"/>
      <c r="I398" s="177"/>
      <c r="J398" s="177"/>
      <c r="K398" s="52"/>
      <c r="L398" s="52"/>
      <c r="M398" s="52"/>
      <c r="N398" s="52"/>
      <c r="O398" s="52"/>
      <c r="P398" s="178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</row>
    <row r="399">
      <c r="A399" s="52"/>
      <c r="B399" s="52"/>
      <c r="C399" s="179"/>
      <c r="D399" s="52"/>
      <c r="E399" s="52"/>
      <c r="F399" s="52"/>
      <c r="G399" s="52"/>
      <c r="H399" s="52"/>
      <c r="I399" s="177"/>
      <c r="J399" s="177"/>
      <c r="K399" s="52"/>
      <c r="L399" s="52"/>
      <c r="M399" s="52"/>
      <c r="N399" s="52"/>
      <c r="O399" s="52"/>
      <c r="P399" s="178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</row>
    <row r="400">
      <c r="A400" s="52"/>
      <c r="B400" s="52"/>
      <c r="C400" s="179"/>
      <c r="D400" s="52"/>
      <c r="E400" s="52"/>
      <c r="F400" s="52"/>
      <c r="G400" s="52"/>
      <c r="H400" s="52"/>
      <c r="I400" s="177"/>
      <c r="J400" s="177"/>
      <c r="K400" s="52"/>
      <c r="L400" s="52"/>
      <c r="M400" s="52"/>
      <c r="N400" s="52"/>
      <c r="O400" s="52"/>
      <c r="P400" s="178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</row>
    <row r="401">
      <c r="A401" s="52"/>
      <c r="B401" s="52"/>
      <c r="C401" s="179"/>
      <c r="D401" s="52"/>
      <c r="E401" s="52"/>
      <c r="F401" s="52"/>
      <c r="G401" s="52"/>
      <c r="H401" s="52"/>
      <c r="I401" s="177"/>
      <c r="J401" s="177"/>
      <c r="K401" s="52"/>
      <c r="L401" s="52"/>
      <c r="M401" s="52"/>
      <c r="N401" s="52"/>
      <c r="O401" s="52"/>
      <c r="P401" s="178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</row>
    <row r="402">
      <c r="A402" s="52"/>
      <c r="B402" s="52"/>
      <c r="C402" s="179"/>
      <c r="D402" s="52"/>
      <c r="E402" s="52"/>
      <c r="F402" s="52"/>
      <c r="G402" s="52"/>
      <c r="H402" s="52"/>
      <c r="I402" s="177"/>
      <c r="J402" s="177"/>
      <c r="K402" s="52"/>
      <c r="L402" s="52"/>
      <c r="M402" s="52"/>
      <c r="N402" s="52"/>
      <c r="O402" s="52"/>
      <c r="P402" s="178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</row>
    <row r="403">
      <c r="A403" s="52"/>
      <c r="B403" s="52"/>
      <c r="C403" s="179"/>
      <c r="D403" s="52"/>
      <c r="E403" s="52"/>
      <c r="F403" s="52"/>
      <c r="G403" s="52"/>
      <c r="H403" s="52"/>
      <c r="I403" s="177"/>
      <c r="J403" s="177"/>
      <c r="K403" s="52"/>
      <c r="L403" s="52"/>
      <c r="M403" s="52"/>
      <c r="N403" s="52"/>
      <c r="O403" s="52"/>
      <c r="P403" s="178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</row>
    <row r="404">
      <c r="A404" s="52"/>
      <c r="B404" s="52"/>
      <c r="C404" s="179"/>
      <c r="D404" s="52"/>
      <c r="E404" s="52"/>
      <c r="F404" s="52"/>
      <c r="G404" s="52"/>
      <c r="H404" s="52"/>
      <c r="I404" s="177"/>
      <c r="J404" s="177"/>
      <c r="K404" s="52"/>
      <c r="L404" s="52"/>
      <c r="M404" s="52"/>
      <c r="N404" s="52"/>
      <c r="O404" s="52"/>
      <c r="P404" s="178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</row>
    <row r="405">
      <c r="A405" s="52"/>
      <c r="B405" s="52"/>
      <c r="C405" s="179"/>
      <c r="D405" s="52"/>
      <c r="E405" s="52"/>
      <c r="F405" s="52"/>
      <c r="G405" s="52"/>
      <c r="H405" s="52"/>
      <c r="I405" s="177"/>
      <c r="J405" s="177"/>
      <c r="K405" s="52"/>
      <c r="L405" s="52"/>
      <c r="M405" s="52"/>
      <c r="N405" s="52"/>
      <c r="O405" s="52"/>
      <c r="P405" s="178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</row>
    <row r="406">
      <c r="A406" s="52"/>
      <c r="B406" s="52"/>
      <c r="C406" s="179"/>
      <c r="D406" s="52"/>
      <c r="E406" s="52"/>
      <c r="F406" s="52"/>
      <c r="G406" s="52"/>
      <c r="H406" s="52"/>
      <c r="I406" s="177"/>
      <c r="J406" s="177"/>
      <c r="K406" s="52"/>
      <c r="L406" s="52"/>
      <c r="M406" s="52"/>
      <c r="N406" s="52"/>
      <c r="O406" s="52"/>
      <c r="P406" s="178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</row>
    <row r="407">
      <c r="A407" s="52"/>
      <c r="B407" s="52"/>
      <c r="C407" s="179"/>
      <c r="D407" s="52"/>
      <c r="E407" s="52"/>
      <c r="F407" s="52"/>
      <c r="G407" s="52"/>
      <c r="H407" s="52"/>
      <c r="I407" s="177"/>
      <c r="J407" s="177"/>
      <c r="K407" s="52"/>
      <c r="L407" s="52"/>
      <c r="M407" s="52"/>
      <c r="N407" s="52"/>
      <c r="O407" s="52"/>
      <c r="P407" s="178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</row>
    <row r="408">
      <c r="A408" s="52"/>
      <c r="B408" s="52"/>
      <c r="C408" s="179"/>
      <c r="D408" s="52"/>
      <c r="E408" s="52"/>
      <c r="F408" s="52"/>
      <c r="G408" s="52"/>
      <c r="H408" s="52"/>
      <c r="I408" s="177"/>
      <c r="J408" s="177"/>
      <c r="K408" s="52"/>
      <c r="L408" s="52"/>
      <c r="M408" s="52"/>
      <c r="N408" s="52"/>
      <c r="O408" s="52"/>
      <c r="P408" s="178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</row>
    <row r="409">
      <c r="A409" s="52"/>
      <c r="B409" s="52"/>
      <c r="C409" s="179"/>
      <c r="D409" s="52"/>
      <c r="E409" s="52"/>
      <c r="F409" s="52"/>
      <c r="G409" s="52"/>
      <c r="H409" s="52"/>
      <c r="I409" s="177"/>
      <c r="J409" s="177"/>
      <c r="K409" s="52"/>
      <c r="L409" s="52"/>
      <c r="M409" s="52"/>
      <c r="N409" s="52"/>
      <c r="O409" s="52"/>
      <c r="P409" s="178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</row>
    <row r="410">
      <c r="A410" s="52"/>
      <c r="B410" s="52"/>
      <c r="C410" s="179"/>
      <c r="D410" s="52"/>
      <c r="E410" s="52"/>
      <c r="F410" s="52"/>
      <c r="G410" s="52"/>
      <c r="H410" s="52"/>
      <c r="I410" s="177"/>
      <c r="J410" s="177"/>
      <c r="K410" s="52"/>
      <c r="L410" s="52"/>
      <c r="M410" s="52"/>
      <c r="N410" s="52"/>
      <c r="O410" s="52"/>
      <c r="P410" s="178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</row>
    <row r="411">
      <c r="A411" s="52"/>
      <c r="B411" s="52"/>
      <c r="C411" s="179"/>
      <c r="D411" s="52"/>
      <c r="E411" s="52"/>
      <c r="F411" s="52"/>
      <c r="G411" s="52"/>
      <c r="H411" s="52"/>
      <c r="I411" s="177"/>
      <c r="J411" s="177"/>
      <c r="K411" s="52"/>
      <c r="L411" s="52"/>
      <c r="M411" s="52"/>
      <c r="N411" s="52"/>
      <c r="O411" s="52"/>
      <c r="P411" s="178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</row>
    <row r="412">
      <c r="A412" s="52"/>
      <c r="B412" s="52"/>
      <c r="C412" s="179"/>
      <c r="D412" s="52"/>
      <c r="E412" s="52"/>
      <c r="F412" s="52"/>
      <c r="G412" s="52"/>
      <c r="H412" s="52"/>
      <c r="I412" s="177"/>
      <c r="J412" s="177"/>
      <c r="K412" s="52"/>
      <c r="L412" s="52"/>
      <c r="M412" s="52"/>
      <c r="N412" s="52"/>
      <c r="O412" s="52"/>
      <c r="P412" s="178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</row>
    <row r="413">
      <c r="A413" s="52"/>
      <c r="B413" s="52"/>
      <c r="C413" s="179"/>
      <c r="D413" s="52"/>
      <c r="E413" s="52"/>
      <c r="F413" s="52"/>
      <c r="G413" s="52"/>
      <c r="H413" s="52"/>
      <c r="I413" s="177"/>
      <c r="J413" s="177"/>
      <c r="K413" s="52"/>
      <c r="L413" s="52"/>
      <c r="M413" s="52"/>
      <c r="N413" s="52"/>
      <c r="O413" s="52"/>
      <c r="P413" s="178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</row>
    <row r="414">
      <c r="A414" s="52"/>
      <c r="B414" s="52"/>
      <c r="C414" s="179"/>
      <c r="D414" s="52"/>
      <c r="E414" s="52"/>
      <c r="F414" s="52"/>
      <c r="G414" s="52"/>
      <c r="H414" s="52"/>
      <c r="I414" s="177"/>
      <c r="J414" s="177"/>
      <c r="K414" s="52"/>
      <c r="L414" s="52"/>
      <c r="M414" s="52"/>
      <c r="N414" s="52"/>
      <c r="O414" s="52"/>
      <c r="P414" s="178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</row>
    <row r="415">
      <c r="A415" s="52"/>
      <c r="B415" s="52"/>
      <c r="C415" s="179"/>
      <c r="D415" s="52"/>
      <c r="E415" s="52"/>
      <c r="F415" s="52"/>
      <c r="G415" s="52"/>
      <c r="H415" s="52"/>
      <c r="I415" s="177"/>
      <c r="J415" s="177"/>
      <c r="K415" s="52"/>
      <c r="L415" s="52"/>
      <c r="M415" s="52"/>
      <c r="N415" s="52"/>
      <c r="O415" s="52"/>
      <c r="P415" s="178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</row>
    <row r="416">
      <c r="A416" s="52"/>
      <c r="B416" s="52"/>
      <c r="C416" s="179"/>
      <c r="D416" s="52"/>
      <c r="E416" s="52"/>
      <c r="F416" s="52"/>
      <c r="G416" s="52"/>
      <c r="H416" s="52"/>
      <c r="I416" s="177"/>
      <c r="J416" s="177"/>
      <c r="K416" s="52"/>
      <c r="L416" s="52"/>
      <c r="M416" s="52"/>
      <c r="N416" s="52"/>
      <c r="O416" s="52"/>
      <c r="P416" s="178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</row>
    <row r="417">
      <c r="A417" s="52"/>
      <c r="B417" s="52"/>
      <c r="C417" s="179"/>
      <c r="D417" s="52"/>
      <c r="E417" s="52"/>
      <c r="F417" s="52"/>
      <c r="G417" s="52"/>
      <c r="H417" s="52"/>
      <c r="I417" s="177"/>
      <c r="J417" s="177"/>
      <c r="K417" s="52"/>
      <c r="L417" s="52"/>
      <c r="M417" s="52"/>
      <c r="N417" s="52"/>
      <c r="O417" s="52"/>
      <c r="P417" s="178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</row>
    <row r="418">
      <c r="A418" s="52"/>
      <c r="B418" s="52"/>
      <c r="C418" s="179"/>
      <c r="D418" s="52"/>
      <c r="E418" s="52"/>
      <c r="F418" s="52"/>
      <c r="G418" s="52"/>
      <c r="H418" s="52"/>
      <c r="I418" s="177"/>
      <c r="J418" s="177"/>
      <c r="K418" s="52"/>
      <c r="L418" s="52"/>
      <c r="M418" s="52"/>
      <c r="N418" s="52"/>
      <c r="O418" s="52"/>
      <c r="P418" s="178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</row>
    <row r="419">
      <c r="A419" s="52"/>
      <c r="B419" s="52"/>
      <c r="C419" s="179"/>
      <c r="D419" s="52"/>
      <c r="E419" s="52"/>
      <c r="F419" s="52"/>
      <c r="G419" s="52"/>
      <c r="H419" s="52"/>
      <c r="I419" s="177"/>
      <c r="J419" s="177"/>
      <c r="K419" s="52"/>
      <c r="L419" s="52"/>
      <c r="M419" s="52"/>
      <c r="N419" s="52"/>
      <c r="O419" s="52"/>
      <c r="P419" s="178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</row>
    <row r="420">
      <c r="A420" s="52"/>
      <c r="B420" s="52"/>
      <c r="C420" s="179"/>
      <c r="D420" s="52"/>
      <c r="E420" s="52"/>
      <c r="F420" s="52"/>
      <c r="G420" s="52"/>
      <c r="H420" s="52"/>
      <c r="I420" s="177"/>
      <c r="J420" s="177"/>
      <c r="K420" s="52"/>
      <c r="L420" s="52"/>
      <c r="M420" s="52"/>
      <c r="N420" s="52"/>
      <c r="O420" s="52"/>
      <c r="P420" s="178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</row>
    <row r="421">
      <c r="A421" s="52"/>
      <c r="B421" s="52"/>
      <c r="C421" s="179"/>
      <c r="D421" s="52"/>
      <c r="E421" s="52"/>
      <c r="F421" s="52"/>
      <c r="G421" s="52"/>
      <c r="H421" s="52"/>
      <c r="I421" s="177"/>
      <c r="J421" s="177"/>
      <c r="K421" s="52"/>
      <c r="L421" s="52"/>
      <c r="M421" s="52"/>
      <c r="N421" s="52"/>
      <c r="O421" s="52"/>
      <c r="P421" s="178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</row>
    <row r="422">
      <c r="A422" s="52"/>
      <c r="B422" s="52"/>
      <c r="C422" s="179"/>
      <c r="D422" s="52"/>
      <c r="E422" s="52"/>
      <c r="F422" s="52"/>
      <c r="G422" s="52"/>
      <c r="H422" s="52"/>
      <c r="I422" s="177"/>
      <c r="J422" s="177"/>
      <c r="K422" s="52"/>
      <c r="L422" s="52"/>
      <c r="M422" s="52"/>
      <c r="N422" s="52"/>
      <c r="O422" s="52"/>
      <c r="P422" s="178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</row>
    <row r="423">
      <c r="A423" s="52"/>
      <c r="B423" s="52"/>
      <c r="C423" s="179"/>
      <c r="D423" s="52"/>
      <c r="E423" s="52"/>
      <c r="F423" s="52"/>
      <c r="G423" s="52"/>
      <c r="H423" s="52"/>
      <c r="I423" s="177"/>
      <c r="J423" s="177"/>
      <c r="K423" s="52"/>
      <c r="L423" s="52"/>
      <c r="M423" s="52"/>
      <c r="N423" s="52"/>
      <c r="O423" s="52"/>
      <c r="P423" s="178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</row>
    <row r="424">
      <c r="A424" s="52"/>
      <c r="B424" s="52"/>
      <c r="C424" s="179"/>
      <c r="D424" s="52"/>
      <c r="E424" s="52"/>
      <c r="F424" s="52"/>
      <c r="G424" s="52"/>
      <c r="H424" s="52"/>
      <c r="I424" s="177"/>
      <c r="J424" s="177"/>
      <c r="K424" s="52"/>
      <c r="L424" s="52"/>
      <c r="M424" s="52"/>
      <c r="N424" s="52"/>
      <c r="O424" s="52"/>
      <c r="P424" s="178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</row>
    <row r="425">
      <c r="A425" s="52"/>
      <c r="B425" s="52"/>
      <c r="C425" s="179"/>
      <c r="D425" s="52"/>
      <c r="E425" s="52"/>
      <c r="F425" s="52"/>
      <c r="G425" s="52"/>
      <c r="H425" s="52"/>
      <c r="I425" s="177"/>
      <c r="J425" s="177"/>
      <c r="K425" s="52"/>
      <c r="L425" s="52"/>
      <c r="M425" s="52"/>
      <c r="N425" s="52"/>
      <c r="O425" s="52"/>
      <c r="P425" s="178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</row>
    <row r="426">
      <c r="A426" s="52"/>
      <c r="B426" s="52"/>
      <c r="C426" s="179"/>
      <c r="D426" s="52"/>
      <c r="E426" s="52"/>
      <c r="F426" s="52"/>
      <c r="G426" s="52"/>
      <c r="H426" s="52"/>
      <c r="I426" s="177"/>
      <c r="J426" s="177"/>
      <c r="K426" s="52"/>
      <c r="L426" s="52"/>
      <c r="M426" s="52"/>
      <c r="N426" s="52"/>
      <c r="O426" s="52"/>
      <c r="P426" s="178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</row>
    <row r="427">
      <c r="A427" s="52"/>
      <c r="B427" s="52"/>
      <c r="C427" s="179"/>
      <c r="D427" s="52"/>
      <c r="E427" s="52"/>
      <c r="F427" s="52"/>
      <c r="G427" s="52"/>
      <c r="H427" s="52"/>
      <c r="I427" s="177"/>
      <c r="J427" s="177"/>
      <c r="K427" s="52"/>
      <c r="L427" s="52"/>
      <c r="M427" s="52"/>
      <c r="N427" s="52"/>
      <c r="O427" s="52"/>
      <c r="P427" s="178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</row>
    <row r="428">
      <c r="A428" s="52"/>
      <c r="B428" s="52"/>
      <c r="C428" s="179"/>
      <c r="D428" s="52"/>
      <c r="E428" s="52"/>
      <c r="F428" s="52"/>
      <c r="G428" s="52"/>
      <c r="H428" s="52"/>
      <c r="I428" s="177"/>
      <c r="J428" s="177"/>
      <c r="K428" s="52"/>
      <c r="L428" s="52"/>
      <c r="M428" s="52"/>
      <c r="N428" s="52"/>
      <c r="O428" s="52"/>
      <c r="P428" s="178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</row>
    <row r="429">
      <c r="A429" s="52"/>
      <c r="B429" s="52"/>
      <c r="C429" s="179"/>
      <c r="D429" s="52"/>
      <c r="E429" s="52"/>
      <c r="F429" s="52"/>
      <c r="G429" s="52"/>
      <c r="H429" s="52"/>
      <c r="I429" s="177"/>
      <c r="J429" s="177"/>
      <c r="K429" s="52"/>
      <c r="L429" s="52"/>
      <c r="M429" s="52"/>
      <c r="N429" s="52"/>
      <c r="O429" s="52"/>
      <c r="P429" s="178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</row>
    <row r="430">
      <c r="A430" s="52"/>
      <c r="B430" s="52"/>
      <c r="C430" s="179"/>
      <c r="D430" s="52"/>
      <c r="E430" s="52"/>
      <c r="F430" s="52"/>
      <c r="G430" s="52"/>
      <c r="H430" s="52"/>
      <c r="I430" s="177"/>
      <c r="J430" s="177"/>
      <c r="K430" s="52"/>
      <c r="L430" s="52"/>
      <c r="M430" s="52"/>
      <c r="N430" s="52"/>
      <c r="O430" s="52"/>
      <c r="P430" s="178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</row>
    <row r="431">
      <c r="A431" s="52"/>
      <c r="B431" s="52"/>
      <c r="C431" s="179"/>
      <c r="D431" s="52"/>
      <c r="E431" s="52"/>
      <c r="F431" s="52"/>
      <c r="G431" s="52"/>
      <c r="H431" s="52"/>
      <c r="I431" s="177"/>
      <c r="J431" s="177"/>
      <c r="K431" s="52"/>
      <c r="L431" s="52"/>
      <c r="M431" s="52"/>
      <c r="N431" s="52"/>
      <c r="O431" s="52"/>
      <c r="P431" s="178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</row>
    <row r="432">
      <c r="A432" s="52"/>
      <c r="B432" s="52"/>
      <c r="C432" s="179"/>
      <c r="D432" s="52"/>
      <c r="E432" s="52"/>
      <c r="F432" s="52"/>
      <c r="G432" s="52"/>
      <c r="H432" s="52"/>
      <c r="I432" s="177"/>
      <c r="J432" s="177"/>
      <c r="K432" s="52"/>
      <c r="L432" s="52"/>
      <c r="M432" s="52"/>
      <c r="N432" s="52"/>
      <c r="O432" s="52"/>
      <c r="P432" s="178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</row>
    <row r="433">
      <c r="A433" s="52"/>
      <c r="B433" s="52"/>
      <c r="C433" s="179"/>
      <c r="D433" s="52"/>
      <c r="E433" s="52"/>
      <c r="F433" s="52"/>
      <c r="G433" s="52"/>
      <c r="H433" s="52"/>
      <c r="I433" s="177"/>
      <c r="J433" s="177"/>
      <c r="K433" s="52"/>
      <c r="L433" s="52"/>
      <c r="M433" s="52"/>
      <c r="N433" s="52"/>
      <c r="O433" s="52"/>
      <c r="P433" s="178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</row>
    <row r="434">
      <c r="A434" s="52"/>
      <c r="B434" s="52"/>
      <c r="C434" s="179"/>
      <c r="D434" s="52"/>
      <c r="E434" s="52"/>
      <c r="F434" s="52"/>
      <c r="G434" s="52"/>
      <c r="H434" s="52"/>
      <c r="I434" s="177"/>
      <c r="J434" s="177"/>
      <c r="K434" s="52"/>
      <c r="L434" s="52"/>
      <c r="M434" s="52"/>
      <c r="N434" s="52"/>
      <c r="O434" s="52"/>
      <c r="P434" s="178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</row>
    <row r="435">
      <c r="A435" s="52"/>
      <c r="B435" s="52"/>
      <c r="C435" s="179"/>
      <c r="D435" s="52"/>
      <c r="E435" s="52"/>
      <c r="F435" s="52"/>
      <c r="G435" s="52"/>
      <c r="H435" s="52"/>
      <c r="I435" s="177"/>
      <c r="J435" s="177"/>
      <c r="K435" s="52"/>
      <c r="L435" s="52"/>
      <c r="M435" s="52"/>
      <c r="N435" s="52"/>
      <c r="O435" s="52"/>
      <c r="P435" s="178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</row>
    <row r="436">
      <c r="A436" s="52"/>
      <c r="B436" s="52"/>
      <c r="C436" s="179"/>
      <c r="D436" s="52"/>
      <c r="E436" s="52"/>
      <c r="F436" s="52"/>
      <c r="G436" s="52"/>
      <c r="H436" s="52"/>
      <c r="I436" s="177"/>
      <c r="J436" s="177"/>
      <c r="K436" s="52"/>
      <c r="L436" s="52"/>
      <c r="M436" s="52"/>
      <c r="N436" s="52"/>
      <c r="O436" s="52"/>
      <c r="P436" s="178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</row>
    <row r="437">
      <c r="A437" s="52"/>
      <c r="B437" s="52"/>
      <c r="C437" s="179"/>
      <c r="D437" s="52"/>
      <c r="E437" s="52"/>
      <c r="F437" s="52"/>
      <c r="G437" s="52"/>
      <c r="H437" s="52"/>
      <c r="I437" s="177"/>
      <c r="J437" s="177"/>
      <c r="K437" s="52"/>
      <c r="L437" s="52"/>
      <c r="M437" s="52"/>
      <c r="N437" s="52"/>
      <c r="O437" s="52"/>
      <c r="P437" s="178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</row>
    <row r="438">
      <c r="A438" s="52"/>
      <c r="B438" s="52"/>
      <c r="C438" s="179"/>
      <c r="D438" s="52"/>
      <c r="E438" s="52"/>
      <c r="F438" s="52"/>
      <c r="G438" s="52"/>
      <c r="H438" s="52"/>
      <c r="I438" s="177"/>
      <c r="J438" s="177"/>
      <c r="K438" s="52"/>
      <c r="L438" s="52"/>
      <c r="M438" s="52"/>
      <c r="N438" s="52"/>
      <c r="O438" s="52"/>
      <c r="P438" s="178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</row>
    <row r="439">
      <c r="A439" s="52"/>
      <c r="B439" s="52"/>
      <c r="C439" s="179"/>
      <c r="D439" s="52"/>
      <c r="E439" s="52"/>
      <c r="F439" s="52"/>
      <c r="G439" s="52"/>
      <c r="H439" s="52"/>
      <c r="I439" s="177"/>
      <c r="J439" s="177"/>
      <c r="K439" s="52"/>
      <c r="L439" s="52"/>
      <c r="M439" s="52"/>
      <c r="N439" s="52"/>
      <c r="O439" s="52"/>
      <c r="P439" s="178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</row>
    <row r="440">
      <c r="A440" s="52"/>
      <c r="B440" s="52"/>
      <c r="C440" s="179"/>
      <c r="D440" s="52"/>
      <c r="E440" s="52"/>
      <c r="F440" s="52"/>
      <c r="G440" s="52"/>
      <c r="H440" s="52"/>
      <c r="I440" s="177"/>
      <c r="J440" s="177"/>
      <c r="K440" s="52"/>
      <c r="L440" s="52"/>
      <c r="M440" s="52"/>
      <c r="N440" s="52"/>
      <c r="O440" s="52"/>
      <c r="P440" s="178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</row>
    <row r="441">
      <c r="A441" s="52"/>
      <c r="B441" s="52"/>
      <c r="C441" s="179"/>
      <c r="D441" s="52"/>
      <c r="E441" s="52"/>
      <c r="F441" s="52"/>
      <c r="G441" s="52"/>
      <c r="H441" s="52"/>
      <c r="I441" s="177"/>
      <c r="J441" s="177"/>
      <c r="K441" s="52"/>
      <c r="L441" s="52"/>
      <c r="M441" s="52"/>
      <c r="N441" s="52"/>
      <c r="O441" s="52"/>
      <c r="P441" s="178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</row>
    <row r="442">
      <c r="A442" s="52"/>
      <c r="B442" s="52"/>
      <c r="C442" s="179"/>
      <c r="D442" s="52"/>
      <c r="E442" s="52"/>
      <c r="F442" s="52"/>
      <c r="G442" s="52"/>
      <c r="H442" s="52"/>
      <c r="I442" s="177"/>
      <c r="J442" s="177"/>
      <c r="K442" s="52"/>
      <c r="L442" s="52"/>
      <c r="M442" s="52"/>
      <c r="N442" s="52"/>
      <c r="O442" s="52"/>
      <c r="P442" s="178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</row>
    <row r="443">
      <c r="A443" s="52"/>
      <c r="B443" s="52"/>
      <c r="C443" s="179"/>
      <c r="D443" s="52"/>
      <c r="E443" s="52"/>
      <c r="F443" s="52"/>
      <c r="G443" s="52"/>
      <c r="H443" s="52"/>
      <c r="I443" s="177"/>
      <c r="J443" s="177"/>
      <c r="K443" s="52"/>
      <c r="L443" s="52"/>
      <c r="M443" s="52"/>
      <c r="N443" s="52"/>
      <c r="O443" s="52"/>
      <c r="P443" s="178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</row>
    <row r="444">
      <c r="A444" s="52"/>
      <c r="B444" s="52"/>
      <c r="C444" s="179"/>
      <c r="D444" s="52"/>
      <c r="E444" s="52"/>
      <c r="F444" s="52"/>
      <c r="G444" s="52"/>
      <c r="H444" s="52"/>
      <c r="I444" s="177"/>
      <c r="J444" s="177"/>
      <c r="K444" s="52"/>
      <c r="L444" s="52"/>
      <c r="M444" s="52"/>
      <c r="N444" s="52"/>
      <c r="O444" s="52"/>
      <c r="P444" s="178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</row>
    <row r="445">
      <c r="A445" s="52"/>
      <c r="B445" s="52"/>
      <c r="C445" s="179"/>
      <c r="D445" s="52"/>
      <c r="E445" s="52"/>
      <c r="F445" s="52"/>
      <c r="G445" s="52"/>
      <c r="H445" s="52"/>
      <c r="I445" s="177"/>
      <c r="J445" s="177"/>
      <c r="K445" s="52"/>
      <c r="L445" s="52"/>
      <c r="M445" s="52"/>
      <c r="N445" s="52"/>
      <c r="O445" s="52"/>
      <c r="P445" s="178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</row>
    <row r="446">
      <c r="A446" s="52"/>
      <c r="B446" s="52"/>
      <c r="C446" s="179"/>
      <c r="D446" s="52"/>
      <c r="E446" s="52"/>
      <c r="F446" s="52"/>
      <c r="G446" s="52"/>
      <c r="H446" s="52"/>
      <c r="I446" s="177"/>
      <c r="J446" s="177"/>
      <c r="K446" s="52"/>
      <c r="L446" s="52"/>
      <c r="M446" s="52"/>
      <c r="N446" s="52"/>
      <c r="O446" s="52"/>
      <c r="P446" s="178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</row>
    <row r="447">
      <c r="A447" s="52"/>
      <c r="B447" s="52"/>
      <c r="C447" s="179"/>
      <c r="D447" s="52"/>
      <c r="E447" s="52"/>
      <c r="F447" s="52"/>
      <c r="G447" s="52"/>
      <c r="H447" s="52"/>
      <c r="I447" s="177"/>
      <c r="J447" s="177"/>
      <c r="K447" s="52"/>
      <c r="L447" s="52"/>
      <c r="M447" s="52"/>
      <c r="N447" s="52"/>
      <c r="O447" s="52"/>
      <c r="P447" s="178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</row>
    <row r="448">
      <c r="A448" s="52"/>
      <c r="B448" s="52"/>
      <c r="C448" s="179"/>
      <c r="D448" s="52"/>
      <c r="E448" s="52"/>
      <c r="F448" s="52"/>
      <c r="G448" s="52"/>
      <c r="H448" s="52"/>
      <c r="I448" s="177"/>
      <c r="J448" s="177"/>
      <c r="K448" s="52"/>
      <c r="L448" s="52"/>
      <c r="M448" s="52"/>
      <c r="N448" s="52"/>
      <c r="O448" s="52"/>
      <c r="P448" s="178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</row>
    <row r="449">
      <c r="A449" s="52"/>
      <c r="B449" s="52"/>
      <c r="C449" s="179"/>
      <c r="D449" s="52"/>
      <c r="E449" s="52"/>
      <c r="F449" s="52"/>
      <c r="G449" s="52"/>
      <c r="H449" s="52"/>
      <c r="I449" s="177"/>
      <c r="J449" s="177"/>
      <c r="K449" s="52"/>
      <c r="L449" s="52"/>
      <c r="M449" s="52"/>
      <c r="N449" s="52"/>
      <c r="O449" s="52"/>
      <c r="P449" s="178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</row>
    <row r="450">
      <c r="A450" s="52"/>
      <c r="B450" s="52"/>
      <c r="C450" s="179"/>
      <c r="D450" s="52"/>
      <c r="E450" s="52"/>
      <c r="F450" s="52"/>
      <c r="G450" s="52"/>
      <c r="H450" s="52"/>
      <c r="I450" s="177"/>
      <c r="J450" s="177"/>
      <c r="K450" s="52"/>
      <c r="L450" s="52"/>
      <c r="M450" s="52"/>
      <c r="N450" s="52"/>
      <c r="O450" s="52"/>
      <c r="P450" s="178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</row>
    <row r="451">
      <c r="A451" s="52"/>
      <c r="B451" s="52"/>
      <c r="C451" s="179"/>
      <c r="D451" s="52"/>
      <c r="E451" s="52"/>
      <c r="F451" s="52"/>
      <c r="G451" s="52"/>
      <c r="H451" s="52"/>
      <c r="I451" s="177"/>
      <c r="J451" s="177"/>
      <c r="K451" s="52"/>
      <c r="L451" s="52"/>
      <c r="M451" s="52"/>
      <c r="N451" s="52"/>
      <c r="O451" s="52"/>
      <c r="P451" s="178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</row>
    <row r="452">
      <c r="A452" s="52"/>
      <c r="B452" s="52"/>
      <c r="C452" s="179"/>
      <c r="D452" s="52"/>
      <c r="E452" s="52"/>
      <c r="F452" s="52"/>
      <c r="G452" s="52"/>
      <c r="H452" s="52"/>
      <c r="I452" s="177"/>
      <c r="J452" s="177"/>
      <c r="K452" s="52"/>
      <c r="L452" s="52"/>
      <c r="M452" s="52"/>
      <c r="N452" s="52"/>
      <c r="O452" s="52"/>
      <c r="P452" s="178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</row>
    <row r="453">
      <c r="A453" s="52"/>
      <c r="B453" s="52"/>
      <c r="C453" s="179"/>
      <c r="D453" s="52"/>
      <c r="E453" s="52"/>
      <c r="F453" s="52"/>
      <c r="G453" s="52"/>
      <c r="H453" s="52"/>
      <c r="I453" s="177"/>
      <c r="J453" s="177"/>
      <c r="K453" s="52"/>
      <c r="L453" s="52"/>
      <c r="M453" s="52"/>
      <c r="N453" s="52"/>
      <c r="O453" s="52"/>
      <c r="P453" s="178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</row>
    <row r="454">
      <c r="A454" s="52"/>
      <c r="B454" s="52"/>
      <c r="C454" s="179"/>
      <c r="D454" s="52"/>
      <c r="E454" s="52"/>
      <c r="F454" s="52"/>
      <c r="G454" s="52"/>
      <c r="H454" s="52"/>
      <c r="I454" s="177"/>
      <c r="J454" s="177"/>
      <c r="K454" s="52"/>
      <c r="L454" s="52"/>
      <c r="M454" s="52"/>
      <c r="N454" s="52"/>
      <c r="O454" s="52"/>
      <c r="P454" s="178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</row>
    <row r="455">
      <c r="A455" s="52"/>
      <c r="B455" s="52"/>
      <c r="C455" s="179"/>
      <c r="D455" s="52"/>
      <c r="E455" s="52"/>
      <c r="F455" s="52"/>
      <c r="G455" s="52"/>
      <c r="H455" s="52"/>
      <c r="I455" s="177"/>
      <c r="J455" s="177"/>
      <c r="K455" s="52"/>
      <c r="L455" s="52"/>
      <c r="M455" s="52"/>
      <c r="N455" s="52"/>
      <c r="O455" s="52"/>
      <c r="P455" s="178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</row>
    <row r="456">
      <c r="A456" s="52"/>
      <c r="B456" s="52"/>
      <c r="C456" s="179"/>
      <c r="D456" s="52"/>
      <c r="E456" s="52"/>
      <c r="F456" s="52"/>
      <c r="G456" s="52"/>
      <c r="H456" s="52"/>
      <c r="I456" s="177"/>
      <c r="J456" s="177"/>
      <c r="K456" s="52"/>
      <c r="L456" s="52"/>
      <c r="M456" s="52"/>
      <c r="N456" s="52"/>
      <c r="O456" s="52"/>
      <c r="P456" s="178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</row>
    <row r="457">
      <c r="A457" s="52"/>
      <c r="B457" s="52"/>
      <c r="C457" s="179"/>
      <c r="D457" s="52"/>
      <c r="E457" s="52"/>
      <c r="F457" s="52"/>
      <c r="G457" s="52"/>
      <c r="H457" s="52"/>
      <c r="I457" s="177"/>
      <c r="J457" s="177"/>
      <c r="K457" s="52"/>
      <c r="L457" s="52"/>
      <c r="M457" s="52"/>
      <c r="N457" s="52"/>
      <c r="O457" s="52"/>
      <c r="P457" s="178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</row>
    <row r="458">
      <c r="A458" s="52"/>
      <c r="B458" s="52"/>
      <c r="C458" s="179"/>
      <c r="D458" s="52"/>
      <c r="E458" s="52"/>
      <c r="F458" s="52"/>
      <c r="G458" s="52"/>
      <c r="H458" s="52"/>
      <c r="I458" s="177"/>
      <c r="J458" s="177"/>
      <c r="K458" s="52"/>
      <c r="L458" s="52"/>
      <c r="M458" s="52"/>
      <c r="N458" s="52"/>
      <c r="O458" s="52"/>
      <c r="P458" s="178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</row>
    <row r="459">
      <c r="A459" s="52"/>
      <c r="B459" s="52"/>
      <c r="C459" s="179"/>
      <c r="D459" s="52"/>
      <c r="E459" s="52"/>
      <c r="F459" s="52"/>
      <c r="G459" s="52"/>
      <c r="H459" s="52"/>
      <c r="I459" s="177"/>
      <c r="J459" s="177"/>
      <c r="K459" s="52"/>
      <c r="L459" s="52"/>
      <c r="M459" s="52"/>
      <c r="N459" s="52"/>
      <c r="O459" s="52"/>
      <c r="P459" s="178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</row>
    <row r="460">
      <c r="A460" s="52"/>
      <c r="B460" s="52"/>
      <c r="C460" s="179"/>
      <c r="D460" s="52"/>
      <c r="E460" s="52"/>
      <c r="F460" s="52"/>
      <c r="G460" s="52"/>
      <c r="H460" s="52"/>
      <c r="I460" s="177"/>
      <c r="J460" s="177"/>
      <c r="K460" s="52"/>
      <c r="L460" s="52"/>
      <c r="M460" s="52"/>
      <c r="N460" s="52"/>
      <c r="O460" s="52"/>
      <c r="P460" s="178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</row>
    <row r="461">
      <c r="A461" s="52"/>
      <c r="B461" s="52"/>
      <c r="C461" s="179"/>
      <c r="D461" s="52"/>
      <c r="E461" s="52"/>
      <c r="F461" s="52"/>
      <c r="G461" s="52"/>
      <c r="H461" s="52"/>
      <c r="I461" s="177"/>
      <c r="J461" s="177"/>
      <c r="K461" s="52"/>
      <c r="L461" s="52"/>
      <c r="M461" s="52"/>
      <c r="N461" s="52"/>
      <c r="O461" s="52"/>
      <c r="P461" s="178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</row>
    <row r="462">
      <c r="A462" s="52"/>
      <c r="B462" s="52"/>
      <c r="C462" s="179"/>
      <c r="D462" s="52"/>
      <c r="E462" s="52"/>
      <c r="F462" s="52"/>
      <c r="G462" s="52"/>
      <c r="H462" s="52"/>
      <c r="I462" s="177"/>
      <c r="J462" s="177"/>
      <c r="K462" s="52"/>
      <c r="L462" s="52"/>
      <c r="M462" s="52"/>
      <c r="N462" s="52"/>
      <c r="O462" s="52"/>
      <c r="P462" s="178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</row>
    <row r="463">
      <c r="A463" s="52"/>
      <c r="B463" s="52"/>
      <c r="C463" s="179"/>
      <c r="D463" s="52"/>
      <c r="E463" s="52"/>
      <c r="F463" s="52"/>
      <c r="G463" s="52"/>
      <c r="H463" s="52"/>
      <c r="I463" s="177"/>
      <c r="J463" s="177"/>
      <c r="K463" s="52"/>
      <c r="L463" s="52"/>
      <c r="M463" s="52"/>
      <c r="N463" s="52"/>
      <c r="O463" s="52"/>
      <c r="P463" s="178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</row>
    <row r="464">
      <c r="A464" s="52"/>
      <c r="B464" s="52"/>
      <c r="C464" s="179"/>
      <c r="D464" s="52"/>
      <c r="E464" s="52"/>
      <c r="F464" s="52"/>
      <c r="G464" s="52"/>
      <c r="H464" s="52"/>
      <c r="I464" s="177"/>
      <c r="J464" s="177"/>
      <c r="K464" s="52"/>
      <c r="L464" s="52"/>
      <c r="M464" s="52"/>
      <c r="N464" s="52"/>
      <c r="O464" s="52"/>
      <c r="P464" s="178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</row>
    <row r="465">
      <c r="A465" s="52"/>
      <c r="B465" s="52"/>
      <c r="C465" s="179"/>
      <c r="D465" s="52"/>
      <c r="E465" s="52"/>
      <c r="F465" s="52"/>
      <c r="G465" s="52"/>
      <c r="H465" s="52"/>
      <c r="I465" s="177"/>
      <c r="J465" s="177"/>
      <c r="K465" s="52"/>
      <c r="L465" s="52"/>
      <c r="M465" s="52"/>
      <c r="N465" s="52"/>
      <c r="O465" s="52"/>
      <c r="P465" s="178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</row>
    <row r="466">
      <c r="A466" s="52"/>
      <c r="B466" s="52"/>
      <c r="C466" s="179"/>
      <c r="D466" s="52"/>
      <c r="E466" s="52"/>
      <c r="F466" s="52"/>
      <c r="G466" s="52"/>
      <c r="H466" s="52"/>
      <c r="I466" s="177"/>
      <c r="J466" s="177"/>
      <c r="K466" s="52"/>
      <c r="L466" s="52"/>
      <c r="M466" s="52"/>
      <c r="N466" s="52"/>
      <c r="O466" s="52"/>
      <c r="P466" s="178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</row>
    <row r="467">
      <c r="A467" s="52"/>
      <c r="B467" s="52"/>
      <c r="C467" s="179"/>
      <c r="D467" s="52"/>
      <c r="E467" s="52"/>
      <c r="F467" s="52"/>
      <c r="G467" s="52"/>
      <c r="H467" s="52"/>
      <c r="I467" s="177"/>
      <c r="J467" s="177"/>
      <c r="K467" s="52"/>
      <c r="L467" s="52"/>
      <c r="M467" s="52"/>
      <c r="N467" s="52"/>
      <c r="O467" s="52"/>
      <c r="P467" s="178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</row>
    <row r="468">
      <c r="A468" s="52"/>
      <c r="B468" s="52"/>
      <c r="C468" s="179"/>
      <c r="D468" s="52"/>
      <c r="E468" s="52"/>
      <c r="F468" s="52"/>
      <c r="G468" s="52"/>
      <c r="H468" s="52"/>
      <c r="I468" s="177"/>
      <c r="J468" s="177"/>
      <c r="K468" s="52"/>
      <c r="L468" s="52"/>
      <c r="M468" s="52"/>
      <c r="N468" s="52"/>
      <c r="O468" s="52"/>
      <c r="P468" s="178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</row>
    <row r="469">
      <c r="A469" s="52"/>
      <c r="B469" s="52"/>
      <c r="C469" s="179"/>
      <c r="D469" s="52"/>
      <c r="E469" s="52"/>
      <c r="F469" s="52"/>
      <c r="G469" s="52"/>
      <c r="H469" s="52"/>
      <c r="I469" s="177"/>
      <c r="J469" s="177"/>
      <c r="K469" s="52"/>
      <c r="L469" s="52"/>
      <c r="M469" s="52"/>
      <c r="N469" s="52"/>
      <c r="O469" s="52"/>
      <c r="P469" s="178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</row>
    <row r="470">
      <c r="A470" s="52"/>
      <c r="B470" s="52"/>
      <c r="C470" s="179"/>
      <c r="D470" s="52"/>
      <c r="E470" s="52"/>
      <c r="F470" s="52"/>
      <c r="G470" s="52"/>
      <c r="H470" s="52"/>
      <c r="I470" s="177"/>
      <c r="J470" s="177"/>
      <c r="K470" s="52"/>
      <c r="L470" s="52"/>
      <c r="M470" s="52"/>
      <c r="N470" s="52"/>
      <c r="O470" s="52"/>
      <c r="P470" s="178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</row>
    <row r="471">
      <c r="A471" s="52"/>
      <c r="B471" s="52"/>
      <c r="C471" s="179"/>
      <c r="D471" s="52"/>
      <c r="E471" s="52"/>
      <c r="F471" s="52"/>
      <c r="G471" s="52"/>
      <c r="H471" s="52"/>
      <c r="I471" s="177"/>
      <c r="J471" s="177"/>
      <c r="K471" s="52"/>
      <c r="L471" s="52"/>
      <c r="M471" s="52"/>
      <c r="N471" s="52"/>
      <c r="O471" s="52"/>
      <c r="P471" s="178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</row>
    <row r="472">
      <c r="A472" s="52"/>
      <c r="B472" s="52"/>
      <c r="C472" s="179"/>
      <c r="D472" s="52"/>
      <c r="E472" s="52"/>
      <c r="F472" s="52"/>
      <c r="G472" s="52"/>
      <c r="H472" s="52"/>
      <c r="I472" s="177"/>
      <c r="J472" s="177"/>
      <c r="K472" s="52"/>
      <c r="L472" s="52"/>
      <c r="M472" s="52"/>
      <c r="N472" s="52"/>
      <c r="O472" s="52"/>
      <c r="P472" s="178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</row>
    <row r="473">
      <c r="A473" s="52"/>
      <c r="B473" s="52"/>
      <c r="C473" s="179"/>
      <c r="D473" s="52"/>
      <c r="E473" s="52"/>
      <c r="F473" s="52"/>
      <c r="G473" s="52"/>
      <c r="H473" s="52"/>
      <c r="I473" s="177"/>
      <c r="J473" s="177"/>
      <c r="K473" s="52"/>
      <c r="L473" s="52"/>
      <c r="M473" s="52"/>
      <c r="N473" s="52"/>
      <c r="O473" s="52"/>
      <c r="P473" s="178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</row>
    <row r="474">
      <c r="A474" s="52"/>
      <c r="B474" s="52"/>
      <c r="C474" s="179"/>
      <c r="D474" s="52"/>
      <c r="E474" s="52"/>
      <c r="F474" s="52"/>
      <c r="G474" s="52"/>
      <c r="H474" s="52"/>
      <c r="I474" s="177"/>
      <c r="J474" s="177"/>
      <c r="K474" s="52"/>
      <c r="L474" s="52"/>
      <c r="M474" s="52"/>
      <c r="N474" s="52"/>
      <c r="O474" s="52"/>
      <c r="P474" s="178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</row>
    <row r="475">
      <c r="A475" s="52"/>
      <c r="B475" s="52"/>
      <c r="C475" s="179"/>
      <c r="D475" s="52"/>
      <c r="E475" s="52"/>
      <c r="F475" s="52"/>
      <c r="G475" s="52"/>
      <c r="H475" s="52"/>
      <c r="I475" s="177"/>
      <c r="J475" s="177"/>
      <c r="K475" s="52"/>
      <c r="L475" s="52"/>
      <c r="M475" s="52"/>
      <c r="N475" s="52"/>
      <c r="O475" s="52"/>
      <c r="P475" s="178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</row>
    <row r="476">
      <c r="A476" s="52"/>
      <c r="B476" s="52"/>
      <c r="C476" s="179"/>
      <c r="D476" s="52"/>
      <c r="E476" s="52"/>
      <c r="F476" s="52"/>
      <c r="G476" s="52"/>
      <c r="H476" s="52"/>
      <c r="I476" s="177"/>
      <c r="J476" s="177"/>
      <c r="K476" s="52"/>
      <c r="L476" s="52"/>
      <c r="M476" s="52"/>
      <c r="N476" s="52"/>
      <c r="O476" s="52"/>
      <c r="P476" s="178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</row>
    <row r="477">
      <c r="A477" s="52"/>
      <c r="B477" s="52"/>
      <c r="C477" s="179"/>
      <c r="D477" s="52"/>
      <c r="E477" s="52"/>
      <c r="F477" s="52"/>
      <c r="G477" s="52"/>
      <c r="H477" s="52"/>
      <c r="I477" s="177"/>
      <c r="J477" s="177"/>
      <c r="K477" s="52"/>
      <c r="L477" s="52"/>
      <c r="M477" s="52"/>
      <c r="N477" s="52"/>
      <c r="O477" s="52"/>
      <c r="P477" s="178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</row>
    <row r="478">
      <c r="A478" s="52"/>
      <c r="B478" s="52"/>
      <c r="C478" s="179"/>
      <c r="D478" s="52"/>
      <c r="E478" s="52"/>
      <c r="F478" s="52"/>
      <c r="G478" s="52"/>
      <c r="H478" s="52"/>
      <c r="I478" s="177"/>
      <c r="J478" s="177"/>
      <c r="K478" s="52"/>
      <c r="L478" s="52"/>
      <c r="M478" s="52"/>
      <c r="N478" s="52"/>
      <c r="O478" s="52"/>
      <c r="P478" s="178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</row>
    <row r="479">
      <c r="A479" s="52"/>
      <c r="B479" s="52"/>
      <c r="C479" s="179"/>
      <c r="D479" s="52"/>
      <c r="E479" s="52"/>
      <c r="F479" s="52"/>
      <c r="G479" s="52"/>
      <c r="H479" s="52"/>
      <c r="I479" s="177"/>
      <c r="J479" s="177"/>
      <c r="K479" s="52"/>
      <c r="L479" s="52"/>
      <c r="M479" s="52"/>
      <c r="N479" s="52"/>
      <c r="O479" s="52"/>
      <c r="P479" s="178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</row>
    <row r="480">
      <c r="A480" s="52"/>
      <c r="B480" s="52"/>
      <c r="C480" s="179"/>
      <c r="D480" s="52"/>
      <c r="E480" s="52"/>
      <c r="F480" s="52"/>
      <c r="G480" s="52"/>
      <c r="H480" s="52"/>
      <c r="I480" s="177"/>
      <c r="J480" s="177"/>
      <c r="K480" s="52"/>
      <c r="L480" s="52"/>
      <c r="M480" s="52"/>
      <c r="N480" s="52"/>
      <c r="O480" s="52"/>
      <c r="P480" s="178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</row>
    <row r="481">
      <c r="A481" s="52"/>
      <c r="B481" s="52"/>
      <c r="C481" s="179"/>
      <c r="D481" s="52"/>
      <c r="E481" s="52"/>
      <c r="F481" s="52"/>
      <c r="G481" s="52"/>
      <c r="H481" s="52"/>
      <c r="I481" s="177"/>
      <c r="J481" s="177"/>
      <c r="K481" s="52"/>
      <c r="L481" s="52"/>
      <c r="M481" s="52"/>
      <c r="N481" s="52"/>
      <c r="O481" s="52"/>
      <c r="P481" s="178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</row>
    <row r="482">
      <c r="A482" s="52"/>
      <c r="B482" s="52"/>
      <c r="C482" s="179"/>
      <c r="D482" s="52"/>
      <c r="E482" s="52"/>
      <c r="F482" s="52"/>
      <c r="G482" s="52"/>
      <c r="H482" s="52"/>
      <c r="I482" s="177"/>
      <c r="J482" s="177"/>
      <c r="K482" s="52"/>
      <c r="L482" s="52"/>
      <c r="M482" s="52"/>
      <c r="N482" s="52"/>
      <c r="O482" s="52"/>
      <c r="P482" s="178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</row>
    <row r="483">
      <c r="A483" s="52"/>
      <c r="B483" s="52"/>
      <c r="C483" s="179"/>
      <c r="D483" s="52"/>
      <c r="E483" s="52"/>
      <c r="F483" s="52"/>
      <c r="G483" s="52"/>
      <c r="H483" s="52"/>
      <c r="I483" s="177"/>
      <c r="J483" s="177"/>
      <c r="K483" s="52"/>
      <c r="L483" s="52"/>
      <c r="M483" s="52"/>
      <c r="N483" s="52"/>
      <c r="O483" s="52"/>
      <c r="P483" s="178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</row>
    <row r="484">
      <c r="A484" s="52"/>
      <c r="B484" s="52"/>
      <c r="C484" s="179"/>
      <c r="D484" s="52"/>
      <c r="E484" s="52"/>
      <c r="F484" s="52"/>
      <c r="G484" s="52"/>
      <c r="H484" s="52"/>
      <c r="I484" s="177"/>
      <c r="J484" s="177"/>
      <c r="K484" s="52"/>
      <c r="L484" s="52"/>
      <c r="M484" s="52"/>
      <c r="N484" s="52"/>
      <c r="O484" s="52"/>
      <c r="P484" s="178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</row>
    <row r="485">
      <c r="A485" s="52"/>
      <c r="B485" s="52"/>
      <c r="C485" s="179"/>
      <c r="D485" s="52"/>
      <c r="E485" s="52"/>
      <c r="F485" s="52"/>
      <c r="G485" s="52"/>
      <c r="H485" s="52"/>
      <c r="I485" s="177"/>
      <c r="J485" s="177"/>
      <c r="K485" s="52"/>
      <c r="L485" s="52"/>
      <c r="M485" s="52"/>
      <c r="N485" s="52"/>
      <c r="O485" s="52"/>
      <c r="P485" s="178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</row>
    <row r="486">
      <c r="A486" s="52"/>
      <c r="B486" s="52"/>
      <c r="C486" s="179"/>
      <c r="D486" s="52"/>
      <c r="E486" s="52"/>
      <c r="F486" s="52"/>
      <c r="G486" s="52"/>
      <c r="H486" s="52"/>
      <c r="I486" s="177"/>
      <c r="J486" s="177"/>
      <c r="K486" s="52"/>
      <c r="L486" s="52"/>
      <c r="M486" s="52"/>
      <c r="N486" s="52"/>
      <c r="O486" s="52"/>
      <c r="P486" s="178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</row>
    <row r="487">
      <c r="A487" s="52"/>
      <c r="B487" s="52"/>
      <c r="C487" s="179"/>
      <c r="D487" s="52"/>
      <c r="E487" s="52"/>
      <c r="F487" s="52"/>
      <c r="G487" s="52"/>
      <c r="H487" s="52"/>
      <c r="I487" s="177"/>
      <c r="J487" s="177"/>
      <c r="K487" s="52"/>
      <c r="L487" s="52"/>
      <c r="M487" s="52"/>
      <c r="N487" s="52"/>
      <c r="O487" s="52"/>
      <c r="P487" s="178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</row>
    <row r="488">
      <c r="A488" s="52"/>
      <c r="B488" s="52"/>
      <c r="C488" s="179"/>
      <c r="D488" s="52"/>
      <c r="E488" s="52"/>
      <c r="F488" s="52"/>
      <c r="G488" s="52"/>
      <c r="H488" s="52"/>
      <c r="I488" s="177"/>
      <c r="J488" s="177"/>
      <c r="K488" s="52"/>
      <c r="L488" s="52"/>
      <c r="M488" s="52"/>
      <c r="N488" s="52"/>
      <c r="O488" s="52"/>
      <c r="P488" s="178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</row>
    <row r="489">
      <c r="A489" s="52"/>
      <c r="B489" s="52"/>
      <c r="C489" s="179"/>
      <c r="D489" s="52"/>
      <c r="E489" s="52"/>
      <c r="F489" s="52"/>
      <c r="G489" s="52"/>
      <c r="H489" s="52"/>
      <c r="I489" s="177"/>
      <c r="J489" s="177"/>
      <c r="K489" s="52"/>
      <c r="L489" s="52"/>
      <c r="M489" s="52"/>
      <c r="N489" s="52"/>
      <c r="O489" s="52"/>
      <c r="P489" s="178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</row>
    <row r="490">
      <c r="A490" s="52"/>
      <c r="B490" s="52"/>
      <c r="C490" s="179"/>
      <c r="D490" s="52"/>
      <c r="E490" s="52"/>
      <c r="F490" s="52"/>
      <c r="G490" s="52"/>
      <c r="H490" s="52"/>
      <c r="I490" s="177"/>
      <c r="J490" s="177"/>
      <c r="K490" s="52"/>
      <c r="L490" s="52"/>
      <c r="M490" s="52"/>
      <c r="N490" s="52"/>
      <c r="O490" s="52"/>
      <c r="P490" s="178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</row>
    <row r="491">
      <c r="A491" s="52"/>
      <c r="B491" s="52"/>
      <c r="C491" s="179"/>
      <c r="D491" s="52"/>
      <c r="E491" s="52"/>
      <c r="F491" s="52"/>
      <c r="G491" s="52"/>
      <c r="H491" s="52"/>
      <c r="I491" s="177"/>
      <c r="J491" s="177"/>
      <c r="K491" s="52"/>
      <c r="L491" s="52"/>
      <c r="M491" s="52"/>
      <c r="N491" s="52"/>
      <c r="O491" s="52"/>
      <c r="P491" s="178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</row>
    <row r="492">
      <c r="A492" s="52"/>
      <c r="B492" s="52"/>
      <c r="C492" s="179"/>
      <c r="D492" s="52"/>
      <c r="E492" s="52"/>
      <c r="F492" s="52"/>
      <c r="G492" s="52"/>
      <c r="H492" s="52"/>
      <c r="I492" s="177"/>
      <c r="J492" s="177"/>
      <c r="K492" s="52"/>
      <c r="L492" s="52"/>
      <c r="M492" s="52"/>
      <c r="N492" s="52"/>
      <c r="O492" s="52"/>
      <c r="P492" s="178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</row>
    <row r="493">
      <c r="A493" s="52"/>
      <c r="B493" s="52"/>
      <c r="C493" s="179"/>
      <c r="D493" s="52"/>
      <c r="E493" s="52"/>
      <c r="F493" s="52"/>
      <c r="G493" s="52"/>
      <c r="H493" s="52"/>
      <c r="I493" s="177"/>
      <c r="J493" s="177"/>
      <c r="K493" s="52"/>
      <c r="L493" s="52"/>
      <c r="M493" s="52"/>
      <c r="N493" s="52"/>
      <c r="O493" s="52"/>
      <c r="P493" s="178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</row>
    <row r="494">
      <c r="A494" s="52"/>
      <c r="B494" s="52"/>
      <c r="C494" s="179"/>
      <c r="D494" s="52"/>
      <c r="E494" s="52"/>
      <c r="F494" s="52"/>
      <c r="G494" s="52"/>
      <c r="H494" s="52"/>
      <c r="I494" s="177"/>
      <c r="J494" s="177"/>
      <c r="K494" s="52"/>
      <c r="L494" s="52"/>
      <c r="M494" s="52"/>
      <c r="N494" s="52"/>
      <c r="O494" s="52"/>
      <c r="P494" s="178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</row>
    <row r="495">
      <c r="A495" s="52"/>
      <c r="B495" s="52"/>
      <c r="C495" s="179"/>
      <c r="D495" s="52"/>
      <c r="E495" s="52"/>
      <c r="F495" s="52"/>
      <c r="G495" s="52"/>
      <c r="H495" s="52"/>
      <c r="I495" s="177"/>
      <c r="J495" s="177"/>
      <c r="K495" s="52"/>
      <c r="L495" s="52"/>
      <c r="M495" s="52"/>
      <c r="N495" s="52"/>
      <c r="O495" s="52"/>
      <c r="P495" s="178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</row>
    <row r="496">
      <c r="A496" s="52"/>
      <c r="B496" s="52"/>
      <c r="C496" s="179"/>
      <c r="D496" s="52"/>
      <c r="E496" s="52"/>
      <c r="F496" s="52"/>
      <c r="G496" s="52"/>
      <c r="H496" s="52"/>
      <c r="I496" s="177"/>
      <c r="J496" s="177"/>
      <c r="K496" s="52"/>
      <c r="L496" s="52"/>
      <c r="M496" s="52"/>
      <c r="N496" s="52"/>
      <c r="O496" s="52"/>
      <c r="P496" s="178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</row>
    <row r="497">
      <c r="A497" s="52"/>
      <c r="B497" s="52"/>
      <c r="C497" s="179"/>
      <c r="D497" s="52"/>
      <c r="E497" s="52"/>
      <c r="F497" s="52"/>
      <c r="G497" s="52"/>
      <c r="H497" s="52"/>
      <c r="I497" s="177"/>
      <c r="J497" s="177"/>
      <c r="K497" s="52"/>
      <c r="L497" s="52"/>
      <c r="M497" s="52"/>
      <c r="N497" s="52"/>
      <c r="O497" s="52"/>
      <c r="P497" s="178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</row>
    <row r="498">
      <c r="A498" s="52"/>
      <c r="B498" s="52"/>
      <c r="C498" s="179"/>
      <c r="D498" s="52"/>
      <c r="E498" s="52"/>
      <c r="F498" s="52"/>
      <c r="G498" s="52"/>
      <c r="H498" s="52"/>
      <c r="I498" s="177"/>
      <c r="J498" s="177"/>
      <c r="K498" s="52"/>
      <c r="L498" s="52"/>
      <c r="M498" s="52"/>
      <c r="N498" s="52"/>
      <c r="O498" s="52"/>
      <c r="P498" s="178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</row>
    <row r="499">
      <c r="A499" s="52"/>
      <c r="B499" s="52"/>
      <c r="C499" s="179"/>
      <c r="D499" s="52"/>
      <c r="E499" s="52"/>
      <c r="F499" s="52"/>
      <c r="G499" s="52"/>
      <c r="H499" s="52"/>
      <c r="I499" s="177"/>
      <c r="J499" s="177"/>
      <c r="K499" s="52"/>
      <c r="L499" s="52"/>
      <c r="M499" s="52"/>
      <c r="N499" s="52"/>
      <c r="O499" s="52"/>
      <c r="P499" s="178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</row>
    <row r="500">
      <c r="A500" s="52"/>
      <c r="B500" s="52"/>
      <c r="C500" s="179"/>
      <c r="D500" s="52"/>
      <c r="E500" s="52"/>
      <c r="F500" s="52"/>
      <c r="G500" s="52"/>
      <c r="H500" s="52"/>
      <c r="I500" s="177"/>
      <c r="J500" s="177"/>
      <c r="K500" s="52"/>
      <c r="L500" s="52"/>
      <c r="M500" s="52"/>
      <c r="N500" s="52"/>
      <c r="O500" s="52"/>
      <c r="P500" s="178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</row>
    <row r="501">
      <c r="A501" s="52"/>
      <c r="B501" s="52"/>
      <c r="C501" s="179"/>
      <c r="D501" s="52"/>
      <c r="E501" s="52"/>
      <c r="F501" s="52"/>
      <c r="G501" s="52"/>
      <c r="H501" s="52"/>
      <c r="I501" s="177"/>
      <c r="J501" s="177"/>
      <c r="K501" s="52"/>
      <c r="L501" s="52"/>
      <c r="M501" s="52"/>
      <c r="N501" s="52"/>
      <c r="O501" s="52"/>
      <c r="P501" s="178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</row>
    <row r="502">
      <c r="A502" s="52"/>
      <c r="B502" s="52"/>
      <c r="C502" s="179"/>
      <c r="D502" s="52"/>
      <c r="E502" s="52"/>
      <c r="F502" s="52"/>
      <c r="G502" s="52"/>
      <c r="H502" s="52"/>
      <c r="I502" s="177"/>
      <c r="J502" s="177"/>
      <c r="K502" s="52"/>
      <c r="L502" s="52"/>
      <c r="M502" s="52"/>
      <c r="N502" s="52"/>
      <c r="O502" s="52"/>
      <c r="P502" s="178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</row>
    <row r="503">
      <c r="A503" s="52"/>
      <c r="B503" s="52"/>
      <c r="C503" s="179"/>
      <c r="D503" s="52"/>
      <c r="E503" s="52"/>
      <c r="F503" s="52"/>
      <c r="G503" s="52"/>
      <c r="H503" s="52"/>
      <c r="I503" s="177"/>
      <c r="J503" s="177"/>
      <c r="K503" s="52"/>
      <c r="L503" s="52"/>
      <c r="M503" s="52"/>
      <c r="N503" s="52"/>
      <c r="O503" s="52"/>
      <c r="P503" s="178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</row>
    <row r="504">
      <c r="A504" s="52"/>
      <c r="B504" s="52"/>
      <c r="C504" s="179"/>
      <c r="D504" s="52"/>
      <c r="E504" s="52"/>
      <c r="F504" s="52"/>
      <c r="G504" s="52"/>
      <c r="H504" s="52"/>
      <c r="I504" s="177"/>
      <c r="J504" s="177"/>
      <c r="K504" s="52"/>
      <c r="L504" s="52"/>
      <c r="M504" s="52"/>
      <c r="N504" s="52"/>
      <c r="O504" s="52"/>
      <c r="P504" s="178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</row>
    <row r="505">
      <c r="A505" s="52"/>
      <c r="B505" s="52"/>
      <c r="C505" s="179"/>
      <c r="D505" s="52"/>
      <c r="E505" s="52"/>
      <c r="F505" s="52"/>
      <c r="G505" s="52"/>
      <c r="H505" s="52"/>
      <c r="I505" s="177"/>
      <c r="J505" s="177"/>
      <c r="K505" s="52"/>
      <c r="L505" s="52"/>
      <c r="M505" s="52"/>
      <c r="N505" s="52"/>
      <c r="O505" s="52"/>
      <c r="P505" s="178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</row>
    <row r="506">
      <c r="A506" s="52"/>
      <c r="B506" s="52"/>
      <c r="C506" s="179"/>
      <c r="D506" s="52"/>
      <c r="E506" s="52"/>
      <c r="F506" s="52"/>
      <c r="G506" s="52"/>
      <c r="H506" s="52"/>
      <c r="I506" s="177"/>
      <c r="J506" s="177"/>
      <c r="K506" s="52"/>
      <c r="L506" s="52"/>
      <c r="M506" s="52"/>
      <c r="N506" s="52"/>
      <c r="O506" s="52"/>
      <c r="P506" s="178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</row>
    <row r="507">
      <c r="A507" s="52"/>
      <c r="B507" s="52"/>
      <c r="C507" s="179"/>
      <c r="D507" s="52"/>
      <c r="E507" s="52"/>
      <c r="F507" s="52"/>
      <c r="G507" s="52"/>
      <c r="H507" s="52"/>
      <c r="I507" s="177"/>
      <c r="J507" s="177"/>
      <c r="K507" s="52"/>
      <c r="L507" s="52"/>
      <c r="M507" s="52"/>
      <c r="N507" s="52"/>
      <c r="O507" s="52"/>
      <c r="P507" s="178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</row>
    <row r="508">
      <c r="A508" s="52"/>
      <c r="B508" s="52"/>
      <c r="C508" s="179"/>
      <c r="D508" s="52"/>
      <c r="E508" s="52"/>
      <c r="F508" s="52"/>
      <c r="G508" s="52"/>
      <c r="H508" s="52"/>
      <c r="I508" s="177"/>
      <c r="J508" s="177"/>
      <c r="K508" s="52"/>
      <c r="L508" s="52"/>
      <c r="M508" s="52"/>
      <c r="N508" s="52"/>
      <c r="O508" s="52"/>
      <c r="P508" s="178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</row>
    <row r="509">
      <c r="A509" s="52"/>
      <c r="B509" s="52"/>
      <c r="C509" s="179"/>
      <c r="D509" s="52"/>
      <c r="E509" s="52"/>
      <c r="F509" s="52"/>
      <c r="G509" s="52"/>
      <c r="H509" s="52"/>
      <c r="I509" s="177"/>
      <c r="J509" s="177"/>
      <c r="K509" s="52"/>
      <c r="L509" s="52"/>
      <c r="M509" s="52"/>
      <c r="N509" s="52"/>
      <c r="O509" s="52"/>
      <c r="P509" s="178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</row>
    <row r="510">
      <c r="A510" s="52"/>
      <c r="B510" s="52"/>
      <c r="C510" s="179"/>
      <c r="D510" s="52"/>
      <c r="E510" s="52"/>
      <c r="F510" s="52"/>
      <c r="G510" s="52"/>
      <c r="H510" s="52"/>
      <c r="I510" s="177"/>
      <c r="J510" s="177"/>
      <c r="K510" s="52"/>
      <c r="L510" s="52"/>
      <c r="M510" s="52"/>
      <c r="N510" s="52"/>
      <c r="O510" s="52"/>
      <c r="P510" s="178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</row>
    <row r="511">
      <c r="A511" s="52"/>
      <c r="B511" s="52"/>
      <c r="C511" s="179"/>
      <c r="D511" s="52"/>
      <c r="E511" s="52"/>
      <c r="F511" s="52"/>
      <c r="G511" s="52"/>
      <c r="H511" s="52"/>
      <c r="I511" s="177"/>
      <c r="J511" s="177"/>
      <c r="K511" s="52"/>
      <c r="L511" s="52"/>
      <c r="M511" s="52"/>
      <c r="N511" s="52"/>
      <c r="O511" s="52"/>
      <c r="P511" s="178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</row>
    <row r="512">
      <c r="A512" s="52"/>
      <c r="B512" s="52"/>
      <c r="C512" s="179"/>
      <c r="D512" s="52"/>
      <c r="E512" s="52"/>
      <c r="F512" s="52"/>
      <c r="G512" s="52"/>
      <c r="H512" s="52"/>
      <c r="I512" s="177"/>
      <c r="J512" s="177"/>
      <c r="K512" s="52"/>
      <c r="L512" s="52"/>
      <c r="M512" s="52"/>
      <c r="N512" s="52"/>
      <c r="O512" s="52"/>
      <c r="P512" s="178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</row>
    <row r="513">
      <c r="A513" s="52"/>
      <c r="B513" s="52"/>
      <c r="C513" s="179"/>
      <c r="D513" s="52"/>
      <c r="E513" s="52"/>
      <c r="F513" s="52"/>
      <c r="G513" s="52"/>
      <c r="H513" s="52"/>
      <c r="I513" s="177"/>
      <c r="J513" s="177"/>
      <c r="K513" s="52"/>
      <c r="L513" s="52"/>
      <c r="M513" s="52"/>
      <c r="N513" s="52"/>
      <c r="O513" s="52"/>
      <c r="P513" s="178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</row>
    <row r="514">
      <c r="A514" s="52"/>
      <c r="B514" s="52"/>
      <c r="C514" s="179"/>
      <c r="D514" s="52"/>
      <c r="E514" s="52"/>
      <c r="F514" s="52"/>
      <c r="G514" s="52"/>
      <c r="H514" s="52"/>
      <c r="I514" s="177"/>
      <c r="J514" s="177"/>
      <c r="K514" s="52"/>
      <c r="L514" s="52"/>
      <c r="M514" s="52"/>
      <c r="N514" s="52"/>
      <c r="O514" s="52"/>
      <c r="P514" s="178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</row>
    <row r="515">
      <c r="A515" s="52"/>
      <c r="B515" s="52"/>
      <c r="C515" s="179"/>
      <c r="D515" s="52"/>
      <c r="E515" s="52"/>
      <c r="F515" s="52"/>
      <c r="G515" s="52"/>
      <c r="H515" s="52"/>
      <c r="I515" s="177"/>
      <c r="J515" s="177"/>
      <c r="K515" s="52"/>
      <c r="L515" s="52"/>
      <c r="M515" s="52"/>
      <c r="N515" s="52"/>
      <c r="O515" s="52"/>
      <c r="P515" s="178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</row>
    <row r="516">
      <c r="A516" s="52"/>
      <c r="B516" s="52"/>
      <c r="C516" s="179"/>
      <c r="D516" s="52"/>
      <c r="E516" s="52"/>
      <c r="F516" s="52"/>
      <c r="G516" s="52"/>
      <c r="H516" s="52"/>
      <c r="I516" s="177"/>
      <c r="J516" s="177"/>
      <c r="K516" s="52"/>
      <c r="L516" s="52"/>
      <c r="M516" s="52"/>
      <c r="N516" s="52"/>
      <c r="O516" s="52"/>
      <c r="P516" s="178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</row>
    <row r="517">
      <c r="A517" s="52"/>
      <c r="B517" s="52"/>
      <c r="C517" s="179"/>
      <c r="D517" s="52"/>
      <c r="E517" s="52"/>
      <c r="F517" s="52"/>
      <c r="G517" s="52"/>
      <c r="H517" s="52"/>
      <c r="I517" s="177"/>
      <c r="J517" s="177"/>
      <c r="K517" s="52"/>
      <c r="L517" s="52"/>
      <c r="M517" s="52"/>
      <c r="N517" s="52"/>
      <c r="O517" s="52"/>
      <c r="P517" s="178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</row>
    <row r="518">
      <c r="A518" s="52"/>
      <c r="B518" s="52"/>
      <c r="C518" s="179"/>
      <c r="D518" s="52"/>
      <c r="E518" s="52"/>
      <c r="F518" s="52"/>
      <c r="G518" s="52"/>
      <c r="H518" s="52"/>
      <c r="I518" s="177"/>
      <c r="J518" s="177"/>
      <c r="K518" s="52"/>
      <c r="L518" s="52"/>
      <c r="M518" s="52"/>
      <c r="N518" s="52"/>
      <c r="O518" s="52"/>
      <c r="P518" s="178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</row>
    <row r="519">
      <c r="A519" s="52"/>
      <c r="B519" s="52"/>
      <c r="C519" s="179"/>
      <c r="D519" s="52"/>
      <c r="E519" s="52"/>
      <c r="F519" s="52"/>
      <c r="G519" s="52"/>
      <c r="H519" s="52"/>
      <c r="I519" s="177"/>
      <c r="J519" s="177"/>
      <c r="K519" s="52"/>
      <c r="L519" s="52"/>
      <c r="M519" s="52"/>
      <c r="N519" s="52"/>
      <c r="O519" s="52"/>
      <c r="P519" s="178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</row>
    <row r="520">
      <c r="A520" s="52"/>
      <c r="B520" s="52"/>
      <c r="C520" s="179"/>
      <c r="D520" s="52"/>
      <c r="E520" s="52"/>
      <c r="F520" s="52"/>
      <c r="G520" s="52"/>
      <c r="H520" s="52"/>
      <c r="I520" s="177"/>
      <c r="J520" s="177"/>
      <c r="K520" s="52"/>
      <c r="L520" s="52"/>
      <c r="M520" s="52"/>
      <c r="N520" s="52"/>
      <c r="O520" s="52"/>
      <c r="P520" s="178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</row>
    <row r="521">
      <c r="A521" s="52"/>
      <c r="B521" s="52"/>
      <c r="C521" s="179"/>
      <c r="D521" s="52"/>
      <c r="E521" s="52"/>
      <c r="F521" s="52"/>
      <c r="G521" s="52"/>
      <c r="H521" s="52"/>
      <c r="I521" s="177"/>
      <c r="J521" s="177"/>
      <c r="K521" s="52"/>
      <c r="L521" s="52"/>
      <c r="M521" s="52"/>
      <c r="N521" s="52"/>
      <c r="O521" s="52"/>
      <c r="P521" s="178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</row>
    <row r="522">
      <c r="A522" s="52"/>
      <c r="B522" s="52"/>
      <c r="C522" s="179"/>
      <c r="D522" s="52"/>
      <c r="E522" s="52"/>
      <c r="F522" s="52"/>
      <c r="G522" s="52"/>
      <c r="H522" s="52"/>
      <c r="I522" s="177"/>
      <c r="J522" s="177"/>
      <c r="K522" s="52"/>
      <c r="L522" s="52"/>
      <c r="M522" s="52"/>
      <c r="N522" s="52"/>
      <c r="O522" s="52"/>
      <c r="P522" s="178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</row>
    <row r="523">
      <c r="A523" s="52"/>
      <c r="B523" s="52"/>
      <c r="C523" s="179"/>
      <c r="D523" s="52"/>
      <c r="E523" s="52"/>
      <c r="F523" s="52"/>
      <c r="G523" s="52"/>
      <c r="H523" s="52"/>
      <c r="I523" s="177"/>
      <c r="J523" s="177"/>
      <c r="K523" s="52"/>
      <c r="L523" s="52"/>
      <c r="M523" s="52"/>
      <c r="N523" s="52"/>
      <c r="O523" s="52"/>
      <c r="P523" s="178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</row>
    <row r="524">
      <c r="A524" s="52"/>
      <c r="B524" s="52"/>
      <c r="C524" s="179"/>
      <c r="D524" s="52"/>
      <c r="E524" s="52"/>
      <c r="F524" s="52"/>
      <c r="G524" s="52"/>
      <c r="H524" s="52"/>
      <c r="I524" s="177"/>
      <c r="J524" s="177"/>
      <c r="K524" s="52"/>
      <c r="L524" s="52"/>
      <c r="M524" s="52"/>
      <c r="N524" s="52"/>
      <c r="O524" s="52"/>
      <c r="P524" s="178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</row>
    <row r="525">
      <c r="A525" s="52"/>
      <c r="B525" s="52"/>
      <c r="C525" s="179"/>
      <c r="D525" s="52"/>
      <c r="E525" s="52"/>
      <c r="F525" s="52"/>
      <c r="G525" s="52"/>
      <c r="H525" s="52"/>
      <c r="I525" s="177"/>
      <c r="J525" s="177"/>
      <c r="K525" s="52"/>
      <c r="L525" s="52"/>
      <c r="M525" s="52"/>
      <c r="N525" s="52"/>
      <c r="O525" s="52"/>
      <c r="P525" s="178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</row>
    <row r="526">
      <c r="A526" s="52"/>
      <c r="B526" s="52"/>
      <c r="C526" s="179"/>
      <c r="D526" s="52"/>
      <c r="E526" s="52"/>
      <c r="F526" s="52"/>
      <c r="G526" s="52"/>
      <c r="H526" s="52"/>
      <c r="I526" s="177"/>
      <c r="J526" s="177"/>
      <c r="K526" s="52"/>
      <c r="L526" s="52"/>
      <c r="M526" s="52"/>
      <c r="N526" s="52"/>
      <c r="O526" s="52"/>
      <c r="P526" s="178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</row>
    <row r="527">
      <c r="A527" s="52"/>
      <c r="B527" s="52"/>
      <c r="C527" s="179"/>
      <c r="D527" s="52"/>
      <c r="E527" s="52"/>
      <c r="F527" s="52"/>
      <c r="G527" s="52"/>
      <c r="H527" s="52"/>
      <c r="I527" s="177"/>
      <c r="J527" s="177"/>
      <c r="K527" s="52"/>
      <c r="L527" s="52"/>
      <c r="M527" s="52"/>
      <c r="N527" s="52"/>
      <c r="O527" s="52"/>
      <c r="P527" s="178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</row>
    <row r="528">
      <c r="A528" s="52"/>
      <c r="B528" s="52"/>
      <c r="C528" s="179"/>
      <c r="D528" s="52"/>
      <c r="E528" s="52"/>
      <c r="F528" s="52"/>
      <c r="G528" s="52"/>
      <c r="H528" s="52"/>
      <c r="I528" s="177"/>
      <c r="J528" s="177"/>
      <c r="K528" s="52"/>
      <c r="L528" s="52"/>
      <c r="M528" s="52"/>
      <c r="N528" s="52"/>
      <c r="O528" s="52"/>
      <c r="P528" s="178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</row>
    <row r="529">
      <c r="A529" s="52"/>
      <c r="B529" s="52"/>
      <c r="C529" s="179"/>
      <c r="D529" s="52"/>
      <c r="E529" s="52"/>
      <c r="F529" s="52"/>
      <c r="G529" s="52"/>
      <c r="H529" s="52"/>
      <c r="I529" s="177"/>
      <c r="J529" s="177"/>
      <c r="K529" s="52"/>
      <c r="L529" s="52"/>
      <c r="M529" s="52"/>
      <c r="N529" s="52"/>
      <c r="O529" s="52"/>
      <c r="P529" s="178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</row>
    <row r="530">
      <c r="A530" s="52"/>
      <c r="B530" s="52"/>
      <c r="C530" s="179"/>
      <c r="D530" s="52"/>
      <c r="E530" s="52"/>
      <c r="F530" s="52"/>
      <c r="G530" s="52"/>
      <c r="H530" s="52"/>
      <c r="I530" s="177"/>
      <c r="J530" s="177"/>
      <c r="K530" s="52"/>
      <c r="L530" s="52"/>
      <c r="M530" s="52"/>
      <c r="N530" s="52"/>
      <c r="O530" s="52"/>
      <c r="P530" s="178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</row>
    <row r="531">
      <c r="A531" s="52"/>
      <c r="B531" s="52"/>
      <c r="C531" s="179"/>
      <c r="D531" s="52"/>
      <c r="E531" s="52"/>
      <c r="F531" s="52"/>
      <c r="G531" s="52"/>
      <c r="H531" s="52"/>
      <c r="I531" s="177"/>
      <c r="J531" s="177"/>
      <c r="K531" s="52"/>
      <c r="L531" s="52"/>
      <c r="M531" s="52"/>
      <c r="N531" s="52"/>
      <c r="O531" s="52"/>
      <c r="P531" s="178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</row>
    <row r="532">
      <c r="A532" s="52"/>
      <c r="B532" s="52"/>
      <c r="C532" s="179"/>
      <c r="D532" s="52"/>
      <c r="E532" s="52"/>
      <c r="F532" s="52"/>
      <c r="G532" s="52"/>
      <c r="H532" s="52"/>
      <c r="I532" s="177"/>
      <c r="J532" s="177"/>
      <c r="K532" s="52"/>
      <c r="L532" s="52"/>
      <c r="M532" s="52"/>
      <c r="N532" s="52"/>
      <c r="O532" s="52"/>
      <c r="P532" s="178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</row>
    <row r="533">
      <c r="A533" s="52"/>
      <c r="B533" s="52"/>
      <c r="C533" s="179"/>
      <c r="D533" s="52"/>
      <c r="E533" s="52"/>
      <c r="F533" s="52"/>
      <c r="G533" s="52"/>
      <c r="H533" s="52"/>
      <c r="I533" s="177"/>
      <c r="J533" s="177"/>
      <c r="K533" s="52"/>
      <c r="L533" s="52"/>
      <c r="M533" s="52"/>
      <c r="N533" s="52"/>
      <c r="O533" s="52"/>
      <c r="P533" s="178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</row>
    <row r="534">
      <c r="A534" s="52"/>
      <c r="B534" s="52"/>
      <c r="C534" s="179"/>
      <c r="D534" s="52"/>
      <c r="E534" s="52"/>
      <c r="F534" s="52"/>
      <c r="G534" s="52"/>
      <c r="H534" s="52"/>
      <c r="I534" s="177"/>
      <c r="J534" s="177"/>
      <c r="K534" s="52"/>
      <c r="L534" s="52"/>
      <c r="M534" s="52"/>
      <c r="N534" s="52"/>
      <c r="O534" s="52"/>
      <c r="P534" s="178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</row>
    <row r="535">
      <c r="A535" s="52"/>
      <c r="B535" s="52"/>
      <c r="C535" s="179"/>
      <c r="D535" s="52"/>
      <c r="E535" s="52"/>
      <c r="F535" s="52"/>
      <c r="G535" s="52"/>
      <c r="H535" s="52"/>
      <c r="I535" s="177"/>
      <c r="J535" s="177"/>
      <c r="K535" s="52"/>
      <c r="L535" s="52"/>
      <c r="M535" s="52"/>
      <c r="N535" s="52"/>
      <c r="O535" s="52"/>
      <c r="P535" s="178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</row>
    <row r="536">
      <c r="A536" s="52"/>
      <c r="B536" s="52"/>
      <c r="C536" s="179"/>
      <c r="D536" s="52"/>
      <c r="E536" s="52"/>
      <c r="F536" s="52"/>
      <c r="G536" s="52"/>
      <c r="H536" s="52"/>
      <c r="I536" s="177"/>
      <c r="J536" s="177"/>
      <c r="K536" s="52"/>
      <c r="L536" s="52"/>
      <c r="M536" s="52"/>
      <c r="N536" s="52"/>
      <c r="O536" s="52"/>
      <c r="P536" s="178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</row>
    <row r="537">
      <c r="A537" s="52"/>
      <c r="B537" s="52"/>
      <c r="C537" s="179"/>
      <c r="D537" s="52"/>
      <c r="E537" s="52"/>
      <c r="F537" s="52"/>
      <c r="G537" s="52"/>
      <c r="H537" s="52"/>
      <c r="I537" s="177"/>
      <c r="J537" s="177"/>
      <c r="K537" s="52"/>
      <c r="L537" s="52"/>
      <c r="M537" s="52"/>
      <c r="N537" s="52"/>
      <c r="O537" s="52"/>
      <c r="P537" s="178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</row>
    <row r="538">
      <c r="A538" s="52"/>
      <c r="B538" s="52"/>
      <c r="C538" s="179"/>
      <c r="D538" s="52"/>
      <c r="E538" s="52"/>
      <c r="F538" s="52"/>
      <c r="G538" s="52"/>
      <c r="H538" s="52"/>
      <c r="I538" s="177"/>
      <c r="J538" s="177"/>
      <c r="K538" s="52"/>
      <c r="L538" s="52"/>
      <c r="M538" s="52"/>
      <c r="N538" s="52"/>
      <c r="O538" s="52"/>
      <c r="P538" s="178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</row>
    <row r="539">
      <c r="A539" s="52"/>
      <c r="B539" s="52"/>
      <c r="C539" s="179"/>
      <c r="D539" s="52"/>
      <c r="E539" s="52"/>
      <c r="F539" s="52"/>
      <c r="G539" s="52"/>
      <c r="H539" s="52"/>
      <c r="I539" s="177"/>
      <c r="J539" s="177"/>
      <c r="K539" s="52"/>
      <c r="L539" s="52"/>
      <c r="M539" s="52"/>
      <c r="N539" s="52"/>
      <c r="O539" s="52"/>
      <c r="P539" s="178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</row>
    <row r="540">
      <c r="A540" s="52"/>
      <c r="B540" s="52"/>
      <c r="C540" s="179"/>
      <c r="D540" s="52"/>
      <c r="E540" s="52"/>
      <c r="F540" s="52"/>
      <c r="G540" s="52"/>
      <c r="H540" s="52"/>
      <c r="I540" s="177"/>
      <c r="J540" s="177"/>
      <c r="K540" s="52"/>
      <c r="L540" s="52"/>
      <c r="M540" s="52"/>
      <c r="N540" s="52"/>
      <c r="O540" s="52"/>
      <c r="P540" s="178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</row>
    <row r="541">
      <c r="A541" s="52"/>
      <c r="B541" s="52"/>
      <c r="C541" s="179"/>
      <c r="D541" s="52"/>
      <c r="E541" s="52"/>
      <c r="F541" s="52"/>
      <c r="G541" s="52"/>
      <c r="H541" s="52"/>
      <c r="I541" s="177"/>
      <c r="J541" s="177"/>
      <c r="K541" s="52"/>
      <c r="L541" s="52"/>
      <c r="M541" s="52"/>
      <c r="N541" s="52"/>
      <c r="O541" s="52"/>
      <c r="P541" s="178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</row>
    <row r="542">
      <c r="A542" s="52"/>
      <c r="B542" s="52"/>
      <c r="C542" s="179"/>
      <c r="D542" s="52"/>
      <c r="E542" s="52"/>
      <c r="F542" s="52"/>
      <c r="G542" s="52"/>
      <c r="H542" s="52"/>
      <c r="I542" s="177"/>
      <c r="J542" s="177"/>
      <c r="K542" s="52"/>
      <c r="L542" s="52"/>
      <c r="M542" s="52"/>
      <c r="N542" s="52"/>
      <c r="O542" s="52"/>
      <c r="P542" s="178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</row>
    <row r="543">
      <c r="A543" s="52"/>
      <c r="B543" s="52"/>
      <c r="C543" s="179"/>
      <c r="D543" s="52"/>
      <c r="E543" s="52"/>
      <c r="F543" s="52"/>
      <c r="G543" s="52"/>
      <c r="H543" s="52"/>
      <c r="I543" s="177"/>
      <c r="J543" s="177"/>
      <c r="K543" s="52"/>
      <c r="L543" s="52"/>
      <c r="M543" s="52"/>
      <c r="N543" s="52"/>
      <c r="O543" s="52"/>
      <c r="P543" s="178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</row>
    <row r="544">
      <c r="A544" s="52"/>
      <c r="B544" s="52"/>
      <c r="C544" s="179"/>
      <c r="D544" s="52"/>
      <c r="E544" s="52"/>
      <c r="F544" s="52"/>
      <c r="G544" s="52"/>
      <c r="H544" s="52"/>
      <c r="I544" s="177"/>
      <c r="J544" s="177"/>
      <c r="K544" s="52"/>
      <c r="L544" s="52"/>
      <c r="M544" s="52"/>
      <c r="N544" s="52"/>
      <c r="O544" s="52"/>
      <c r="P544" s="178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</row>
    <row r="545">
      <c r="A545" s="52"/>
      <c r="B545" s="52"/>
      <c r="C545" s="179"/>
      <c r="D545" s="52"/>
      <c r="E545" s="52"/>
      <c r="F545" s="52"/>
      <c r="G545" s="52"/>
      <c r="H545" s="52"/>
      <c r="I545" s="177"/>
      <c r="J545" s="177"/>
      <c r="K545" s="52"/>
      <c r="L545" s="52"/>
      <c r="M545" s="52"/>
      <c r="N545" s="52"/>
      <c r="O545" s="52"/>
      <c r="P545" s="178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</row>
    <row r="546">
      <c r="A546" s="52"/>
      <c r="B546" s="52"/>
      <c r="C546" s="179"/>
      <c r="D546" s="52"/>
      <c r="E546" s="52"/>
      <c r="F546" s="52"/>
      <c r="G546" s="52"/>
      <c r="H546" s="52"/>
      <c r="I546" s="177"/>
      <c r="J546" s="177"/>
      <c r="K546" s="52"/>
      <c r="L546" s="52"/>
      <c r="M546" s="52"/>
      <c r="N546" s="52"/>
      <c r="O546" s="52"/>
      <c r="P546" s="178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</row>
    <row r="547">
      <c r="A547" s="52"/>
      <c r="B547" s="52"/>
      <c r="C547" s="179"/>
      <c r="D547" s="52"/>
      <c r="E547" s="52"/>
      <c r="F547" s="52"/>
      <c r="G547" s="52"/>
      <c r="H547" s="52"/>
      <c r="I547" s="177"/>
      <c r="J547" s="177"/>
      <c r="K547" s="52"/>
      <c r="L547" s="52"/>
      <c r="M547" s="52"/>
      <c r="N547" s="52"/>
      <c r="O547" s="52"/>
      <c r="P547" s="178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</row>
    <row r="548">
      <c r="A548" s="52"/>
      <c r="B548" s="52"/>
      <c r="C548" s="179"/>
      <c r="D548" s="52"/>
      <c r="E548" s="52"/>
      <c r="F548" s="52"/>
      <c r="G548" s="52"/>
      <c r="H548" s="52"/>
      <c r="I548" s="177"/>
      <c r="J548" s="177"/>
      <c r="K548" s="52"/>
      <c r="L548" s="52"/>
      <c r="M548" s="52"/>
      <c r="N548" s="52"/>
      <c r="O548" s="52"/>
      <c r="P548" s="178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</row>
    <row r="549">
      <c r="A549" s="52"/>
      <c r="B549" s="52"/>
      <c r="C549" s="179"/>
      <c r="D549" s="52"/>
      <c r="E549" s="52"/>
      <c r="F549" s="52"/>
      <c r="G549" s="52"/>
      <c r="H549" s="52"/>
      <c r="I549" s="177"/>
      <c r="J549" s="177"/>
      <c r="K549" s="52"/>
      <c r="L549" s="52"/>
      <c r="M549" s="52"/>
      <c r="N549" s="52"/>
      <c r="O549" s="52"/>
      <c r="P549" s="178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</row>
    <row r="550">
      <c r="A550" s="52"/>
      <c r="B550" s="52"/>
      <c r="C550" s="179"/>
      <c r="D550" s="52"/>
      <c r="E550" s="52"/>
      <c r="F550" s="52"/>
      <c r="G550" s="52"/>
      <c r="H550" s="52"/>
      <c r="I550" s="177"/>
      <c r="J550" s="177"/>
      <c r="K550" s="52"/>
      <c r="L550" s="52"/>
      <c r="M550" s="52"/>
      <c r="N550" s="52"/>
      <c r="O550" s="52"/>
      <c r="P550" s="178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</row>
    <row r="551">
      <c r="A551" s="52"/>
      <c r="B551" s="52"/>
      <c r="C551" s="179"/>
      <c r="D551" s="52"/>
      <c r="E551" s="52"/>
      <c r="F551" s="52"/>
      <c r="G551" s="52"/>
      <c r="H551" s="52"/>
      <c r="I551" s="177"/>
      <c r="J551" s="177"/>
      <c r="K551" s="52"/>
      <c r="L551" s="52"/>
      <c r="M551" s="52"/>
      <c r="N551" s="52"/>
      <c r="O551" s="52"/>
      <c r="P551" s="178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</row>
    <row r="552">
      <c r="A552" s="52"/>
      <c r="B552" s="52"/>
      <c r="C552" s="179"/>
      <c r="D552" s="52"/>
      <c r="E552" s="52"/>
      <c r="F552" s="52"/>
      <c r="G552" s="52"/>
      <c r="H552" s="52"/>
      <c r="I552" s="177"/>
      <c r="J552" s="177"/>
      <c r="K552" s="52"/>
      <c r="L552" s="52"/>
      <c r="M552" s="52"/>
      <c r="N552" s="52"/>
      <c r="O552" s="52"/>
      <c r="P552" s="178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</row>
    <row r="553">
      <c r="A553" s="52"/>
      <c r="B553" s="52"/>
      <c r="C553" s="179"/>
      <c r="D553" s="52"/>
      <c r="E553" s="52"/>
      <c r="F553" s="52"/>
      <c r="G553" s="52"/>
      <c r="H553" s="52"/>
      <c r="I553" s="177"/>
      <c r="J553" s="177"/>
      <c r="K553" s="52"/>
      <c r="L553" s="52"/>
      <c r="M553" s="52"/>
      <c r="N553" s="52"/>
      <c r="O553" s="52"/>
      <c r="P553" s="178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</row>
    <row r="554">
      <c r="A554" s="52"/>
      <c r="B554" s="52"/>
      <c r="C554" s="179"/>
      <c r="D554" s="52"/>
      <c r="E554" s="52"/>
      <c r="F554" s="52"/>
      <c r="G554" s="52"/>
      <c r="H554" s="52"/>
      <c r="I554" s="177"/>
      <c r="J554" s="177"/>
      <c r="K554" s="52"/>
      <c r="L554" s="52"/>
      <c r="M554" s="52"/>
      <c r="N554" s="52"/>
      <c r="O554" s="52"/>
      <c r="P554" s="178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</row>
    <row r="555">
      <c r="A555" s="52"/>
      <c r="B555" s="52"/>
      <c r="C555" s="179"/>
      <c r="D555" s="52"/>
      <c r="E555" s="52"/>
      <c r="F555" s="52"/>
      <c r="G555" s="52"/>
      <c r="H555" s="52"/>
      <c r="I555" s="177"/>
      <c r="J555" s="177"/>
      <c r="K555" s="52"/>
      <c r="L555" s="52"/>
      <c r="M555" s="52"/>
      <c r="N555" s="52"/>
      <c r="O555" s="52"/>
      <c r="P555" s="178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</row>
    <row r="556">
      <c r="A556" s="52"/>
      <c r="B556" s="52"/>
      <c r="C556" s="179"/>
      <c r="D556" s="52"/>
      <c r="E556" s="52"/>
      <c r="F556" s="52"/>
      <c r="G556" s="52"/>
      <c r="H556" s="52"/>
      <c r="I556" s="177"/>
      <c r="J556" s="177"/>
      <c r="K556" s="52"/>
      <c r="L556" s="52"/>
      <c r="M556" s="52"/>
      <c r="N556" s="52"/>
      <c r="O556" s="52"/>
      <c r="P556" s="178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</row>
    <row r="557">
      <c r="A557" s="52"/>
      <c r="B557" s="52"/>
      <c r="C557" s="179"/>
      <c r="D557" s="52"/>
      <c r="E557" s="52"/>
      <c r="F557" s="52"/>
      <c r="G557" s="52"/>
      <c r="H557" s="52"/>
      <c r="I557" s="177"/>
      <c r="J557" s="177"/>
      <c r="K557" s="52"/>
      <c r="L557" s="52"/>
      <c r="M557" s="52"/>
      <c r="N557" s="52"/>
      <c r="O557" s="52"/>
      <c r="P557" s="178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</row>
    <row r="558">
      <c r="A558" s="52"/>
      <c r="B558" s="52"/>
      <c r="C558" s="179"/>
      <c r="D558" s="52"/>
      <c r="E558" s="52"/>
      <c r="F558" s="52"/>
      <c r="G558" s="52"/>
      <c r="H558" s="52"/>
      <c r="I558" s="177"/>
      <c r="J558" s="177"/>
      <c r="K558" s="52"/>
      <c r="L558" s="52"/>
      <c r="M558" s="52"/>
      <c r="N558" s="52"/>
      <c r="O558" s="52"/>
      <c r="P558" s="178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</row>
    <row r="559">
      <c r="A559" s="52"/>
      <c r="B559" s="52"/>
      <c r="C559" s="179"/>
      <c r="D559" s="52"/>
      <c r="E559" s="52"/>
      <c r="F559" s="52"/>
      <c r="G559" s="52"/>
      <c r="H559" s="52"/>
      <c r="I559" s="177"/>
      <c r="J559" s="177"/>
      <c r="K559" s="52"/>
      <c r="L559" s="52"/>
      <c r="M559" s="52"/>
      <c r="N559" s="52"/>
      <c r="O559" s="52"/>
      <c r="P559" s="178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</row>
    <row r="560">
      <c r="A560" s="52"/>
      <c r="B560" s="52"/>
      <c r="C560" s="179"/>
      <c r="D560" s="52"/>
      <c r="E560" s="52"/>
      <c r="F560" s="52"/>
      <c r="G560" s="52"/>
      <c r="H560" s="52"/>
      <c r="I560" s="177"/>
      <c r="J560" s="177"/>
      <c r="K560" s="52"/>
      <c r="L560" s="52"/>
      <c r="M560" s="52"/>
      <c r="N560" s="52"/>
      <c r="O560" s="52"/>
      <c r="P560" s="178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</row>
    <row r="561">
      <c r="A561" s="52"/>
      <c r="B561" s="52"/>
      <c r="C561" s="179"/>
      <c r="D561" s="52"/>
      <c r="E561" s="52"/>
      <c r="F561" s="52"/>
      <c r="G561" s="52"/>
      <c r="H561" s="52"/>
      <c r="I561" s="177"/>
      <c r="J561" s="177"/>
      <c r="K561" s="52"/>
      <c r="L561" s="52"/>
      <c r="M561" s="52"/>
      <c r="N561" s="52"/>
      <c r="O561" s="52"/>
      <c r="P561" s="178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</row>
    <row r="562">
      <c r="A562" s="52"/>
      <c r="B562" s="52"/>
      <c r="C562" s="179"/>
      <c r="D562" s="52"/>
      <c r="E562" s="52"/>
      <c r="F562" s="52"/>
      <c r="G562" s="52"/>
      <c r="H562" s="52"/>
      <c r="I562" s="177"/>
      <c r="J562" s="177"/>
      <c r="K562" s="52"/>
      <c r="L562" s="52"/>
      <c r="M562" s="52"/>
      <c r="N562" s="52"/>
      <c r="O562" s="52"/>
      <c r="P562" s="178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</row>
    <row r="563">
      <c r="A563" s="52"/>
      <c r="B563" s="52"/>
      <c r="C563" s="179"/>
      <c r="D563" s="52"/>
      <c r="E563" s="52"/>
      <c r="F563" s="52"/>
      <c r="G563" s="52"/>
      <c r="H563" s="52"/>
      <c r="I563" s="177"/>
      <c r="J563" s="177"/>
      <c r="K563" s="52"/>
      <c r="L563" s="52"/>
      <c r="M563" s="52"/>
      <c r="N563" s="52"/>
      <c r="O563" s="52"/>
      <c r="P563" s="178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</row>
    <row r="564">
      <c r="A564" s="52"/>
      <c r="B564" s="52"/>
      <c r="C564" s="179"/>
      <c r="D564" s="52"/>
      <c r="E564" s="52"/>
      <c r="F564" s="52"/>
      <c r="G564" s="52"/>
      <c r="H564" s="52"/>
      <c r="I564" s="177"/>
      <c r="J564" s="177"/>
      <c r="K564" s="52"/>
      <c r="L564" s="52"/>
      <c r="M564" s="52"/>
      <c r="N564" s="52"/>
      <c r="O564" s="52"/>
      <c r="P564" s="178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</row>
    <row r="565">
      <c r="A565" s="52"/>
      <c r="B565" s="52"/>
      <c r="C565" s="179"/>
      <c r="D565" s="52"/>
      <c r="E565" s="52"/>
      <c r="F565" s="52"/>
      <c r="G565" s="52"/>
      <c r="H565" s="52"/>
      <c r="I565" s="177"/>
      <c r="J565" s="177"/>
      <c r="K565" s="52"/>
      <c r="L565" s="52"/>
      <c r="M565" s="52"/>
      <c r="N565" s="52"/>
      <c r="O565" s="52"/>
      <c r="P565" s="178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</row>
    <row r="566">
      <c r="A566" s="52"/>
      <c r="B566" s="52"/>
      <c r="C566" s="179"/>
      <c r="D566" s="52"/>
      <c r="E566" s="52"/>
      <c r="F566" s="52"/>
      <c r="G566" s="52"/>
      <c r="H566" s="52"/>
      <c r="I566" s="177"/>
      <c r="J566" s="177"/>
      <c r="K566" s="52"/>
      <c r="L566" s="52"/>
      <c r="M566" s="52"/>
      <c r="N566" s="52"/>
      <c r="O566" s="52"/>
      <c r="P566" s="178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</row>
    <row r="567">
      <c r="A567" s="52"/>
      <c r="B567" s="52"/>
      <c r="C567" s="179"/>
      <c r="D567" s="52"/>
      <c r="E567" s="52"/>
      <c r="F567" s="52"/>
      <c r="G567" s="52"/>
      <c r="H567" s="52"/>
      <c r="I567" s="177"/>
      <c r="J567" s="177"/>
      <c r="K567" s="52"/>
      <c r="L567" s="52"/>
      <c r="M567" s="52"/>
      <c r="N567" s="52"/>
      <c r="O567" s="52"/>
      <c r="P567" s="178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</row>
    <row r="568">
      <c r="A568" s="52"/>
      <c r="B568" s="52"/>
      <c r="C568" s="179"/>
      <c r="D568" s="52"/>
      <c r="E568" s="52"/>
      <c r="F568" s="52"/>
      <c r="G568" s="52"/>
      <c r="H568" s="52"/>
      <c r="I568" s="177"/>
      <c r="J568" s="177"/>
      <c r="K568" s="52"/>
      <c r="L568" s="52"/>
      <c r="M568" s="52"/>
      <c r="N568" s="52"/>
      <c r="O568" s="52"/>
      <c r="P568" s="178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</row>
    <row r="569">
      <c r="A569" s="52"/>
      <c r="B569" s="52"/>
      <c r="C569" s="179"/>
      <c r="D569" s="52"/>
      <c r="E569" s="52"/>
      <c r="F569" s="52"/>
      <c r="G569" s="52"/>
      <c r="H569" s="52"/>
      <c r="I569" s="177"/>
      <c r="J569" s="177"/>
      <c r="K569" s="52"/>
      <c r="L569" s="52"/>
      <c r="M569" s="52"/>
      <c r="N569" s="52"/>
      <c r="O569" s="52"/>
      <c r="P569" s="178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</row>
    <row r="570">
      <c r="A570" s="52"/>
      <c r="B570" s="52"/>
      <c r="C570" s="179"/>
      <c r="D570" s="52"/>
      <c r="E570" s="52"/>
      <c r="F570" s="52"/>
      <c r="G570" s="52"/>
      <c r="H570" s="52"/>
      <c r="I570" s="177"/>
      <c r="J570" s="177"/>
      <c r="K570" s="52"/>
      <c r="L570" s="52"/>
      <c r="M570" s="52"/>
      <c r="N570" s="52"/>
      <c r="O570" s="52"/>
      <c r="P570" s="178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</row>
    <row r="571">
      <c r="A571" s="52"/>
      <c r="B571" s="52"/>
      <c r="C571" s="179"/>
      <c r="D571" s="52"/>
      <c r="E571" s="52"/>
      <c r="F571" s="52"/>
      <c r="G571" s="52"/>
      <c r="H571" s="52"/>
      <c r="I571" s="177"/>
      <c r="J571" s="177"/>
      <c r="K571" s="52"/>
      <c r="L571" s="52"/>
      <c r="M571" s="52"/>
      <c r="N571" s="52"/>
      <c r="O571" s="52"/>
      <c r="P571" s="178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</row>
    <row r="572">
      <c r="A572" s="52"/>
      <c r="B572" s="52"/>
      <c r="C572" s="179"/>
      <c r="D572" s="52"/>
      <c r="E572" s="52"/>
      <c r="F572" s="52"/>
      <c r="G572" s="52"/>
      <c r="H572" s="52"/>
      <c r="I572" s="177"/>
      <c r="J572" s="177"/>
      <c r="K572" s="52"/>
      <c r="L572" s="52"/>
      <c r="M572" s="52"/>
      <c r="N572" s="52"/>
      <c r="O572" s="52"/>
      <c r="P572" s="178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</row>
    <row r="573">
      <c r="A573" s="52"/>
      <c r="B573" s="52"/>
      <c r="C573" s="179"/>
      <c r="D573" s="52"/>
      <c r="E573" s="52"/>
      <c r="F573" s="52"/>
      <c r="G573" s="52"/>
      <c r="H573" s="52"/>
      <c r="I573" s="177"/>
      <c r="J573" s="177"/>
      <c r="K573" s="52"/>
      <c r="L573" s="52"/>
      <c r="M573" s="52"/>
      <c r="N573" s="52"/>
      <c r="O573" s="52"/>
      <c r="P573" s="178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</row>
    <row r="574">
      <c r="A574" s="52"/>
      <c r="B574" s="52"/>
      <c r="C574" s="179"/>
      <c r="D574" s="52"/>
      <c r="E574" s="52"/>
      <c r="F574" s="52"/>
      <c r="G574" s="52"/>
      <c r="H574" s="52"/>
      <c r="I574" s="177"/>
      <c r="J574" s="177"/>
      <c r="K574" s="52"/>
      <c r="L574" s="52"/>
      <c r="M574" s="52"/>
      <c r="N574" s="52"/>
      <c r="O574" s="52"/>
      <c r="P574" s="178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</row>
    <row r="575">
      <c r="A575" s="52"/>
      <c r="B575" s="52"/>
      <c r="C575" s="179"/>
      <c r="D575" s="52"/>
      <c r="E575" s="52"/>
      <c r="F575" s="52"/>
      <c r="G575" s="52"/>
      <c r="H575" s="52"/>
      <c r="I575" s="177"/>
      <c r="J575" s="177"/>
      <c r="K575" s="52"/>
      <c r="L575" s="52"/>
      <c r="M575" s="52"/>
      <c r="N575" s="52"/>
      <c r="O575" s="52"/>
      <c r="P575" s="178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</row>
    <row r="576">
      <c r="A576" s="52"/>
      <c r="B576" s="52"/>
      <c r="C576" s="179"/>
      <c r="D576" s="52"/>
      <c r="E576" s="52"/>
      <c r="F576" s="52"/>
      <c r="G576" s="52"/>
      <c r="H576" s="52"/>
      <c r="I576" s="177"/>
      <c r="J576" s="177"/>
      <c r="K576" s="52"/>
      <c r="L576" s="52"/>
      <c r="M576" s="52"/>
      <c r="N576" s="52"/>
      <c r="O576" s="52"/>
      <c r="P576" s="178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</row>
    <row r="577">
      <c r="A577" s="52"/>
      <c r="B577" s="52"/>
      <c r="C577" s="179"/>
      <c r="D577" s="52"/>
      <c r="E577" s="52"/>
      <c r="F577" s="52"/>
      <c r="G577" s="52"/>
      <c r="H577" s="52"/>
      <c r="I577" s="177"/>
      <c r="J577" s="177"/>
      <c r="K577" s="52"/>
      <c r="L577" s="52"/>
      <c r="M577" s="52"/>
      <c r="N577" s="52"/>
      <c r="O577" s="52"/>
      <c r="P577" s="178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</row>
    <row r="578">
      <c r="A578" s="52"/>
      <c r="B578" s="52"/>
      <c r="C578" s="179"/>
      <c r="D578" s="52"/>
      <c r="E578" s="52"/>
      <c r="F578" s="52"/>
      <c r="G578" s="52"/>
      <c r="H578" s="52"/>
      <c r="I578" s="177"/>
      <c r="J578" s="177"/>
      <c r="K578" s="52"/>
      <c r="L578" s="52"/>
      <c r="M578" s="52"/>
      <c r="N578" s="52"/>
      <c r="O578" s="52"/>
      <c r="P578" s="178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</row>
    <row r="579">
      <c r="A579" s="52"/>
      <c r="B579" s="52"/>
      <c r="C579" s="179"/>
      <c r="D579" s="52"/>
      <c r="E579" s="52"/>
      <c r="F579" s="52"/>
      <c r="G579" s="52"/>
      <c r="H579" s="52"/>
      <c r="I579" s="177"/>
      <c r="J579" s="177"/>
      <c r="K579" s="52"/>
      <c r="L579" s="52"/>
      <c r="M579" s="52"/>
      <c r="N579" s="52"/>
      <c r="O579" s="52"/>
      <c r="P579" s="178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</row>
    <row r="580">
      <c r="A580" s="52"/>
      <c r="B580" s="52"/>
      <c r="C580" s="179"/>
      <c r="D580" s="52"/>
      <c r="E580" s="52"/>
      <c r="F580" s="52"/>
      <c r="G580" s="52"/>
      <c r="H580" s="52"/>
      <c r="I580" s="177"/>
      <c r="J580" s="177"/>
      <c r="K580" s="52"/>
      <c r="L580" s="52"/>
      <c r="M580" s="52"/>
      <c r="N580" s="52"/>
      <c r="O580" s="52"/>
      <c r="P580" s="178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</row>
    <row r="581">
      <c r="A581" s="52"/>
      <c r="B581" s="52"/>
      <c r="C581" s="179"/>
      <c r="D581" s="52"/>
      <c r="E581" s="52"/>
      <c r="F581" s="52"/>
      <c r="G581" s="52"/>
      <c r="H581" s="52"/>
      <c r="I581" s="177"/>
      <c r="J581" s="177"/>
      <c r="K581" s="52"/>
      <c r="L581" s="52"/>
      <c r="M581" s="52"/>
      <c r="N581" s="52"/>
      <c r="O581" s="52"/>
      <c r="P581" s="178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</row>
    <row r="582">
      <c r="A582" s="52"/>
      <c r="B582" s="52"/>
      <c r="C582" s="179"/>
      <c r="D582" s="52"/>
      <c r="E582" s="52"/>
      <c r="F582" s="52"/>
      <c r="G582" s="52"/>
      <c r="H582" s="52"/>
      <c r="I582" s="177"/>
      <c r="J582" s="177"/>
      <c r="K582" s="52"/>
      <c r="L582" s="52"/>
      <c r="M582" s="52"/>
      <c r="N582" s="52"/>
      <c r="O582" s="52"/>
      <c r="P582" s="178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</row>
    <row r="583">
      <c r="A583" s="52"/>
      <c r="B583" s="52"/>
      <c r="C583" s="179"/>
      <c r="D583" s="52"/>
      <c r="E583" s="52"/>
      <c r="F583" s="52"/>
      <c r="G583" s="52"/>
      <c r="H583" s="52"/>
      <c r="I583" s="177"/>
      <c r="J583" s="177"/>
      <c r="K583" s="52"/>
      <c r="L583" s="52"/>
      <c r="M583" s="52"/>
      <c r="N583" s="52"/>
      <c r="O583" s="52"/>
      <c r="P583" s="178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</row>
    <row r="584">
      <c r="A584" s="52"/>
      <c r="B584" s="52"/>
      <c r="C584" s="179"/>
      <c r="D584" s="52"/>
      <c r="E584" s="52"/>
      <c r="F584" s="52"/>
      <c r="G584" s="52"/>
      <c r="H584" s="52"/>
      <c r="I584" s="177"/>
      <c r="J584" s="177"/>
      <c r="K584" s="52"/>
      <c r="L584" s="52"/>
      <c r="M584" s="52"/>
      <c r="N584" s="52"/>
      <c r="O584" s="52"/>
      <c r="P584" s="178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</row>
    <row r="585">
      <c r="A585" s="52"/>
      <c r="B585" s="52"/>
      <c r="C585" s="179"/>
      <c r="D585" s="52"/>
      <c r="E585" s="52"/>
      <c r="F585" s="52"/>
      <c r="G585" s="52"/>
      <c r="H585" s="52"/>
      <c r="I585" s="177"/>
      <c r="J585" s="177"/>
      <c r="K585" s="52"/>
      <c r="L585" s="52"/>
      <c r="M585" s="52"/>
      <c r="N585" s="52"/>
      <c r="O585" s="52"/>
      <c r="P585" s="178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</row>
    <row r="586">
      <c r="A586" s="52"/>
      <c r="B586" s="52"/>
      <c r="C586" s="179"/>
      <c r="D586" s="52"/>
      <c r="E586" s="52"/>
      <c r="F586" s="52"/>
      <c r="G586" s="52"/>
      <c r="H586" s="52"/>
      <c r="I586" s="177"/>
      <c r="J586" s="177"/>
      <c r="K586" s="52"/>
      <c r="L586" s="52"/>
      <c r="M586" s="52"/>
      <c r="N586" s="52"/>
      <c r="O586" s="52"/>
      <c r="P586" s="178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</row>
    <row r="587">
      <c r="A587" s="52"/>
      <c r="B587" s="52"/>
      <c r="C587" s="179"/>
      <c r="D587" s="52"/>
      <c r="E587" s="52"/>
      <c r="F587" s="52"/>
      <c r="G587" s="52"/>
      <c r="H587" s="52"/>
      <c r="I587" s="177"/>
      <c r="J587" s="177"/>
      <c r="K587" s="52"/>
      <c r="L587" s="52"/>
      <c r="M587" s="52"/>
      <c r="N587" s="52"/>
      <c r="O587" s="52"/>
      <c r="P587" s="178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</row>
    <row r="588">
      <c r="A588" s="52"/>
      <c r="B588" s="52"/>
      <c r="C588" s="179"/>
      <c r="D588" s="52"/>
      <c r="E588" s="52"/>
      <c r="F588" s="52"/>
      <c r="G588" s="52"/>
      <c r="H588" s="52"/>
      <c r="I588" s="177"/>
      <c r="J588" s="177"/>
      <c r="K588" s="52"/>
      <c r="L588" s="52"/>
      <c r="M588" s="52"/>
      <c r="N588" s="52"/>
      <c r="O588" s="52"/>
      <c r="P588" s="178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</row>
    <row r="589">
      <c r="A589" s="52"/>
      <c r="B589" s="52"/>
      <c r="C589" s="179"/>
      <c r="D589" s="52"/>
      <c r="E589" s="52"/>
      <c r="F589" s="52"/>
      <c r="G589" s="52"/>
      <c r="H589" s="52"/>
      <c r="I589" s="177"/>
      <c r="J589" s="177"/>
      <c r="K589" s="52"/>
      <c r="L589" s="52"/>
      <c r="M589" s="52"/>
      <c r="N589" s="52"/>
      <c r="O589" s="52"/>
      <c r="P589" s="178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</row>
    <row r="590">
      <c r="A590" s="52"/>
      <c r="B590" s="52"/>
      <c r="C590" s="179"/>
      <c r="D590" s="52"/>
      <c r="E590" s="52"/>
      <c r="F590" s="52"/>
      <c r="G590" s="52"/>
      <c r="H590" s="52"/>
      <c r="I590" s="177"/>
      <c r="J590" s="177"/>
      <c r="K590" s="52"/>
      <c r="L590" s="52"/>
      <c r="M590" s="52"/>
      <c r="N590" s="52"/>
      <c r="O590" s="52"/>
      <c r="P590" s="178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</row>
    <row r="591">
      <c r="A591" s="52"/>
      <c r="B591" s="52"/>
      <c r="C591" s="179"/>
      <c r="D591" s="52"/>
      <c r="E591" s="52"/>
      <c r="F591" s="52"/>
      <c r="G591" s="52"/>
      <c r="H591" s="52"/>
      <c r="I591" s="177"/>
      <c r="J591" s="177"/>
      <c r="K591" s="52"/>
      <c r="L591" s="52"/>
      <c r="M591" s="52"/>
      <c r="N591" s="52"/>
      <c r="O591" s="52"/>
      <c r="P591" s="178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</row>
    <row r="592">
      <c r="A592" s="52"/>
      <c r="B592" s="52"/>
      <c r="C592" s="179"/>
      <c r="D592" s="52"/>
      <c r="E592" s="52"/>
      <c r="F592" s="52"/>
      <c r="G592" s="52"/>
      <c r="H592" s="52"/>
      <c r="I592" s="177"/>
      <c r="J592" s="177"/>
      <c r="K592" s="52"/>
      <c r="L592" s="52"/>
      <c r="M592" s="52"/>
      <c r="N592" s="52"/>
      <c r="O592" s="52"/>
      <c r="P592" s="178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</row>
    <row r="593">
      <c r="A593" s="52"/>
      <c r="B593" s="52"/>
      <c r="C593" s="179"/>
      <c r="D593" s="52"/>
      <c r="E593" s="52"/>
      <c r="F593" s="52"/>
      <c r="G593" s="52"/>
      <c r="H593" s="52"/>
      <c r="I593" s="177"/>
      <c r="J593" s="177"/>
      <c r="K593" s="52"/>
      <c r="L593" s="52"/>
      <c r="M593" s="52"/>
      <c r="N593" s="52"/>
      <c r="O593" s="52"/>
      <c r="P593" s="178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</row>
    <row r="594">
      <c r="A594" s="52"/>
      <c r="B594" s="52"/>
      <c r="C594" s="179"/>
      <c r="D594" s="52"/>
      <c r="E594" s="52"/>
      <c r="F594" s="52"/>
      <c r="G594" s="52"/>
      <c r="H594" s="52"/>
      <c r="I594" s="177"/>
      <c r="J594" s="177"/>
      <c r="K594" s="52"/>
      <c r="L594" s="52"/>
      <c r="M594" s="52"/>
      <c r="N594" s="52"/>
      <c r="O594" s="52"/>
      <c r="P594" s="178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</row>
    <row r="595">
      <c r="A595" s="52"/>
      <c r="B595" s="52"/>
      <c r="C595" s="179"/>
      <c r="D595" s="52"/>
      <c r="E595" s="52"/>
      <c r="F595" s="52"/>
      <c r="G595" s="52"/>
      <c r="H595" s="52"/>
      <c r="I595" s="177"/>
      <c r="J595" s="177"/>
      <c r="K595" s="52"/>
      <c r="L595" s="52"/>
      <c r="M595" s="52"/>
      <c r="N595" s="52"/>
      <c r="O595" s="52"/>
      <c r="P595" s="178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</row>
    <row r="596">
      <c r="A596" s="52"/>
      <c r="B596" s="52"/>
      <c r="C596" s="179"/>
      <c r="D596" s="52"/>
      <c r="E596" s="52"/>
      <c r="F596" s="52"/>
      <c r="G596" s="52"/>
      <c r="H596" s="52"/>
      <c r="I596" s="177"/>
      <c r="J596" s="177"/>
      <c r="K596" s="52"/>
      <c r="L596" s="52"/>
      <c r="M596" s="52"/>
      <c r="N596" s="52"/>
      <c r="O596" s="52"/>
      <c r="P596" s="178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</row>
    <row r="597">
      <c r="A597" s="52"/>
      <c r="B597" s="52"/>
      <c r="C597" s="179"/>
      <c r="D597" s="52"/>
      <c r="E597" s="52"/>
      <c r="F597" s="52"/>
      <c r="G597" s="52"/>
      <c r="H597" s="52"/>
      <c r="I597" s="177"/>
      <c r="J597" s="177"/>
      <c r="K597" s="52"/>
      <c r="L597" s="52"/>
      <c r="M597" s="52"/>
      <c r="N597" s="52"/>
      <c r="O597" s="52"/>
      <c r="P597" s="178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</row>
    <row r="598">
      <c r="A598" s="52"/>
      <c r="B598" s="52"/>
      <c r="C598" s="179"/>
      <c r="D598" s="52"/>
      <c r="E598" s="52"/>
      <c r="F598" s="52"/>
      <c r="G598" s="52"/>
      <c r="H598" s="52"/>
      <c r="I598" s="177"/>
      <c r="J598" s="177"/>
      <c r="K598" s="52"/>
      <c r="L598" s="52"/>
      <c r="M598" s="52"/>
      <c r="N598" s="52"/>
      <c r="O598" s="52"/>
      <c r="P598" s="178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</row>
    <row r="599">
      <c r="A599" s="52"/>
      <c r="B599" s="52"/>
      <c r="C599" s="179"/>
      <c r="D599" s="52"/>
      <c r="E599" s="52"/>
      <c r="F599" s="52"/>
      <c r="G599" s="52"/>
      <c r="H599" s="52"/>
      <c r="I599" s="177"/>
      <c r="J599" s="177"/>
      <c r="K599" s="52"/>
      <c r="L599" s="52"/>
      <c r="M599" s="52"/>
      <c r="N599" s="52"/>
      <c r="O599" s="52"/>
      <c r="P599" s="178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</row>
    <row r="600">
      <c r="A600" s="52"/>
      <c r="B600" s="52"/>
      <c r="C600" s="179"/>
      <c r="D600" s="52"/>
      <c r="E600" s="52"/>
      <c r="F600" s="52"/>
      <c r="G600" s="52"/>
      <c r="H600" s="52"/>
      <c r="I600" s="177"/>
      <c r="J600" s="177"/>
      <c r="K600" s="52"/>
      <c r="L600" s="52"/>
      <c r="M600" s="52"/>
      <c r="N600" s="52"/>
      <c r="O600" s="52"/>
      <c r="P600" s="178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</row>
    <row r="601">
      <c r="A601" s="52"/>
      <c r="B601" s="52"/>
      <c r="C601" s="179"/>
      <c r="D601" s="52"/>
      <c r="E601" s="52"/>
      <c r="F601" s="52"/>
      <c r="G601" s="52"/>
      <c r="H601" s="52"/>
      <c r="I601" s="177"/>
      <c r="J601" s="177"/>
      <c r="K601" s="52"/>
      <c r="L601" s="52"/>
      <c r="M601" s="52"/>
      <c r="N601" s="52"/>
      <c r="O601" s="52"/>
      <c r="P601" s="178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</row>
    <row r="602">
      <c r="A602" s="52"/>
      <c r="B602" s="52"/>
      <c r="C602" s="179"/>
      <c r="D602" s="52"/>
      <c r="E602" s="52"/>
      <c r="F602" s="52"/>
      <c r="G602" s="52"/>
      <c r="H602" s="52"/>
      <c r="I602" s="177"/>
      <c r="J602" s="177"/>
      <c r="K602" s="52"/>
      <c r="L602" s="52"/>
      <c r="M602" s="52"/>
      <c r="N602" s="52"/>
      <c r="O602" s="52"/>
      <c r="P602" s="178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</row>
    <row r="603">
      <c r="A603" s="52"/>
      <c r="B603" s="52"/>
      <c r="C603" s="179"/>
      <c r="D603" s="52"/>
      <c r="E603" s="52"/>
      <c r="F603" s="52"/>
      <c r="G603" s="52"/>
      <c r="H603" s="52"/>
      <c r="I603" s="177"/>
      <c r="J603" s="177"/>
      <c r="K603" s="52"/>
      <c r="L603" s="52"/>
      <c r="M603" s="52"/>
      <c r="N603" s="52"/>
      <c r="O603" s="52"/>
      <c r="P603" s="178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</row>
    <row r="604">
      <c r="A604" s="52"/>
      <c r="B604" s="52"/>
      <c r="C604" s="179"/>
      <c r="D604" s="52"/>
      <c r="E604" s="52"/>
      <c r="F604" s="52"/>
      <c r="G604" s="52"/>
      <c r="H604" s="52"/>
      <c r="I604" s="177"/>
      <c r="J604" s="177"/>
      <c r="K604" s="52"/>
      <c r="L604" s="52"/>
      <c r="M604" s="52"/>
      <c r="N604" s="52"/>
      <c r="O604" s="52"/>
      <c r="P604" s="178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</row>
    <row r="605">
      <c r="A605" s="52"/>
      <c r="B605" s="52"/>
      <c r="C605" s="179"/>
      <c r="D605" s="52"/>
      <c r="E605" s="52"/>
      <c r="F605" s="52"/>
      <c r="G605" s="52"/>
      <c r="H605" s="52"/>
      <c r="I605" s="177"/>
      <c r="J605" s="177"/>
      <c r="K605" s="52"/>
      <c r="L605" s="52"/>
      <c r="M605" s="52"/>
      <c r="N605" s="52"/>
      <c r="O605" s="52"/>
      <c r="P605" s="178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</row>
    <row r="606">
      <c r="A606" s="52"/>
      <c r="B606" s="52"/>
      <c r="C606" s="179"/>
      <c r="D606" s="52"/>
      <c r="E606" s="52"/>
      <c r="F606" s="52"/>
      <c r="G606" s="52"/>
      <c r="H606" s="52"/>
      <c r="I606" s="177"/>
      <c r="J606" s="177"/>
      <c r="K606" s="52"/>
      <c r="L606" s="52"/>
      <c r="M606" s="52"/>
      <c r="N606" s="52"/>
      <c r="O606" s="52"/>
      <c r="P606" s="178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</row>
    <row r="607">
      <c r="A607" s="52"/>
      <c r="B607" s="52"/>
      <c r="C607" s="179"/>
      <c r="D607" s="52"/>
      <c r="E607" s="52"/>
      <c r="F607" s="52"/>
      <c r="G607" s="52"/>
      <c r="H607" s="52"/>
      <c r="I607" s="177"/>
      <c r="J607" s="177"/>
      <c r="K607" s="52"/>
      <c r="L607" s="52"/>
      <c r="M607" s="52"/>
      <c r="N607" s="52"/>
      <c r="O607" s="52"/>
      <c r="P607" s="178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</row>
    <row r="608">
      <c r="A608" s="52"/>
      <c r="B608" s="52"/>
      <c r="C608" s="179"/>
      <c r="D608" s="52"/>
      <c r="E608" s="52"/>
      <c r="F608" s="52"/>
      <c r="G608" s="52"/>
      <c r="H608" s="52"/>
      <c r="I608" s="177"/>
      <c r="J608" s="177"/>
      <c r="K608" s="52"/>
      <c r="L608" s="52"/>
      <c r="M608" s="52"/>
      <c r="N608" s="52"/>
      <c r="O608" s="52"/>
      <c r="P608" s="178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</row>
    <row r="609">
      <c r="A609" s="52"/>
      <c r="B609" s="52"/>
      <c r="C609" s="179"/>
      <c r="D609" s="52"/>
      <c r="E609" s="52"/>
      <c r="F609" s="52"/>
      <c r="G609" s="52"/>
      <c r="H609" s="52"/>
      <c r="I609" s="177"/>
      <c r="J609" s="177"/>
      <c r="K609" s="52"/>
      <c r="L609" s="52"/>
      <c r="M609" s="52"/>
      <c r="N609" s="52"/>
      <c r="O609" s="52"/>
      <c r="P609" s="178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</row>
    <row r="610">
      <c r="A610" s="52"/>
      <c r="B610" s="52"/>
      <c r="C610" s="179"/>
      <c r="D610" s="52"/>
      <c r="E610" s="52"/>
      <c r="F610" s="52"/>
      <c r="G610" s="52"/>
      <c r="H610" s="52"/>
      <c r="I610" s="177"/>
      <c r="J610" s="177"/>
      <c r="K610" s="52"/>
      <c r="L610" s="52"/>
      <c r="M610" s="52"/>
      <c r="N610" s="52"/>
      <c r="O610" s="52"/>
      <c r="P610" s="178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</row>
    <row r="611">
      <c r="A611" s="52"/>
      <c r="B611" s="52"/>
      <c r="C611" s="179"/>
      <c r="D611" s="52"/>
      <c r="E611" s="52"/>
      <c r="F611" s="52"/>
      <c r="G611" s="52"/>
      <c r="H611" s="52"/>
      <c r="I611" s="177"/>
      <c r="J611" s="177"/>
      <c r="K611" s="52"/>
      <c r="L611" s="52"/>
      <c r="M611" s="52"/>
      <c r="N611" s="52"/>
      <c r="O611" s="52"/>
      <c r="P611" s="178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</row>
    <row r="612">
      <c r="A612" s="52"/>
      <c r="B612" s="52"/>
      <c r="C612" s="179"/>
      <c r="D612" s="52"/>
      <c r="E612" s="52"/>
      <c r="F612" s="52"/>
      <c r="G612" s="52"/>
      <c r="H612" s="52"/>
      <c r="I612" s="177"/>
      <c r="J612" s="177"/>
      <c r="K612" s="52"/>
      <c r="L612" s="52"/>
      <c r="M612" s="52"/>
      <c r="N612" s="52"/>
      <c r="O612" s="52"/>
      <c r="P612" s="178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</row>
    <row r="613">
      <c r="A613" s="52"/>
      <c r="B613" s="52"/>
      <c r="C613" s="179"/>
      <c r="D613" s="52"/>
      <c r="E613" s="52"/>
      <c r="F613" s="52"/>
      <c r="G613" s="52"/>
      <c r="H613" s="52"/>
      <c r="I613" s="177"/>
      <c r="J613" s="177"/>
      <c r="K613" s="52"/>
      <c r="L613" s="52"/>
      <c r="M613" s="52"/>
      <c r="N613" s="52"/>
      <c r="O613" s="52"/>
      <c r="P613" s="178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</row>
    <row r="614">
      <c r="A614" s="52"/>
      <c r="B614" s="52"/>
      <c r="C614" s="179"/>
      <c r="D614" s="52"/>
      <c r="E614" s="52"/>
      <c r="F614" s="52"/>
      <c r="G614" s="52"/>
      <c r="H614" s="52"/>
      <c r="I614" s="177"/>
      <c r="J614" s="177"/>
      <c r="K614" s="52"/>
      <c r="L614" s="52"/>
      <c r="M614" s="52"/>
      <c r="N614" s="52"/>
      <c r="O614" s="52"/>
      <c r="P614" s="178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</row>
    <row r="615">
      <c r="A615" s="52"/>
      <c r="B615" s="52"/>
      <c r="C615" s="179"/>
      <c r="D615" s="52"/>
      <c r="E615" s="52"/>
      <c r="F615" s="52"/>
      <c r="G615" s="52"/>
      <c r="H615" s="52"/>
      <c r="I615" s="177"/>
      <c r="J615" s="177"/>
      <c r="K615" s="52"/>
      <c r="L615" s="52"/>
      <c r="M615" s="52"/>
      <c r="N615" s="52"/>
      <c r="O615" s="52"/>
      <c r="P615" s="178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</row>
    <row r="616">
      <c r="A616" s="52"/>
      <c r="B616" s="52"/>
      <c r="C616" s="179"/>
      <c r="D616" s="52"/>
      <c r="E616" s="52"/>
      <c r="F616" s="52"/>
      <c r="G616" s="52"/>
      <c r="H616" s="52"/>
      <c r="I616" s="177"/>
      <c r="J616" s="177"/>
      <c r="K616" s="52"/>
      <c r="L616" s="52"/>
      <c r="M616" s="52"/>
      <c r="N616" s="52"/>
      <c r="O616" s="52"/>
      <c r="P616" s="178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</row>
    <row r="617">
      <c r="A617" s="52"/>
      <c r="B617" s="52"/>
      <c r="C617" s="179"/>
      <c r="D617" s="52"/>
      <c r="E617" s="52"/>
      <c r="F617" s="52"/>
      <c r="G617" s="52"/>
      <c r="H617" s="52"/>
      <c r="I617" s="177"/>
      <c r="J617" s="177"/>
      <c r="K617" s="52"/>
      <c r="L617" s="52"/>
      <c r="M617" s="52"/>
      <c r="N617" s="52"/>
      <c r="O617" s="52"/>
      <c r="P617" s="178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</row>
    <row r="618">
      <c r="A618" s="52"/>
      <c r="B618" s="52"/>
      <c r="C618" s="179"/>
      <c r="D618" s="52"/>
      <c r="E618" s="52"/>
      <c r="F618" s="52"/>
      <c r="G618" s="52"/>
      <c r="H618" s="52"/>
      <c r="I618" s="177"/>
      <c r="J618" s="177"/>
      <c r="K618" s="52"/>
      <c r="L618" s="52"/>
      <c r="M618" s="52"/>
      <c r="N618" s="52"/>
      <c r="O618" s="52"/>
      <c r="P618" s="178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</row>
    <row r="619">
      <c r="A619" s="52"/>
      <c r="B619" s="52"/>
      <c r="C619" s="179"/>
      <c r="D619" s="52"/>
      <c r="E619" s="52"/>
      <c r="F619" s="52"/>
      <c r="G619" s="52"/>
      <c r="H619" s="52"/>
      <c r="I619" s="177"/>
      <c r="J619" s="177"/>
      <c r="K619" s="52"/>
      <c r="L619" s="52"/>
      <c r="M619" s="52"/>
      <c r="N619" s="52"/>
      <c r="O619" s="52"/>
      <c r="P619" s="178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</row>
    <row r="620">
      <c r="A620" s="52"/>
      <c r="B620" s="52"/>
      <c r="C620" s="179"/>
      <c r="D620" s="52"/>
      <c r="E620" s="52"/>
      <c r="F620" s="52"/>
      <c r="G620" s="52"/>
      <c r="H620" s="52"/>
      <c r="I620" s="177"/>
      <c r="J620" s="177"/>
      <c r="K620" s="52"/>
      <c r="L620" s="52"/>
      <c r="M620" s="52"/>
      <c r="N620" s="52"/>
      <c r="O620" s="52"/>
      <c r="P620" s="178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</row>
    <row r="621">
      <c r="A621" s="52"/>
      <c r="B621" s="52"/>
      <c r="C621" s="179"/>
      <c r="D621" s="52"/>
      <c r="E621" s="52"/>
      <c r="F621" s="52"/>
      <c r="G621" s="52"/>
      <c r="H621" s="52"/>
      <c r="I621" s="177"/>
      <c r="J621" s="177"/>
      <c r="K621" s="52"/>
      <c r="L621" s="52"/>
      <c r="M621" s="52"/>
      <c r="N621" s="52"/>
      <c r="O621" s="52"/>
      <c r="P621" s="178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</row>
    <row r="622">
      <c r="A622" s="52"/>
      <c r="B622" s="52"/>
      <c r="C622" s="179"/>
      <c r="D622" s="52"/>
      <c r="E622" s="52"/>
      <c r="F622" s="52"/>
      <c r="G622" s="52"/>
      <c r="H622" s="52"/>
      <c r="I622" s="177"/>
      <c r="J622" s="177"/>
      <c r="K622" s="52"/>
      <c r="L622" s="52"/>
      <c r="M622" s="52"/>
      <c r="N622" s="52"/>
      <c r="O622" s="52"/>
      <c r="P622" s="178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</row>
    <row r="623">
      <c r="A623" s="52"/>
      <c r="B623" s="52"/>
      <c r="C623" s="179"/>
      <c r="D623" s="52"/>
      <c r="E623" s="52"/>
      <c r="F623" s="52"/>
      <c r="G623" s="52"/>
      <c r="H623" s="52"/>
      <c r="I623" s="177"/>
      <c r="J623" s="177"/>
      <c r="K623" s="52"/>
      <c r="L623" s="52"/>
      <c r="M623" s="52"/>
      <c r="N623" s="52"/>
      <c r="O623" s="52"/>
      <c r="P623" s="178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</row>
    <row r="624">
      <c r="A624" s="52"/>
      <c r="B624" s="52"/>
      <c r="C624" s="179"/>
      <c r="D624" s="52"/>
      <c r="E624" s="52"/>
      <c r="F624" s="52"/>
      <c r="G624" s="52"/>
      <c r="H624" s="52"/>
      <c r="I624" s="177"/>
      <c r="J624" s="177"/>
      <c r="K624" s="52"/>
      <c r="L624" s="52"/>
      <c r="M624" s="52"/>
      <c r="N624" s="52"/>
      <c r="O624" s="52"/>
      <c r="P624" s="178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</row>
    <row r="625">
      <c r="A625" s="52"/>
      <c r="B625" s="52"/>
      <c r="C625" s="179"/>
      <c r="D625" s="52"/>
      <c r="E625" s="52"/>
      <c r="F625" s="52"/>
      <c r="G625" s="52"/>
      <c r="H625" s="52"/>
      <c r="I625" s="177"/>
      <c r="J625" s="177"/>
      <c r="K625" s="52"/>
      <c r="L625" s="52"/>
      <c r="M625" s="52"/>
      <c r="N625" s="52"/>
      <c r="O625" s="52"/>
      <c r="P625" s="178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</row>
    <row r="626">
      <c r="A626" s="52"/>
      <c r="B626" s="52"/>
      <c r="C626" s="179"/>
      <c r="D626" s="52"/>
      <c r="E626" s="52"/>
      <c r="F626" s="52"/>
      <c r="G626" s="52"/>
      <c r="H626" s="52"/>
      <c r="I626" s="177"/>
      <c r="J626" s="177"/>
      <c r="K626" s="52"/>
      <c r="L626" s="52"/>
      <c r="M626" s="52"/>
      <c r="N626" s="52"/>
      <c r="O626" s="52"/>
      <c r="P626" s="178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</row>
    <row r="627">
      <c r="A627" s="52"/>
      <c r="B627" s="52"/>
      <c r="C627" s="179"/>
      <c r="D627" s="52"/>
      <c r="E627" s="52"/>
      <c r="F627" s="52"/>
      <c r="G627" s="52"/>
      <c r="H627" s="52"/>
      <c r="I627" s="177"/>
      <c r="J627" s="177"/>
      <c r="K627" s="52"/>
      <c r="L627" s="52"/>
      <c r="M627" s="52"/>
      <c r="N627" s="52"/>
      <c r="O627" s="52"/>
      <c r="P627" s="178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</row>
    <row r="628">
      <c r="A628" s="52"/>
      <c r="B628" s="52"/>
      <c r="C628" s="179"/>
      <c r="D628" s="52"/>
      <c r="E628" s="52"/>
      <c r="F628" s="52"/>
      <c r="G628" s="52"/>
      <c r="H628" s="52"/>
      <c r="I628" s="177"/>
      <c r="J628" s="177"/>
      <c r="K628" s="52"/>
      <c r="L628" s="52"/>
      <c r="M628" s="52"/>
      <c r="N628" s="52"/>
      <c r="O628" s="52"/>
      <c r="P628" s="178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</row>
    <row r="629">
      <c r="A629" s="52"/>
      <c r="B629" s="52"/>
      <c r="C629" s="179"/>
      <c r="D629" s="52"/>
      <c r="E629" s="52"/>
      <c r="F629" s="52"/>
      <c r="G629" s="52"/>
      <c r="H629" s="52"/>
      <c r="I629" s="177"/>
      <c r="J629" s="177"/>
      <c r="K629" s="52"/>
      <c r="L629" s="52"/>
      <c r="M629" s="52"/>
      <c r="N629" s="52"/>
      <c r="O629" s="52"/>
      <c r="P629" s="178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</row>
    <row r="630">
      <c r="A630" s="52"/>
      <c r="B630" s="52"/>
      <c r="C630" s="179"/>
      <c r="D630" s="52"/>
      <c r="E630" s="52"/>
      <c r="F630" s="52"/>
      <c r="G630" s="52"/>
      <c r="H630" s="52"/>
      <c r="I630" s="177"/>
      <c r="J630" s="177"/>
      <c r="K630" s="52"/>
      <c r="L630" s="52"/>
      <c r="M630" s="52"/>
      <c r="N630" s="52"/>
      <c r="O630" s="52"/>
      <c r="P630" s="178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</row>
    <row r="631">
      <c r="A631" s="52"/>
      <c r="B631" s="52"/>
      <c r="C631" s="179"/>
      <c r="D631" s="52"/>
      <c r="E631" s="52"/>
      <c r="F631" s="52"/>
      <c r="G631" s="52"/>
      <c r="H631" s="52"/>
      <c r="I631" s="177"/>
      <c r="J631" s="177"/>
      <c r="K631" s="52"/>
      <c r="L631" s="52"/>
      <c r="M631" s="52"/>
      <c r="N631" s="52"/>
      <c r="O631" s="52"/>
      <c r="P631" s="178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</row>
    <row r="632">
      <c r="A632" s="52"/>
      <c r="B632" s="52"/>
      <c r="C632" s="179"/>
      <c r="D632" s="52"/>
      <c r="E632" s="52"/>
      <c r="F632" s="52"/>
      <c r="G632" s="52"/>
      <c r="H632" s="52"/>
      <c r="I632" s="177"/>
      <c r="J632" s="177"/>
      <c r="K632" s="52"/>
      <c r="L632" s="52"/>
      <c r="M632" s="52"/>
      <c r="N632" s="52"/>
      <c r="O632" s="52"/>
      <c r="P632" s="178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</row>
    <row r="633">
      <c r="A633" s="52"/>
      <c r="B633" s="52"/>
      <c r="C633" s="179"/>
      <c r="D633" s="52"/>
      <c r="E633" s="52"/>
      <c r="F633" s="52"/>
      <c r="G633" s="52"/>
      <c r="H633" s="52"/>
      <c r="I633" s="177"/>
      <c r="J633" s="177"/>
      <c r="K633" s="52"/>
      <c r="L633" s="52"/>
      <c r="M633" s="52"/>
      <c r="N633" s="52"/>
      <c r="O633" s="52"/>
      <c r="P633" s="178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</row>
    <row r="634">
      <c r="A634" s="52"/>
      <c r="B634" s="52"/>
      <c r="C634" s="179"/>
      <c r="D634" s="52"/>
      <c r="E634" s="52"/>
      <c r="F634" s="52"/>
      <c r="G634" s="52"/>
      <c r="H634" s="52"/>
      <c r="I634" s="177"/>
      <c r="J634" s="177"/>
      <c r="K634" s="52"/>
      <c r="L634" s="52"/>
      <c r="M634" s="52"/>
      <c r="N634" s="52"/>
      <c r="O634" s="52"/>
      <c r="P634" s="178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</row>
    <row r="635">
      <c r="A635" s="52"/>
      <c r="B635" s="52"/>
      <c r="C635" s="179"/>
      <c r="D635" s="52"/>
      <c r="E635" s="52"/>
      <c r="F635" s="52"/>
      <c r="G635" s="52"/>
      <c r="H635" s="52"/>
      <c r="I635" s="177"/>
      <c r="J635" s="177"/>
      <c r="K635" s="52"/>
      <c r="L635" s="52"/>
      <c r="M635" s="52"/>
      <c r="N635" s="52"/>
      <c r="O635" s="52"/>
      <c r="P635" s="178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</row>
    <row r="636">
      <c r="A636" s="52"/>
      <c r="B636" s="52"/>
      <c r="C636" s="179"/>
      <c r="D636" s="52"/>
      <c r="E636" s="52"/>
      <c r="F636" s="52"/>
      <c r="G636" s="52"/>
      <c r="H636" s="52"/>
      <c r="I636" s="177"/>
      <c r="J636" s="177"/>
      <c r="K636" s="52"/>
      <c r="L636" s="52"/>
      <c r="M636" s="52"/>
      <c r="N636" s="52"/>
      <c r="O636" s="52"/>
      <c r="P636" s="178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</row>
    <row r="637">
      <c r="A637" s="52"/>
      <c r="B637" s="52"/>
      <c r="C637" s="179"/>
      <c r="D637" s="52"/>
      <c r="E637" s="52"/>
      <c r="F637" s="52"/>
      <c r="G637" s="52"/>
      <c r="H637" s="52"/>
      <c r="I637" s="177"/>
      <c r="J637" s="177"/>
      <c r="K637" s="52"/>
      <c r="L637" s="52"/>
      <c r="M637" s="52"/>
      <c r="N637" s="52"/>
      <c r="O637" s="52"/>
      <c r="P637" s="178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</row>
    <row r="638">
      <c r="A638" s="52"/>
      <c r="B638" s="52"/>
      <c r="C638" s="179"/>
      <c r="D638" s="52"/>
      <c r="E638" s="52"/>
      <c r="F638" s="52"/>
      <c r="G638" s="52"/>
      <c r="H638" s="52"/>
      <c r="I638" s="177"/>
      <c r="J638" s="177"/>
      <c r="K638" s="52"/>
      <c r="L638" s="52"/>
      <c r="M638" s="52"/>
      <c r="N638" s="52"/>
      <c r="O638" s="52"/>
      <c r="P638" s="178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</row>
    <row r="639">
      <c r="A639" s="52"/>
      <c r="B639" s="52"/>
      <c r="C639" s="179"/>
      <c r="D639" s="52"/>
      <c r="E639" s="52"/>
      <c r="F639" s="52"/>
      <c r="G639" s="52"/>
      <c r="H639" s="52"/>
      <c r="I639" s="177"/>
      <c r="J639" s="177"/>
      <c r="K639" s="52"/>
      <c r="L639" s="52"/>
      <c r="M639" s="52"/>
      <c r="N639" s="52"/>
      <c r="O639" s="52"/>
      <c r="P639" s="178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</row>
    <row r="640">
      <c r="A640" s="52"/>
      <c r="B640" s="52"/>
      <c r="C640" s="179"/>
      <c r="D640" s="52"/>
      <c r="E640" s="52"/>
      <c r="F640" s="52"/>
      <c r="G640" s="52"/>
      <c r="H640" s="52"/>
      <c r="I640" s="177"/>
      <c r="J640" s="177"/>
      <c r="K640" s="52"/>
      <c r="L640" s="52"/>
      <c r="M640" s="52"/>
      <c r="N640" s="52"/>
      <c r="O640" s="52"/>
      <c r="P640" s="178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</row>
    <row r="641">
      <c r="A641" s="52"/>
      <c r="B641" s="52"/>
      <c r="C641" s="179"/>
      <c r="D641" s="52"/>
      <c r="E641" s="52"/>
      <c r="F641" s="52"/>
      <c r="G641" s="52"/>
      <c r="H641" s="52"/>
      <c r="I641" s="177"/>
      <c r="J641" s="177"/>
      <c r="K641" s="52"/>
      <c r="L641" s="52"/>
      <c r="M641" s="52"/>
      <c r="N641" s="52"/>
      <c r="O641" s="52"/>
      <c r="P641" s="178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</row>
    <row r="642">
      <c r="A642" s="52"/>
      <c r="B642" s="52"/>
      <c r="C642" s="179"/>
      <c r="D642" s="52"/>
      <c r="E642" s="52"/>
      <c r="F642" s="52"/>
      <c r="G642" s="52"/>
      <c r="H642" s="52"/>
      <c r="I642" s="177"/>
      <c r="J642" s="177"/>
      <c r="K642" s="52"/>
      <c r="L642" s="52"/>
      <c r="M642" s="52"/>
      <c r="N642" s="52"/>
      <c r="O642" s="52"/>
      <c r="P642" s="178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</row>
    <row r="643">
      <c r="A643" s="52"/>
      <c r="B643" s="52"/>
      <c r="C643" s="179"/>
      <c r="D643" s="52"/>
      <c r="E643" s="52"/>
      <c r="F643" s="52"/>
      <c r="G643" s="52"/>
      <c r="H643" s="52"/>
      <c r="I643" s="177"/>
      <c r="J643" s="177"/>
      <c r="K643" s="52"/>
      <c r="L643" s="52"/>
      <c r="M643" s="52"/>
      <c r="N643" s="52"/>
      <c r="O643" s="52"/>
      <c r="P643" s="178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</row>
    <row r="644">
      <c r="A644" s="52"/>
      <c r="B644" s="52"/>
      <c r="C644" s="179"/>
      <c r="D644" s="52"/>
      <c r="E644" s="52"/>
      <c r="F644" s="52"/>
      <c r="G644" s="52"/>
      <c r="H644" s="52"/>
      <c r="I644" s="177"/>
      <c r="J644" s="177"/>
      <c r="K644" s="52"/>
      <c r="L644" s="52"/>
      <c r="M644" s="52"/>
      <c r="N644" s="52"/>
      <c r="O644" s="52"/>
      <c r="P644" s="178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</row>
    <row r="645">
      <c r="A645" s="52"/>
      <c r="B645" s="52"/>
      <c r="C645" s="179"/>
      <c r="D645" s="52"/>
      <c r="E645" s="52"/>
      <c r="F645" s="52"/>
      <c r="G645" s="52"/>
      <c r="H645" s="52"/>
      <c r="I645" s="177"/>
      <c r="J645" s="177"/>
      <c r="K645" s="52"/>
      <c r="L645" s="52"/>
      <c r="M645" s="52"/>
      <c r="N645" s="52"/>
      <c r="O645" s="52"/>
      <c r="P645" s="178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</row>
    <row r="646">
      <c r="A646" s="52"/>
      <c r="B646" s="52"/>
      <c r="C646" s="179"/>
      <c r="D646" s="52"/>
      <c r="E646" s="52"/>
      <c r="F646" s="52"/>
      <c r="G646" s="52"/>
      <c r="H646" s="52"/>
      <c r="I646" s="177"/>
      <c r="J646" s="177"/>
      <c r="K646" s="52"/>
      <c r="L646" s="52"/>
      <c r="M646" s="52"/>
      <c r="N646" s="52"/>
      <c r="O646" s="52"/>
      <c r="P646" s="178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</row>
    <row r="647">
      <c r="A647" s="52"/>
      <c r="B647" s="52"/>
      <c r="C647" s="179"/>
      <c r="D647" s="52"/>
      <c r="E647" s="52"/>
      <c r="F647" s="52"/>
      <c r="G647" s="52"/>
      <c r="H647" s="52"/>
      <c r="I647" s="177"/>
      <c r="J647" s="177"/>
      <c r="K647" s="52"/>
      <c r="L647" s="52"/>
      <c r="M647" s="52"/>
      <c r="N647" s="52"/>
      <c r="O647" s="52"/>
      <c r="P647" s="178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</row>
    <row r="648">
      <c r="A648" s="52"/>
      <c r="B648" s="52"/>
      <c r="C648" s="179"/>
      <c r="D648" s="52"/>
      <c r="E648" s="52"/>
      <c r="F648" s="52"/>
      <c r="G648" s="52"/>
      <c r="H648" s="52"/>
      <c r="I648" s="177"/>
      <c r="J648" s="177"/>
      <c r="K648" s="52"/>
      <c r="L648" s="52"/>
      <c r="M648" s="52"/>
      <c r="N648" s="52"/>
      <c r="O648" s="52"/>
      <c r="P648" s="178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</row>
    <row r="649">
      <c r="A649" s="52"/>
      <c r="B649" s="52"/>
      <c r="C649" s="179"/>
      <c r="D649" s="52"/>
      <c r="E649" s="52"/>
      <c r="F649" s="52"/>
      <c r="G649" s="52"/>
      <c r="H649" s="52"/>
      <c r="I649" s="177"/>
      <c r="J649" s="177"/>
      <c r="K649" s="52"/>
      <c r="L649" s="52"/>
      <c r="M649" s="52"/>
      <c r="N649" s="52"/>
      <c r="O649" s="52"/>
      <c r="P649" s="178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</row>
    <row r="650">
      <c r="A650" s="52"/>
      <c r="B650" s="52"/>
      <c r="C650" s="179"/>
      <c r="D650" s="52"/>
      <c r="E650" s="52"/>
      <c r="F650" s="52"/>
      <c r="G650" s="52"/>
      <c r="H650" s="52"/>
      <c r="I650" s="177"/>
      <c r="J650" s="177"/>
      <c r="K650" s="52"/>
      <c r="L650" s="52"/>
      <c r="M650" s="52"/>
      <c r="N650" s="52"/>
      <c r="O650" s="52"/>
      <c r="P650" s="178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</row>
    <row r="651">
      <c r="A651" s="52"/>
      <c r="B651" s="52"/>
      <c r="C651" s="179"/>
      <c r="D651" s="52"/>
      <c r="E651" s="52"/>
      <c r="F651" s="52"/>
      <c r="G651" s="52"/>
      <c r="H651" s="52"/>
      <c r="I651" s="177"/>
      <c r="J651" s="177"/>
      <c r="K651" s="52"/>
      <c r="L651" s="52"/>
      <c r="M651" s="52"/>
      <c r="N651" s="52"/>
      <c r="O651" s="52"/>
      <c r="P651" s="178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</row>
    <row r="652">
      <c r="A652" s="52"/>
      <c r="B652" s="52"/>
      <c r="C652" s="179"/>
      <c r="D652" s="52"/>
      <c r="E652" s="52"/>
      <c r="F652" s="52"/>
      <c r="G652" s="52"/>
      <c r="H652" s="52"/>
      <c r="I652" s="177"/>
      <c r="J652" s="177"/>
      <c r="K652" s="52"/>
      <c r="L652" s="52"/>
      <c r="M652" s="52"/>
      <c r="N652" s="52"/>
      <c r="O652" s="52"/>
      <c r="P652" s="178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</row>
    <row r="653">
      <c r="A653" s="52"/>
      <c r="B653" s="52"/>
      <c r="C653" s="179"/>
      <c r="D653" s="52"/>
      <c r="E653" s="52"/>
      <c r="F653" s="52"/>
      <c r="G653" s="52"/>
      <c r="H653" s="52"/>
      <c r="I653" s="177"/>
      <c r="J653" s="177"/>
      <c r="K653" s="52"/>
      <c r="L653" s="52"/>
      <c r="M653" s="52"/>
      <c r="N653" s="52"/>
      <c r="O653" s="52"/>
      <c r="P653" s="178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</row>
    <row r="654">
      <c r="A654" s="52"/>
      <c r="B654" s="52"/>
      <c r="C654" s="179"/>
      <c r="D654" s="52"/>
      <c r="E654" s="52"/>
      <c r="F654" s="52"/>
      <c r="G654" s="52"/>
      <c r="H654" s="52"/>
      <c r="I654" s="177"/>
      <c r="J654" s="177"/>
      <c r="K654" s="52"/>
      <c r="L654" s="52"/>
      <c r="M654" s="52"/>
      <c r="N654" s="52"/>
      <c r="O654" s="52"/>
      <c r="P654" s="178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</row>
    <row r="655">
      <c r="A655" s="52"/>
      <c r="B655" s="52"/>
      <c r="C655" s="179"/>
      <c r="D655" s="52"/>
      <c r="E655" s="52"/>
      <c r="F655" s="52"/>
      <c r="G655" s="52"/>
      <c r="H655" s="52"/>
      <c r="I655" s="177"/>
      <c r="J655" s="177"/>
      <c r="K655" s="52"/>
      <c r="L655" s="52"/>
      <c r="M655" s="52"/>
      <c r="N655" s="52"/>
      <c r="O655" s="52"/>
      <c r="P655" s="178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</row>
    <row r="656">
      <c r="A656" s="52"/>
      <c r="B656" s="52"/>
      <c r="C656" s="179"/>
      <c r="D656" s="52"/>
      <c r="E656" s="52"/>
      <c r="F656" s="52"/>
      <c r="G656" s="52"/>
      <c r="H656" s="52"/>
      <c r="I656" s="177"/>
      <c r="J656" s="177"/>
      <c r="K656" s="52"/>
      <c r="L656" s="52"/>
      <c r="M656" s="52"/>
      <c r="N656" s="52"/>
      <c r="O656" s="52"/>
      <c r="P656" s="178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</row>
    <row r="657">
      <c r="A657" s="52"/>
      <c r="B657" s="52"/>
      <c r="C657" s="179"/>
      <c r="D657" s="52"/>
      <c r="E657" s="52"/>
      <c r="F657" s="52"/>
      <c r="G657" s="52"/>
      <c r="H657" s="52"/>
      <c r="I657" s="177"/>
      <c r="J657" s="177"/>
      <c r="K657" s="52"/>
      <c r="L657" s="52"/>
      <c r="M657" s="52"/>
      <c r="N657" s="52"/>
      <c r="O657" s="52"/>
      <c r="P657" s="178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</row>
    <row r="658">
      <c r="A658" s="52"/>
      <c r="B658" s="52"/>
      <c r="C658" s="179"/>
      <c r="D658" s="52"/>
      <c r="E658" s="52"/>
      <c r="F658" s="52"/>
      <c r="G658" s="52"/>
      <c r="H658" s="52"/>
      <c r="I658" s="177"/>
      <c r="J658" s="177"/>
      <c r="K658" s="52"/>
      <c r="L658" s="52"/>
      <c r="M658" s="52"/>
      <c r="N658" s="52"/>
      <c r="O658" s="52"/>
      <c r="P658" s="178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</row>
    <row r="659">
      <c r="A659" s="52"/>
      <c r="B659" s="52"/>
      <c r="C659" s="179"/>
      <c r="D659" s="52"/>
      <c r="E659" s="52"/>
      <c r="F659" s="52"/>
      <c r="G659" s="52"/>
      <c r="H659" s="52"/>
      <c r="I659" s="177"/>
      <c r="J659" s="177"/>
      <c r="K659" s="52"/>
      <c r="L659" s="52"/>
      <c r="M659" s="52"/>
      <c r="N659" s="52"/>
      <c r="O659" s="52"/>
      <c r="P659" s="178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</row>
    <row r="660">
      <c r="A660" s="52"/>
      <c r="B660" s="52"/>
      <c r="C660" s="179"/>
      <c r="D660" s="52"/>
      <c r="E660" s="52"/>
      <c r="F660" s="52"/>
      <c r="G660" s="52"/>
      <c r="H660" s="52"/>
      <c r="I660" s="177"/>
      <c r="J660" s="177"/>
      <c r="K660" s="52"/>
      <c r="L660" s="52"/>
      <c r="M660" s="52"/>
      <c r="N660" s="52"/>
      <c r="O660" s="52"/>
      <c r="P660" s="178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</row>
    <row r="661">
      <c r="A661" s="52"/>
      <c r="B661" s="52"/>
      <c r="C661" s="179"/>
      <c r="D661" s="52"/>
      <c r="E661" s="52"/>
      <c r="F661" s="52"/>
      <c r="G661" s="52"/>
      <c r="H661" s="52"/>
      <c r="I661" s="177"/>
      <c r="J661" s="177"/>
      <c r="K661" s="52"/>
      <c r="L661" s="52"/>
      <c r="M661" s="52"/>
      <c r="N661" s="52"/>
      <c r="O661" s="52"/>
      <c r="P661" s="178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</row>
    <row r="662">
      <c r="A662" s="52"/>
      <c r="B662" s="52"/>
      <c r="C662" s="179"/>
      <c r="D662" s="52"/>
      <c r="E662" s="52"/>
      <c r="F662" s="52"/>
      <c r="G662" s="52"/>
      <c r="H662" s="52"/>
      <c r="I662" s="177"/>
      <c r="J662" s="177"/>
      <c r="K662" s="52"/>
      <c r="L662" s="52"/>
      <c r="M662" s="52"/>
      <c r="N662" s="52"/>
      <c r="O662" s="52"/>
      <c r="P662" s="178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</row>
    <row r="663">
      <c r="A663" s="52"/>
      <c r="B663" s="52"/>
      <c r="C663" s="179"/>
      <c r="D663" s="52"/>
      <c r="E663" s="52"/>
      <c r="F663" s="52"/>
      <c r="G663" s="52"/>
      <c r="H663" s="52"/>
      <c r="I663" s="177"/>
      <c r="J663" s="177"/>
      <c r="K663" s="52"/>
      <c r="L663" s="52"/>
      <c r="M663" s="52"/>
      <c r="N663" s="52"/>
      <c r="O663" s="52"/>
      <c r="P663" s="178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</row>
    <row r="664">
      <c r="A664" s="52"/>
      <c r="B664" s="52"/>
      <c r="C664" s="179"/>
      <c r="D664" s="52"/>
      <c r="E664" s="52"/>
      <c r="F664" s="52"/>
      <c r="G664" s="52"/>
      <c r="H664" s="52"/>
      <c r="I664" s="177"/>
      <c r="J664" s="177"/>
      <c r="K664" s="52"/>
      <c r="L664" s="52"/>
      <c r="M664" s="52"/>
      <c r="N664" s="52"/>
      <c r="O664" s="52"/>
      <c r="P664" s="178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</row>
    <row r="665">
      <c r="A665" s="52"/>
      <c r="B665" s="52"/>
      <c r="C665" s="179"/>
      <c r="D665" s="52"/>
      <c r="E665" s="52"/>
      <c r="F665" s="52"/>
      <c r="G665" s="52"/>
      <c r="H665" s="52"/>
      <c r="I665" s="177"/>
      <c r="J665" s="177"/>
      <c r="K665" s="52"/>
      <c r="L665" s="52"/>
      <c r="M665" s="52"/>
      <c r="N665" s="52"/>
      <c r="O665" s="52"/>
      <c r="P665" s="178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</row>
    <row r="666">
      <c r="A666" s="52"/>
      <c r="B666" s="52"/>
      <c r="C666" s="179"/>
      <c r="D666" s="52"/>
      <c r="E666" s="52"/>
      <c r="F666" s="52"/>
      <c r="G666" s="52"/>
      <c r="H666" s="52"/>
      <c r="I666" s="177"/>
      <c r="J666" s="177"/>
      <c r="K666" s="52"/>
      <c r="L666" s="52"/>
      <c r="M666" s="52"/>
      <c r="N666" s="52"/>
      <c r="O666" s="52"/>
      <c r="P666" s="178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</row>
    <row r="667">
      <c r="A667" s="52"/>
      <c r="B667" s="52"/>
      <c r="C667" s="179"/>
      <c r="D667" s="52"/>
      <c r="E667" s="52"/>
      <c r="F667" s="52"/>
      <c r="G667" s="52"/>
      <c r="H667" s="52"/>
      <c r="I667" s="177"/>
      <c r="J667" s="177"/>
      <c r="K667" s="52"/>
      <c r="L667" s="52"/>
      <c r="M667" s="52"/>
      <c r="N667" s="52"/>
      <c r="O667" s="52"/>
      <c r="P667" s="178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</row>
    <row r="668">
      <c r="A668" s="52"/>
      <c r="B668" s="52"/>
      <c r="C668" s="179"/>
      <c r="D668" s="52"/>
      <c r="E668" s="52"/>
      <c r="F668" s="52"/>
      <c r="G668" s="52"/>
      <c r="H668" s="52"/>
      <c r="I668" s="177"/>
      <c r="J668" s="177"/>
      <c r="K668" s="52"/>
      <c r="L668" s="52"/>
      <c r="M668" s="52"/>
      <c r="N668" s="52"/>
      <c r="O668" s="52"/>
      <c r="P668" s="178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</row>
    <row r="669">
      <c r="A669" s="52"/>
      <c r="B669" s="52"/>
      <c r="C669" s="179"/>
      <c r="D669" s="52"/>
      <c r="E669" s="52"/>
      <c r="F669" s="52"/>
      <c r="G669" s="52"/>
      <c r="H669" s="52"/>
      <c r="I669" s="177"/>
      <c r="J669" s="177"/>
      <c r="K669" s="52"/>
      <c r="L669" s="52"/>
      <c r="M669" s="52"/>
      <c r="N669" s="52"/>
      <c r="O669" s="52"/>
      <c r="P669" s="178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</row>
    <row r="670">
      <c r="A670" s="52"/>
      <c r="B670" s="52"/>
      <c r="C670" s="179"/>
      <c r="D670" s="52"/>
      <c r="E670" s="52"/>
      <c r="F670" s="52"/>
      <c r="G670" s="52"/>
      <c r="H670" s="52"/>
      <c r="I670" s="177"/>
      <c r="J670" s="177"/>
      <c r="K670" s="52"/>
      <c r="L670" s="52"/>
      <c r="M670" s="52"/>
      <c r="N670" s="52"/>
      <c r="O670" s="52"/>
      <c r="P670" s="178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</row>
    <row r="671">
      <c r="A671" s="52"/>
      <c r="B671" s="52"/>
      <c r="C671" s="179"/>
      <c r="D671" s="52"/>
      <c r="E671" s="52"/>
      <c r="F671" s="52"/>
      <c r="G671" s="52"/>
      <c r="H671" s="52"/>
      <c r="I671" s="177"/>
      <c r="J671" s="177"/>
      <c r="K671" s="52"/>
      <c r="L671" s="52"/>
      <c r="M671" s="52"/>
      <c r="N671" s="52"/>
      <c r="O671" s="52"/>
      <c r="P671" s="178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</row>
    <row r="672">
      <c r="A672" s="52"/>
      <c r="B672" s="52"/>
      <c r="C672" s="179"/>
      <c r="D672" s="52"/>
      <c r="E672" s="52"/>
      <c r="F672" s="52"/>
      <c r="G672" s="52"/>
      <c r="H672" s="52"/>
      <c r="I672" s="177"/>
      <c r="J672" s="177"/>
      <c r="K672" s="52"/>
      <c r="L672" s="52"/>
      <c r="M672" s="52"/>
      <c r="N672" s="52"/>
      <c r="O672" s="52"/>
      <c r="P672" s="178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</row>
    <row r="673">
      <c r="A673" s="52"/>
      <c r="B673" s="52"/>
      <c r="C673" s="179"/>
      <c r="D673" s="52"/>
      <c r="E673" s="52"/>
      <c r="F673" s="52"/>
      <c r="G673" s="52"/>
      <c r="H673" s="52"/>
      <c r="I673" s="177"/>
      <c r="J673" s="177"/>
      <c r="K673" s="52"/>
      <c r="L673" s="52"/>
      <c r="M673" s="52"/>
      <c r="N673" s="52"/>
      <c r="O673" s="52"/>
      <c r="P673" s="178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</row>
    <row r="674">
      <c r="A674" s="52"/>
      <c r="B674" s="52"/>
      <c r="C674" s="179"/>
      <c r="D674" s="52"/>
      <c r="E674" s="52"/>
      <c r="F674" s="52"/>
      <c r="G674" s="52"/>
      <c r="H674" s="52"/>
      <c r="I674" s="177"/>
      <c r="J674" s="177"/>
      <c r="K674" s="52"/>
      <c r="L674" s="52"/>
      <c r="M674" s="52"/>
      <c r="N674" s="52"/>
      <c r="O674" s="52"/>
      <c r="P674" s="178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</row>
    <row r="675">
      <c r="A675" s="52"/>
      <c r="B675" s="52"/>
      <c r="C675" s="179"/>
      <c r="D675" s="52"/>
      <c r="E675" s="52"/>
      <c r="F675" s="52"/>
      <c r="G675" s="52"/>
      <c r="H675" s="52"/>
      <c r="I675" s="177"/>
      <c r="J675" s="177"/>
      <c r="K675" s="52"/>
      <c r="L675" s="52"/>
      <c r="M675" s="52"/>
      <c r="N675" s="52"/>
      <c r="O675" s="52"/>
      <c r="P675" s="178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</row>
    <row r="676">
      <c r="A676" s="52"/>
      <c r="B676" s="52"/>
      <c r="C676" s="179"/>
      <c r="D676" s="52"/>
      <c r="E676" s="52"/>
      <c r="F676" s="52"/>
      <c r="G676" s="52"/>
      <c r="H676" s="52"/>
      <c r="I676" s="177"/>
      <c r="J676" s="177"/>
      <c r="K676" s="52"/>
      <c r="L676" s="52"/>
      <c r="M676" s="52"/>
      <c r="N676" s="52"/>
      <c r="O676" s="52"/>
      <c r="P676" s="178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</row>
    <row r="677">
      <c r="A677" s="52"/>
      <c r="B677" s="52"/>
      <c r="C677" s="179"/>
      <c r="D677" s="52"/>
      <c r="E677" s="52"/>
      <c r="F677" s="52"/>
      <c r="G677" s="52"/>
      <c r="H677" s="52"/>
      <c r="I677" s="177"/>
      <c r="J677" s="177"/>
      <c r="K677" s="52"/>
      <c r="L677" s="52"/>
      <c r="M677" s="52"/>
      <c r="N677" s="52"/>
      <c r="O677" s="52"/>
      <c r="P677" s="178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</row>
    <row r="678">
      <c r="A678" s="52"/>
      <c r="B678" s="52"/>
      <c r="C678" s="179"/>
      <c r="D678" s="52"/>
      <c r="E678" s="52"/>
      <c r="F678" s="52"/>
      <c r="G678" s="52"/>
      <c r="H678" s="52"/>
      <c r="I678" s="177"/>
      <c r="J678" s="177"/>
      <c r="K678" s="52"/>
      <c r="L678" s="52"/>
      <c r="M678" s="52"/>
      <c r="N678" s="52"/>
      <c r="O678" s="52"/>
      <c r="P678" s="178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</row>
    <row r="679">
      <c r="A679" s="52"/>
      <c r="B679" s="52"/>
      <c r="C679" s="179"/>
      <c r="D679" s="52"/>
      <c r="E679" s="52"/>
      <c r="F679" s="52"/>
      <c r="G679" s="52"/>
      <c r="H679" s="52"/>
      <c r="I679" s="177"/>
      <c r="J679" s="177"/>
      <c r="K679" s="52"/>
      <c r="L679" s="52"/>
      <c r="M679" s="52"/>
      <c r="N679" s="52"/>
      <c r="O679" s="52"/>
      <c r="P679" s="178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</row>
    <row r="680">
      <c r="A680" s="52"/>
      <c r="B680" s="52"/>
      <c r="C680" s="179"/>
      <c r="D680" s="52"/>
      <c r="E680" s="52"/>
      <c r="F680" s="52"/>
      <c r="G680" s="52"/>
      <c r="H680" s="52"/>
      <c r="I680" s="177"/>
      <c r="J680" s="177"/>
      <c r="K680" s="52"/>
      <c r="L680" s="52"/>
      <c r="M680" s="52"/>
      <c r="N680" s="52"/>
      <c r="O680" s="52"/>
      <c r="P680" s="178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</row>
    <row r="681">
      <c r="A681" s="52"/>
      <c r="B681" s="52"/>
      <c r="C681" s="179"/>
      <c r="D681" s="52"/>
      <c r="E681" s="52"/>
      <c r="F681" s="52"/>
      <c r="G681" s="52"/>
      <c r="H681" s="52"/>
      <c r="I681" s="177"/>
      <c r="J681" s="177"/>
      <c r="K681" s="52"/>
      <c r="L681" s="52"/>
      <c r="M681" s="52"/>
      <c r="N681" s="52"/>
      <c r="O681" s="52"/>
      <c r="P681" s="178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</row>
    <row r="682">
      <c r="A682" s="52"/>
      <c r="B682" s="52"/>
      <c r="C682" s="179"/>
      <c r="D682" s="52"/>
      <c r="E682" s="52"/>
      <c r="F682" s="52"/>
      <c r="G682" s="52"/>
      <c r="H682" s="52"/>
      <c r="I682" s="177"/>
      <c r="J682" s="177"/>
      <c r="K682" s="52"/>
      <c r="L682" s="52"/>
      <c r="M682" s="52"/>
      <c r="N682" s="52"/>
      <c r="O682" s="52"/>
      <c r="P682" s="178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</row>
    <row r="683">
      <c r="A683" s="52"/>
      <c r="B683" s="52"/>
      <c r="C683" s="179"/>
      <c r="D683" s="52"/>
      <c r="E683" s="52"/>
      <c r="F683" s="52"/>
      <c r="G683" s="52"/>
      <c r="H683" s="52"/>
      <c r="I683" s="177"/>
      <c r="J683" s="177"/>
      <c r="K683" s="52"/>
      <c r="L683" s="52"/>
      <c r="M683" s="52"/>
      <c r="N683" s="52"/>
      <c r="O683" s="52"/>
      <c r="P683" s="178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</row>
    <row r="684">
      <c r="A684" s="52"/>
      <c r="B684" s="52"/>
      <c r="C684" s="179"/>
      <c r="D684" s="52"/>
      <c r="E684" s="52"/>
      <c r="F684" s="52"/>
      <c r="G684" s="52"/>
      <c r="H684" s="52"/>
      <c r="I684" s="177"/>
      <c r="J684" s="177"/>
      <c r="K684" s="52"/>
      <c r="L684" s="52"/>
      <c r="M684" s="52"/>
      <c r="N684" s="52"/>
      <c r="O684" s="52"/>
      <c r="P684" s="178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</row>
    <row r="685">
      <c r="A685" s="52"/>
      <c r="B685" s="52"/>
      <c r="C685" s="179"/>
      <c r="D685" s="52"/>
      <c r="E685" s="52"/>
      <c r="F685" s="52"/>
      <c r="G685" s="52"/>
      <c r="H685" s="52"/>
      <c r="I685" s="177"/>
      <c r="J685" s="177"/>
      <c r="K685" s="52"/>
      <c r="L685" s="52"/>
      <c r="M685" s="52"/>
      <c r="N685" s="52"/>
      <c r="O685" s="52"/>
      <c r="P685" s="178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</row>
    <row r="686">
      <c r="A686" s="52"/>
      <c r="B686" s="52"/>
      <c r="C686" s="179"/>
      <c r="D686" s="52"/>
      <c r="E686" s="52"/>
      <c r="F686" s="52"/>
      <c r="G686" s="52"/>
      <c r="H686" s="52"/>
      <c r="I686" s="177"/>
      <c r="J686" s="177"/>
      <c r="K686" s="52"/>
      <c r="L686" s="52"/>
      <c r="M686" s="52"/>
      <c r="N686" s="52"/>
      <c r="O686" s="52"/>
      <c r="P686" s="178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</row>
    <row r="687">
      <c r="A687" s="52"/>
      <c r="B687" s="52"/>
      <c r="C687" s="179"/>
      <c r="D687" s="52"/>
      <c r="E687" s="52"/>
      <c r="F687" s="52"/>
      <c r="G687" s="52"/>
      <c r="H687" s="52"/>
      <c r="I687" s="177"/>
      <c r="J687" s="177"/>
      <c r="K687" s="52"/>
      <c r="L687" s="52"/>
      <c r="M687" s="52"/>
      <c r="N687" s="52"/>
      <c r="O687" s="52"/>
      <c r="P687" s="178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</row>
    <row r="688">
      <c r="A688" s="52"/>
      <c r="B688" s="52"/>
      <c r="C688" s="179"/>
      <c r="D688" s="52"/>
      <c r="E688" s="52"/>
      <c r="F688" s="52"/>
      <c r="G688" s="52"/>
      <c r="H688" s="52"/>
      <c r="I688" s="177"/>
      <c r="J688" s="177"/>
      <c r="K688" s="52"/>
      <c r="L688" s="52"/>
      <c r="M688" s="52"/>
      <c r="N688" s="52"/>
      <c r="O688" s="52"/>
      <c r="P688" s="178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</row>
    <row r="689">
      <c r="A689" s="52"/>
      <c r="B689" s="52"/>
      <c r="C689" s="179"/>
      <c r="D689" s="52"/>
      <c r="E689" s="52"/>
      <c r="F689" s="52"/>
      <c r="G689" s="52"/>
      <c r="H689" s="52"/>
      <c r="I689" s="177"/>
      <c r="J689" s="177"/>
      <c r="K689" s="52"/>
      <c r="L689" s="52"/>
      <c r="M689" s="52"/>
      <c r="N689" s="52"/>
      <c r="O689" s="52"/>
      <c r="P689" s="178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</row>
    <row r="690">
      <c r="A690" s="52"/>
      <c r="B690" s="52"/>
      <c r="C690" s="179"/>
      <c r="D690" s="52"/>
      <c r="E690" s="52"/>
      <c r="F690" s="52"/>
      <c r="G690" s="52"/>
      <c r="H690" s="52"/>
      <c r="I690" s="177"/>
      <c r="J690" s="177"/>
      <c r="K690" s="52"/>
      <c r="L690" s="52"/>
      <c r="M690" s="52"/>
      <c r="N690" s="52"/>
      <c r="O690" s="52"/>
      <c r="P690" s="178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</row>
    <row r="691">
      <c r="A691" s="52"/>
      <c r="B691" s="52"/>
      <c r="C691" s="179"/>
      <c r="D691" s="52"/>
      <c r="E691" s="52"/>
      <c r="F691" s="52"/>
      <c r="G691" s="52"/>
      <c r="H691" s="52"/>
      <c r="I691" s="177"/>
      <c r="J691" s="177"/>
      <c r="K691" s="52"/>
      <c r="L691" s="52"/>
      <c r="M691" s="52"/>
      <c r="N691" s="52"/>
      <c r="O691" s="52"/>
      <c r="P691" s="178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</row>
    <row r="692">
      <c r="A692" s="52"/>
      <c r="B692" s="52"/>
      <c r="C692" s="179"/>
      <c r="D692" s="52"/>
      <c r="E692" s="52"/>
      <c r="F692" s="52"/>
      <c r="G692" s="52"/>
      <c r="H692" s="52"/>
      <c r="I692" s="177"/>
      <c r="J692" s="177"/>
      <c r="K692" s="52"/>
      <c r="L692" s="52"/>
      <c r="M692" s="52"/>
      <c r="N692" s="52"/>
      <c r="O692" s="52"/>
      <c r="P692" s="178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</row>
    <row r="693">
      <c r="A693" s="52"/>
      <c r="B693" s="52"/>
      <c r="C693" s="179"/>
      <c r="D693" s="52"/>
      <c r="E693" s="52"/>
      <c r="F693" s="52"/>
      <c r="G693" s="52"/>
      <c r="H693" s="52"/>
      <c r="I693" s="177"/>
      <c r="J693" s="177"/>
      <c r="K693" s="52"/>
      <c r="L693" s="52"/>
      <c r="M693" s="52"/>
      <c r="N693" s="52"/>
      <c r="O693" s="52"/>
      <c r="P693" s="178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</row>
    <row r="694">
      <c r="A694" s="52"/>
      <c r="B694" s="52"/>
      <c r="C694" s="179"/>
      <c r="D694" s="52"/>
      <c r="E694" s="52"/>
      <c r="F694" s="52"/>
      <c r="G694" s="52"/>
      <c r="H694" s="52"/>
      <c r="I694" s="177"/>
      <c r="J694" s="177"/>
      <c r="K694" s="52"/>
      <c r="L694" s="52"/>
      <c r="M694" s="52"/>
      <c r="N694" s="52"/>
      <c r="O694" s="52"/>
      <c r="P694" s="178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</row>
    <row r="695">
      <c r="A695" s="52"/>
      <c r="B695" s="52"/>
      <c r="C695" s="179"/>
      <c r="D695" s="52"/>
      <c r="E695" s="52"/>
      <c r="F695" s="52"/>
      <c r="G695" s="52"/>
      <c r="H695" s="52"/>
      <c r="I695" s="177"/>
      <c r="J695" s="177"/>
      <c r="K695" s="52"/>
      <c r="L695" s="52"/>
      <c r="M695" s="52"/>
      <c r="N695" s="52"/>
      <c r="O695" s="52"/>
      <c r="P695" s="178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</row>
    <row r="696">
      <c r="A696" s="52"/>
      <c r="B696" s="52"/>
      <c r="C696" s="179"/>
      <c r="D696" s="52"/>
      <c r="E696" s="52"/>
      <c r="F696" s="52"/>
      <c r="G696" s="52"/>
      <c r="H696" s="52"/>
      <c r="I696" s="177"/>
      <c r="J696" s="177"/>
      <c r="K696" s="52"/>
      <c r="L696" s="52"/>
      <c r="M696" s="52"/>
      <c r="N696" s="52"/>
      <c r="O696" s="52"/>
      <c r="P696" s="178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</row>
    <row r="697">
      <c r="A697" s="52"/>
      <c r="B697" s="52"/>
      <c r="C697" s="179"/>
      <c r="D697" s="52"/>
      <c r="E697" s="52"/>
      <c r="F697" s="52"/>
      <c r="G697" s="52"/>
      <c r="H697" s="52"/>
      <c r="I697" s="177"/>
      <c r="J697" s="177"/>
      <c r="K697" s="52"/>
      <c r="L697" s="52"/>
      <c r="M697" s="52"/>
      <c r="N697" s="52"/>
      <c r="O697" s="52"/>
      <c r="P697" s="178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</row>
    <row r="698">
      <c r="A698" s="52"/>
      <c r="B698" s="52"/>
      <c r="C698" s="179"/>
      <c r="D698" s="52"/>
      <c r="E698" s="52"/>
      <c r="F698" s="52"/>
      <c r="G698" s="52"/>
      <c r="H698" s="52"/>
      <c r="I698" s="177"/>
      <c r="J698" s="177"/>
      <c r="K698" s="52"/>
      <c r="L698" s="52"/>
      <c r="M698" s="52"/>
      <c r="N698" s="52"/>
      <c r="O698" s="52"/>
      <c r="P698" s="178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</row>
    <row r="699">
      <c r="A699" s="52"/>
      <c r="B699" s="52"/>
      <c r="C699" s="179"/>
      <c r="D699" s="52"/>
      <c r="E699" s="52"/>
      <c r="F699" s="52"/>
      <c r="G699" s="52"/>
      <c r="H699" s="52"/>
      <c r="I699" s="177"/>
      <c r="J699" s="177"/>
      <c r="K699" s="52"/>
      <c r="L699" s="52"/>
      <c r="M699" s="52"/>
      <c r="N699" s="52"/>
      <c r="O699" s="52"/>
      <c r="P699" s="178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</row>
    <row r="700">
      <c r="A700" s="52"/>
      <c r="B700" s="52"/>
      <c r="C700" s="179"/>
      <c r="D700" s="52"/>
      <c r="E700" s="52"/>
      <c r="F700" s="52"/>
      <c r="G700" s="52"/>
      <c r="H700" s="52"/>
      <c r="I700" s="177"/>
      <c r="J700" s="177"/>
      <c r="K700" s="52"/>
      <c r="L700" s="52"/>
      <c r="M700" s="52"/>
      <c r="N700" s="52"/>
      <c r="O700" s="52"/>
      <c r="P700" s="178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</row>
    <row r="701">
      <c r="A701" s="52"/>
      <c r="B701" s="52"/>
      <c r="C701" s="179"/>
      <c r="D701" s="52"/>
      <c r="E701" s="52"/>
      <c r="F701" s="52"/>
      <c r="G701" s="52"/>
      <c r="H701" s="52"/>
      <c r="I701" s="177"/>
      <c r="J701" s="177"/>
      <c r="K701" s="52"/>
      <c r="L701" s="52"/>
      <c r="M701" s="52"/>
      <c r="N701" s="52"/>
      <c r="O701" s="52"/>
      <c r="P701" s="178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</row>
    <row r="702">
      <c r="A702" s="52"/>
      <c r="B702" s="52"/>
      <c r="C702" s="179"/>
      <c r="D702" s="52"/>
      <c r="E702" s="52"/>
      <c r="F702" s="52"/>
      <c r="G702" s="52"/>
      <c r="H702" s="52"/>
      <c r="I702" s="177"/>
      <c r="J702" s="177"/>
      <c r="K702" s="52"/>
      <c r="L702" s="52"/>
      <c r="M702" s="52"/>
      <c r="N702" s="52"/>
      <c r="O702" s="52"/>
      <c r="P702" s="178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</row>
    <row r="703">
      <c r="A703" s="52"/>
      <c r="B703" s="52"/>
      <c r="C703" s="179"/>
      <c r="D703" s="52"/>
      <c r="E703" s="52"/>
      <c r="F703" s="52"/>
      <c r="G703" s="52"/>
      <c r="H703" s="52"/>
      <c r="I703" s="177"/>
      <c r="J703" s="177"/>
      <c r="K703" s="52"/>
      <c r="L703" s="52"/>
      <c r="M703" s="52"/>
      <c r="N703" s="52"/>
      <c r="O703" s="52"/>
      <c r="P703" s="178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</row>
    <row r="704">
      <c r="A704" s="52"/>
      <c r="B704" s="52"/>
      <c r="C704" s="179"/>
      <c r="D704" s="52"/>
      <c r="E704" s="52"/>
      <c r="F704" s="52"/>
      <c r="G704" s="52"/>
      <c r="H704" s="52"/>
      <c r="I704" s="177"/>
      <c r="J704" s="177"/>
      <c r="K704" s="52"/>
      <c r="L704" s="52"/>
      <c r="M704" s="52"/>
      <c r="N704" s="52"/>
      <c r="O704" s="52"/>
      <c r="P704" s="178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</row>
    <row r="705">
      <c r="A705" s="52"/>
      <c r="B705" s="52"/>
      <c r="C705" s="179"/>
      <c r="D705" s="52"/>
      <c r="E705" s="52"/>
      <c r="F705" s="52"/>
      <c r="G705" s="52"/>
      <c r="H705" s="52"/>
      <c r="I705" s="177"/>
      <c r="J705" s="177"/>
      <c r="K705" s="52"/>
      <c r="L705" s="52"/>
      <c r="M705" s="52"/>
      <c r="N705" s="52"/>
      <c r="O705" s="52"/>
      <c r="P705" s="178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</row>
    <row r="706">
      <c r="A706" s="52"/>
      <c r="B706" s="52"/>
      <c r="C706" s="179"/>
      <c r="D706" s="52"/>
      <c r="E706" s="52"/>
      <c r="F706" s="52"/>
      <c r="G706" s="52"/>
      <c r="H706" s="52"/>
      <c r="I706" s="177"/>
      <c r="J706" s="177"/>
      <c r="K706" s="52"/>
      <c r="L706" s="52"/>
      <c r="M706" s="52"/>
      <c r="N706" s="52"/>
      <c r="O706" s="52"/>
      <c r="P706" s="178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</row>
    <row r="707">
      <c r="A707" s="52"/>
      <c r="B707" s="52"/>
      <c r="C707" s="179"/>
      <c r="D707" s="52"/>
      <c r="E707" s="52"/>
      <c r="F707" s="52"/>
      <c r="G707" s="52"/>
      <c r="H707" s="52"/>
      <c r="I707" s="177"/>
      <c r="J707" s="177"/>
      <c r="K707" s="52"/>
      <c r="L707" s="52"/>
      <c r="M707" s="52"/>
      <c r="N707" s="52"/>
      <c r="O707" s="52"/>
      <c r="P707" s="178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</row>
    <row r="708">
      <c r="A708" s="52"/>
      <c r="B708" s="52"/>
      <c r="C708" s="179"/>
      <c r="D708" s="52"/>
      <c r="E708" s="52"/>
      <c r="F708" s="52"/>
      <c r="G708" s="52"/>
      <c r="H708" s="52"/>
      <c r="I708" s="177"/>
      <c r="J708" s="177"/>
      <c r="K708" s="52"/>
      <c r="L708" s="52"/>
      <c r="M708" s="52"/>
      <c r="N708" s="52"/>
      <c r="O708" s="52"/>
      <c r="P708" s="178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</row>
    <row r="709">
      <c r="A709" s="52"/>
      <c r="B709" s="52"/>
      <c r="C709" s="179"/>
      <c r="D709" s="52"/>
      <c r="E709" s="52"/>
      <c r="F709" s="52"/>
      <c r="G709" s="52"/>
      <c r="H709" s="52"/>
      <c r="I709" s="177"/>
      <c r="J709" s="177"/>
      <c r="K709" s="52"/>
      <c r="L709" s="52"/>
      <c r="M709" s="52"/>
      <c r="N709" s="52"/>
      <c r="O709" s="52"/>
      <c r="P709" s="178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</row>
    <row r="710">
      <c r="A710" s="52"/>
      <c r="B710" s="52"/>
      <c r="C710" s="179"/>
      <c r="D710" s="52"/>
      <c r="E710" s="52"/>
      <c r="F710" s="52"/>
      <c r="G710" s="52"/>
      <c r="H710" s="52"/>
      <c r="I710" s="177"/>
      <c r="J710" s="177"/>
      <c r="K710" s="52"/>
      <c r="L710" s="52"/>
      <c r="M710" s="52"/>
      <c r="N710" s="52"/>
      <c r="O710" s="52"/>
      <c r="P710" s="178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</row>
    <row r="711">
      <c r="A711" s="52"/>
      <c r="B711" s="52"/>
      <c r="C711" s="179"/>
      <c r="D711" s="52"/>
      <c r="E711" s="52"/>
      <c r="F711" s="52"/>
      <c r="G711" s="52"/>
      <c r="H711" s="52"/>
      <c r="I711" s="177"/>
      <c r="J711" s="177"/>
      <c r="K711" s="52"/>
      <c r="L711" s="52"/>
      <c r="M711" s="52"/>
      <c r="N711" s="52"/>
      <c r="O711" s="52"/>
      <c r="P711" s="178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</row>
    <row r="712">
      <c r="A712" s="52"/>
      <c r="B712" s="52"/>
      <c r="C712" s="179"/>
      <c r="D712" s="52"/>
      <c r="E712" s="52"/>
      <c r="F712" s="52"/>
      <c r="G712" s="52"/>
      <c r="H712" s="52"/>
      <c r="I712" s="177"/>
      <c r="J712" s="177"/>
      <c r="K712" s="52"/>
      <c r="L712" s="52"/>
      <c r="M712" s="52"/>
      <c r="N712" s="52"/>
      <c r="O712" s="52"/>
      <c r="P712" s="178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</row>
    <row r="713">
      <c r="A713" s="52"/>
      <c r="B713" s="52"/>
      <c r="C713" s="179"/>
      <c r="D713" s="52"/>
      <c r="E713" s="52"/>
      <c r="F713" s="52"/>
      <c r="G713" s="52"/>
      <c r="H713" s="52"/>
      <c r="I713" s="177"/>
      <c r="J713" s="177"/>
      <c r="K713" s="52"/>
      <c r="L713" s="52"/>
      <c r="M713" s="52"/>
      <c r="N713" s="52"/>
      <c r="O713" s="52"/>
      <c r="P713" s="178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</row>
    <row r="714">
      <c r="A714" s="52"/>
      <c r="B714" s="52"/>
      <c r="C714" s="179"/>
      <c r="D714" s="52"/>
      <c r="E714" s="52"/>
      <c r="F714" s="52"/>
      <c r="G714" s="52"/>
      <c r="H714" s="52"/>
      <c r="I714" s="177"/>
      <c r="J714" s="177"/>
      <c r="K714" s="52"/>
      <c r="L714" s="52"/>
      <c r="M714" s="52"/>
      <c r="N714" s="52"/>
      <c r="O714" s="52"/>
      <c r="P714" s="178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</row>
    <row r="715">
      <c r="A715" s="52"/>
      <c r="B715" s="52"/>
      <c r="C715" s="179"/>
      <c r="D715" s="52"/>
      <c r="E715" s="52"/>
      <c r="F715" s="52"/>
      <c r="G715" s="52"/>
      <c r="H715" s="52"/>
      <c r="I715" s="177"/>
      <c r="J715" s="177"/>
      <c r="K715" s="52"/>
      <c r="L715" s="52"/>
      <c r="M715" s="52"/>
      <c r="N715" s="52"/>
      <c r="O715" s="52"/>
      <c r="P715" s="178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</row>
    <row r="716">
      <c r="A716" s="52"/>
      <c r="B716" s="52"/>
      <c r="C716" s="179"/>
      <c r="D716" s="52"/>
      <c r="E716" s="52"/>
      <c r="F716" s="52"/>
      <c r="G716" s="52"/>
      <c r="H716" s="52"/>
      <c r="I716" s="177"/>
      <c r="J716" s="177"/>
      <c r="K716" s="52"/>
      <c r="L716" s="52"/>
      <c r="M716" s="52"/>
      <c r="N716" s="52"/>
      <c r="O716" s="52"/>
      <c r="P716" s="178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</row>
    <row r="717">
      <c r="A717" s="52"/>
      <c r="B717" s="52"/>
      <c r="C717" s="179"/>
      <c r="D717" s="52"/>
      <c r="E717" s="52"/>
      <c r="F717" s="52"/>
      <c r="G717" s="52"/>
      <c r="H717" s="52"/>
      <c r="I717" s="177"/>
      <c r="J717" s="177"/>
      <c r="K717" s="52"/>
      <c r="L717" s="52"/>
      <c r="M717" s="52"/>
      <c r="N717" s="52"/>
      <c r="O717" s="52"/>
      <c r="P717" s="178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</row>
    <row r="718">
      <c r="A718" s="52"/>
      <c r="B718" s="52"/>
      <c r="C718" s="179"/>
      <c r="D718" s="52"/>
      <c r="E718" s="52"/>
      <c r="F718" s="52"/>
      <c r="G718" s="52"/>
      <c r="H718" s="52"/>
      <c r="I718" s="177"/>
      <c r="J718" s="177"/>
      <c r="K718" s="52"/>
      <c r="L718" s="52"/>
      <c r="M718" s="52"/>
      <c r="N718" s="52"/>
      <c r="O718" s="52"/>
      <c r="P718" s="178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</row>
    <row r="719">
      <c r="A719" s="52"/>
      <c r="B719" s="52"/>
      <c r="C719" s="179"/>
      <c r="D719" s="52"/>
      <c r="E719" s="52"/>
      <c r="F719" s="52"/>
      <c r="G719" s="52"/>
      <c r="H719" s="52"/>
      <c r="I719" s="177"/>
      <c r="J719" s="177"/>
      <c r="K719" s="52"/>
      <c r="L719" s="52"/>
      <c r="M719" s="52"/>
      <c r="N719" s="52"/>
      <c r="O719" s="52"/>
      <c r="P719" s="178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</row>
    <row r="720">
      <c r="A720" s="52"/>
      <c r="B720" s="52"/>
      <c r="C720" s="179"/>
      <c r="D720" s="52"/>
      <c r="E720" s="52"/>
      <c r="F720" s="52"/>
      <c r="G720" s="52"/>
      <c r="H720" s="52"/>
      <c r="I720" s="177"/>
      <c r="J720" s="177"/>
      <c r="K720" s="52"/>
      <c r="L720" s="52"/>
      <c r="M720" s="52"/>
      <c r="N720" s="52"/>
      <c r="O720" s="52"/>
      <c r="P720" s="178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</row>
    <row r="721">
      <c r="A721" s="52"/>
      <c r="B721" s="52"/>
      <c r="C721" s="179"/>
      <c r="D721" s="52"/>
      <c r="E721" s="52"/>
      <c r="F721" s="52"/>
      <c r="G721" s="52"/>
      <c r="H721" s="52"/>
      <c r="I721" s="177"/>
      <c r="J721" s="177"/>
      <c r="K721" s="52"/>
      <c r="L721" s="52"/>
      <c r="M721" s="52"/>
      <c r="N721" s="52"/>
      <c r="O721" s="52"/>
      <c r="P721" s="178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</row>
    <row r="722">
      <c r="A722" s="52"/>
      <c r="B722" s="52"/>
      <c r="C722" s="179"/>
      <c r="D722" s="52"/>
      <c r="E722" s="52"/>
      <c r="F722" s="52"/>
      <c r="G722" s="52"/>
      <c r="H722" s="52"/>
      <c r="I722" s="177"/>
      <c r="J722" s="177"/>
      <c r="K722" s="52"/>
      <c r="L722" s="52"/>
      <c r="M722" s="52"/>
      <c r="N722" s="52"/>
      <c r="O722" s="52"/>
      <c r="P722" s="178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</row>
    <row r="723">
      <c r="A723" s="52"/>
      <c r="B723" s="52"/>
      <c r="C723" s="179"/>
      <c r="D723" s="52"/>
      <c r="E723" s="52"/>
      <c r="F723" s="52"/>
      <c r="G723" s="52"/>
      <c r="H723" s="52"/>
      <c r="I723" s="177"/>
      <c r="J723" s="177"/>
      <c r="K723" s="52"/>
      <c r="L723" s="52"/>
      <c r="M723" s="52"/>
      <c r="N723" s="52"/>
      <c r="O723" s="52"/>
      <c r="P723" s="178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</row>
    <row r="724">
      <c r="A724" s="52"/>
      <c r="B724" s="52"/>
      <c r="C724" s="179"/>
      <c r="D724" s="52"/>
      <c r="E724" s="52"/>
      <c r="F724" s="52"/>
      <c r="G724" s="52"/>
      <c r="H724" s="52"/>
      <c r="I724" s="177"/>
      <c r="J724" s="177"/>
      <c r="K724" s="52"/>
      <c r="L724" s="52"/>
      <c r="M724" s="52"/>
      <c r="N724" s="52"/>
      <c r="O724" s="52"/>
      <c r="P724" s="178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</row>
    <row r="725">
      <c r="A725" s="52"/>
      <c r="B725" s="52"/>
      <c r="C725" s="179"/>
      <c r="D725" s="52"/>
      <c r="E725" s="52"/>
      <c r="F725" s="52"/>
      <c r="G725" s="52"/>
      <c r="H725" s="52"/>
      <c r="I725" s="177"/>
      <c r="J725" s="177"/>
      <c r="K725" s="52"/>
      <c r="L725" s="52"/>
      <c r="M725" s="52"/>
      <c r="N725" s="52"/>
      <c r="O725" s="52"/>
      <c r="P725" s="178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</row>
    <row r="726">
      <c r="A726" s="52"/>
      <c r="B726" s="52"/>
      <c r="C726" s="179"/>
      <c r="D726" s="52"/>
      <c r="E726" s="52"/>
      <c r="F726" s="52"/>
      <c r="G726" s="52"/>
      <c r="H726" s="52"/>
      <c r="I726" s="177"/>
      <c r="J726" s="177"/>
      <c r="K726" s="52"/>
      <c r="L726" s="52"/>
      <c r="M726" s="52"/>
      <c r="N726" s="52"/>
      <c r="O726" s="52"/>
      <c r="P726" s="178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</row>
    <row r="727">
      <c r="A727" s="52"/>
      <c r="B727" s="52"/>
      <c r="C727" s="179"/>
      <c r="D727" s="52"/>
      <c r="E727" s="52"/>
      <c r="F727" s="52"/>
      <c r="G727" s="52"/>
      <c r="H727" s="52"/>
      <c r="I727" s="177"/>
      <c r="J727" s="177"/>
      <c r="K727" s="52"/>
      <c r="L727" s="52"/>
      <c r="M727" s="52"/>
      <c r="N727" s="52"/>
      <c r="O727" s="52"/>
      <c r="P727" s="178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</row>
    <row r="728">
      <c r="A728" s="52"/>
      <c r="B728" s="52"/>
      <c r="C728" s="179"/>
      <c r="D728" s="52"/>
      <c r="E728" s="52"/>
      <c r="F728" s="52"/>
      <c r="G728" s="52"/>
      <c r="H728" s="52"/>
      <c r="I728" s="177"/>
      <c r="J728" s="177"/>
      <c r="K728" s="52"/>
      <c r="L728" s="52"/>
      <c r="M728" s="52"/>
      <c r="N728" s="52"/>
      <c r="O728" s="52"/>
      <c r="P728" s="178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</row>
    <row r="729">
      <c r="A729" s="52"/>
      <c r="B729" s="52"/>
      <c r="C729" s="179"/>
      <c r="D729" s="52"/>
      <c r="E729" s="52"/>
      <c r="F729" s="52"/>
      <c r="G729" s="52"/>
      <c r="H729" s="52"/>
      <c r="I729" s="177"/>
      <c r="J729" s="177"/>
      <c r="K729" s="52"/>
      <c r="L729" s="52"/>
      <c r="M729" s="52"/>
      <c r="N729" s="52"/>
      <c r="O729" s="52"/>
      <c r="P729" s="178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</row>
    <row r="730">
      <c r="A730" s="52"/>
      <c r="B730" s="52"/>
      <c r="C730" s="179"/>
      <c r="D730" s="52"/>
      <c r="E730" s="52"/>
      <c r="F730" s="52"/>
      <c r="G730" s="52"/>
      <c r="H730" s="52"/>
      <c r="I730" s="177"/>
      <c r="J730" s="177"/>
      <c r="K730" s="52"/>
      <c r="L730" s="52"/>
      <c r="M730" s="52"/>
      <c r="N730" s="52"/>
      <c r="O730" s="52"/>
      <c r="P730" s="178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</row>
    <row r="731">
      <c r="A731" s="52"/>
      <c r="B731" s="52"/>
      <c r="C731" s="179"/>
      <c r="D731" s="52"/>
      <c r="E731" s="52"/>
      <c r="F731" s="52"/>
      <c r="G731" s="52"/>
      <c r="H731" s="52"/>
      <c r="I731" s="177"/>
      <c r="J731" s="177"/>
      <c r="K731" s="52"/>
      <c r="L731" s="52"/>
      <c r="M731" s="52"/>
      <c r="N731" s="52"/>
      <c r="O731" s="52"/>
      <c r="P731" s="178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</row>
    <row r="732">
      <c r="A732" s="52"/>
      <c r="B732" s="52"/>
      <c r="C732" s="179"/>
      <c r="D732" s="52"/>
      <c r="E732" s="52"/>
      <c r="F732" s="52"/>
      <c r="G732" s="52"/>
      <c r="H732" s="52"/>
      <c r="I732" s="177"/>
      <c r="J732" s="177"/>
      <c r="K732" s="52"/>
      <c r="L732" s="52"/>
      <c r="M732" s="52"/>
      <c r="N732" s="52"/>
      <c r="O732" s="52"/>
      <c r="P732" s="178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</row>
    <row r="733">
      <c r="A733" s="52"/>
      <c r="B733" s="52"/>
      <c r="C733" s="179"/>
      <c r="D733" s="52"/>
      <c r="E733" s="52"/>
      <c r="F733" s="52"/>
      <c r="G733" s="52"/>
      <c r="H733" s="52"/>
      <c r="I733" s="177"/>
      <c r="J733" s="177"/>
      <c r="K733" s="52"/>
      <c r="L733" s="52"/>
      <c r="M733" s="52"/>
      <c r="N733" s="52"/>
      <c r="O733" s="52"/>
      <c r="P733" s="178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</row>
    <row r="734">
      <c r="A734" s="52"/>
      <c r="B734" s="52"/>
      <c r="C734" s="179"/>
      <c r="D734" s="52"/>
      <c r="E734" s="52"/>
      <c r="F734" s="52"/>
      <c r="G734" s="52"/>
      <c r="H734" s="52"/>
      <c r="I734" s="177"/>
      <c r="J734" s="177"/>
      <c r="K734" s="52"/>
      <c r="L734" s="52"/>
      <c r="M734" s="52"/>
      <c r="N734" s="52"/>
      <c r="O734" s="52"/>
      <c r="P734" s="178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</row>
    <row r="735">
      <c r="A735" s="52"/>
      <c r="B735" s="52"/>
      <c r="C735" s="179"/>
      <c r="D735" s="52"/>
      <c r="E735" s="52"/>
      <c r="F735" s="52"/>
      <c r="G735" s="52"/>
      <c r="H735" s="52"/>
      <c r="I735" s="177"/>
      <c r="J735" s="177"/>
      <c r="K735" s="52"/>
      <c r="L735" s="52"/>
      <c r="M735" s="52"/>
      <c r="N735" s="52"/>
      <c r="O735" s="52"/>
      <c r="P735" s="178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</row>
    <row r="736">
      <c r="A736" s="52"/>
      <c r="B736" s="52"/>
      <c r="C736" s="179"/>
      <c r="D736" s="52"/>
      <c r="E736" s="52"/>
      <c r="F736" s="52"/>
      <c r="G736" s="52"/>
      <c r="H736" s="52"/>
      <c r="I736" s="177"/>
      <c r="J736" s="177"/>
      <c r="K736" s="52"/>
      <c r="L736" s="52"/>
      <c r="M736" s="52"/>
      <c r="N736" s="52"/>
      <c r="O736" s="52"/>
      <c r="P736" s="178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</row>
    <row r="737">
      <c r="A737" s="52"/>
      <c r="B737" s="52"/>
      <c r="C737" s="179"/>
      <c r="D737" s="52"/>
      <c r="E737" s="52"/>
      <c r="F737" s="52"/>
      <c r="G737" s="52"/>
      <c r="H737" s="52"/>
      <c r="I737" s="177"/>
      <c r="J737" s="177"/>
      <c r="K737" s="52"/>
      <c r="L737" s="52"/>
      <c r="M737" s="52"/>
      <c r="N737" s="52"/>
      <c r="O737" s="52"/>
      <c r="P737" s="178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</row>
    <row r="738">
      <c r="A738" s="52"/>
      <c r="B738" s="52"/>
      <c r="C738" s="179"/>
      <c r="D738" s="52"/>
      <c r="E738" s="52"/>
      <c r="F738" s="52"/>
      <c r="G738" s="52"/>
      <c r="H738" s="52"/>
      <c r="I738" s="177"/>
      <c r="J738" s="177"/>
      <c r="K738" s="52"/>
      <c r="L738" s="52"/>
      <c r="M738" s="52"/>
      <c r="N738" s="52"/>
      <c r="O738" s="52"/>
      <c r="P738" s="178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</row>
    <row r="739">
      <c r="A739" s="52"/>
      <c r="B739" s="52"/>
      <c r="C739" s="179"/>
      <c r="D739" s="52"/>
      <c r="E739" s="52"/>
      <c r="F739" s="52"/>
      <c r="G739" s="52"/>
      <c r="H739" s="52"/>
      <c r="I739" s="177"/>
      <c r="J739" s="177"/>
      <c r="K739" s="52"/>
      <c r="L739" s="52"/>
      <c r="M739" s="52"/>
      <c r="N739" s="52"/>
      <c r="O739" s="52"/>
      <c r="P739" s="178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</row>
    <row r="740">
      <c r="A740" s="52"/>
      <c r="B740" s="52"/>
      <c r="C740" s="179"/>
      <c r="D740" s="52"/>
      <c r="E740" s="52"/>
      <c r="F740" s="52"/>
      <c r="G740" s="52"/>
      <c r="H740" s="52"/>
      <c r="I740" s="177"/>
      <c r="J740" s="177"/>
      <c r="K740" s="52"/>
      <c r="L740" s="52"/>
      <c r="M740" s="52"/>
      <c r="N740" s="52"/>
      <c r="O740" s="52"/>
      <c r="P740" s="178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</row>
    <row r="741">
      <c r="A741" s="52"/>
      <c r="B741" s="52"/>
      <c r="C741" s="179"/>
      <c r="D741" s="52"/>
      <c r="E741" s="52"/>
      <c r="F741" s="52"/>
      <c r="G741" s="52"/>
      <c r="H741" s="52"/>
      <c r="I741" s="177"/>
      <c r="J741" s="177"/>
      <c r="K741" s="52"/>
      <c r="L741" s="52"/>
      <c r="M741" s="52"/>
      <c r="N741" s="52"/>
      <c r="O741" s="52"/>
      <c r="P741" s="178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</row>
    <row r="742">
      <c r="A742" s="52"/>
      <c r="B742" s="52"/>
      <c r="C742" s="179"/>
      <c r="D742" s="52"/>
      <c r="E742" s="52"/>
      <c r="F742" s="52"/>
      <c r="G742" s="52"/>
      <c r="H742" s="52"/>
      <c r="I742" s="177"/>
      <c r="J742" s="177"/>
      <c r="K742" s="52"/>
      <c r="L742" s="52"/>
      <c r="M742" s="52"/>
      <c r="N742" s="52"/>
      <c r="O742" s="52"/>
      <c r="P742" s="178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</row>
    <row r="743">
      <c r="A743" s="52"/>
      <c r="B743" s="52"/>
      <c r="C743" s="179"/>
      <c r="D743" s="52"/>
      <c r="E743" s="52"/>
      <c r="F743" s="52"/>
      <c r="G743" s="52"/>
      <c r="H743" s="52"/>
      <c r="I743" s="177"/>
      <c r="J743" s="177"/>
      <c r="K743" s="52"/>
      <c r="L743" s="52"/>
      <c r="M743" s="52"/>
      <c r="N743" s="52"/>
      <c r="O743" s="52"/>
      <c r="P743" s="178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</row>
    <row r="744">
      <c r="A744" s="52"/>
      <c r="B744" s="52"/>
      <c r="C744" s="179"/>
      <c r="D744" s="52"/>
      <c r="E744" s="52"/>
      <c r="F744" s="52"/>
      <c r="G744" s="52"/>
      <c r="H744" s="52"/>
      <c r="I744" s="177"/>
      <c r="J744" s="177"/>
      <c r="K744" s="52"/>
      <c r="L744" s="52"/>
      <c r="M744" s="52"/>
      <c r="N744" s="52"/>
      <c r="O744" s="52"/>
      <c r="P744" s="178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</row>
    <row r="745">
      <c r="A745" s="52"/>
      <c r="B745" s="52"/>
      <c r="C745" s="179"/>
      <c r="D745" s="52"/>
      <c r="E745" s="52"/>
      <c r="F745" s="52"/>
      <c r="G745" s="52"/>
      <c r="H745" s="52"/>
      <c r="I745" s="177"/>
      <c r="J745" s="177"/>
      <c r="K745" s="52"/>
      <c r="L745" s="52"/>
      <c r="M745" s="52"/>
      <c r="N745" s="52"/>
      <c r="O745" s="52"/>
      <c r="P745" s="178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</row>
    <row r="746">
      <c r="A746" s="52"/>
      <c r="B746" s="52"/>
      <c r="C746" s="179"/>
      <c r="D746" s="52"/>
      <c r="E746" s="52"/>
      <c r="F746" s="52"/>
      <c r="G746" s="52"/>
      <c r="H746" s="52"/>
      <c r="I746" s="177"/>
      <c r="J746" s="177"/>
      <c r="K746" s="52"/>
      <c r="L746" s="52"/>
      <c r="M746" s="52"/>
      <c r="N746" s="52"/>
      <c r="O746" s="52"/>
      <c r="P746" s="178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</row>
    <row r="747">
      <c r="A747" s="52"/>
      <c r="B747" s="52"/>
      <c r="C747" s="179"/>
      <c r="D747" s="52"/>
      <c r="E747" s="52"/>
      <c r="F747" s="52"/>
      <c r="G747" s="52"/>
      <c r="H747" s="52"/>
      <c r="I747" s="177"/>
      <c r="J747" s="177"/>
      <c r="K747" s="52"/>
      <c r="L747" s="52"/>
      <c r="M747" s="52"/>
      <c r="N747" s="52"/>
      <c r="O747" s="52"/>
      <c r="P747" s="178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</row>
    <row r="748">
      <c r="A748" s="52"/>
      <c r="B748" s="52"/>
      <c r="C748" s="179"/>
      <c r="D748" s="52"/>
      <c r="E748" s="52"/>
      <c r="F748" s="52"/>
      <c r="G748" s="52"/>
      <c r="H748" s="52"/>
      <c r="I748" s="177"/>
      <c r="J748" s="177"/>
      <c r="K748" s="52"/>
      <c r="L748" s="52"/>
      <c r="M748" s="52"/>
      <c r="N748" s="52"/>
      <c r="O748" s="52"/>
      <c r="P748" s="178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</row>
    <row r="749">
      <c r="A749" s="52"/>
      <c r="B749" s="52"/>
      <c r="C749" s="179"/>
      <c r="D749" s="52"/>
      <c r="E749" s="52"/>
      <c r="F749" s="52"/>
      <c r="G749" s="52"/>
      <c r="H749" s="52"/>
      <c r="I749" s="177"/>
      <c r="J749" s="177"/>
      <c r="K749" s="52"/>
      <c r="L749" s="52"/>
      <c r="M749" s="52"/>
      <c r="N749" s="52"/>
      <c r="O749" s="52"/>
      <c r="P749" s="178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</row>
    <row r="750">
      <c r="A750" s="52"/>
      <c r="B750" s="52"/>
      <c r="C750" s="179"/>
      <c r="D750" s="52"/>
      <c r="E750" s="52"/>
      <c r="F750" s="52"/>
      <c r="G750" s="52"/>
      <c r="H750" s="52"/>
      <c r="I750" s="177"/>
      <c r="J750" s="177"/>
      <c r="K750" s="52"/>
      <c r="L750" s="52"/>
      <c r="M750" s="52"/>
      <c r="N750" s="52"/>
      <c r="O750" s="52"/>
      <c r="P750" s="178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</row>
    <row r="751">
      <c r="A751" s="52"/>
      <c r="B751" s="52"/>
      <c r="C751" s="179"/>
      <c r="D751" s="52"/>
      <c r="E751" s="52"/>
      <c r="F751" s="52"/>
      <c r="G751" s="52"/>
      <c r="H751" s="52"/>
      <c r="I751" s="177"/>
      <c r="J751" s="177"/>
      <c r="K751" s="52"/>
      <c r="L751" s="52"/>
      <c r="M751" s="52"/>
      <c r="N751" s="52"/>
      <c r="O751" s="52"/>
      <c r="P751" s="178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</row>
    <row r="752">
      <c r="A752" s="52"/>
      <c r="B752" s="52"/>
      <c r="C752" s="179"/>
      <c r="D752" s="52"/>
      <c r="E752" s="52"/>
      <c r="F752" s="52"/>
      <c r="G752" s="52"/>
      <c r="H752" s="52"/>
      <c r="I752" s="177"/>
      <c r="J752" s="177"/>
      <c r="K752" s="52"/>
      <c r="L752" s="52"/>
      <c r="M752" s="52"/>
      <c r="N752" s="52"/>
      <c r="O752" s="52"/>
      <c r="P752" s="178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</row>
    <row r="753">
      <c r="A753" s="52"/>
      <c r="B753" s="52"/>
      <c r="C753" s="179"/>
      <c r="D753" s="52"/>
      <c r="E753" s="52"/>
      <c r="F753" s="52"/>
      <c r="G753" s="52"/>
      <c r="H753" s="52"/>
      <c r="I753" s="177"/>
      <c r="J753" s="177"/>
      <c r="K753" s="52"/>
      <c r="L753" s="52"/>
      <c r="M753" s="52"/>
      <c r="N753" s="52"/>
      <c r="O753" s="52"/>
      <c r="P753" s="178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</row>
    <row r="754">
      <c r="A754" s="52"/>
      <c r="B754" s="52"/>
      <c r="C754" s="179"/>
      <c r="D754" s="52"/>
      <c r="E754" s="52"/>
      <c r="F754" s="52"/>
      <c r="G754" s="52"/>
      <c r="H754" s="52"/>
      <c r="I754" s="177"/>
      <c r="J754" s="177"/>
      <c r="K754" s="52"/>
      <c r="L754" s="52"/>
      <c r="M754" s="52"/>
      <c r="N754" s="52"/>
      <c r="O754" s="52"/>
      <c r="P754" s="178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</row>
    <row r="755">
      <c r="A755" s="52"/>
      <c r="B755" s="52"/>
      <c r="C755" s="179"/>
      <c r="D755" s="52"/>
      <c r="E755" s="52"/>
      <c r="F755" s="52"/>
      <c r="G755" s="52"/>
      <c r="H755" s="52"/>
      <c r="I755" s="177"/>
      <c r="J755" s="177"/>
      <c r="K755" s="52"/>
      <c r="L755" s="52"/>
      <c r="M755" s="52"/>
      <c r="N755" s="52"/>
      <c r="O755" s="52"/>
      <c r="P755" s="178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</row>
    <row r="756">
      <c r="A756" s="52"/>
      <c r="B756" s="52"/>
      <c r="C756" s="179"/>
      <c r="D756" s="52"/>
      <c r="E756" s="52"/>
      <c r="F756" s="52"/>
      <c r="G756" s="52"/>
      <c r="H756" s="52"/>
      <c r="I756" s="177"/>
      <c r="J756" s="177"/>
      <c r="K756" s="52"/>
      <c r="L756" s="52"/>
      <c r="M756" s="52"/>
      <c r="N756" s="52"/>
      <c r="O756" s="52"/>
      <c r="P756" s="178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</row>
    <row r="757">
      <c r="A757" s="52"/>
      <c r="B757" s="52"/>
      <c r="C757" s="179"/>
      <c r="D757" s="52"/>
      <c r="E757" s="52"/>
      <c r="F757" s="52"/>
      <c r="G757" s="52"/>
      <c r="H757" s="52"/>
      <c r="I757" s="177"/>
      <c r="J757" s="177"/>
      <c r="K757" s="52"/>
      <c r="L757" s="52"/>
      <c r="M757" s="52"/>
      <c r="N757" s="52"/>
      <c r="O757" s="52"/>
      <c r="P757" s="178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</row>
    <row r="758">
      <c r="A758" s="52"/>
      <c r="B758" s="52"/>
      <c r="C758" s="179"/>
      <c r="D758" s="52"/>
      <c r="E758" s="52"/>
      <c r="F758" s="52"/>
      <c r="G758" s="52"/>
      <c r="H758" s="52"/>
      <c r="I758" s="177"/>
      <c r="J758" s="177"/>
      <c r="K758" s="52"/>
      <c r="L758" s="52"/>
      <c r="M758" s="52"/>
      <c r="N758" s="52"/>
      <c r="O758" s="52"/>
      <c r="P758" s="178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</row>
    <row r="759">
      <c r="A759" s="52"/>
      <c r="B759" s="52"/>
      <c r="C759" s="179"/>
      <c r="D759" s="52"/>
      <c r="E759" s="52"/>
      <c r="F759" s="52"/>
      <c r="G759" s="52"/>
      <c r="H759" s="52"/>
      <c r="I759" s="177"/>
      <c r="J759" s="177"/>
      <c r="K759" s="52"/>
      <c r="L759" s="52"/>
      <c r="M759" s="52"/>
      <c r="N759" s="52"/>
      <c r="O759" s="52"/>
      <c r="P759" s="178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</row>
    <row r="760">
      <c r="A760" s="52"/>
      <c r="B760" s="52"/>
      <c r="C760" s="179"/>
      <c r="D760" s="52"/>
      <c r="E760" s="52"/>
      <c r="F760" s="52"/>
      <c r="G760" s="52"/>
      <c r="H760" s="52"/>
      <c r="I760" s="177"/>
      <c r="J760" s="177"/>
      <c r="K760" s="52"/>
      <c r="L760" s="52"/>
      <c r="M760" s="52"/>
      <c r="N760" s="52"/>
      <c r="O760" s="52"/>
      <c r="P760" s="178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</row>
    <row r="761">
      <c r="A761" s="52"/>
      <c r="B761" s="52"/>
      <c r="C761" s="179"/>
      <c r="D761" s="52"/>
      <c r="E761" s="52"/>
      <c r="F761" s="52"/>
      <c r="G761" s="52"/>
      <c r="H761" s="52"/>
      <c r="I761" s="177"/>
      <c r="J761" s="177"/>
      <c r="K761" s="52"/>
      <c r="L761" s="52"/>
      <c r="M761" s="52"/>
      <c r="N761" s="52"/>
      <c r="O761" s="52"/>
      <c r="P761" s="178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</row>
    <row r="762">
      <c r="A762" s="52"/>
      <c r="B762" s="52"/>
      <c r="C762" s="179"/>
      <c r="D762" s="52"/>
      <c r="E762" s="52"/>
      <c r="F762" s="52"/>
      <c r="G762" s="52"/>
      <c r="H762" s="52"/>
      <c r="I762" s="177"/>
      <c r="J762" s="177"/>
      <c r="K762" s="52"/>
      <c r="L762" s="52"/>
      <c r="M762" s="52"/>
      <c r="N762" s="52"/>
      <c r="O762" s="52"/>
      <c r="P762" s="178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</row>
    <row r="763">
      <c r="A763" s="52"/>
      <c r="B763" s="52"/>
      <c r="C763" s="179"/>
      <c r="D763" s="52"/>
      <c r="E763" s="52"/>
      <c r="F763" s="52"/>
      <c r="G763" s="52"/>
      <c r="H763" s="52"/>
      <c r="I763" s="177"/>
      <c r="J763" s="177"/>
      <c r="K763" s="52"/>
      <c r="L763" s="52"/>
      <c r="M763" s="52"/>
      <c r="N763" s="52"/>
      <c r="O763" s="52"/>
      <c r="P763" s="178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</row>
    <row r="764">
      <c r="A764" s="52"/>
      <c r="B764" s="52"/>
      <c r="C764" s="179"/>
      <c r="D764" s="52"/>
      <c r="E764" s="52"/>
      <c r="F764" s="52"/>
      <c r="G764" s="52"/>
      <c r="H764" s="52"/>
      <c r="I764" s="177"/>
      <c r="J764" s="177"/>
      <c r="K764" s="52"/>
      <c r="L764" s="52"/>
      <c r="M764" s="52"/>
      <c r="N764" s="52"/>
      <c r="O764" s="52"/>
      <c r="P764" s="178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</row>
    <row r="765">
      <c r="A765" s="52"/>
      <c r="B765" s="52"/>
      <c r="C765" s="179"/>
      <c r="D765" s="52"/>
      <c r="E765" s="52"/>
      <c r="F765" s="52"/>
      <c r="G765" s="52"/>
      <c r="H765" s="52"/>
      <c r="I765" s="177"/>
      <c r="J765" s="177"/>
      <c r="K765" s="52"/>
      <c r="L765" s="52"/>
      <c r="M765" s="52"/>
      <c r="N765" s="52"/>
      <c r="O765" s="52"/>
      <c r="P765" s="178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</row>
    <row r="766">
      <c r="A766" s="52"/>
      <c r="B766" s="52"/>
      <c r="C766" s="179"/>
      <c r="D766" s="52"/>
      <c r="E766" s="52"/>
      <c r="F766" s="52"/>
      <c r="G766" s="52"/>
      <c r="H766" s="52"/>
      <c r="I766" s="177"/>
      <c r="J766" s="177"/>
      <c r="K766" s="52"/>
      <c r="L766" s="52"/>
      <c r="M766" s="52"/>
      <c r="N766" s="52"/>
      <c r="O766" s="52"/>
      <c r="P766" s="178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</row>
    <row r="767">
      <c r="A767" s="52"/>
      <c r="B767" s="52"/>
      <c r="C767" s="179"/>
      <c r="D767" s="52"/>
      <c r="E767" s="52"/>
      <c r="F767" s="52"/>
      <c r="G767" s="52"/>
      <c r="H767" s="52"/>
      <c r="I767" s="177"/>
      <c r="J767" s="177"/>
      <c r="K767" s="52"/>
      <c r="L767" s="52"/>
      <c r="M767" s="52"/>
      <c r="N767" s="52"/>
      <c r="O767" s="52"/>
      <c r="P767" s="178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</row>
    <row r="768">
      <c r="A768" s="52"/>
      <c r="B768" s="52"/>
      <c r="C768" s="179"/>
      <c r="D768" s="52"/>
      <c r="E768" s="52"/>
      <c r="F768" s="52"/>
      <c r="G768" s="52"/>
      <c r="H768" s="52"/>
      <c r="I768" s="177"/>
      <c r="J768" s="177"/>
      <c r="K768" s="52"/>
      <c r="L768" s="52"/>
      <c r="M768" s="52"/>
      <c r="N768" s="52"/>
      <c r="O768" s="52"/>
      <c r="P768" s="178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</row>
    <row r="769">
      <c r="A769" s="52"/>
      <c r="B769" s="52"/>
      <c r="C769" s="179"/>
      <c r="D769" s="52"/>
      <c r="E769" s="52"/>
      <c r="F769" s="52"/>
      <c r="G769" s="52"/>
      <c r="H769" s="52"/>
      <c r="I769" s="177"/>
      <c r="J769" s="177"/>
      <c r="K769" s="52"/>
      <c r="L769" s="52"/>
      <c r="M769" s="52"/>
      <c r="N769" s="52"/>
      <c r="O769" s="52"/>
      <c r="P769" s="178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</row>
    <row r="770">
      <c r="A770" s="52"/>
      <c r="B770" s="52"/>
      <c r="C770" s="179"/>
      <c r="D770" s="52"/>
      <c r="E770" s="52"/>
      <c r="F770" s="52"/>
      <c r="G770" s="52"/>
      <c r="H770" s="52"/>
      <c r="I770" s="177"/>
      <c r="J770" s="177"/>
      <c r="K770" s="52"/>
      <c r="L770" s="52"/>
      <c r="M770" s="52"/>
      <c r="N770" s="52"/>
      <c r="O770" s="52"/>
      <c r="P770" s="178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</row>
    <row r="771">
      <c r="A771" s="52"/>
      <c r="B771" s="52"/>
      <c r="C771" s="179"/>
      <c r="D771" s="52"/>
      <c r="E771" s="52"/>
      <c r="F771" s="52"/>
      <c r="G771" s="52"/>
      <c r="H771" s="52"/>
      <c r="I771" s="177"/>
      <c r="J771" s="177"/>
      <c r="K771" s="52"/>
      <c r="L771" s="52"/>
      <c r="M771" s="52"/>
      <c r="N771" s="52"/>
      <c r="O771" s="52"/>
      <c r="P771" s="178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</row>
    <row r="772">
      <c r="A772" s="52"/>
      <c r="B772" s="52"/>
      <c r="C772" s="179"/>
      <c r="D772" s="52"/>
      <c r="E772" s="52"/>
      <c r="F772" s="52"/>
      <c r="G772" s="52"/>
      <c r="H772" s="52"/>
      <c r="I772" s="177"/>
      <c r="J772" s="177"/>
      <c r="K772" s="52"/>
      <c r="L772" s="52"/>
      <c r="M772" s="52"/>
      <c r="N772" s="52"/>
      <c r="O772" s="52"/>
      <c r="P772" s="178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</row>
    <row r="773">
      <c r="A773" s="52"/>
      <c r="B773" s="52"/>
      <c r="C773" s="179"/>
      <c r="D773" s="52"/>
      <c r="E773" s="52"/>
      <c r="F773" s="52"/>
      <c r="G773" s="52"/>
      <c r="H773" s="52"/>
      <c r="I773" s="177"/>
      <c r="J773" s="177"/>
      <c r="K773" s="52"/>
      <c r="L773" s="52"/>
      <c r="M773" s="52"/>
      <c r="N773" s="52"/>
      <c r="O773" s="52"/>
      <c r="P773" s="178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</row>
    <row r="774">
      <c r="A774" s="52"/>
      <c r="B774" s="52"/>
      <c r="C774" s="179"/>
      <c r="D774" s="52"/>
      <c r="E774" s="52"/>
      <c r="F774" s="52"/>
      <c r="G774" s="52"/>
      <c r="H774" s="52"/>
      <c r="I774" s="177"/>
      <c r="J774" s="177"/>
      <c r="K774" s="52"/>
      <c r="L774" s="52"/>
      <c r="M774" s="52"/>
      <c r="N774" s="52"/>
      <c r="O774" s="52"/>
      <c r="P774" s="178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</row>
    <row r="775">
      <c r="A775" s="52"/>
      <c r="B775" s="52"/>
      <c r="C775" s="179"/>
      <c r="D775" s="52"/>
      <c r="E775" s="52"/>
      <c r="F775" s="52"/>
      <c r="G775" s="52"/>
      <c r="H775" s="52"/>
      <c r="I775" s="177"/>
      <c r="J775" s="177"/>
      <c r="K775" s="52"/>
      <c r="L775" s="52"/>
      <c r="M775" s="52"/>
      <c r="N775" s="52"/>
      <c r="O775" s="52"/>
      <c r="P775" s="178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</row>
    <row r="776">
      <c r="A776" s="52"/>
      <c r="B776" s="52"/>
      <c r="C776" s="179"/>
      <c r="D776" s="52"/>
      <c r="E776" s="52"/>
      <c r="F776" s="52"/>
      <c r="G776" s="52"/>
      <c r="H776" s="52"/>
      <c r="I776" s="177"/>
      <c r="J776" s="177"/>
      <c r="K776" s="52"/>
      <c r="L776" s="52"/>
      <c r="M776" s="52"/>
      <c r="N776" s="52"/>
      <c r="O776" s="52"/>
      <c r="P776" s="178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</row>
    <row r="777">
      <c r="A777" s="52"/>
      <c r="B777" s="52"/>
      <c r="C777" s="179"/>
      <c r="D777" s="52"/>
      <c r="E777" s="52"/>
      <c r="F777" s="52"/>
      <c r="G777" s="52"/>
      <c r="H777" s="52"/>
      <c r="I777" s="177"/>
      <c r="J777" s="177"/>
      <c r="K777" s="52"/>
      <c r="L777" s="52"/>
      <c r="M777" s="52"/>
      <c r="N777" s="52"/>
      <c r="O777" s="52"/>
      <c r="P777" s="178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</row>
    <row r="778">
      <c r="A778" s="52"/>
      <c r="B778" s="52"/>
      <c r="C778" s="179"/>
      <c r="D778" s="52"/>
      <c r="E778" s="52"/>
      <c r="F778" s="52"/>
      <c r="G778" s="52"/>
      <c r="H778" s="52"/>
      <c r="I778" s="177"/>
      <c r="J778" s="177"/>
      <c r="K778" s="52"/>
      <c r="L778" s="52"/>
      <c r="M778" s="52"/>
      <c r="N778" s="52"/>
      <c r="O778" s="52"/>
      <c r="P778" s="178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</row>
    <row r="779">
      <c r="A779" s="52"/>
      <c r="B779" s="52"/>
      <c r="C779" s="179"/>
      <c r="D779" s="52"/>
      <c r="E779" s="52"/>
      <c r="F779" s="52"/>
      <c r="G779" s="52"/>
      <c r="H779" s="52"/>
      <c r="I779" s="177"/>
      <c r="J779" s="177"/>
      <c r="K779" s="52"/>
      <c r="L779" s="52"/>
      <c r="M779" s="52"/>
      <c r="N779" s="52"/>
      <c r="O779" s="52"/>
      <c r="P779" s="178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</row>
    <row r="780">
      <c r="A780" s="52"/>
      <c r="B780" s="52"/>
      <c r="C780" s="179"/>
      <c r="D780" s="52"/>
      <c r="E780" s="52"/>
      <c r="F780" s="52"/>
      <c r="G780" s="52"/>
      <c r="H780" s="52"/>
      <c r="I780" s="177"/>
      <c r="J780" s="177"/>
      <c r="K780" s="52"/>
      <c r="L780" s="52"/>
      <c r="M780" s="52"/>
      <c r="N780" s="52"/>
      <c r="O780" s="52"/>
      <c r="P780" s="178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</row>
    <row r="781">
      <c r="A781" s="52"/>
      <c r="B781" s="52"/>
      <c r="C781" s="179"/>
      <c r="D781" s="52"/>
      <c r="E781" s="52"/>
      <c r="F781" s="52"/>
      <c r="G781" s="52"/>
      <c r="H781" s="52"/>
      <c r="I781" s="177"/>
      <c r="J781" s="177"/>
      <c r="K781" s="52"/>
      <c r="L781" s="52"/>
      <c r="M781" s="52"/>
      <c r="N781" s="52"/>
      <c r="O781" s="52"/>
      <c r="P781" s="178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</row>
    <row r="782">
      <c r="A782" s="52"/>
      <c r="B782" s="52"/>
      <c r="C782" s="179"/>
      <c r="D782" s="52"/>
      <c r="E782" s="52"/>
      <c r="F782" s="52"/>
      <c r="G782" s="52"/>
      <c r="H782" s="52"/>
      <c r="I782" s="177"/>
      <c r="J782" s="177"/>
      <c r="K782" s="52"/>
      <c r="L782" s="52"/>
      <c r="M782" s="52"/>
      <c r="N782" s="52"/>
      <c r="O782" s="52"/>
      <c r="P782" s="178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</row>
    <row r="783">
      <c r="A783" s="52"/>
      <c r="B783" s="52"/>
      <c r="C783" s="179"/>
      <c r="D783" s="52"/>
      <c r="E783" s="52"/>
      <c r="F783" s="52"/>
      <c r="G783" s="52"/>
      <c r="H783" s="52"/>
      <c r="I783" s="177"/>
      <c r="J783" s="177"/>
      <c r="K783" s="52"/>
      <c r="L783" s="52"/>
      <c r="M783" s="52"/>
      <c r="N783" s="52"/>
      <c r="O783" s="52"/>
      <c r="P783" s="178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</row>
    <row r="784">
      <c r="A784" s="52"/>
      <c r="B784" s="52"/>
      <c r="C784" s="179"/>
      <c r="D784" s="52"/>
      <c r="E784" s="52"/>
      <c r="F784" s="52"/>
      <c r="G784" s="52"/>
      <c r="H784" s="52"/>
      <c r="I784" s="177"/>
      <c r="J784" s="177"/>
      <c r="K784" s="52"/>
      <c r="L784" s="52"/>
      <c r="M784" s="52"/>
      <c r="N784" s="52"/>
      <c r="O784" s="52"/>
      <c r="P784" s="178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</row>
    <row r="785">
      <c r="A785" s="52"/>
      <c r="B785" s="52"/>
      <c r="C785" s="179"/>
      <c r="D785" s="52"/>
      <c r="E785" s="52"/>
      <c r="F785" s="52"/>
      <c r="G785" s="52"/>
      <c r="H785" s="52"/>
      <c r="I785" s="177"/>
      <c r="J785" s="177"/>
      <c r="K785" s="52"/>
      <c r="L785" s="52"/>
      <c r="M785" s="52"/>
      <c r="N785" s="52"/>
      <c r="O785" s="52"/>
      <c r="P785" s="178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</row>
    <row r="786">
      <c r="A786" s="52"/>
      <c r="B786" s="52"/>
      <c r="C786" s="179"/>
      <c r="D786" s="52"/>
      <c r="E786" s="52"/>
      <c r="F786" s="52"/>
      <c r="G786" s="52"/>
      <c r="H786" s="52"/>
      <c r="I786" s="177"/>
      <c r="J786" s="177"/>
      <c r="K786" s="52"/>
      <c r="L786" s="52"/>
      <c r="M786" s="52"/>
      <c r="N786" s="52"/>
      <c r="O786" s="52"/>
      <c r="P786" s="178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</row>
    <row r="787">
      <c r="A787" s="52"/>
      <c r="B787" s="52"/>
      <c r="C787" s="179"/>
      <c r="D787" s="52"/>
      <c r="E787" s="52"/>
      <c r="F787" s="52"/>
      <c r="G787" s="52"/>
      <c r="H787" s="52"/>
      <c r="I787" s="177"/>
      <c r="J787" s="177"/>
      <c r="K787" s="52"/>
      <c r="L787" s="52"/>
      <c r="M787" s="52"/>
      <c r="N787" s="52"/>
      <c r="O787" s="52"/>
      <c r="P787" s="178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</row>
    <row r="788">
      <c r="A788" s="52"/>
      <c r="B788" s="52"/>
      <c r="C788" s="179"/>
      <c r="D788" s="52"/>
      <c r="E788" s="52"/>
      <c r="F788" s="52"/>
      <c r="G788" s="52"/>
      <c r="H788" s="52"/>
      <c r="I788" s="177"/>
      <c r="J788" s="177"/>
      <c r="K788" s="52"/>
      <c r="L788" s="52"/>
      <c r="M788" s="52"/>
      <c r="N788" s="52"/>
      <c r="O788" s="52"/>
      <c r="P788" s="178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</row>
    <row r="789">
      <c r="A789" s="52"/>
      <c r="B789" s="52"/>
      <c r="C789" s="179"/>
      <c r="D789" s="52"/>
      <c r="E789" s="52"/>
      <c r="F789" s="52"/>
      <c r="G789" s="52"/>
      <c r="H789" s="52"/>
      <c r="I789" s="177"/>
      <c r="J789" s="177"/>
      <c r="K789" s="52"/>
      <c r="L789" s="52"/>
      <c r="M789" s="52"/>
      <c r="N789" s="52"/>
      <c r="O789" s="52"/>
      <c r="P789" s="178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</row>
    <row r="790">
      <c r="A790" s="52"/>
      <c r="B790" s="52"/>
      <c r="C790" s="179"/>
      <c r="D790" s="52"/>
      <c r="E790" s="52"/>
      <c r="F790" s="52"/>
      <c r="G790" s="52"/>
      <c r="H790" s="52"/>
      <c r="I790" s="177"/>
      <c r="J790" s="177"/>
      <c r="K790" s="52"/>
      <c r="L790" s="52"/>
      <c r="M790" s="52"/>
      <c r="N790" s="52"/>
      <c r="O790" s="52"/>
      <c r="P790" s="178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</row>
    <row r="791">
      <c r="A791" s="52"/>
      <c r="B791" s="52"/>
      <c r="C791" s="179"/>
      <c r="D791" s="52"/>
      <c r="E791" s="52"/>
      <c r="F791" s="52"/>
      <c r="G791" s="52"/>
      <c r="H791" s="52"/>
      <c r="I791" s="177"/>
      <c r="J791" s="177"/>
      <c r="K791" s="52"/>
      <c r="L791" s="52"/>
      <c r="M791" s="52"/>
      <c r="N791" s="52"/>
      <c r="O791" s="52"/>
      <c r="P791" s="178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</row>
    <row r="792">
      <c r="A792" s="52"/>
      <c r="B792" s="52"/>
      <c r="C792" s="179"/>
      <c r="D792" s="52"/>
      <c r="E792" s="52"/>
      <c r="F792" s="52"/>
      <c r="G792" s="52"/>
      <c r="H792" s="52"/>
      <c r="I792" s="177"/>
      <c r="J792" s="177"/>
      <c r="K792" s="52"/>
      <c r="L792" s="52"/>
      <c r="M792" s="52"/>
      <c r="N792" s="52"/>
      <c r="O792" s="52"/>
      <c r="P792" s="178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</row>
    <row r="793">
      <c r="A793" s="52"/>
      <c r="B793" s="52"/>
      <c r="C793" s="179"/>
      <c r="D793" s="52"/>
      <c r="E793" s="52"/>
      <c r="F793" s="52"/>
      <c r="G793" s="52"/>
      <c r="H793" s="52"/>
      <c r="I793" s="177"/>
      <c r="J793" s="177"/>
      <c r="K793" s="52"/>
      <c r="L793" s="52"/>
      <c r="M793" s="52"/>
      <c r="N793" s="52"/>
      <c r="O793" s="52"/>
      <c r="P793" s="178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</row>
    <row r="794">
      <c r="A794" s="52"/>
      <c r="B794" s="52"/>
      <c r="C794" s="179"/>
      <c r="D794" s="52"/>
      <c r="E794" s="52"/>
      <c r="F794" s="52"/>
      <c r="G794" s="52"/>
      <c r="H794" s="52"/>
      <c r="I794" s="177"/>
      <c r="J794" s="177"/>
      <c r="K794" s="52"/>
      <c r="L794" s="52"/>
      <c r="M794" s="52"/>
      <c r="N794" s="52"/>
      <c r="O794" s="52"/>
      <c r="P794" s="178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</row>
    <row r="795">
      <c r="A795" s="52"/>
      <c r="B795" s="52"/>
      <c r="C795" s="179"/>
      <c r="D795" s="52"/>
      <c r="E795" s="52"/>
      <c r="F795" s="52"/>
      <c r="G795" s="52"/>
      <c r="H795" s="52"/>
      <c r="I795" s="177"/>
      <c r="J795" s="177"/>
      <c r="K795" s="52"/>
      <c r="L795" s="52"/>
      <c r="M795" s="52"/>
      <c r="N795" s="52"/>
      <c r="O795" s="52"/>
      <c r="P795" s="178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</row>
    <row r="796">
      <c r="A796" s="52"/>
      <c r="B796" s="52"/>
      <c r="C796" s="179"/>
      <c r="D796" s="52"/>
      <c r="E796" s="52"/>
      <c r="F796" s="52"/>
      <c r="G796" s="52"/>
      <c r="H796" s="52"/>
      <c r="I796" s="177"/>
      <c r="J796" s="177"/>
      <c r="K796" s="52"/>
      <c r="L796" s="52"/>
      <c r="M796" s="52"/>
      <c r="N796" s="52"/>
      <c r="O796" s="52"/>
      <c r="P796" s="178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</row>
    <row r="797">
      <c r="A797" s="52"/>
      <c r="B797" s="52"/>
      <c r="C797" s="179"/>
      <c r="D797" s="52"/>
      <c r="E797" s="52"/>
      <c r="F797" s="52"/>
      <c r="G797" s="52"/>
      <c r="H797" s="52"/>
      <c r="I797" s="177"/>
      <c r="J797" s="177"/>
      <c r="K797" s="52"/>
      <c r="L797" s="52"/>
      <c r="M797" s="52"/>
      <c r="N797" s="52"/>
      <c r="O797" s="52"/>
      <c r="P797" s="178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</row>
    <row r="798">
      <c r="A798" s="52"/>
      <c r="B798" s="52"/>
      <c r="C798" s="179"/>
      <c r="D798" s="52"/>
      <c r="E798" s="52"/>
      <c r="F798" s="52"/>
      <c r="G798" s="52"/>
      <c r="H798" s="52"/>
      <c r="I798" s="177"/>
      <c r="J798" s="177"/>
      <c r="K798" s="52"/>
      <c r="L798" s="52"/>
      <c r="M798" s="52"/>
      <c r="N798" s="52"/>
      <c r="O798" s="52"/>
      <c r="P798" s="178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</row>
    <row r="799">
      <c r="A799" s="52"/>
      <c r="B799" s="52"/>
      <c r="C799" s="179"/>
      <c r="D799" s="52"/>
      <c r="E799" s="52"/>
      <c r="F799" s="52"/>
      <c r="G799" s="52"/>
      <c r="H799" s="52"/>
      <c r="I799" s="177"/>
      <c r="J799" s="177"/>
      <c r="K799" s="52"/>
      <c r="L799" s="52"/>
      <c r="M799" s="52"/>
      <c r="N799" s="52"/>
      <c r="O799" s="52"/>
      <c r="P799" s="178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</row>
    <row r="800">
      <c r="A800" s="52"/>
      <c r="B800" s="52"/>
      <c r="C800" s="179"/>
      <c r="D800" s="52"/>
      <c r="E800" s="52"/>
      <c r="F800" s="52"/>
      <c r="G800" s="52"/>
      <c r="H800" s="52"/>
      <c r="I800" s="177"/>
      <c r="J800" s="177"/>
      <c r="K800" s="52"/>
      <c r="L800" s="52"/>
      <c r="M800" s="52"/>
      <c r="N800" s="52"/>
      <c r="O800" s="52"/>
      <c r="P800" s="178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</row>
    <row r="801">
      <c r="A801" s="52"/>
      <c r="B801" s="52"/>
      <c r="C801" s="179"/>
      <c r="D801" s="52"/>
      <c r="E801" s="52"/>
      <c r="F801" s="52"/>
      <c r="G801" s="52"/>
      <c r="H801" s="52"/>
      <c r="I801" s="177"/>
      <c r="J801" s="177"/>
      <c r="K801" s="52"/>
      <c r="L801" s="52"/>
      <c r="M801" s="52"/>
      <c r="N801" s="52"/>
      <c r="O801" s="52"/>
      <c r="P801" s="178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</row>
    <row r="802">
      <c r="A802" s="52"/>
      <c r="B802" s="52"/>
      <c r="C802" s="179"/>
      <c r="D802" s="52"/>
      <c r="E802" s="52"/>
      <c r="F802" s="52"/>
      <c r="G802" s="52"/>
      <c r="H802" s="52"/>
      <c r="I802" s="177"/>
      <c r="J802" s="177"/>
      <c r="K802" s="52"/>
      <c r="L802" s="52"/>
      <c r="M802" s="52"/>
      <c r="N802" s="52"/>
      <c r="O802" s="52"/>
      <c r="P802" s="178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</row>
    <row r="803">
      <c r="A803" s="52"/>
      <c r="B803" s="52"/>
      <c r="C803" s="179"/>
      <c r="D803" s="52"/>
      <c r="E803" s="52"/>
      <c r="F803" s="52"/>
      <c r="G803" s="52"/>
      <c r="H803" s="52"/>
      <c r="I803" s="177"/>
      <c r="J803" s="177"/>
      <c r="K803" s="52"/>
      <c r="L803" s="52"/>
      <c r="M803" s="52"/>
      <c r="N803" s="52"/>
      <c r="O803" s="52"/>
      <c r="P803" s="178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</row>
    <row r="804">
      <c r="A804" s="52"/>
      <c r="B804" s="52"/>
      <c r="C804" s="179"/>
      <c r="D804" s="52"/>
      <c r="E804" s="52"/>
      <c r="F804" s="52"/>
      <c r="G804" s="52"/>
      <c r="H804" s="52"/>
      <c r="I804" s="177"/>
      <c r="J804" s="177"/>
      <c r="K804" s="52"/>
      <c r="L804" s="52"/>
      <c r="M804" s="52"/>
      <c r="N804" s="52"/>
      <c r="O804" s="52"/>
      <c r="P804" s="178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</row>
    <row r="805">
      <c r="A805" s="52"/>
      <c r="B805" s="52"/>
      <c r="C805" s="179"/>
      <c r="D805" s="52"/>
      <c r="E805" s="52"/>
      <c r="F805" s="52"/>
      <c r="G805" s="52"/>
      <c r="H805" s="52"/>
      <c r="I805" s="177"/>
      <c r="J805" s="177"/>
      <c r="K805" s="52"/>
      <c r="L805" s="52"/>
      <c r="M805" s="52"/>
      <c r="N805" s="52"/>
      <c r="O805" s="52"/>
      <c r="P805" s="178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</row>
    <row r="806">
      <c r="A806" s="52"/>
      <c r="B806" s="52"/>
      <c r="C806" s="179"/>
      <c r="D806" s="52"/>
      <c r="E806" s="52"/>
      <c r="F806" s="52"/>
      <c r="G806" s="52"/>
      <c r="H806" s="52"/>
      <c r="I806" s="177"/>
      <c r="J806" s="177"/>
      <c r="K806" s="52"/>
      <c r="L806" s="52"/>
      <c r="M806" s="52"/>
      <c r="N806" s="52"/>
      <c r="O806" s="52"/>
      <c r="P806" s="178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</row>
    <row r="807">
      <c r="A807" s="52"/>
      <c r="B807" s="52"/>
      <c r="C807" s="179"/>
      <c r="D807" s="52"/>
      <c r="E807" s="52"/>
      <c r="F807" s="52"/>
      <c r="G807" s="52"/>
      <c r="H807" s="52"/>
      <c r="I807" s="177"/>
      <c r="J807" s="177"/>
      <c r="K807" s="52"/>
      <c r="L807" s="52"/>
      <c r="M807" s="52"/>
      <c r="N807" s="52"/>
      <c r="O807" s="52"/>
      <c r="P807" s="178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</row>
    <row r="808">
      <c r="A808" s="52"/>
      <c r="B808" s="52"/>
      <c r="C808" s="179"/>
      <c r="D808" s="52"/>
      <c r="E808" s="52"/>
      <c r="F808" s="52"/>
      <c r="G808" s="52"/>
      <c r="H808" s="52"/>
      <c r="I808" s="177"/>
      <c r="J808" s="177"/>
      <c r="K808" s="52"/>
      <c r="L808" s="52"/>
      <c r="M808" s="52"/>
      <c r="N808" s="52"/>
      <c r="O808" s="52"/>
      <c r="P808" s="178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</row>
    <row r="809">
      <c r="A809" s="52"/>
      <c r="B809" s="52"/>
      <c r="C809" s="179"/>
      <c r="D809" s="52"/>
      <c r="E809" s="52"/>
      <c r="F809" s="52"/>
      <c r="G809" s="52"/>
      <c r="H809" s="52"/>
      <c r="I809" s="177"/>
      <c r="J809" s="177"/>
      <c r="K809" s="52"/>
      <c r="L809" s="52"/>
      <c r="M809" s="52"/>
      <c r="N809" s="52"/>
      <c r="O809" s="52"/>
      <c r="P809" s="178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</row>
    <row r="810">
      <c r="A810" s="52"/>
      <c r="B810" s="52"/>
      <c r="C810" s="179"/>
      <c r="D810" s="52"/>
      <c r="E810" s="52"/>
      <c r="F810" s="52"/>
      <c r="G810" s="52"/>
      <c r="H810" s="52"/>
      <c r="I810" s="177"/>
      <c r="J810" s="177"/>
      <c r="K810" s="52"/>
      <c r="L810" s="52"/>
      <c r="M810" s="52"/>
      <c r="N810" s="52"/>
      <c r="O810" s="52"/>
      <c r="P810" s="178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</row>
    <row r="811">
      <c r="A811" s="52"/>
      <c r="B811" s="52"/>
      <c r="C811" s="179"/>
      <c r="D811" s="52"/>
      <c r="E811" s="52"/>
      <c r="F811" s="52"/>
      <c r="G811" s="52"/>
      <c r="H811" s="52"/>
      <c r="I811" s="177"/>
      <c r="J811" s="177"/>
      <c r="K811" s="52"/>
      <c r="L811" s="52"/>
      <c r="M811" s="52"/>
      <c r="N811" s="52"/>
      <c r="O811" s="52"/>
      <c r="P811" s="178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</row>
    <row r="812">
      <c r="A812" s="52"/>
      <c r="B812" s="52"/>
      <c r="C812" s="179"/>
      <c r="D812" s="52"/>
      <c r="E812" s="52"/>
      <c r="F812" s="52"/>
      <c r="G812" s="52"/>
      <c r="H812" s="52"/>
      <c r="I812" s="177"/>
      <c r="J812" s="177"/>
      <c r="K812" s="52"/>
      <c r="L812" s="52"/>
      <c r="M812" s="52"/>
      <c r="N812" s="52"/>
      <c r="O812" s="52"/>
      <c r="P812" s="178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</row>
    <row r="813">
      <c r="A813" s="52"/>
      <c r="B813" s="52"/>
      <c r="C813" s="179"/>
      <c r="D813" s="52"/>
      <c r="E813" s="52"/>
      <c r="F813" s="52"/>
      <c r="G813" s="52"/>
      <c r="H813" s="52"/>
      <c r="I813" s="177"/>
      <c r="J813" s="177"/>
      <c r="K813" s="52"/>
      <c r="L813" s="52"/>
      <c r="M813" s="52"/>
      <c r="N813" s="52"/>
      <c r="O813" s="52"/>
      <c r="P813" s="178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</row>
    <row r="814">
      <c r="A814" s="52"/>
      <c r="B814" s="52"/>
      <c r="C814" s="179"/>
      <c r="D814" s="52"/>
      <c r="E814" s="52"/>
      <c r="F814" s="52"/>
      <c r="G814" s="52"/>
      <c r="H814" s="52"/>
      <c r="I814" s="177"/>
      <c r="J814" s="177"/>
      <c r="K814" s="52"/>
      <c r="L814" s="52"/>
      <c r="M814" s="52"/>
      <c r="N814" s="52"/>
      <c r="O814" s="52"/>
      <c r="P814" s="178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</row>
    <row r="815">
      <c r="A815" s="52"/>
      <c r="B815" s="52"/>
      <c r="C815" s="179"/>
      <c r="D815" s="52"/>
      <c r="E815" s="52"/>
      <c r="F815" s="52"/>
      <c r="G815" s="52"/>
      <c r="H815" s="52"/>
      <c r="I815" s="177"/>
      <c r="J815" s="177"/>
      <c r="K815" s="52"/>
      <c r="L815" s="52"/>
      <c r="M815" s="52"/>
      <c r="N815" s="52"/>
      <c r="O815" s="52"/>
      <c r="P815" s="178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</row>
    <row r="816">
      <c r="A816" s="52"/>
      <c r="B816" s="52"/>
      <c r="C816" s="179"/>
      <c r="D816" s="52"/>
      <c r="E816" s="52"/>
      <c r="F816" s="52"/>
      <c r="G816" s="52"/>
      <c r="H816" s="52"/>
      <c r="I816" s="177"/>
      <c r="J816" s="177"/>
      <c r="K816" s="52"/>
      <c r="L816" s="52"/>
      <c r="M816" s="52"/>
      <c r="N816" s="52"/>
      <c r="O816" s="52"/>
      <c r="P816" s="178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</row>
    <row r="817">
      <c r="A817" s="52"/>
      <c r="B817" s="52"/>
      <c r="C817" s="179"/>
      <c r="D817" s="52"/>
      <c r="E817" s="52"/>
      <c r="F817" s="52"/>
      <c r="G817" s="52"/>
      <c r="H817" s="52"/>
      <c r="I817" s="177"/>
      <c r="J817" s="177"/>
      <c r="K817" s="52"/>
      <c r="L817" s="52"/>
      <c r="M817" s="52"/>
      <c r="N817" s="52"/>
      <c r="O817" s="52"/>
      <c r="P817" s="178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</row>
    <row r="818">
      <c r="A818" s="52"/>
      <c r="B818" s="52"/>
      <c r="C818" s="179"/>
      <c r="D818" s="52"/>
      <c r="E818" s="52"/>
      <c r="F818" s="52"/>
      <c r="G818" s="52"/>
      <c r="H818" s="52"/>
      <c r="I818" s="177"/>
      <c r="J818" s="177"/>
      <c r="K818" s="52"/>
      <c r="L818" s="52"/>
      <c r="M818" s="52"/>
      <c r="N818" s="52"/>
      <c r="O818" s="52"/>
      <c r="P818" s="178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</row>
    <row r="819">
      <c r="A819" s="52"/>
      <c r="B819" s="52"/>
      <c r="C819" s="179"/>
      <c r="D819" s="52"/>
      <c r="E819" s="52"/>
      <c r="F819" s="52"/>
      <c r="G819" s="52"/>
      <c r="H819" s="52"/>
      <c r="I819" s="177"/>
      <c r="J819" s="177"/>
      <c r="K819" s="52"/>
      <c r="L819" s="52"/>
      <c r="M819" s="52"/>
      <c r="N819" s="52"/>
      <c r="O819" s="52"/>
      <c r="P819" s="178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</row>
    <row r="820">
      <c r="A820" s="52"/>
      <c r="B820" s="52"/>
      <c r="C820" s="179"/>
      <c r="D820" s="52"/>
      <c r="E820" s="52"/>
      <c r="F820" s="52"/>
      <c r="G820" s="52"/>
      <c r="H820" s="52"/>
      <c r="I820" s="177"/>
      <c r="J820" s="177"/>
      <c r="K820" s="52"/>
      <c r="L820" s="52"/>
      <c r="M820" s="52"/>
      <c r="N820" s="52"/>
      <c r="O820" s="52"/>
      <c r="P820" s="178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</row>
    <row r="821">
      <c r="A821" s="52"/>
      <c r="B821" s="52"/>
      <c r="C821" s="179"/>
      <c r="D821" s="52"/>
      <c r="E821" s="52"/>
      <c r="F821" s="52"/>
      <c r="G821" s="52"/>
      <c r="H821" s="52"/>
      <c r="I821" s="177"/>
      <c r="J821" s="177"/>
      <c r="K821" s="52"/>
      <c r="L821" s="52"/>
      <c r="M821" s="52"/>
      <c r="N821" s="52"/>
      <c r="O821" s="52"/>
      <c r="P821" s="178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</row>
    <row r="822">
      <c r="A822" s="52"/>
      <c r="B822" s="52"/>
      <c r="C822" s="179"/>
      <c r="D822" s="52"/>
      <c r="E822" s="52"/>
      <c r="F822" s="52"/>
      <c r="G822" s="52"/>
      <c r="H822" s="52"/>
      <c r="I822" s="177"/>
      <c r="J822" s="177"/>
      <c r="K822" s="52"/>
      <c r="L822" s="52"/>
      <c r="M822" s="52"/>
      <c r="N822" s="52"/>
      <c r="O822" s="52"/>
      <c r="P822" s="178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</row>
    <row r="823">
      <c r="A823" s="52"/>
      <c r="B823" s="52"/>
      <c r="C823" s="179"/>
      <c r="D823" s="52"/>
      <c r="E823" s="52"/>
      <c r="F823" s="52"/>
      <c r="G823" s="52"/>
      <c r="H823" s="52"/>
      <c r="I823" s="177"/>
      <c r="J823" s="177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</row>
    <row r="824">
      <c r="A824" s="52"/>
      <c r="B824" s="52"/>
      <c r="C824" s="179"/>
      <c r="D824" s="52"/>
      <c r="E824" s="52"/>
      <c r="F824" s="52"/>
      <c r="G824" s="52"/>
      <c r="H824" s="52"/>
      <c r="I824" s="177"/>
      <c r="J824" s="177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</row>
    <row r="825">
      <c r="A825" s="52"/>
      <c r="B825" s="52"/>
      <c r="C825" s="179"/>
      <c r="D825" s="52"/>
      <c r="E825" s="52"/>
      <c r="F825" s="52"/>
      <c r="G825" s="52"/>
      <c r="H825" s="52"/>
      <c r="I825" s="177"/>
      <c r="J825" s="177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</row>
    <row r="826">
      <c r="A826" s="52"/>
      <c r="B826" s="52"/>
      <c r="C826" s="179"/>
      <c r="D826" s="52"/>
      <c r="E826" s="52"/>
      <c r="F826" s="52"/>
      <c r="G826" s="52"/>
      <c r="H826" s="52"/>
      <c r="I826" s="177"/>
      <c r="J826" s="177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</row>
    <row r="827">
      <c r="A827" s="52"/>
      <c r="B827" s="52"/>
      <c r="C827" s="179"/>
      <c r="D827" s="52"/>
      <c r="E827" s="52"/>
      <c r="F827" s="52"/>
      <c r="G827" s="52"/>
      <c r="H827" s="52"/>
      <c r="I827" s="177"/>
      <c r="J827" s="177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</row>
    <row r="828">
      <c r="A828" s="52"/>
      <c r="B828" s="52"/>
      <c r="C828" s="179"/>
      <c r="D828" s="52"/>
      <c r="E828" s="52"/>
      <c r="F828" s="52"/>
      <c r="G828" s="52"/>
      <c r="H828" s="52"/>
      <c r="I828" s="177"/>
      <c r="J828" s="177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</row>
    <row r="829">
      <c r="A829" s="52"/>
      <c r="B829" s="52"/>
      <c r="C829" s="179"/>
      <c r="D829" s="52"/>
      <c r="E829" s="52"/>
      <c r="F829" s="52"/>
      <c r="G829" s="52"/>
      <c r="H829" s="52"/>
      <c r="I829" s="177"/>
      <c r="J829" s="177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</row>
    <row r="830">
      <c r="A830" s="52"/>
      <c r="B830" s="52"/>
      <c r="C830" s="179"/>
      <c r="D830" s="52"/>
      <c r="E830" s="52"/>
      <c r="F830" s="52"/>
      <c r="G830" s="52"/>
      <c r="H830" s="52"/>
      <c r="I830" s="177"/>
      <c r="J830" s="177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</row>
    <row r="831">
      <c r="A831" s="52"/>
      <c r="B831" s="52"/>
      <c r="C831" s="179"/>
      <c r="D831" s="52"/>
      <c r="E831" s="52"/>
      <c r="F831" s="52"/>
      <c r="G831" s="52"/>
      <c r="H831" s="52"/>
      <c r="I831" s="177"/>
      <c r="J831" s="177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</row>
    <row r="832">
      <c r="A832" s="52"/>
      <c r="B832" s="52"/>
      <c r="C832" s="179"/>
      <c r="D832" s="52"/>
      <c r="E832" s="52"/>
      <c r="F832" s="52"/>
      <c r="G832" s="52"/>
      <c r="H832" s="52"/>
      <c r="I832" s="177"/>
      <c r="J832" s="177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</row>
    <row r="833">
      <c r="A833" s="52"/>
      <c r="B833" s="52"/>
      <c r="C833" s="179"/>
      <c r="D833" s="52"/>
      <c r="E833" s="52"/>
      <c r="F833" s="52"/>
      <c r="G833" s="52"/>
      <c r="H833" s="52"/>
      <c r="I833" s="177"/>
      <c r="J833" s="177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</row>
    <row r="834">
      <c r="A834" s="52"/>
      <c r="B834" s="52"/>
      <c r="C834" s="179"/>
      <c r="D834" s="52"/>
      <c r="E834" s="52"/>
      <c r="F834" s="52"/>
      <c r="G834" s="52"/>
      <c r="H834" s="52"/>
      <c r="I834" s="177"/>
      <c r="J834" s="177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</row>
    <row r="835">
      <c r="A835" s="52"/>
      <c r="B835" s="52"/>
      <c r="C835" s="179"/>
      <c r="D835" s="52"/>
      <c r="E835" s="52"/>
      <c r="F835" s="52"/>
      <c r="G835" s="52"/>
      <c r="H835" s="52"/>
      <c r="I835" s="177"/>
      <c r="J835" s="177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</row>
    <row r="836">
      <c r="A836" s="52"/>
      <c r="B836" s="52"/>
      <c r="C836" s="179"/>
      <c r="D836" s="52"/>
      <c r="E836" s="52"/>
      <c r="F836" s="52"/>
      <c r="G836" s="52"/>
      <c r="H836" s="52"/>
      <c r="I836" s="177"/>
      <c r="J836" s="177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</row>
    <row r="837">
      <c r="A837" s="52"/>
      <c r="B837" s="52"/>
      <c r="C837" s="179"/>
      <c r="D837" s="52"/>
      <c r="E837" s="52"/>
      <c r="F837" s="52"/>
      <c r="G837" s="52"/>
      <c r="H837" s="52"/>
      <c r="I837" s="177"/>
      <c r="J837" s="177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</row>
    <row r="838">
      <c r="A838" s="52"/>
      <c r="B838" s="52"/>
      <c r="C838" s="179"/>
      <c r="D838" s="52"/>
      <c r="E838" s="52"/>
      <c r="F838" s="52"/>
      <c r="G838" s="52"/>
      <c r="H838" s="52"/>
      <c r="I838" s="177"/>
      <c r="J838" s="177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</row>
    <row r="839">
      <c r="A839" s="52"/>
      <c r="B839" s="52"/>
      <c r="C839" s="179"/>
      <c r="D839" s="52"/>
      <c r="E839" s="52"/>
      <c r="F839" s="52"/>
      <c r="G839" s="52"/>
      <c r="H839" s="52"/>
      <c r="I839" s="177"/>
      <c r="J839" s="177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</row>
    <row r="840">
      <c r="A840" s="52"/>
      <c r="B840" s="52"/>
      <c r="C840" s="179"/>
      <c r="D840" s="52"/>
      <c r="E840" s="52"/>
      <c r="F840" s="52"/>
      <c r="G840" s="52"/>
      <c r="H840" s="52"/>
      <c r="I840" s="177"/>
      <c r="J840" s="177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</row>
    <row r="841">
      <c r="A841" s="52"/>
      <c r="B841" s="52"/>
      <c r="C841" s="179"/>
      <c r="D841" s="52"/>
      <c r="E841" s="52"/>
      <c r="F841" s="52"/>
      <c r="G841" s="52"/>
      <c r="H841" s="52"/>
      <c r="I841" s="177"/>
      <c r="J841" s="177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</row>
    <row r="842">
      <c r="A842" s="52"/>
      <c r="B842" s="52"/>
      <c r="C842" s="179"/>
      <c r="D842" s="52"/>
      <c r="E842" s="52"/>
      <c r="F842" s="52"/>
      <c r="G842" s="52"/>
      <c r="H842" s="52"/>
      <c r="I842" s="177"/>
      <c r="J842" s="177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</row>
    <row r="843">
      <c r="A843" s="52"/>
      <c r="B843" s="52"/>
      <c r="C843" s="179"/>
      <c r="D843" s="52"/>
      <c r="E843" s="52"/>
      <c r="F843" s="52"/>
      <c r="G843" s="52"/>
      <c r="H843" s="52"/>
      <c r="I843" s="177"/>
      <c r="J843" s="177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</row>
    <row r="844">
      <c r="A844" s="52"/>
      <c r="B844" s="52"/>
      <c r="C844" s="179"/>
      <c r="D844" s="52"/>
      <c r="E844" s="52"/>
      <c r="F844" s="52"/>
      <c r="G844" s="52"/>
      <c r="H844" s="52"/>
      <c r="I844" s="177"/>
      <c r="J844" s="177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</row>
    <row r="845">
      <c r="A845" s="52"/>
      <c r="B845" s="52"/>
      <c r="C845" s="179"/>
      <c r="D845" s="52"/>
      <c r="E845" s="52"/>
      <c r="F845" s="52"/>
      <c r="G845" s="52"/>
      <c r="H845" s="52"/>
      <c r="I845" s="177"/>
      <c r="J845" s="177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</row>
    <row r="846">
      <c r="A846" s="52"/>
      <c r="B846" s="52"/>
      <c r="C846" s="179"/>
      <c r="D846" s="52"/>
      <c r="E846" s="52"/>
      <c r="F846" s="52"/>
      <c r="G846" s="52"/>
      <c r="H846" s="52"/>
      <c r="I846" s="177"/>
      <c r="J846" s="177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</row>
    <row r="847">
      <c r="A847" s="52"/>
      <c r="B847" s="52"/>
      <c r="C847" s="179"/>
      <c r="D847" s="52"/>
      <c r="E847" s="52"/>
      <c r="F847" s="52"/>
      <c r="G847" s="52"/>
      <c r="H847" s="52"/>
      <c r="I847" s="177"/>
      <c r="J847" s="177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</row>
    <row r="848">
      <c r="A848" s="52"/>
      <c r="B848" s="52"/>
      <c r="C848" s="179"/>
      <c r="D848" s="52"/>
      <c r="E848" s="52"/>
      <c r="F848" s="52"/>
      <c r="G848" s="52"/>
      <c r="H848" s="52"/>
      <c r="I848" s="177"/>
      <c r="J848" s="177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</row>
    <row r="849">
      <c r="A849" s="52"/>
      <c r="B849" s="52"/>
      <c r="C849" s="179"/>
      <c r="D849" s="52"/>
      <c r="E849" s="52"/>
      <c r="F849" s="52"/>
      <c r="G849" s="52"/>
      <c r="H849" s="52"/>
      <c r="I849" s="177"/>
      <c r="J849" s="177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</row>
    <row r="850">
      <c r="A850" s="52"/>
      <c r="B850" s="52"/>
      <c r="C850" s="179"/>
      <c r="D850" s="52"/>
      <c r="E850" s="52"/>
      <c r="F850" s="52"/>
      <c r="G850" s="52"/>
      <c r="H850" s="52"/>
      <c r="I850" s="177"/>
      <c r="J850" s="177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</row>
    <row r="851">
      <c r="A851" s="52"/>
      <c r="B851" s="52"/>
      <c r="C851" s="179"/>
      <c r="D851" s="52"/>
      <c r="E851" s="52"/>
      <c r="F851" s="52"/>
      <c r="G851" s="52"/>
      <c r="H851" s="52"/>
      <c r="I851" s="177"/>
      <c r="J851" s="177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</row>
    <row r="852">
      <c r="A852" s="52"/>
      <c r="B852" s="52"/>
      <c r="C852" s="179"/>
      <c r="D852" s="52"/>
      <c r="E852" s="52"/>
      <c r="F852" s="52"/>
      <c r="G852" s="52"/>
      <c r="H852" s="52"/>
      <c r="I852" s="177"/>
      <c r="J852" s="177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</row>
    <row r="853">
      <c r="A853" s="52"/>
      <c r="B853" s="52"/>
      <c r="C853" s="179"/>
      <c r="D853" s="52"/>
      <c r="E853" s="52"/>
      <c r="F853" s="52"/>
      <c r="G853" s="52"/>
      <c r="H853" s="52"/>
      <c r="I853" s="177"/>
      <c r="J853" s="177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</row>
    <row r="854">
      <c r="A854" s="52"/>
      <c r="B854" s="52"/>
      <c r="C854" s="179"/>
      <c r="D854" s="52"/>
      <c r="E854" s="52"/>
      <c r="F854" s="52"/>
      <c r="G854" s="52"/>
      <c r="H854" s="52"/>
      <c r="I854" s="177"/>
      <c r="J854" s="177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</row>
    <row r="855">
      <c r="A855" s="52"/>
      <c r="B855" s="52"/>
      <c r="C855" s="179"/>
      <c r="D855" s="52"/>
      <c r="E855" s="52"/>
      <c r="F855" s="52"/>
      <c r="G855" s="52"/>
      <c r="H855" s="52"/>
      <c r="I855" s="177"/>
      <c r="J855" s="177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</row>
    <row r="856">
      <c r="A856" s="52"/>
      <c r="B856" s="52"/>
      <c r="C856" s="179"/>
      <c r="D856" s="52"/>
      <c r="E856" s="52"/>
      <c r="F856" s="52"/>
      <c r="G856" s="52"/>
      <c r="H856" s="52"/>
      <c r="I856" s="177"/>
      <c r="J856" s="177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</row>
    <row r="857">
      <c r="A857" s="52"/>
      <c r="B857" s="52"/>
      <c r="C857" s="179"/>
      <c r="D857" s="52"/>
      <c r="E857" s="52"/>
      <c r="F857" s="52"/>
      <c r="G857" s="52"/>
      <c r="H857" s="52"/>
      <c r="I857" s="177"/>
      <c r="J857" s="177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</row>
    <row r="858">
      <c r="A858" s="52"/>
      <c r="B858" s="52"/>
      <c r="C858" s="179"/>
      <c r="D858" s="52"/>
      <c r="E858" s="52"/>
      <c r="F858" s="52"/>
      <c r="G858" s="52"/>
      <c r="H858" s="52"/>
      <c r="I858" s="177"/>
      <c r="J858" s="177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</row>
    <row r="859">
      <c r="A859" s="52"/>
      <c r="B859" s="52"/>
      <c r="C859" s="179"/>
      <c r="D859" s="52"/>
      <c r="E859" s="52"/>
      <c r="F859" s="52"/>
      <c r="G859" s="52"/>
      <c r="H859" s="52"/>
      <c r="I859" s="177"/>
      <c r="J859" s="177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</row>
    <row r="860">
      <c r="A860" s="52"/>
      <c r="B860" s="52"/>
      <c r="C860" s="179"/>
      <c r="D860" s="52"/>
      <c r="E860" s="52"/>
      <c r="F860" s="52"/>
      <c r="G860" s="52"/>
      <c r="H860" s="52"/>
      <c r="I860" s="177"/>
      <c r="J860" s="177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</row>
    <row r="861">
      <c r="A861" s="52"/>
      <c r="B861" s="52"/>
      <c r="C861" s="179"/>
      <c r="D861" s="52"/>
      <c r="E861" s="52"/>
      <c r="F861" s="52"/>
      <c r="G861" s="52"/>
      <c r="H861" s="52"/>
      <c r="I861" s="177"/>
      <c r="J861" s="177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</row>
    <row r="862">
      <c r="A862" s="52"/>
      <c r="B862" s="52"/>
      <c r="C862" s="179"/>
      <c r="D862" s="52"/>
      <c r="E862" s="52"/>
      <c r="F862" s="52"/>
      <c r="G862" s="52"/>
      <c r="H862" s="52"/>
      <c r="I862" s="177"/>
      <c r="J862" s="177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</row>
    <row r="863">
      <c r="A863" s="52"/>
      <c r="B863" s="52"/>
      <c r="C863" s="179"/>
      <c r="D863" s="52"/>
      <c r="E863" s="52"/>
      <c r="F863" s="52"/>
      <c r="G863" s="52"/>
      <c r="H863" s="52"/>
      <c r="I863" s="177"/>
      <c r="J863" s="177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</row>
    <row r="864">
      <c r="A864" s="52"/>
      <c r="B864" s="52"/>
      <c r="C864" s="179"/>
      <c r="D864" s="52"/>
      <c r="E864" s="52"/>
      <c r="F864" s="52"/>
      <c r="G864" s="52"/>
      <c r="H864" s="52"/>
      <c r="I864" s="177"/>
      <c r="J864" s="177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</row>
    <row r="865">
      <c r="A865" s="52"/>
      <c r="B865" s="52"/>
      <c r="C865" s="179"/>
      <c r="D865" s="52"/>
      <c r="E865" s="52"/>
      <c r="F865" s="52"/>
      <c r="G865" s="52"/>
      <c r="H865" s="52"/>
      <c r="I865" s="177"/>
      <c r="J865" s="177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</row>
    <row r="866">
      <c r="A866" s="52"/>
      <c r="B866" s="52"/>
      <c r="C866" s="179"/>
      <c r="D866" s="52"/>
      <c r="E866" s="52"/>
      <c r="F866" s="52"/>
      <c r="G866" s="52"/>
      <c r="H866" s="52"/>
      <c r="I866" s="177"/>
      <c r="J866" s="177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</row>
    <row r="867">
      <c r="A867" s="52"/>
      <c r="B867" s="52"/>
      <c r="C867" s="179"/>
      <c r="D867" s="52"/>
      <c r="E867" s="52"/>
      <c r="F867" s="52"/>
      <c r="G867" s="52"/>
      <c r="H867" s="52"/>
      <c r="I867" s="177"/>
      <c r="J867" s="177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</row>
    <row r="868">
      <c r="A868" s="52"/>
      <c r="B868" s="52"/>
      <c r="C868" s="179"/>
      <c r="D868" s="52"/>
      <c r="E868" s="52"/>
      <c r="F868" s="52"/>
      <c r="G868" s="52"/>
      <c r="H868" s="52"/>
      <c r="I868" s="177"/>
      <c r="J868" s="177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</row>
    <row r="869">
      <c r="A869" s="52"/>
      <c r="B869" s="52"/>
      <c r="C869" s="179"/>
      <c r="D869" s="52"/>
      <c r="E869" s="52"/>
      <c r="F869" s="52"/>
      <c r="G869" s="52"/>
      <c r="H869" s="52"/>
      <c r="I869" s="177"/>
      <c r="J869" s="177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</row>
    <row r="870">
      <c r="A870" s="52"/>
      <c r="B870" s="52"/>
      <c r="C870" s="179"/>
      <c r="D870" s="52"/>
      <c r="E870" s="52"/>
      <c r="F870" s="52"/>
      <c r="G870" s="52"/>
      <c r="H870" s="52"/>
      <c r="I870" s="177"/>
      <c r="J870" s="177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</row>
    <row r="871">
      <c r="A871" s="52"/>
      <c r="B871" s="52"/>
      <c r="C871" s="179"/>
      <c r="D871" s="52"/>
      <c r="E871" s="52"/>
      <c r="F871" s="52"/>
      <c r="G871" s="52"/>
      <c r="H871" s="52"/>
      <c r="I871" s="177"/>
      <c r="J871" s="177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</row>
    <row r="872">
      <c r="A872" s="52"/>
      <c r="B872" s="52"/>
      <c r="C872" s="179"/>
      <c r="D872" s="52"/>
      <c r="E872" s="52"/>
      <c r="F872" s="52"/>
      <c r="G872" s="52"/>
      <c r="H872" s="52"/>
      <c r="I872" s="177"/>
      <c r="J872" s="177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</row>
    <row r="873">
      <c r="A873" s="52"/>
      <c r="B873" s="52"/>
      <c r="C873" s="179"/>
      <c r="D873" s="52"/>
      <c r="E873" s="52"/>
      <c r="F873" s="52"/>
      <c r="G873" s="52"/>
      <c r="H873" s="52"/>
      <c r="I873" s="177"/>
      <c r="J873" s="177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</row>
    <row r="874">
      <c r="A874" s="52"/>
      <c r="B874" s="52"/>
      <c r="C874" s="179"/>
      <c r="D874" s="52"/>
      <c r="E874" s="52"/>
      <c r="F874" s="52"/>
      <c r="G874" s="52"/>
      <c r="H874" s="52"/>
      <c r="I874" s="177"/>
      <c r="J874" s="177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</row>
    <row r="875">
      <c r="A875" s="52"/>
      <c r="B875" s="52"/>
      <c r="C875" s="179"/>
      <c r="D875" s="52"/>
      <c r="E875" s="52"/>
      <c r="F875" s="52"/>
      <c r="G875" s="52"/>
      <c r="H875" s="52"/>
      <c r="I875" s="177"/>
      <c r="J875" s="177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</row>
    <row r="876">
      <c r="A876" s="52"/>
      <c r="B876" s="52"/>
      <c r="C876" s="179"/>
      <c r="D876" s="52"/>
      <c r="E876" s="52"/>
      <c r="F876" s="52"/>
      <c r="G876" s="52"/>
      <c r="H876" s="52"/>
      <c r="I876" s="177"/>
      <c r="J876" s="177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</row>
    <row r="877">
      <c r="A877" s="52"/>
      <c r="B877" s="52"/>
      <c r="C877" s="179"/>
      <c r="D877" s="52"/>
      <c r="E877" s="52"/>
      <c r="F877" s="52"/>
      <c r="G877" s="52"/>
      <c r="H877" s="52"/>
      <c r="I877" s="177"/>
      <c r="J877" s="177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</row>
    <row r="878">
      <c r="A878" s="52"/>
      <c r="B878" s="52"/>
      <c r="C878" s="179"/>
      <c r="D878" s="52"/>
      <c r="E878" s="52"/>
      <c r="F878" s="52"/>
      <c r="G878" s="52"/>
      <c r="H878" s="52"/>
      <c r="I878" s="177"/>
      <c r="J878" s="177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</row>
    <row r="879">
      <c r="A879" s="52"/>
      <c r="B879" s="52"/>
      <c r="C879" s="179"/>
      <c r="D879" s="52"/>
      <c r="E879" s="52"/>
      <c r="F879" s="52"/>
      <c r="G879" s="52"/>
      <c r="H879" s="52"/>
      <c r="I879" s="177"/>
      <c r="J879" s="177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</row>
    <row r="880">
      <c r="A880" s="52"/>
      <c r="B880" s="52"/>
      <c r="C880" s="179"/>
      <c r="D880" s="52"/>
      <c r="E880" s="52"/>
      <c r="F880" s="52"/>
      <c r="G880" s="52"/>
      <c r="H880" s="52"/>
      <c r="I880" s="177"/>
      <c r="J880" s="177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</row>
    <row r="881">
      <c r="A881" s="52"/>
      <c r="B881" s="52"/>
      <c r="C881" s="179"/>
      <c r="D881" s="52"/>
      <c r="E881" s="52"/>
      <c r="F881" s="52"/>
      <c r="G881" s="52"/>
      <c r="H881" s="52"/>
      <c r="I881" s="177"/>
      <c r="J881" s="177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</row>
    <row r="882">
      <c r="A882" s="52"/>
      <c r="B882" s="52"/>
      <c r="C882" s="179"/>
      <c r="D882" s="52"/>
      <c r="E882" s="52"/>
      <c r="F882" s="52"/>
      <c r="G882" s="52"/>
      <c r="H882" s="52"/>
      <c r="I882" s="177"/>
      <c r="J882" s="177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</row>
    <row r="883">
      <c r="A883" s="52"/>
      <c r="B883" s="52"/>
      <c r="C883" s="179"/>
      <c r="D883" s="52"/>
      <c r="E883" s="52"/>
      <c r="F883" s="52"/>
      <c r="G883" s="52"/>
      <c r="H883" s="52"/>
      <c r="I883" s="177"/>
      <c r="J883" s="177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</row>
    <row r="884">
      <c r="A884" s="52"/>
      <c r="B884" s="52"/>
      <c r="C884" s="179"/>
      <c r="D884" s="52"/>
      <c r="E884" s="52"/>
      <c r="F884" s="52"/>
      <c r="G884" s="52"/>
      <c r="H884" s="52"/>
      <c r="I884" s="177"/>
      <c r="J884" s="177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</row>
    <row r="885">
      <c r="A885" s="52"/>
      <c r="B885" s="52"/>
      <c r="C885" s="179"/>
      <c r="D885" s="52"/>
      <c r="E885" s="52"/>
      <c r="F885" s="52"/>
      <c r="G885" s="52"/>
      <c r="H885" s="52"/>
      <c r="I885" s="177"/>
      <c r="J885" s="177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</row>
    <row r="886">
      <c r="A886" s="52"/>
      <c r="B886" s="52"/>
      <c r="C886" s="179"/>
      <c r="D886" s="52"/>
      <c r="E886" s="52"/>
      <c r="F886" s="52"/>
      <c r="G886" s="52"/>
      <c r="H886" s="52"/>
      <c r="I886" s="177"/>
      <c r="J886" s="177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</row>
    <row r="887">
      <c r="A887" s="52"/>
      <c r="B887" s="52"/>
      <c r="C887" s="179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</row>
    <row r="888">
      <c r="A888" s="52"/>
      <c r="B888" s="52"/>
      <c r="C888" s="179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</row>
    <row r="889">
      <c r="A889" s="52"/>
      <c r="B889" s="52"/>
      <c r="C889" s="179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</row>
    <row r="890">
      <c r="A890" s="52"/>
      <c r="B890" s="52"/>
      <c r="C890" s="179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</row>
    <row r="891">
      <c r="A891" s="52"/>
      <c r="B891" s="52"/>
      <c r="C891" s="179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</row>
    <row r="892">
      <c r="A892" s="52"/>
      <c r="B892" s="52"/>
      <c r="C892" s="179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</row>
    <row r="893">
      <c r="A893" s="52"/>
      <c r="B893" s="52"/>
      <c r="C893" s="179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</row>
    <row r="894">
      <c r="A894" s="52"/>
      <c r="B894" s="52"/>
      <c r="C894" s="179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</row>
    <row r="895">
      <c r="A895" s="52"/>
      <c r="B895" s="52"/>
      <c r="C895" s="179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</row>
    <row r="896">
      <c r="A896" s="52"/>
      <c r="B896" s="52"/>
      <c r="C896" s="179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</row>
    <row r="897">
      <c r="A897" s="52"/>
      <c r="B897" s="52"/>
      <c r="C897" s="179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</row>
    <row r="898">
      <c r="A898" s="52"/>
      <c r="B898" s="52"/>
      <c r="C898" s="179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</row>
    <row r="899">
      <c r="A899" s="52"/>
      <c r="B899" s="52"/>
      <c r="C899" s="179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</row>
    <row r="900">
      <c r="A900" s="52"/>
      <c r="B900" s="52"/>
      <c r="C900" s="179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</row>
    <row r="901">
      <c r="A901" s="52"/>
      <c r="B901" s="52"/>
      <c r="C901" s="179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</row>
    <row r="902">
      <c r="A902" s="52"/>
      <c r="B902" s="52"/>
      <c r="C902" s="179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</row>
    <row r="903">
      <c r="A903" s="52"/>
      <c r="B903" s="52"/>
      <c r="C903" s="179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</row>
    <row r="904">
      <c r="A904" s="52"/>
      <c r="B904" s="52"/>
      <c r="C904" s="179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</row>
    <row r="905">
      <c r="A905" s="52"/>
      <c r="B905" s="52"/>
      <c r="C905" s="179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</row>
    <row r="906">
      <c r="A906" s="52"/>
      <c r="B906" s="52"/>
      <c r="C906" s="179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</row>
    <row r="907">
      <c r="A907" s="52"/>
      <c r="B907" s="52"/>
      <c r="C907" s="179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</row>
    <row r="908">
      <c r="A908" s="52"/>
      <c r="B908" s="52"/>
      <c r="C908" s="179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</row>
    <row r="909">
      <c r="A909" s="52"/>
      <c r="B909" s="52"/>
      <c r="C909" s="179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</row>
    <row r="910">
      <c r="A910" s="52"/>
      <c r="B910" s="52"/>
      <c r="C910" s="179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</row>
    <row r="911">
      <c r="A911" s="52"/>
      <c r="B911" s="52"/>
      <c r="C911" s="179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</row>
    <row r="912">
      <c r="A912" s="52"/>
      <c r="B912" s="52"/>
      <c r="C912" s="179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</row>
    <row r="913">
      <c r="A913" s="52"/>
      <c r="B913" s="52"/>
      <c r="C913" s="179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</row>
    <row r="914">
      <c r="A914" s="52"/>
      <c r="B914" s="52"/>
      <c r="C914" s="179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</row>
    <row r="915">
      <c r="A915" s="52"/>
      <c r="B915" s="52"/>
      <c r="C915" s="179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</row>
    <row r="916">
      <c r="A916" s="52"/>
      <c r="B916" s="52"/>
      <c r="C916" s="179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</row>
    <row r="917">
      <c r="A917" s="52"/>
      <c r="B917" s="52"/>
      <c r="C917" s="179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</row>
    <row r="918">
      <c r="A918" s="52"/>
      <c r="B918" s="52"/>
      <c r="C918" s="179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</row>
    <row r="919">
      <c r="A919" s="52"/>
      <c r="B919" s="52"/>
      <c r="C919" s="179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</row>
    <row r="920">
      <c r="A920" s="52"/>
      <c r="B920" s="52"/>
      <c r="C920" s="179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</row>
    <row r="921">
      <c r="A921" s="52"/>
      <c r="B921" s="52"/>
      <c r="C921" s="179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</row>
    <row r="922">
      <c r="A922" s="52"/>
      <c r="B922" s="52"/>
      <c r="C922" s="179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</row>
    <row r="923">
      <c r="A923" s="52"/>
      <c r="B923" s="52"/>
      <c r="C923" s="179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</row>
    <row r="924">
      <c r="A924" s="52"/>
      <c r="B924" s="52"/>
      <c r="C924" s="179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</row>
    <row r="925">
      <c r="A925" s="52"/>
      <c r="B925" s="52"/>
      <c r="C925" s="179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</row>
    <row r="926">
      <c r="A926" s="52"/>
      <c r="B926" s="52"/>
      <c r="C926" s="179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</row>
    <row r="927">
      <c r="A927" s="52"/>
      <c r="B927" s="52"/>
      <c r="C927" s="179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</row>
    <row r="928">
      <c r="A928" s="52"/>
      <c r="B928" s="52"/>
      <c r="C928" s="179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</row>
    <row r="929">
      <c r="A929" s="52"/>
      <c r="B929" s="52"/>
      <c r="C929" s="179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</row>
    <row r="930">
      <c r="A930" s="52"/>
      <c r="B930" s="52"/>
      <c r="C930" s="179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</row>
    <row r="931">
      <c r="A931" s="52"/>
      <c r="B931" s="52"/>
      <c r="C931" s="179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</row>
    <row r="932">
      <c r="A932" s="52"/>
      <c r="B932" s="52"/>
      <c r="C932" s="179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</row>
    <row r="933">
      <c r="A933" s="52"/>
      <c r="B933" s="52"/>
      <c r="C933" s="179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</row>
    <row r="934">
      <c r="A934" s="52"/>
      <c r="B934" s="52"/>
      <c r="C934" s="179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</row>
    <row r="935">
      <c r="A935" s="52"/>
      <c r="B935" s="52"/>
      <c r="C935" s="179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</row>
    <row r="936">
      <c r="A936" s="52"/>
      <c r="B936" s="52"/>
      <c r="C936" s="179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</row>
    <row r="937">
      <c r="A937" s="52"/>
      <c r="B937" s="52"/>
      <c r="C937" s="179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</row>
    <row r="938">
      <c r="A938" s="52"/>
      <c r="B938" s="52"/>
      <c r="C938" s="179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</row>
    <row r="939">
      <c r="A939" s="52"/>
      <c r="B939" s="52"/>
      <c r="C939" s="179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</row>
    <row r="940">
      <c r="A940" s="52"/>
      <c r="B940" s="52"/>
      <c r="C940" s="179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</row>
    <row r="941">
      <c r="A941" s="52"/>
      <c r="B941" s="52"/>
      <c r="C941" s="179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</row>
    <row r="942">
      <c r="A942" s="52"/>
      <c r="B942" s="52"/>
      <c r="C942" s="179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</row>
    <row r="943">
      <c r="A943" s="52"/>
      <c r="B943" s="52"/>
      <c r="C943" s="179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</row>
    <row r="944">
      <c r="A944" s="52"/>
      <c r="B944" s="52"/>
      <c r="C944" s="179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</row>
    <row r="945">
      <c r="A945" s="52"/>
      <c r="B945" s="52"/>
      <c r="C945" s="179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</row>
    <row r="946">
      <c r="A946" s="52"/>
      <c r="B946" s="52"/>
      <c r="C946" s="179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</row>
    <row r="947">
      <c r="A947" s="52"/>
      <c r="B947" s="52"/>
      <c r="C947" s="179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</row>
    <row r="948">
      <c r="A948" s="52"/>
      <c r="B948" s="52"/>
      <c r="C948" s="179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</row>
    <row r="949">
      <c r="A949" s="52"/>
      <c r="B949" s="52"/>
      <c r="C949" s="179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</row>
    <row r="950">
      <c r="A950" s="52"/>
      <c r="B950" s="52"/>
      <c r="C950" s="179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</row>
    <row r="951">
      <c r="A951" s="52"/>
      <c r="B951" s="52"/>
      <c r="C951" s="179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</row>
    <row r="952">
      <c r="A952" s="52"/>
      <c r="B952" s="52"/>
      <c r="C952" s="179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</row>
    <row r="953">
      <c r="A953" s="52"/>
      <c r="B953" s="52"/>
      <c r="C953" s="179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</row>
    <row r="954">
      <c r="A954" s="52"/>
      <c r="B954" s="52"/>
      <c r="C954" s="179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</row>
    <row r="955">
      <c r="A955" s="52"/>
      <c r="B955" s="52"/>
      <c r="C955" s="179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</row>
    <row r="956">
      <c r="A956" s="52"/>
      <c r="B956" s="52"/>
      <c r="C956" s="179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</row>
    <row r="957">
      <c r="A957" s="52"/>
      <c r="B957" s="52"/>
      <c r="C957" s="179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</row>
    <row r="958">
      <c r="A958" s="52"/>
      <c r="B958" s="52"/>
      <c r="C958" s="179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</row>
    <row r="959">
      <c r="A959" s="52"/>
      <c r="B959" s="52"/>
      <c r="C959" s="179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</row>
    <row r="960">
      <c r="A960" s="52"/>
      <c r="B960" s="52"/>
      <c r="C960" s="179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</row>
    <row r="961">
      <c r="A961" s="52"/>
      <c r="B961" s="52"/>
      <c r="C961" s="179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</row>
    <row r="962">
      <c r="A962" s="52"/>
      <c r="B962" s="52"/>
      <c r="C962" s="179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</row>
    <row r="963">
      <c r="A963" s="52"/>
      <c r="B963" s="52"/>
      <c r="C963" s="179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</row>
  </sheetData>
  <autoFilter ref="$A$3:$BC$24"/>
  <mergeCells count="5">
    <mergeCell ref="H2:M2"/>
    <mergeCell ref="N2:O2"/>
    <mergeCell ref="P2:R2"/>
    <mergeCell ref="V2:AA2"/>
    <mergeCell ref="AB2:AD2"/>
  </mergeCells>
  <conditionalFormatting sqref="T5:T49">
    <cfRule type="cellIs" dxfId="1" priority="1" operator="equal">
      <formula>"แล้วเสร็จ"</formula>
    </cfRule>
  </conditionalFormatting>
  <conditionalFormatting sqref="T5:T49">
    <cfRule type="cellIs" dxfId="2" priority="2" operator="equal">
      <formula>"เลยกำหนด"</formula>
    </cfRule>
  </conditionalFormatting>
  <conditionalFormatting sqref="T5:T49">
    <cfRule type="cellIs" dxfId="3" priority="3" operator="equal">
      <formula>"อยู่ในกำหนด"</formula>
    </cfRule>
  </conditionalFormatting>
  <dataValidations>
    <dataValidation type="list" allowBlank="1" showErrorMessage="1" sqref="U5:U49">
      <formula1>"เสนอราคา,CONSTRUCTION,HOLD,รอPO,ส่งมอบแล้ว,เปิด PO แล้ว,Review GP แล้ว"</formula1>
    </dataValidation>
    <dataValidation type="list" allowBlank="1" showErrorMessage="1" sqref="A5:A49">
      <formula1>"Q1,Q2,Q3,Q4"</formula1>
    </dataValidation>
    <dataValidation type="list" allowBlank="1" showErrorMessage="1" sqref="AC5:AC49">
      <formula1>"P'PANG,P'YING,P'HACK,P'JOSH,P'PHON"</formula1>
    </dataValidation>
    <dataValidation type="list" allowBlank="1" showErrorMessage="1" sqref="M5:M49">
      <formula1>"B2C,B2B,ORI"</formula1>
    </dataValidation>
    <dataValidation type="list" allowBlank="1" showErrorMessage="1" sqref="AB5:AB49">
      <formula1>"TANGKWA,NOON,EYE,KARN,AUN"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8.5"/>
    <col customWidth="1" min="3" max="3" width="11.25"/>
    <col customWidth="1" min="4" max="4" width="8.75"/>
    <col customWidth="1" min="5" max="5" width="19.25"/>
    <col customWidth="1" min="6" max="6" width="18.88"/>
    <col customWidth="1" min="7" max="7" width="19.25"/>
    <col customWidth="1" min="8" max="8" width="40.25"/>
    <col customWidth="1" min="9" max="10" width="14.25"/>
    <col customWidth="1" min="11" max="11" width="16.88"/>
    <col customWidth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24.13"/>
  </cols>
  <sheetData>
    <row r="1">
      <c r="A1" s="1"/>
      <c r="B1" s="2"/>
      <c r="C1" s="2"/>
      <c r="D1" s="2"/>
      <c r="E1" s="4"/>
      <c r="F1" s="4"/>
      <c r="G1" s="4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42"/>
      <c r="F3" s="42"/>
      <c r="G3" s="42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49" t="s">
        <v>29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33</v>
      </c>
      <c r="C4" s="53" t="s">
        <v>36</v>
      </c>
      <c r="D4" s="56"/>
      <c r="E4" s="59"/>
      <c r="F4" s="60"/>
      <c r="G4" s="60"/>
      <c r="H4" s="62" t="s">
        <v>43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78" t="s">
        <v>55</v>
      </c>
      <c r="F5" s="78" t="s">
        <v>60</v>
      </c>
      <c r="G5" s="78" t="s">
        <v>61</v>
      </c>
      <c r="H5" s="76" t="s">
        <v>63</v>
      </c>
      <c r="I5" s="84">
        <f>11300/1.07</f>
        <v>10560.74766</v>
      </c>
      <c r="J5" s="86">
        <v>4800.0</v>
      </c>
      <c r="K5" s="87">
        <f t="shared" ref="K5:K7" si="1">I5-J5</f>
        <v>5760.747664</v>
      </c>
      <c r="L5" s="88">
        <f t="shared" ref="L5:L7" si="2">K5/I5</f>
        <v>0.5454867257</v>
      </c>
      <c r="M5" s="86">
        <v>4500.0</v>
      </c>
      <c r="N5" s="87">
        <f t="shared" ref="N5:N7" si="3">I5-M5</f>
        <v>6060.747664</v>
      </c>
      <c r="O5" s="88">
        <f t="shared" ref="O5:O7" si="4">N5/I5</f>
        <v>0.5738938053</v>
      </c>
      <c r="P5" s="55" t="s">
        <v>76</v>
      </c>
      <c r="Q5" s="97">
        <v>46203.0</v>
      </c>
      <c r="R5" s="99" t="s">
        <v>82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23"/>
      <c r="F6" s="23"/>
      <c r="G6" s="23"/>
      <c r="H6" s="76" t="s">
        <v>87</v>
      </c>
      <c r="I6" s="84">
        <f>5400/1.07</f>
        <v>5046.728972</v>
      </c>
      <c r="J6" s="86">
        <v>2200.0</v>
      </c>
      <c r="K6" s="87">
        <f t="shared" si="1"/>
        <v>2846.728972</v>
      </c>
      <c r="L6" s="88">
        <f t="shared" si="2"/>
        <v>0.5640740741</v>
      </c>
      <c r="M6" s="86">
        <v>1800.0</v>
      </c>
      <c r="N6" s="87">
        <f t="shared" si="3"/>
        <v>3246.728972</v>
      </c>
      <c r="O6" s="88">
        <f t="shared" si="4"/>
        <v>0.6433333333</v>
      </c>
      <c r="P6" s="23"/>
      <c r="Q6" s="23"/>
      <c r="R6" s="2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101"/>
      <c r="F7" s="101"/>
      <c r="G7" s="101"/>
      <c r="H7" s="76" t="s">
        <v>83</v>
      </c>
      <c r="I7" s="84">
        <v>0.0</v>
      </c>
      <c r="J7" s="86">
        <v>1500.0</v>
      </c>
      <c r="K7" s="87">
        <f t="shared" si="1"/>
        <v>-1500</v>
      </c>
      <c r="L7" s="88" t="str">
        <f t="shared" si="2"/>
        <v>#DIV/0!</v>
      </c>
      <c r="M7" s="86">
        <v>1500.0</v>
      </c>
      <c r="N7" s="87">
        <f t="shared" si="3"/>
        <v>-1500</v>
      </c>
      <c r="O7" s="88" t="str">
        <f t="shared" si="4"/>
        <v>#DIV/0!</v>
      </c>
      <c r="P7" s="101"/>
      <c r="Q7" s="101"/>
      <c r="R7" s="100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104"/>
      <c r="F8" s="104"/>
      <c r="G8" s="104"/>
      <c r="H8" s="76" t="s">
        <v>91</v>
      </c>
      <c r="I8" s="102">
        <f>-3340/1.07</f>
        <v>-3121.495327</v>
      </c>
      <c r="J8" s="86">
        <v>-500.0</v>
      </c>
      <c r="K8" s="87"/>
      <c r="L8" s="74"/>
      <c r="M8" s="87"/>
      <c r="N8" s="86"/>
      <c r="O8" s="103"/>
      <c r="P8" s="59"/>
      <c r="Q8" s="105"/>
      <c r="R8" s="9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104"/>
      <c r="F9" s="104"/>
      <c r="G9" s="104"/>
      <c r="H9" s="109"/>
      <c r="I9" s="102">
        <f>-3000/1.07</f>
        <v>-2803.738318</v>
      </c>
      <c r="J9" s="87"/>
      <c r="K9" s="87"/>
      <c r="L9" s="74"/>
      <c r="M9" s="87"/>
      <c r="N9" s="86"/>
      <c r="O9" s="103"/>
      <c r="P9" s="59"/>
      <c r="Q9" s="105"/>
      <c r="R9" s="9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4"/>
      <c r="F10" s="104"/>
      <c r="G10" s="104"/>
      <c r="H10" s="109"/>
      <c r="I10" s="102">
        <f>-360/1.07</f>
        <v>-336.4485981</v>
      </c>
      <c r="J10" s="87"/>
      <c r="K10" s="87"/>
      <c r="L10" s="74"/>
      <c r="M10" s="87"/>
      <c r="N10" s="86"/>
      <c r="O10" s="103"/>
      <c r="P10" s="59"/>
      <c r="Q10" s="105"/>
      <c r="R10" s="9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04"/>
      <c r="F11" s="104"/>
      <c r="G11" s="104"/>
      <c r="H11" s="109"/>
      <c r="I11" s="114"/>
      <c r="J11" s="87"/>
      <c r="K11" s="87"/>
      <c r="L11" s="74"/>
      <c r="M11" s="87"/>
      <c r="N11" s="86"/>
      <c r="O11" s="103"/>
      <c r="P11" s="59"/>
      <c r="Q11" s="105"/>
      <c r="R11" s="98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04"/>
      <c r="F12" s="104"/>
      <c r="G12" s="104"/>
      <c r="H12" s="109"/>
      <c r="I12" s="114"/>
      <c r="J12" s="87"/>
      <c r="K12" s="87"/>
      <c r="L12" s="74"/>
      <c r="M12" s="87"/>
      <c r="N12" s="86"/>
      <c r="O12" s="103"/>
      <c r="P12" s="59"/>
      <c r="Q12" s="105"/>
      <c r="R12" s="9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04"/>
      <c r="F13" s="104"/>
      <c r="G13" s="104"/>
      <c r="H13" s="109"/>
      <c r="I13" s="114"/>
      <c r="J13" s="87"/>
      <c r="K13" s="87"/>
      <c r="L13" s="74"/>
      <c r="M13" s="87"/>
      <c r="N13" s="86"/>
      <c r="O13" s="103"/>
      <c r="P13" s="59"/>
      <c r="Q13" s="105"/>
      <c r="R13" s="98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04"/>
      <c r="F14" s="104"/>
      <c r="G14" s="104"/>
      <c r="H14" s="109"/>
      <c r="I14" s="114"/>
      <c r="J14" s="87"/>
      <c r="K14" s="87"/>
      <c r="L14" s="74"/>
      <c r="M14" s="87"/>
      <c r="N14" s="86"/>
      <c r="O14" s="103"/>
      <c r="P14" s="59"/>
      <c r="Q14" s="105"/>
      <c r="R14" s="98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04"/>
      <c r="F15" s="104"/>
      <c r="G15" s="104"/>
      <c r="H15" s="109"/>
      <c r="I15" s="114"/>
      <c r="J15" s="87"/>
      <c r="K15" s="87"/>
      <c r="L15" s="74"/>
      <c r="M15" s="87"/>
      <c r="N15" s="86"/>
      <c r="O15" s="103"/>
      <c r="P15" s="59"/>
      <c r="Q15" s="105"/>
      <c r="R15" s="98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04"/>
      <c r="F16" s="104"/>
      <c r="G16" s="104"/>
      <c r="H16" s="109"/>
      <c r="I16" s="114"/>
      <c r="J16" s="87"/>
      <c r="K16" s="87"/>
      <c r="L16" s="74"/>
      <c r="M16" s="87"/>
      <c r="N16" s="86"/>
      <c r="O16" s="103"/>
      <c r="P16" s="59"/>
      <c r="Q16" s="105"/>
      <c r="R16" s="9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104"/>
      <c r="F17" s="104"/>
      <c r="G17" s="104"/>
      <c r="H17" s="109"/>
      <c r="I17" s="114"/>
      <c r="J17" s="87"/>
      <c r="K17" s="87"/>
      <c r="L17" s="74"/>
      <c r="M17" s="87"/>
      <c r="N17" s="86"/>
      <c r="O17" s="103"/>
      <c r="P17" s="59"/>
      <c r="Q17" s="105"/>
      <c r="R17" s="98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04"/>
      <c r="F18" s="104"/>
      <c r="G18" s="104"/>
      <c r="H18" s="109"/>
      <c r="I18" s="114"/>
      <c r="J18" s="87"/>
      <c r="K18" s="87"/>
      <c r="L18" s="74"/>
      <c r="M18" s="87"/>
      <c r="N18" s="86"/>
      <c r="O18" s="103"/>
      <c r="P18" s="59"/>
      <c r="Q18" s="105"/>
      <c r="R18" s="98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13" t="str">
        <f t="shared" ref="B19:C19" si="5">B4</f>
        <v>The Origin Sukhumvit-Praksa</v>
      </c>
      <c r="C19" s="113" t="str">
        <f t="shared" si="5"/>
        <v>Room 2514</v>
      </c>
      <c r="D19" s="115">
        <f>SUM(D4:D18)</f>
        <v>0</v>
      </c>
      <c r="E19" s="116"/>
      <c r="F19" s="116"/>
      <c r="G19" s="116"/>
      <c r="H19" s="117" t="s">
        <v>95</v>
      </c>
      <c r="I19" s="118">
        <f>SUM(I5:I17)</f>
        <v>9345.794393</v>
      </c>
      <c r="J19" s="118">
        <f>SUM(J4:J18)</f>
        <v>8000</v>
      </c>
      <c r="K19" s="118">
        <f>I19-J19</f>
        <v>1345.794393</v>
      </c>
      <c r="L19" s="119">
        <f>K19/I19</f>
        <v>0.144</v>
      </c>
      <c r="M19" s="118">
        <f>SUM(M4:M18)</f>
        <v>7800</v>
      </c>
      <c r="N19" s="118">
        <f>I19-M19</f>
        <v>1545.794393</v>
      </c>
      <c r="O19" s="119">
        <f>N19/I19</f>
        <v>0.1654</v>
      </c>
      <c r="P19" s="120"/>
      <c r="Q19" s="121"/>
      <c r="R19" s="11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22"/>
      <c r="B20" s="123"/>
      <c r="C20" s="124"/>
      <c r="D20" s="124"/>
      <c r="E20" s="125"/>
      <c r="F20" s="125"/>
      <c r="G20" s="125"/>
      <c r="H20" s="126"/>
      <c r="I20" s="127"/>
      <c r="J20" s="127"/>
      <c r="K20" s="127"/>
      <c r="L20" s="128"/>
      <c r="M20" s="127"/>
      <c r="N20" s="127"/>
      <c r="O20" s="128"/>
      <c r="P20" s="125"/>
      <c r="Q20" s="125"/>
      <c r="R20" s="125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</row>
    <row r="21">
      <c r="A21" s="1"/>
      <c r="B21" s="1"/>
      <c r="C21" s="1"/>
      <c r="D21" s="1"/>
      <c r="E21" s="131"/>
      <c r="F21" s="131"/>
      <c r="G21" s="131"/>
      <c r="H21" s="1"/>
      <c r="I21" s="1"/>
      <c r="J21" s="1"/>
      <c r="K21" s="1"/>
      <c r="L21" s="1"/>
      <c r="M21" s="1"/>
      <c r="N21" s="1"/>
      <c r="O21" s="1"/>
      <c r="P21" s="1"/>
      <c r="Q21" s="13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1"/>
      <c r="D22" s="1"/>
      <c r="E22" s="131"/>
      <c r="F22" s="131"/>
      <c r="G22" s="131"/>
      <c r="H22" s="1"/>
      <c r="I22" s="132"/>
      <c r="J22" s="1"/>
      <c r="K22" s="1"/>
      <c r="L22" s="1"/>
      <c r="M22" s="1"/>
      <c r="N22" s="1"/>
      <c r="O22" s="1"/>
      <c r="P22" s="1"/>
      <c r="Q22" s="13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31"/>
      <c r="F23" s="131"/>
      <c r="G23" s="131"/>
      <c r="H23" s="1"/>
      <c r="I23" s="1"/>
      <c r="J23" s="1"/>
      <c r="K23" s="1"/>
      <c r="L23" s="1"/>
      <c r="M23" s="1"/>
      <c r="N23" s="1"/>
      <c r="O23" s="1"/>
      <c r="P23" s="1"/>
      <c r="Q23" s="1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31"/>
      <c r="F24" s="131"/>
      <c r="G24" s="131"/>
      <c r="H24" s="1"/>
      <c r="I24" s="1"/>
      <c r="J24" s="1"/>
      <c r="K24" s="1"/>
      <c r="L24" s="1"/>
      <c r="M24" s="1"/>
      <c r="N24" s="1"/>
      <c r="O24" s="1"/>
      <c r="P24" s="1"/>
      <c r="Q24" s="13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31"/>
      <c r="F25" s="131"/>
      <c r="G25" s="131"/>
      <c r="H25" s="1"/>
      <c r="I25" s="1"/>
      <c r="J25" s="1"/>
      <c r="K25" s="1"/>
      <c r="L25" s="1"/>
      <c r="M25" s="1"/>
      <c r="N25" s="1"/>
      <c r="O25" s="1"/>
      <c r="P25" s="1"/>
      <c r="Q25" s="13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31"/>
      <c r="F26" s="131"/>
      <c r="G26" s="131"/>
      <c r="H26" s="1"/>
      <c r="I26" s="1"/>
      <c r="J26" s="1"/>
      <c r="K26" s="1"/>
      <c r="L26" s="1"/>
      <c r="M26" s="1"/>
      <c r="N26" s="1"/>
      <c r="O26" s="1"/>
      <c r="P26" s="1"/>
      <c r="Q26" s="13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31"/>
      <c r="F27" s="131"/>
      <c r="G27" s="131"/>
      <c r="H27" s="1"/>
      <c r="I27" s="1"/>
      <c r="J27" s="1"/>
      <c r="K27" s="1"/>
      <c r="L27" s="1"/>
      <c r="M27" s="1"/>
      <c r="N27" s="1"/>
      <c r="O27" s="1"/>
      <c r="P27" s="1"/>
      <c r="Q27" s="13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"/>
      <c r="D28" s="1"/>
      <c r="E28" s="131"/>
      <c r="F28" s="131"/>
      <c r="G28" s="131"/>
      <c r="H28" s="1"/>
      <c r="I28" s="1"/>
      <c r="J28" s="1"/>
      <c r="K28" s="1"/>
      <c r="L28" s="1"/>
      <c r="M28" s="1"/>
      <c r="N28" s="1"/>
      <c r="O28" s="1"/>
      <c r="P28" s="1"/>
      <c r="Q28" s="13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31"/>
      <c r="F29" s="131"/>
      <c r="G29" s="131"/>
      <c r="H29" s="1"/>
      <c r="I29" s="1"/>
      <c r="J29" s="1"/>
      <c r="K29" s="1"/>
      <c r="L29" s="1"/>
      <c r="M29" s="1"/>
      <c r="N29" s="1"/>
      <c r="O29" s="1"/>
      <c r="P29" s="1"/>
      <c r="Q29" s="13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131"/>
      <c r="F30" s="131"/>
      <c r="G30" s="131"/>
      <c r="H30" s="1"/>
      <c r="I30" s="1"/>
      <c r="J30" s="1"/>
      <c r="K30" s="1"/>
      <c r="L30" s="1"/>
      <c r="M30" s="1"/>
      <c r="N30" s="1"/>
      <c r="O30" s="1"/>
      <c r="P30" s="1"/>
      <c r="Q30" s="13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31"/>
      <c r="F31" s="131"/>
      <c r="G31" s="131"/>
      <c r="H31" s="1"/>
      <c r="I31" s="1"/>
      <c r="J31" s="1"/>
      <c r="K31" s="1"/>
      <c r="L31" s="1"/>
      <c r="M31" s="1"/>
      <c r="N31" s="1"/>
      <c r="O31" s="1"/>
      <c r="P31" s="1"/>
      <c r="Q31" s="13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31"/>
      <c r="F32" s="131"/>
      <c r="G32" s="131"/>
      <c r="H32" s="1"/>
      <c r="I32" s="1"/>
      <c r="J32" s="1"/>
      <c r="K32" s="1"/>
      <c r="L32" s="1"/>
      <c r="M32" s="1"/>
      <c r="N32" s="1"/>
      <c r="O32" s="1"/>
      <c r="P32" s="1"/>
      <c r="Q32" s="13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31"/>
      <c r="F33" s="131"/>
      <c r="G33" s="131"/>
      <c r="H33" s="1"/>
      <c r="I33" s="1"/>
      <c r="J33" s="1"/>
      <c r="K33" s="1"/>
      <c r="L33" s="1"/>
      <c r="M33" s="1"/>
      <c r="N33" s="1"/>
      <c r="O33" s="1"/>
      <c r="P33" s="1"/>
      <c r="Q33" s="13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31"/>
      <c r="F34" s="131"/>
      <c r="G34" s="131"/>
      <c r="H34" s="1"/>
      <c r="I34" s="1"/>
      <c r="J34" s="1"/>
      <c r="K34" s="1"/>
      <c r="L34" s="1"/>
      <c r="M34" s="1"/>
      <c r="N34" s="1"/>
      <c r="O34" s="1"/>
      <c r="P34" s="1"/>
      <c r="Q34" s="13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31"/>
      <c r="F35" s="131"/>
      <c r="G35" s="131"/>
      <c r="H35" s="1"/>
      <c r="I35" s="1"/>
      <c r="J35" s="1"/>
      <c r="K35" s="1"/>
      <c r="L35" s="1"/>
      <c r="M35" s="1"/>
      <c r="N35" s="1"/>
      <c r="O35" s="1"/>
      <c r="P35" s="1"/>
      <c r="Q35" s="13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31"/>
      <c r="F36" s="131"/>
      <c r="G36" s="131"/>
      <c r="H36" s="1"/>
      <c r="I36" s="1"/>
      <c r="J36" s="1"/>
      <c r="K36" s="1"/>
      <c r="L36" s="1"/>
      <c r="M36" s="1"/>
      <c r="N36" s="1"/>
      <c r="O36" s="1"/>
      <c r="P36" s="1"/>
      <c r="Q36" s="13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31"/>
      <c r="F37" s="131"/>
      <c r="G37" s="131"/>
      <c r="H37" s="1"/>
      <c r="I37" s="1"/>
      <c r="J37" s="1"/>
      <c r="K37" s="1"/>
      <c r="L37" s="1"/>
      <c r="M37" s="1"/>
      <c r="N37" s="1"/>
      <c r="O37" s="1"/>
      <c r="P37" s="1"/>
      <c r="Q37" s="13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31"/>
      <c r="F38" s="131"/>
      <c r="G38" s="131"/>
      <c r="H38" s="1"/>
      <c r="I38" s="1"/>
      <c r="J38" s="1"/>
      <c r="K38" s="1"/>
      <c r="L38" s="1"/>
      <c r="M38" s="1"/>
      <c r="N38" s="1"/>
      <c r="O38" s="1"/>
      <c r="P38" s="1"/>
      <c r="Q38" s="13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31"/>
      <c r="F39" s="131"/>
      <c r="G39" s="131"/>
      <c r="H39" s="1"/>
      <c r="I39" s="1"/>
      <c r="J39" s="1"/>
      <c r="K39" s="1"/>
      <c r="L39" s="1"/>
      <c r="M39" s="1"/>
      <c r="N39" s="1"/>
      <c r="O39" s="1"/>
      <c r="P39" s="1"/>
      <c r="Q39" s="13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31"/>
      <c r="F40" s="131"/>
      <c r="G40" s="131"/>
      <c r="H40" s="1"/>
      <c r="I40" s="1"/>
      <c r="J40" s="1"/>
      <c r="K40" s="1"/>
      <c r="L40" s="1"/>
      <c r="M40" s="1"/>
      <c r="N40" s="1"/>
      <c r="O40" s="1"/>
      <c r="P40" s="1"/>
      <c r="Q40" s="13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31"/>
      <c r="F41" s="131"/>
      <c r="G41" s="131"/>
      <c r="H41" s="1"/>
      <c r="I41" s="1"/>
      <c r="J41" s="1"/>
      <c r="K41" s="1"/>
      <c r="L41" s="1"/>
      <c r="M41" s="1"/>
      <c r="N41" s="1"/>
      <c r="O41" s="1"/>
      <c r="P41" s="1"/>
      <c r="Q41" s="13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31"/>
      <c r="F42" s="131"/>
      <c r="G42" s="131"/>
      <c r="H42" s="1"/>
      <c r="I42" s="1"/>
      <c r="J42" s="1"/>
      <c r="K42" s="1"/>
      <c r="L42" s="1"/>
      <c r="M42" s="1"/>
      <c r="N42" s="1"/>
      <c r="O42" s="1"/>
      <c r="P42" s="1"/>
      <c r="Q42" s="13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31"/>
      <c r="F43" s="131"/>
      <c r="G43" s="131"/>
      <c r="H43" s="1"/>
      <c r="I43" s="1"/>
      <c r="J43" s="1"/>
      <c r="K43" s="1"/>
      <c r="L43" s="1"/>
      <c r="M43" s="1"/>
      <c r="N43" s="1"/>
      <c r="O43" s="1"/>
      <c r="P43" s="1"/>
      <c r="Q43" s="13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31"/>
      <c r="F44" s="131"/>
      <c r="G44" s="131"/>
      <c r="H44" s="1"/>
      <c r="I44" s="1"/>
      <c r="J44" s="1"/>
      <c r="K44" s="1"/>
      <c r="L44" s="1"/>
      <c r="M44" s="1"/>
      <c r="N44" s="1"/>
      <c r="O44" s="1"/>
      <c r="P44" s="1"/>
      <c r="Q44" s="13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31"/>
      <c r="F45" s="131"/>
      <c r="G45" s="131"/>
      <c r="H45" s="1"/>
      <c r="I45" s="1"/>
      <c r="J45" s="1"/>
      <c r="K45" s="1"/>
      <c r="L45" s="1"/>
      <c r="M45" s="1"/>
      <c r="N45" s="1"/>
      <c r="O45" s="1"/>
      <c r="P45" s="1"/>
      <c r="Q45" s="13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31"/>
      <c r="F46" s="131"/>
      <c r="G46" s="131"/>
      <c r="H46" s="1"/>
      <c r="I46" s="1"/>
      <c r="J46" s="1"/>
      <c r="K46" s="1"/>
      <c r="L46" s="1"/>
      <c r="M46" s="1"/>
      <c r="N46" s="1"/>
      <c r="O46" s="1"/>
      <c r="P46" s="1"/>
      <c r="Q46" s="13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31"/>
      <c r="F47" s="131"/>
      <c r="G47" s="131"/>
      <c r="H47" s="1"/>
      <c r="I47" s="1"/>
      <c r="J47" s="1"/>
      <c r="K47" s="1"/>
      <c r="L47" s="1"/>
      <c r="M47" s="1"/>
      <c r="N47" s="1"/>
      <c r="O47" s="1"/>
      <c r="P47" s="1"/>
      <c r="Q47" s="13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31"/>
      <c r="F48" s="131"/>
      <c r="G48" s="131"/>
      <c r="H48" s="1"/>
      <c r="I48" s="1"/>
      <c r="J48" s="1"/>
      <c r="K48" s="1"/>
      <c r="L48" s="1"/>
      <c r="M48" s="1"/>
      <c r="N48" s="1"/>
      <c r="O48" s="1"/>
      <c r="P48" s="1"/>
      <c r="Q48" s="13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31"/>
      <c r="F49" s="131"/>
      <c r="G49" s="131"/>
      <c r="H49" s="1"/>
      <c r="I49" s="1"/>
      <c r="J49" s="1"/>
      <c r="K49" s="1"/>
      <c r="L49" s="1"/>
      <c r="M49" s="1"/>
      <c r="N49" s="1"/>
      <c r="O49" s="1"/>
      <c r="P49" s="1"/>
      <c r="Q49" s="13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31"/>
      <c r="F50" s="131"/>
      <c r="G50" s="131"/>
      <c r="H50" s="1"/>
      <c r="I50" s="1"/>
      <c r="J50" s="1"/>
      <c r="K50" s="1"/>
      <c r="L50" s="1"/>
      <c r="M50" s="1"/>
      <c r="N50" s="1"/>
      <c r="O50" s="1"/>
      <c r="P50" s="1"/>
      <c r="Q50" s="13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31"/>
      <c r="F51" s="131"/>
      <c r="G51" s="131"/>
      <c r="H51" s="1"/>
      <c r="I51" s="1"/>
      <c r="J51" s="1"/>
      <c r="K51" s="1"/>
      <c r="L51" s="1"/>
      <c r="M51" s="1"/>
      <c r="N51" s="1"/>
      <c r="O51" s="1"/>
      <c r="P51" s="1"/>
      <c r="Q51" s="1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31"/>
      <c r="F52" s="131"/>
      <c r="G52" s="131"/>
      <c r="H52" s="1"/>
      <c r="I52" s="1"/>
      <c r="J52" s="1"/>
      <c r="K52" s="1"/>
      <c r="L52" s="1"/>
      <c r="M52" s="1"/>
      <c r="N52" s="1"/>
      <c r="O52" s="1"/>
      <c r="P52" s="1"/>
      <c r="Q52" s="13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31"/>
      <c r="F53" s="131"/>
      <c r="G53" s="131"/>
      <c r="H53" s="1"/>
      <c r="I53" s="1"/>
      <c r="J53" s="1"/>
      <c r="K53" s="1"/>
      <c r="L53" s="1"/>
      <c r="M53" s="1"/>
      <c r="N53" s="1"/>
      <c r="O53" s="1"/>
      <c r="P53" s="1"/>
      <c r="Q53" s="13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31"/>
      <c r="F54" s="131"/>
      <c r="G54" s="131"/>
      <c r="H54" s="1"/>
      <c r="I54" s="1"/>
      <c r="J54" s="1"/>
      <c r="K54" s="1"/>
      <c r="L54" s="1"/>
      <c r="M54" s="1"/>
      <c r="N54" s="1"/>
      <c r="O54" s="1"/>
      <c r="P54" s="1"/>
      <c r="Q54" s="13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31"/>
      <c r="F55" s="131"/>
      <c r="G55" s="131"/>
      <c r="H55" s="1"/>
      <c r="I55" s="1"/>
      <c r="J55" s="1"/>
      <c r="K55" s="1"/>
      <c r="L55" s="1"/>
      <c r="M55" s="1"/>
      <c r="N55" s="1"/>
      <c r="O55" s="1"/>
      <c r="P55" s="1"/>
      <c r="Q55" s="13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31"/>
      <c r="F56" s="131"/>
      <c r="G56" s="131"/>
      <c r="H56" s="1"/>
      <c r="I56" s="1"/>
      <c r="J56" s="1"/>
      <c r="K56" s="1"/>
      <c r="L56" s="1"/>
      <c r="M56" s="1"/>
      <c r="N56" s="1"/>
      <c r="O56" s="1"/>
      <c r="P56" s="1"/>
      <c r="Q56" s="13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31"/>
      <c r="F57" s="131"/>
      <c r="G57" s="131"/>
      <c r="H57" s="1"/>
      <c r="I57" s="1"/>
      <c r="J57" s="1"/>
      <c r="K57" s="1"/>
      <c r="L57" s="1"/>
      <c r="M57" s="1"/>
      <c r="N57" s="1"/>
      <c r="O57" s="1"/>
      <c r="P57" s="1"/>
      <c r="Q57" s="13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31"/>
      <c r="F58" s="131"/>
      <c r="G58" s="131"/>
      <c r="H58" s="1"/>
      <c r="I58" s="1"/>
      <c r="J58" s="1"/>
      <c r="K58" s="1"/>
      <c r="L58" s="1"/>
      <c r="M58" s="1"/>
      <c r="N58" s="1"/>
      <c r="O58" s="1"/>
      <c r="P58" s="1"/>
      <c r="Q58" s="13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31"/>
      <c r="F59" s="131"/>
      <c r="G59" s="131"/>
      <c r="H59" s="1"/>
      <c r="I59" s="1"/>
      <c r="J59" s="1"/>
      <c r="K59" s="1"/>
      <c r="L59" s="1"/>
      <c r="M59" s="1"/>
      <c r="N59" s="1"/>
      <c r="O59" s="1"/>
      <c r="P59" s="1"/>
      <c r="Q59" s="13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31"/>
      <c r="F60" s="131"/>
      <c r="G60" s="131"/>
      <c r="H60" s="1"/>
      <c r="I60" s="1"/>
      <c r="J60" s="1"/>
      <c r="K60" s="1"/>
      <c r="L60" s="1"/>
      <c r="M60" s="1"/>
      <c r="N60" s="1"/>
      <c r="O60" s="1"/>
      <c r="P60" s="1"/>
      <c r="Q60" s="13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31"/>
      <c r="F61" s="131"/>
      <c r="G61" s="131"/>
      <c r="H61" s="1"/>
      <c r="I61" s="1"/>
      <c r="J61" s="1"/>
      <c r="K61" s="1"/>
      <c r="L61" s="1"/>
      <c r="M61" s="1"/>
      <c r="N61" s="1"/>
      <c r="O61" s="1"/>
      <c r="P61" s="1"/>
      <c r="Q61" s="13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31"/>
      <c r="F62" s="131"/>
      <c r="G62" s="131"/>
      <c r="H62" s="1"/>
      <c r="I62" s="1"/>
      <c r="J62" s="1"/>
      <c r="K62" s="1"/>
      <c r="L62" s="1"/>
      <c r="M62" s="1"/>
      <c r="N62" s="1"/>
      <c r="O62" s="1"/>
      <c r="P62" s="1"/>
      <c r="Q62" s="13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31"/>
      <c r="F63" s="131"/>
      <c r="G63" s="131"/>
      <c r="H63" s="1"/>
      <c r="I63" s="1"/>
      <c r="J63" s="1"/>
      <c r="K63" s="1"/>
      <c r="L63" s="1"/>
      <c r="M63" s="1"/>
      <c r="N63" s="1"/>
      <c r="O63" s="1"/>
      <c r="P63" s="1"/>
      <c r="Q63" s="13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31"/>
      <c r="F64" s="131"/>
      <c r="G64" s="131"/>
      <c r="H64" s="1"/>
      <c r="I64" s="1"/>
      <c r="J64" s="1"/>
      <c r="K64" s="1"/>
      <c r="L64" s="1"/>
      <c r="M64" s="1"/>
      <c r="N64" s="1"/>
      <c r="O64" s="1"/>
      <c r="P64" s="1"/>
      <c r="Q64" s="13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31"/>
      <c r="F65" s="131"/>
      <c r="G65" s="131"/>
      <c r="H65" s="1"/>
      <c r="I65" s="1"/>
      <c r="J65" s="1"/>
      <c r="K65" s="1"/>
      <c r="L65" s="1"/>
      <c r="M65" s="1"/>
      <c r="N65" s="1"/>
      <c r="O65" s="1"/>
      <c r="P65" s="1"/>
      <c r="Q65" s="13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31"/>
      <c r="F66" s="131"/>
      <c r="G66" s="131"/>
      <c r="H66" s="1"/>
      <c r="I66" s="1"/>
      <c r="J66" s="1"/>
      <c r="K66" s="1"/>
      <c r="L66" s="1"/>
      <c r="M66" s="1"/>
      <c r="N66" s="1"/>
      <c r="O66" s="1"/>
      <c r="P66" s="1"/>
      <c r="Q66" s="13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31"/>
      <c r="F67" s="131"/>
      <c r="G67" s="131"/>
      <c r="H67" s="1"/>
      <c r="I67" s="1"/>
      <c r="J67" s="1"/>
      <c r="K67" s="1"/>
      <c r="L67" s="1"/>
      <c r="M67" s="1"/>
      <c r="N67" s="1"/>
      <c r="O67" s="1"/>
      <c r="P67" s="1"/>
      <c r="Q67" s="13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31"/>
      <c r="F68" s="131"/>
      <c r="G68" s="131"/>
      <c r="H68" s="1"/>
      <c r="I68" s="1"/>
      <c r="J68" s="1"/>
      <c r="K68" s="1"/>
      <c r="L68" s="1"/>
      <c r="M68" s="1"/>
      <c r="N68" s="1"/>
      <c r="O68" s="1"/>
      <c r="P68" s="1"/>
      <c r="Q68" s="13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31"/>
      <c r="F69" s="131"/>
      <c r="G69" s="131"/>
      <c r="H69" s="1"/>
      <c r="I69" s="1"/>
      <c r="J69" s="1"/>
      <c r="K69" s="1"/>
      <c r="L69" s="1"/>
      <c r="M69" s="1"/>
      <c r="N69" s="1"/>
      <c r="O69" s="1"/>
      <c r="P69" s="1"/>
      <c r="Q69" s="13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31"/>
      <c r="F70" s="131"/>
      <c r="G70" s="131"/>
      <c r="H70" s="1"/>
      <c r="I70" s="1"/>
      <c r="J70" s="1"/>
      <c r="K70" s="1"/>
      <c r="L70" s="1"/>
      <c r="M70" s="1"/>
      <c r="N70" s="1"/>
      <c r="O70" s="1"/>
      <c r="P70" s="1"/>
      <c r="Q70" s="13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31"/>
      <c r="F71" s="131"/>
      <c r="G71" s="131"/>
      <c r="H71" s="1"/>
      <c r="I71" s="1"/>
      <c r="J71" s="1"/>
      <c r="K71" s="1"/>
      <c r="L71" s="1"/>
      <c r="M71" s="1"/>
      <c r="N71" s="1"/>
      <c r="O71" s="1"/>
      <c r="P71" s="1"/>
      <c r="Q71" s="13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31"/>
      <c r="F72" s="131"/>
      <c r="G72" s="131"/>
      <c r="H72" s="1"/>
      <c r="I72" s="1"/>
      <c r="J72" s="1"/>
      <c r="K72" s="1"/>
      <c r="L72" s="1"/>
      <c r="M72" s="1"/>
      <c r="N72" s="1"/>
      <c r="O72" s="1"/>
      <c r="P72" s="1"/>
      <c r="Q72" s="13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31"/>
      <c r="F73" s="131"/>
      <c r="G73" s="131"/>
      <c r="H73" s="1"/>
      <c r="I73" s="1"/>
      <c r="J73" s="1"/>
      <c r="K73" s="1"/>
      <c r="L73" s="1"/>
      <c r="M73" s="1"/>
      <c r="N73" s="1"/>
      <c r="O73" s="1"/>
      <c r="P73" s="1"/>
      <c r="Q73" s="13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31"/>
      <c r="F74" s="131"/>
      <c r="G74" s="131"/>
      <c r="H74" s="1"/>
      <c r="I74" s="1"/>
      <c r="J74" s="1"/>
      <c r="K74" s="1"/>
      <c r="L74" s="1"/>
      <c r="M74" s="1"/>
      <c r="N74" s="1"/>
      <c r="O74" s="1"/>
      <c r="P74" s="1"/>
      <c r="Q74" s="13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31"/>
      <c r="F75" s="131"/>
      <c r="G75" s="131"/>
      <c r="H75" s="1"/>
      <c r="I75" s="1"/>
      <c r="J75" s="1"/>
      <c r="K75" s="1"/>
      <c r="L75" s="1"/>
      <c r="M75" s="1"/>
      <c r="N75" s="1"/>
      <c r="O75" s="1"/>
      <c r="P75" s="1"/>
      <c r="Q75" s="13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31"/>
      <c r="F76" s="131"/>
      <c r="G76" s="131"/>
      <c r="H76" s="1"/>
      <c r="I76" s="1"/>
      <c r="J76" s="1"/>
      <c r="K76" s="1"/>
      <c r="L76" s="1"/>
      <c r="M76" s="1"/>
      <c r="N76" s="1"/>
      <c r="O76" s="1"/>
      <c r="P76" s="1"/>
      <c r="Q76" s="13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31"/>
      <c r="F77" s="131"/>
      <c r="G77" s="131"/>
      <c r="H77" s="1"/>
      <c r="I77" s="1"/>
      <c r="J77" s="1"/>
      <c r="K77" s="1"/>
      <c r="L77" s="1"/>
      <c r="M77" s="1"/>
      <c r="N77" s="1"/>
      <c r="O77" s="1"/>
      <c r="P77" s="1"/>
      <c r="Q77" s="13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31"/>
      <c r="F78" s="131"/>
      <c r="G78" s="131"/>
      <c r="H78" s="1"/>
      <c r="I78" s="1"/>
      <c r="J78" s="1"/>
      <c r="K78" s="1"/>
      <c r="L78" s="1"/>
      <c r="M78" s="1"/>
      <c r="N78" s="1"/>
      <c r="O78" s="1"/>
      <c r="P78" s="1"/>
      <c r="Q78" s="13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31"/>
      <c r="F79" s="131"/>
      <c r="G79" s="131"/>
      <c r="H79" s="1"/>
      <c r="I79" s="1"/>
      <c r="J79" s="1"/>
      <c r="K79" s="1"/>
      <c r="L79" s="1"/>
      <c r="M79" s="1"/>
      <c r="N79" s="1"/>
      <c r="O79" s="1"/>
      <c r="P79" s="1"/>
      <c r="Q79" s="13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31"/>
      <c r="F80" s="131"/>
      <c r="G80" s="131"/>
      <c r="H80" s="1"/>
      <c r="I80" s="1"/>
      <c r="J80" s="1"/>
      <c r="K80" s="1"/>
      <c r="L80" s="1"/>
      <c r="M80" s="1"/>
      <c r="N80" s="1"/>
      <c r="O80" s="1"/>
      <c r="P80" s="1"/>
      <c r="Q80" s="13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31"/>
      <c r="F81" s="131"/>
      <c r="G81" s="131"/>
      <c r="H81" s="1"/>
      <c r="I81" s="1"/>
      <c r="J81" s="1"/>
      <c r="K81" s="1"/>
      <c r="L81" s="1"/>
      <c r="M81" s="1"/>
      <c r="N81" s="1"/>
      <c r="O81" s="1"/>
      <c r="P81" s="1"/>
      <c r="Q81" s="13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31"/>
      <c r="F82" s="131"/>
      <c r="G82" s="131"/>
      <c r="H82" s="1"/>
      <c r="I82" s="1"/>
      <c r="J82" s="1"/>
      <c r="K82" s="1"/>
      <c r="L82" s="1"/>
      <c r="M82" s="1"/>
      <c r="N82" s="1"/>
      <c r="O82" s="1"/>
      <c r="P82" s="1"/>
      <c r="Q82" s="13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31"/>
      <c r="F83" s="131"/>
      <c r="G83" s="131"/>
      <c r="H83" s="1"/>
      <c r="I83" s="1"/>
      <c r="J83" s="1"/>
      <c r="K83" s="1"/>
      <c r="L83" s="1"/>
      <c r="M83" s="1"/>
      <c r="N83" s="1"/>
      <c r="O83" s="1"/>
      <c r="P83" s="1"/>
      <c r="Q83" s="13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31"/>
      <c r="F84" s="131"/>
      <c r="G84" s="131"/>
      <c r="H84" s="1"/>
      <c r="I84" s="1"/>
      <c r="J84" s="1"/>
      <c r="K84" s="1"/>
      <c r="L84" s="1"/>
      <c r="M84" s="1"/>
      <c r="N84" s="1"/>
      <c r="O84" s="1"/>
      <c r="P84" s="1"/>
      <c r="Q84" s="13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31"/>
      <c r="F85" s="131"/>
      <c r="G85" s="131"/>
      <c r="H85" s="1"/>
      <c r="I85" s="1"/>
      <c r="J85" s="1"/>
      <c r="K85" s="1"/>
      <c r="L85" s="1"/>
      <c r="M85" s="1"/>
      <c r="N85" s="1"/>
      <c r="O85" s="1"/>
      <c r="P85" s="1"/>
      <c r="Q85" s="13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31"/>
      <c r="F86" s="131"/>
      <c r="G86" s="131"/>
      <c r="H86" s="1"/>
      <c r="I86" s="1"/>
      <c r="J86" s="1"/>
      <c r="K86" s="1"/>
      <c r="L86" s="1"/>
      <c r="M86" s="1"/>
      <c r="N86" s="1"/>
      <c r="O86" s="1"/>
      <c r="P86" s="1"/>
      <c r="Q86" s="13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31"/>
      <c r="F87" s="131"/>
      <c r="G87" s="131"/>
      <c r="H87" s="1"/>
      <c r="I87" s="1"/>
      <c r="J87" s="1"/>
      <c r="K87" s="1"/>
      <c r="L87" s="1"/>
      <c r="M87" s="1"/>
      <c r="N87" s="1"/>
      <c r="O87" s="1"/>
      <c r="P87" s="1"/>
      <c r="Q87" s="13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31"/>
      <c r="F88" s="131"/>
      <c r="G88" s="131"/>
      <c r="H88" s="1"/>
      <c r="I88" s="1"/>
      <c r="J88" s="1"/>
      <c r="K88" s="1"/>
      <c r="L88" s="1"/>
      <c r="M88" s="1"/>
      <c r="N88" s="1"/>
      <c r="O88" s="1"/>
      <c r="P88" s="1"/>
      <c r="Q88" s="13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31"/>
      <c r="F89" s="131"/>
      <c r="G89" s="131"/>
      <c r="H89" s="1"/>
      <c r="I89" s="1"/>
      <c r="J89" s="1"/>
      <c r="K89" s="1"/>
      <c r="L89" s="1"/>
      <c r="M89" s="1"/>
      <c r="N89" s="1"/>
      <c r="O89" s="1"/>
      <c r="P89" s="1"/>
      <c r="Q89" s="13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31"/>
      <c r="F90" s="131"/>
      <c r="G90" s="131"/>
      <c r="H90" s="1"/>
      <c r="I90" s="1"/>
      <c r="J90" s="1"/>
      <c r="K90" s="1"/>
      <c r="L90" s="1"/>
      <c r="M90" s="1"/>
      <c r="N90" s="1"/>
      <c r="O90" s="1"/>
      <c r="P90" s="1"/>
      <c r="Q90" s="13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31"/>
      <c r="F91" s="131"/>
      <c r="G91" s="131"/>
      <c r="H91" s="1"/>
      <c r="I91" s="1"/>
      <c r="J91" s="1"/>
      <c r="K91" s="1"/>
      <c r="L91" s="1"/>
      <c r="M91" s="1"/>
      <c r="N91" s="1"/>
      <c r="O91" s="1"/>
      <c r="P91" s="1"/>
      <c r="Q91" s="13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31"/>
      <c r="F92" s="131"/>
      <c r="G92" s="131"/>
      <c r="H92" s="1"/>
      <c r="I92" s="1"/>
      <c r="J92" s="1"/>
      <c r="K92" s="1"/>
      <c r="L92" s="1"/>
      <c r="M92" s="1"/>
      <c r="N92" s="1"/>
      <c r="O92" s="1"/>
      <c r="P92" s="1"/>
      <c r="Q92" s="13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31"/>
      <c r="F93" s="131"/>
      <c r="G93" s="131"/>
      <c r="H93" s="1"/>
      <c r="I93" s="1"/>
      <c r="J93" s="1"/>
      <c r="K93" s="1"/>
      <c r="L93" s="1"/>
      <c r="M93" s="1"/>
      <c r="N93" s="1"/>
      <c r="O93" s="1"/>
      <c r="P93" s="1"/>
      <c r="Q93" s="13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31"/>
      <c r="F94" s="131"/>
      <c r="G94" s="131"/>
      <c r="H94" s="1"/>
      <c r="I94" s="1"/>
      <c r="J94" s="1"/>
      <c r="K94" s="1"/>
      <c r="L94" s="1"/>
      <c r="M94" s="1"/>
      <c r="N94" s="1"/>
      <c r="O94" s="1"/>
      <c r="P94" s="1"/>
      <c r="Q94" s="13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31"/>
      <c r="F95" s="131"/>
      <c r="G95" s="131"/>
      <c r="H95" s="1"/>
      <c r="I95" s="1"/>
      <c r="J95" s="1"/>
      <c r="K95" s="1"/>
      <c r="L95" s="1"/>
      <c r="M95" s="1"/>
      <c r="N95" s="1"/>
      <c r="O95" s="1"/>
      <c r="P95" s="1"/>
      <c r="Q95" s="13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31"/>
      <c r="F96" s="131"/>
      <c r="G96" s="131"/>
      <c r="H96" s="1"/>
      <c r="I96" s="1"/>
      <c r="J96" s="1"/>
      <c r="K96" s="1"/>
      <c r="L96" s="1"/>
      <c r="M96" s="1"/>
      <c r="N96" s="1"/>
      <c r="O96" s="1"/>
      <c r="P96" s="1"/>
      <c r="Q96" s="13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31"/>
      <c r="F97" s="131"/>
      <c r="G97" s="131"/>
      <c r="H97" s="1"/>
      <c r="I97" s="1"/>
      <c r="J97" s="1"/>
      <c r="K97" s="1"/>
      <c r="L97" s="1"/>
      <c r="M97" s="1"/>
      <c r="N97" s="1"/>
      <c r="O97" s="1"/>
      <c r="P97" s="1"/>
      <c r="Q97" s="13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31"/>
      <c r="F98" s="131"/>
      <c r="G98" s="131"/>
      <c r="H98" s="1"/>
      <c r="I98" s="1"/>
      <c r="J98" s="1"/>
      <c r="K98" s="1"/>
      <c r="L98" s="1"/>
      <c r="M98" s="1"/>
      <c r="N98" s="1"/>
      <c r="O98" s="1"/>
      <c r="P98" s="1"/>
      <c r="Q98" s="13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31"/>
      <c r="F99" s="131"/>
      <c r="G99" s="131"/>
      <c r="H99" s="1"/>
      <c r="I99" s="1"/>
      <c r="J99" s="1"/>
      <c r="K99" s="1"/>
      <c r="L99" s="1"/>
      <c r="M99" s="1"/>
      <c r="N99" s="1"/>
      <c r="O99" s="1"/>
      <c r="P99" s="1"/>
      <c r="Q99" s="13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31"/>
      <c r="F100" s="131"/>
      <c r="G100" s="131"/>
      <c r="H100" s="1"/>
      <c r="I100" s="1"/>
      <c r="J100" s="1"/>
      <c r="K100" s="1"/>
      <c r="L100" s="1"/>
      <c r="M100" s="1"/>
      <c r="N100" s="1"/>
      <c r="O100" s="1"/>
      <c r="P100" s="1"/>
      <c r="Q100" s="13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31"/>
      <c r="F101" s="131"/>
      <c r="G101" s="131"/>
      <c r="H101" s="1"/>
      <c r="I101" s="1"/>
      <c r="J101" s="1"/>
      <c r="K101" s="1"/>
      <c r="L101" s="1"/>
      <c r="M101" s="1"/>
      <c r="N101" s="1"/>
      <c r="O101" s="1"/>
      <c r="P101" s="1"/>
      <c r="Q101" s="13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31"/>
      <c r="F102" s="131"/>
      <c r="G102" s="131"/>
      <c r="H102" s="1"/>
      <c r="I102" s="1"/>
      <c r="J102" s="1"/>
      <c r="K102" s="1"/>
      <c r="L102" s="1"/>
      <c r="M102" s="1"/>
      <c r="N102" s="1"/>
      <c r="O102" s="1"/>
      <c r="P102" s="1"/>
      <c r="Q102" s="13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31"/>
      <c r="F103" s="131"/>
      <c r="G103" s="131"/>
      <c r="H103" s="1"/>
      <c r="I103" s="1"/>
      <c r="J103" s="1"/>
      <c r="K103" s="1"/>
      <c r="L103" s="1"/>
      <c r="M103" s="1"/>
      <c r="N103" s="1"/>
      <c r="O103" s="1"/>
      <c r="P103" s="1"/>
      <c r="Q103" s="13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31"/>
      <c r="F104" s="131"/>
      <c r="G104" s="131"/>
      <c r="H104" s="1"/>
      <c r="I104" s="1"/>
      <c r="J104" s="1"/>
      <c r="K104" s="1"/>
      <c r="L104" s="1"/>
      <c r="M104" s="1"/>
      <c r="N104" s="1"/>
      <c r="O104" s="1"/>
      <c r="P104" s="1"/>
      <c r="Q104" s="13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31"/>
      <c r="F105" s="131"/>
      <c r="G105" s="131"/>
      <c r="H105" s="1"/>
      <c r="I105" s="1"/>
      <c r="J105" s="1"/>
      <c r="K105" s="1"/>
      <c r="L105" s="1"/>
      <c r="M105" s="1"/>
      <c r="N105" s="1"/>
      <c r="O105" s="1"/>
      <c r="P105" s="1"/>
      <c r="Q105" s="13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31"/>
      <c r="F106" s="131"/>
      <c r="G106" s="131"/>
      <c r="H106" s="1"/>
      <c r="I106" s="1"/>
      <c r="J106" s="1"/>
      <c r="K106" s="1"/>
      <c r="L106" s="1"/>
      <c r="M106" s="1"/>
      <c r="N106" s="1"/>
      <c r="O106" s="1"/>
      <c r="P106" s="1"/>
      <c r="Q106" s="13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31"/>
      <c r="F107" s="131"/>
      <c r="G107" s="131"/>
      <c r="H107" s="1"/>
      <c r="I107" s="1"/>
      <c r="J107" s="1"/>
      <c r="K107" s="1"/>
      <c r="L107" s="1"/>
      <c r="M107" s="1"/>
      <c r="N107" s="1"/>
      <c r="O107" s="1"/>
      <c r="P107" s="1"/>
      <c r="Q107" s="13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31"/>
      <c r="F108" s="131"/>
      <c r="G108" s="131"/>
      <c r="H108" s="1"/>
      <c r="I108" s="1"/>
      <c r="J108" s="1"/>
      <c r="K108" s="1"/>
      <c r="L108" s="1"/>
      <c r="M108" s="1"/>
      <c r="N108" s="1"/>
      <c r="O108" s="1"/>
      <c r="P108" s="1"/>
      <c r="Q108" s="13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31"/>
      <c r="F109" s="131"/>
      <c r="G109" s="131"/>
      <c r="H109" s="1"/>
      <c r="I109" s="1"/>
      <c r="J109" s="1"/>
      <c r="K109" s="1"/>
      <c r="L109" s="1"/>
      <c r="M109" s="1"/>
      <c r="N109" s="1"/>
      <c r="O109" s="1"/>
      <c r="P109" s="1"/>
      <c r="Q109" s="13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31"/>
      <c r="F110" s="131"/>
      <c r="G110" s="131"/>
      <c r="H110" s="1"/>
      <c r="I110" s="1"/>
      <c r="J110" s="1"/>
      <c r="K110" s="1"/>
      <c r="L110" s="1"/>
      <c r="M110" s="1"/>
      <c r="N110" s="1"/>
      <c r="O110" s="1"/>
      <c r="P110" s="1"/>
      <c r="Q110" s="13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31"/>
      <c r="F111" s="131"/>
      <c r="G111" s="131"/>
      <c r="H111" s="1"/>
      <c r="I111" s="1"/>
      <c r="J111" s="1"/>
      <c r="K111" s="1"/>
      <c r="L111" s="1"/>
      <c r="M111" s="1"/>
      <c r="N111" s="1"/>
      <c r="O111" s="1"/>
      <c r="P111" s="1"/>
      <c r="Q111" s="13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31"/>
      <c r="F112" s="131"/>
      <c r="G112" s="131"/>
      <c r="H112" s="1"/>
      <c r="I112" s="1"/>
      <c r="J112" s="1"/>
      <c r="K112" s="1"/>
      <c r="L112" s="1"/>
      <c r="M112" s="1"/>
      <c r="N112" s="1"/>
      <c r="O112" s="1"/>
      <c r="P112" s="1"/>
      <c r="Q112" s="13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31"/>
      <c r="F113" s="131"/>
      <c r="G113" s="131"/>
      <c r="H113" s="1"/>
      <c r="I113" s="1"/>
      <c r="J113" s="1"/>
      <c r="K113" s="1"/>
      <c r="L113" s="1"/>
      <c r="M113" s="1"/>
      <c r="N113" s="1"/>
      <c r="O113" s="1"/>
      <c r="P113" s="1"/>
      <c r="Q113" s="13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31"/>
      <c r="F114" s="131"/>
      <c r="G114" s="131"/>
      <c r="H114" s="1"/>
      <c r="I114" s="1"/>
      <c r="J114" s="1"/>
      <c r="K114" s="1"/>
      <c r="L114" s="1"/>
      <c r="M114" s="1"/>
      <c r="N114" s="1"/>
      <c r="O114" s="1"/>
      <c r="P114" s="1"/>
      <c r="Q114" s="13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31"/>
      <c r="F115" s="131"/>
      <c r="G115" s="131"/>
      <c r="H115" s="1"/>
      <c r="I115" s="1"/>
      <c r="J115" s="1"/>
      <c r="K115" s="1"/>
      <c r="L115" s="1"/>
      <c r="M115" s="1"/>
      <c r="N115" s="1"/>
      <c r="O115" s="1"/>
      <c r="P115" s="1"/>
      <c r="Q115" s="13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31"/>
      <c r="F116" s="131"/>
      <c r="G116" s="131"/>
      <c r="H116" s="1"/>
      <c r="I116" s="1"/>
      <c r="J116" s="1"/>
      <c r="K116" s="1"/>
      <c r="L116" s="1"/>
      <c r="M116" s="1"/>
      <c r="N116" s="1"/>
      <c r="O116" s="1"/>
      <c r="P116" s="1"/>
      <c r="Q116" s="13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31"/>
      <c r="F117" s="131"/>
      <c r="G117" s="131"/>
      <c r="H117" s="1"/>
      <c r="I117" s="1"/>
      <c r="J117" s="1"/>
      <c r="K117" s="1"/>
      <c r="L117" s="1"/>
      <c r="M117" s="1"/>
      <c r="N117" s="1"/>
      <c r="O117" s="1"/>
      <c r="P117" s="1"/>
      <c r="Q117" s="13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31"/>
      <c r="F118" s="131"/>
      <c r="G118" s="131"/>
      <c r="H118" s="1"/>
      <c r="I118" s="1"/>
      <c r="J118" s="1"/>
      <c r="K118" s="1"/>
      <c r="L118" s="1"/>
      <c r="M118" s="1"/>
      <c r="N118" s="1"/>
      <c r="O118" s="1"/>
      <c r="P118" s="1"/>
      <c r="Q118" s="13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31"/>
      <c r="F119" s="131"/>
      <c r="G119" s="131"/>
      <c r="H119" s="1"/>
      <c r="I119" s="1"/>
      <c r="J119" s="1"/>
      <c r="K119" s="1"/>
      <c r="L119" s="1"/>
      <c r="M119" s="1"/>
      <c r="N119" s="1"/>
      <c r="O119" s="1"/>
      <c r="P119" s="1"/>
      <c r="Q119" s="13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31"/>
      <c r="F120" s="131"/>
      <c r="G120" s="131"/>
      <c r="H120" s="1"/>
      <c r="I120" s="1"/>
      <c r="J120" s="1"/>
      <c r="K120" s="1"/>
      <c r="L120" s="1"/>
      <c r="M120" s="1"/>
      <c r="N120" s="1"/>
      <c r="O120" s="1"/>
      <c r="P120" s="1"/>
      <c r="Q120" s="13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31"/>
      <c r="F121" s="131"/>
      <c r="G121" s="131"/>
      <c r="H121" s="1"/>
      <c r="I121" s="1"/>
      <c r="J121" s="1"/>
      <c r="K121" s="1"/>
      <c r="L121" s="1"/>
      <c r="M121" s="1"/>
      <c r="N121" s="1"/>
      <c r="O121" s="1"/>
      <c r="P121" s="1"/>
      <c r="Q121" s="13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31"/>
      <c r="F122" s="131"/>
      <c r="G122" s="131"/>
      <c r="H122" s="1"/>
      <c r="I122" s="1"/>
      <c r="J122" s="1"/>
      <c r="K122" s="1"/>
      <c r="L122" s="1"/>
      <c r="M122" s="1"/>
      <c r="N122" s="1"/>
      <c r="O122" s="1"/>
      <c r="P122" s="1"/>
      <c r="Q122" s="13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31"/>
      <c r="F123" s="131"/>
      <c r="G123" s="131"/>
      <c r="H123" s="1"/>
      <c r="I123" s="1"/>
      <c r="J123" s="1"/>
      <c r="K123" s="1"/>
      <c r="L123" s="1"/>
      <c r="M123" s="1"/>
      <c r="N123" s="1"/>
      <c r="O123" s="1"/>
      <c r="P123" s="1"/>
      <c r="Q123" s="13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31"/>
      <c r="F124" s="131"/>
      <c r="G124" s="131"/>
      <c r="H124" s="1"/>
      <c r="I124" s="1"/>
      <c r="J124" s="1"/>
      <c r="K124" s="1"/>
      <c r="L124" s="1"/>
      <c r="M124" s="1"/>
      <c r="N124" s="1"/>
      <c r="O124" s="1"/>
      <c r="P124" s="1"/>
      <c r="Q124" s="13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31"/>
      <c r="F125" s="131"/>
      <c r="G125" s="131"/>
      <c r="H125" s="1"/>
      <c r="I125" s="1"/>
      <c r="J125" s="1"/>
      <c r="K125" s="1"/>
      <c r="L125" s="1"/>
      <c r="M125" s="1"/>
      <c r="N125" s="1"/>
      <c r="O125" s="1"/>
      <c r="P125" s="1"/>
      <c r="Q125" s="13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31"/>
      <c r="F126" s="131"/>
      <c r="G126" s="131"/>
      <c r="H126" s="1"/>
      <c r="I126" s="1"/>
      <c r="J126" s="1"/>
      <c r="K126" s="1"/>
      <c r="L126" s="1"/>
      <c r="M126" s="1"/>
      <c r="N126" s="1"/>
      <c r="O126" s="1"/>
      <c r="P126" s="1"/>
      <c r="Q126" s="13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31"/>
      <c r="F127" s="131"/>
      <c r="G127" s="131"/>
      <c r="H127" s="1"/>
      <c r="I127" s="1"/>
      <c r="J127" s="1"/>
      <c r="K127" s="1"/>
      <c r="L127" s="1"/>
      <c r="M127" s="1"/>
      <c r="N127" s="1"/>
      <c r="O127" s="1"/>
      <c r="P127" s="1"/>
      <c r="Q127" s="13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31"/>
      <c r="F128" s="131"/>
      <c r="G128" s="131"/>
      <c r="H128" s="1"/>
      <c r="I128" s="1"/>
      <c r="J128" s="1"/>
      <c r="K128" s="1"/>
      <c r="L128" s="1"/>
      <c r="M128" s="1"/>
      <c r="N128" s="1"/>
      <c r="O128" s="1"/>
      <c r="P128" s="1"/>
      <c r="Q128" s="13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31"/>
      <c r="F129" s="131"/>
      <c r="G129" s="131"/>
      <c r="H129" s="1"/>
      <c r="I129" s="1"/>
      <c r="J129" s="1"/>
      <c r="K129" s="1"/>
      <c r="L129" s="1"/>
      <c r="M129" s="1"/>
      <c r="N129" s="1"/>
      <c r="O129" s="1"/>
      <c r="P129" s="1"/>
      <c r="Q129" s="13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31"/>
      <c r="F130" s="131"/>
      <c r="G130" s="131"/>
      <c r="H130" s="1"/>
      <c r="I130" s="1"/>
      <c r="J130" s="1"/>
      <c r="K130" s="1"/>
      <c r="L130" s="1"/>
      <c r="M130" s="1"/>
      <c r="N130" s="1"/>
      <c r="O130" s="1"/>
      <c r="P130" s="1"/>
      <c r="Q130" s="13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31"/>
      <c r="F131" s="131"/>
      <c r="G131" s="131"/>
      <c r="H131" s="1"/>
      <c r="I131" s="1"/>
      <c r="J131" s="1"/>
      <c r="K131" s="1"/>
      <c r="L131" s="1"/>
      <c r="M131" s="1"/>
      <c r="N131" s="1"/>
      <c r="O131" s="1"/>
      <c r="P131" s="1"/>
      <c r="Q131" s="13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31"/>
      <c r="F132" s="131"/>
      <c r="G132" s="131"/>
      <c r="H132" s="1"/>
      <c r="I132" s="1"/>
      <c r="J132" s="1"/>
      <c r="K132" s="1"/>
      <c r="L132" s="1"/>
      <c r="M132" s="1"/>
      <c r="N132" s="1"/>
      <c r="O132" s="1"/>
      <c r="P132" s="1"/>
      <c r="Q132" s="13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31"/>
      <c r="F133" s="131"/>
      <c r="G133" s="131"/>
      <c r="H133" s="1"/>
      <c r="I133" s="1"/>
      <c r="J133" s="1"/>
      <c r="K133" s="1"/>
      <c r="L133" s="1"/>
      <c r="M133" s="1"/>
      <c r="N133" s="1"/>
      <c r="O133" s="1"/>
      <c r="P133" s="1"/>
      <c r="Q133" s="13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31"/>
      <c r="F134" s="131"/>
      <c r="G134" s="131"/>
      <c r="H134" s="1"/>
      <c r="I134" s="1"/>
      <c r="J134" s="1"/>
      <c r="K134" s="1"/>
      <c r="L134" s="1"/>
      <c r="M134" s="1"/>
      <c r="N134" s="1"/>
      <c r="O134" s="1"/>
      <c r="P134" s="1"/>
      <c r="Q134" s="13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31"/>
      <c r="F135" s="131"/>
      <c r="G135" s="131"/>
      <c r="H135" s="1"/>
      <c r="I135" s="1"/>
      <c r="J135" s="1"/>
      <c r="K135" s="1"/>
      <c r="L135" s="1"/>
      <c r="M135" s="1"/>
      <c r="N135" s="1"/>
      <c r="O135" s="1"/>
      <c r="P135" s="1"/>
      <c r="Q135" s="13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31"/>
      <c r="F136" s="131"/>
      <c r="G136" s="131"/>
      <c r="H136" s="1"/>
      <c r="I136" s="1"/>
      <c r="J136" s="1"/>
      <c r="K136" s="1"/>
      <c r="L136" s="1"/>
      <c r="M136" s="1"/>
      <c r="N136" s="1"/>
      <c r="O136" s="1"/>
      <c r="P136" s="1"/>
      <c r="Q136" s="13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31"/>
      <c r="F137" s="131"/>
      <c r="G137" s="131"/>
      <c r="H137" s="1"/>
      <c r="I137" s="1"/>
      <c r="J137" s="1"/>
      <c r="K137" s="1"/>
      <c r="L137" s="1"/>
      <c r="M137" s="1"/>
      <c r="N137" s="1"/>
      <c r="O137" s="1"/>
      <c r="P137" s="1"/>
      <c r="Q137" s="13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31"/>
      <c r="F138" s="131"/>
      <c r="G138" s="131"/>
      <c r="H138" s="1"/>
      <c r="I138" s="1"/>
      <c r="J138" s="1"/>
      <c r="K138" s="1"/>
      <c r="L138" s="1"/>
      <c r="M138" s="1"/>
      <c r="N138" s="1"/>
      <c r="O138" s="1"/>
      <c r="P138" s="1"/>
      <c r="Q138" s="13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31"/>
      <c r="F139" s="131"/>
      <c r="G139" s="131"/>
      <c r="H139" s="1"/>
      <c r="I139" s="1"/>
      <c r="J139" s="1"/>
      <c r="K139" s="1"/>
      <c r="L139" s="1"/>
      <c r="M139" s="1"/>
      <c r="N139" s="1"/>
      <c r="O139" s="1"/>
      <c r="P139" s="1"/>
      <c r="Q139" s="13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31"/>
      <c r="F140" s="131"/>
      <c r="G140" s="131"/>
      <c r="H140" s="1"/>
      <c r="I140" s="1"/>
      <c r="J140" s="1"/>
      <c r="K140" s="1"/>
      <c r="L140" s="1"/>
      <c r="M140" s="1"/>
      <c r="N140" s="1"/>
      <c r="O140" s="1"/>
      <c r="P140" s="1"/>
      <c r="Q140" s="13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31"/>
      <c r="F141" s="131"/>
      <c r="G141" s="131"/>
      <c r="H141" s="1"/>
      <c r="I141" s="1"/>
      <c r="J141" s="1"/>
      <c r="K141" s="1"/>
      <c r="L141" s="1"/>
      <c r="M141" s="1"/>
      <c r="N141" s="1"/>
      <c r="O141" s="1"/>
      <c r="P141" s="1"/>
      <c r="Q141" s="13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31"/>
      <c r="F142" s="131"/>
      <c r="G142" s="131"/>
      <c r="H142" s="1"/>
      <c r="I142" s="1"/>
      <c r="J142" s="1"/>
      <c r="K142" s="1"/>
      <c r="L142" s="1"/>
      <c r="M142" s="1"/>
      <c r="N142" s="1"/>
      <c r="O142" s="1"/>
      <c r="P142" s="1"/>
      <c r="Q142" s="13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31"/>
      <c r="F143" s="131"/>
      <c r="G143" s="131"/>
      <c r="H143" s="1"/>
      <c r="I143" s="1"/>
      <c r="J143" s="1"/>
      <c r="K143" s="1"/>
      <c r="L143" s="1"/>
      <c r="M143" s="1"/>
      <c r="N143" s="1"/>
      <c r="O143" s="1"/>
      <c r="P143" s="1"/>
      <c r="Q143" s="13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31"/>
      <c r="F144" s="131"/>
      <c r="G144" s="131"/>
      <c r="H144" s="1"/>
      <c r="I144" s="1"/>
      <c r="J144" s="1"/>
      <c r="K144" s="1"/>
      <c r="L144" s="1"/>
      <c r="M144" s="1"/>
      <c r="N144" s="1"/>
      <c r="O144" s="1"/>
      <c r="P144" s="1"/>
      <c r="Q144" s="13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31"/>
      <c r="F145" s="131"/>
      <c r="G145" s="131"/>
      <c r="H145" s="1"/>
      <c r="I145" s="1"/>
      <c r="J145" s="1"/>
      <c r="K145" s="1"/>
      <c r="L145" s="1"/>
      <c r="M145" s="1"/>
      <c r="N145" s="1"/>
      <c r="O145" s="1"/>
      <c r="P145" s="1"/>
      <c r="Q145" s="13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31"/>
      <c r="F146" s="131"/>
      <c r="G146" s="131"/>
      <c r="H146" s="1"/>
      <c r="I146" s="1"/>
      <c r="J146" s="1"/>
      <c r="K146" s="1"/>
      <c r="L146" s="1"/>
      <c r="M146" s="1"/>
      <c r="N146" s="1"/>
      <c r="O146" s="1"/>
      <c r="P146" s="1"/>
      <c r="Q146" s="13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31"/>
      <c r="F147" s="131"/>
      <c r="G147" s="131"/>
      <c r="H147" s="1"/>
      <c r="I147" s="1"/>
      <c r="J147" s="1"/>
      <c r="K147" s="1"/>
      <c r="L147" s="1"/>
      <c r="M147" s="1"/>
      <c r="N147" s="1"/>
      <c r="O147" s="1"/>
      <c r="P147" s="1"/>
      <c r="Q147" s="13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31"/>
      <c r="F148" s="131"/>
      <c r="G148" s="131"/>
      <c r="H148" s="1"/>
      <c r="I148" s="1"/>
      <c r="J148" s="1"/>
      <c r="K148" s="1"/>
      <c r="L148" s="1"/>
      <c r="M148" s="1"/>
      <c r="N148" s="1"/>
      <c r="O148" s="1"/>
      <c r="P148" s="1"/>
      <c r="Q148" s="13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31"/>
      <c r="F149" s="131"/>
      <c r="G149" s="131"/>
      <c r="H149" s="1"/>
      <c r="I149" s="1"/>
      <c r="J149" s="1"/>
      <c r="K149" s="1"/>
      <c r="L149" s="1"/>
      <c r="M149" s="1"/>
      <c r="N149" s="1"/>
      <c r="O149" s="1"/>
      <c r="P149" s="1"/>
      <c r="Q149" s="13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31"/>
      <c r="F150" s="131"/>
      <c r="G150" s="131"/>
      <c r="H150" s="1"/>
      <c r="I150" s="1"/>
      <c r="J150" s="1"/>
      <c r="K150" s="1"/>
      <c r="L150" s="1"/>
      <c r="M150" s="1"/>
      <c r="N150" s="1"/>
      <c r="O150" s="1"/>
      <c r="P150" s="1"/>
      <c r="Q150" s="13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31"/>
      <c r="F151" s="131"/>
      <c r="G151" s="131"/>
      <c r="H151" s="1"/>
      <c r="I151" s="1"/>
      <c r="J151" s="1"/>
      <c r="K151" s="1"/>
      <c r="L151" s="1"/>
      <c r="M151" s="1"/>
      <c r="N151" s="1"/>
      <c r="O151" s="1"/>
      <c r="P151" s="1"/>
      <c r="Q151" s="13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31"/>
      <c r="F152" s="131"/>
      <c r="G152" s="131"/>
      <c r="H152" s="1"/>
      <c r="I152" s="1"/>
      <c r="J152" s="1"/>
      <c r="K152" s="1"/>
      <c r="L152" s="1"/>
      <c r="M152" s="1"/>
      <c r="N152" s="1"/>
      <c r="O152" s="1"/>
      <c r="P152" s="1"/>
      <c r="Q152" s="13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31"/>
      <c r="F153" s="131"/>
      <c r="G153" s="131"/>
      <c r="H153" s="1"/>
      <c r="I153" s="1"/>
      <c r="J153" s="1"/>
      <c r="K153" s="1"/>
      <c r="L153" s="1"/>
      <c r="M153" s="1"/>
      <c r="N153" s="1"/>
      <c r="O153" s="1"/>
      <c r="P153" s="1"/>
      <c r="Q153" s="13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31"/>
      <c r="F154" s="131"/>
      <c r="G154" s="131"/>
      <c r="H154" s="1"/>
      <c r="I154" s="1"/>
      <c r="J154" s="1"/>
      <c r="K154" s="1"/>
      <c r="L154" s="1"/>
      <c r="M154" s="1"/>
      <c r="N154" s="1"/>
      <c r="O154" s="1"/>
      <c r="P154" s="1"/>
      <c r="Q154" s="13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31"/>
      <c r="F155" s="131"/>
      <c r="G155" s="131"/>
      <c r="H155" s="1"/>
      <c r="I155" s="1"/>
      <c r="J155" s="1"/>
      <c r="K155" s="1"/>
      <c r="L155" s="1"/>
      <c r="M155" s="1"/>
      <c r="N155" s="1"/>
      <c r="O155" s="1"/>
      <c r="P155" s="1"/>
      <c r="Q155" s="13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31"/>
      <c r="F156" s="131"/>
      <c r="G156" s="131"/>
      <c r="H156" s="1"/>
      <c r="I156" s="1"/>
      <c r="J156" s="1"/>
      <c r="K156" s="1"/>
      <c r="L156" s="1"/>
      <c r="M156" s="1"/>
      <c r="N156" s="1"/>
      <c r="O156" s="1"/>
      <c r="P156" s="1"/>
      <c r="Q156" s="13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31"/>
      <c r="F157" s="131"/>
      <c r="G157" s="131"/>
      <c r="H157" s="1"/>
      <c r="I157" s="1"/>
      <c r="J157" s="1"/>
      <c r="K157" s="1"/>
      <c r="L157" s="1"/>
      <c r="M157" s="1"/>
      <c r="N157" s="1"/>
      <c r="O157" s="1"/>
      <c r="P157" s="1"/>
      <c r="Q157" s="13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31"/>
      <c r="F158" s="131"/>
      <c r="G158" s="131"/>
      <c r="H158" s="1"/>
      <c r="I158" s="1"/>
      <c r="J158" s="1"/>
      <c r="K158" s="1"/>
      <c r="L158" s="1"/>
      <c r="M158" s="1"/>
      <c r="N158" s="1"/>
      <c r="O158" s="1"/>
      <c r="P158" s="1"/>
      <c r="Q158" s="13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31"/>
      <c r="F159" s="131"/>
      <c r="G159" s="131"/>
      <c r="H159" s="1"/>
      <c r="I159" s="1"/>
      <c r="J159" s="1"/>
      <c r="K159" s="1"/>
      <c r="L159" s="1"/>
      <c r="M159" s="1"/>
      <c r="N159" s="1"/>
      <c r="O159" s="1"/>
      <c r="P159" s="1"/>
      <c r="Q159" s="13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31"/>
      <c r="F160" s="131"/>
      <c r="G160" s="131"/>
      <c r="H160" s="1"/>
      <c r="I160" s="1"/>
      <c r="J160" s="1"/>
      <c r="K160" s="1"/>
      <c r="L160" s="1"/>
      <c r="M160" s="1"/>
      <c r="N160" s="1"/>
      <c r="O160" s="1"/>
      <c r="P160" s="1"/>
      <c r="Q160" s="13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31"/>
      <c r="F161" s="131"/>
      <c r="G161" s="131"/>
      <c r="H161" s="1"/>
      <c r="I161" s="1"/>
      <c r="J161" s="1"/>
      <c r="K161" s="1"/>
      <c r="L161" s="1"/>
      <c r="M161" s="1"/>
      <c r="N161" s="1"/>
      <c r="O161" s="1"/>
      <c r="P161" s="1"/>
      <c r="Q161" s="13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31"/>
      <c r="F162" s="131"/>
      <c r="G162" s="131"/>
      <c r="H162" s="1"/>
      <c r="I162" s="1"/>
      <c r="J162" s="1"/>
      <c r="K162" s="1"/>
      <c r="L162" s="1"/>
      <c r="M162" s="1"/>
      <c r="N162" s="1"/>
      <c r="O162" s="1"/>
      <c r="P162" s="1"/>
      <c r="Q162" s="13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31"/>
      <c r="F163" s="131"/>
      <c r="G163" s="131"/>
      <c r="H163" s="1"/>
      <c r="I163" s="1"/>
      <c r="J163" s="1"/>
      <c r="K163" s="1"/>
      <c r="L163" s="1"/>
      <c r="M163" s="1"/>
      <c r="N163" s="1"/>
      <c r="O163" s="1"/>
      <c r="P163" s="1"/>
      <c r="Q163" s="13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31"/>
      <c r="F164" s="131"/>
      <c r="G164" s="131"/>
      <c r="H164" s="1"/>
      <c r="I164" s="1"/>
      <c r="J164" s="1"/>
      <c r="K164" s="1"/>
      <c r="L164" s="1"/>
      <c r="M164" s="1"/>
      <c r="N164" s="1"/>
      <c r="O164" s="1"/>
      <c r="P164" s="1"/>
      <c r="Q164" s="13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31"/>
      <c r="F165" s="131"/>
      <c r="G165" s="131"/>
      <c r="H165" s="1"/>
      <c r="I165" s="1"/>
      <c r="J165" s="1"/>
      <c r="K165" s="1"/>
      <c r="L165" s="1"/>
      <c r="M165" s="1"/>
      <c r="N165" s="1"/>
      <c r="O165" s="1"/>
      <c r="P165" s="1"/>
      <c r="Q165" s="13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31"/>
      <c r="F166" s="131"/>
      <c r="G166" s="131"/>
      <c r="H166" s="1"/>
      <c r="I166" s="1"/>
      <c r="J166" s="1"/>
      <c r="K166" s="1"/>
      <c r="L166" s="1"/>
      <c r="M166" s="1"/>
      <c r="N166" s="1"/>
      <c r="O166" s="1"/>
      <c r="P166" s="1"/>
      <c r="Q166" s="13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31"/>
      <c r="F167" s="131"/>
      <c r="G167" s="131"/>
      <c r="H167" s="1"/>
      <c r="I167" s="1"/>
      <c r="J167" s="1"/>
      <c r="K167" s="1"/>
      <c r="L167" s="1"/>
      <c r="M167" s="1"/>
      <c r="N167" s="1"/>
      <c r="O167" s="1"/>
      <c r="P167" s="1"/>
      <c r="Q167" s="13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31"/>
      <c r="F168" s="131"/>
      <c r="G168" s="131"/>
      <c r="H168" s="1"/>
      <c r="I168" s="1"/>
      <c r="J168" s="1"/>
      <c r="K168" s="1"/>
      <c r="L168" s="1"/>
      <c r="M168" s="1"/>
      <c r="N168" s="1"/>
      <c r="O168" s="1"/>
      <c r="P168" s="1"/>
      <c r="Q168" s="13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31"/>
      <c r="F169" s="131"/>
      <c r="G169" s="131"/>
      <c r="H169" s="1"/>
      <c r="I169" s="1"/>
      <c r="J169" s="1"/>
      <c r="K169" s="1"/>
      <c r="L169" s="1"/>
      <c r="M169" s="1"/>
      <c r="N169" s="1"/>
      <c r="O169" s="1"/>
      <c r="P169" s="1"/>
      <c r="Q169" s="13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31"/>
      <c r="F170" s="131"/>
      <c r="G170" s="131"/>
      <c r="H170" s="1"/>
      <c r="I170" s="1"/>
      <c r="J170" s="1"/>
      <c r="K170" s="1"/>
      <c r="L170" s="1"/>
      <c r="M170" s="1"/>
      <c r="N170" s="1"/>
      <c r="O170" s="1"/>
      <c r="P170" s="1"/>
      <c r="Q170" s="13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31"/>
      <c r="F171" s="131"/>
      <c r="G171" s="131"/>
      <c r="H171" s="1"/>
      <c r="I171" s="1"/>
      <c r="J171" s="1"/>
      <c r="K171" s="1"/>
      <c r="L171" s="1"/>
      <c r="M171" s="1"/>
      <c r="N171" s="1"/>
      <c r="O171" s="1"/>
      <c r="P171" s="1"/>
      <c r="Q171" s="13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31"/>
      <c r="F172" s="131"/>
      <c r="G172" s="131"/>
      <c r="H172" s="1"/>
      <c r="I172" s="1"/>
      <c r="J172" s="1"/>
      <c r="K172" s="1"/>
      <c r="L172" s="1"/>
      <c r="M172" s="1"/>
      <c r="N172" s="1"/>
      <c r="O172" s="1"/>
      <c r="P172" s="1"/>
      <c r="Q172" s="13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31"/>
      <c r="F173" s="131"/>
      <c r="G173" s="131"/>
      <c r="H173" s="1"/>
      <c r="I173" s="1"/>
      <c r="J173" s="1"/>
      <c r="K173" s="1"/>
      <c r="L173" s="1"/>
      <c r="M173" s="1"/>
      <c r="N173" s="1"/>
      <c r="O173" s="1"/>
      <c r="P173" s="1"/>
      <c r="Q173" s="13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31"/>
      <c r="F174" s="131"/>
      <c r="G174" s="131"/>
      <c r="H174" s="1"/>
      <c r="I174" s="1"/>
      <c r="J174" s="1"/>
      <c r="K174" s="1"/>
      <c r="L174" s="1"/>
      <c r="M174" s="1"/>
      <c r="N174" s="1"/>
      <c r="O174" s="1"/>
      <c r="P174" s="1"/>
      <c r="Q174" s="13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31"/>
      <c r="F175" s="131"/>
      <c r="G175" s="131"/>
      <c r="H175" s="1"/>
      <c r="I175" s="1"/>
      <c r="J175" s="1"/>
      <c r="K175" s="1"/>
      <c r="L175" s="1"/>
      <c r="M175" s="1"/>
      <c r="N175" s="1"/>
      <c r="O175" s="1"/>
      <c r="P175" s="1"/>
      <c r="Q175" s="13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31"/>
      <c r="F176" s="131"/>
      <c r="G176" s="131"/>
      <c r="H176" s="1"/>
      <c r="I176" s="1"/>
      <c r="J176" s="1"/>
      <c r="K176" s="1"/>
      <c r="L176" s="1"/>
      <c r="M176" s="1"/>
      <c r="N176" s="1"/>
      <c r="O176" s="1"/>
      <c r="P176" s="1"/>
      <c r="Q176" s="13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31"/>
      <c r="F177" s="131"/>
      <c r="G177" s="131"/>
      <c r="H177" s="1"/>
      <c r="I177" s="1"/>
      <c r="J177" s="1"/>
      <c r="K177" s="1"/>
      <c r="L177" s="1"/>
      <c r="M177" s="1"/>
      <c r="N177" s="1"/>
      <c r="O177" s="1"/>
      <c r="P177" s="1"/>
      <c r="Q177" s="13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31"/>
      <c r="F178" s="131"/>
      <c r="G178" s="131"/>
      <c r="H178" s="1"/>
      <c r="I178" s="1"/>
      <c r="J178" s="1"/>
      <c r="K178" s="1"/>
      <c r="L178" s="1"/>
      <c r="M178" s="1"/>
      <c r="N178" s="1"/>
      <c r="O178" s="1"/>
      <c r="P178" s="1"/>
      <c r="Q178" s="13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31"/>
      <c r="F179" s="131"/>
      <c r="G179" s="131"/>
      <c r="H179" s="1"/>
      <c r="I179" s="1"/>
      <c r="J179" s="1"/>
      <c r="K179" s="1"/>
      <c r="L179" s="1"/>
      <c r="M179" s="1"/>
      <c r="N179" s="1"/>
      <c r="O179" s="1"/>
      <c r="P179" s="1"/>
      <c r="Q179" s="13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31"/>
      <c r="F180" s="131"/>
      <c r="G180" s="131"/>
      <c r="H180" s="1"/>
      <c r="I180" s="1"/>
      <c r="J180" s="1"/>
      <c r="K180" s="1"/>
      <c r="L180" s="1"/>
      <c r="M180" s="1"/>
      <c r="N180" s="1"/>
      <c r="O180" s="1"/>
      <c r="P180" s="1"/>
      <c r="Q180" s="13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31"/>
      <c r="F181" s="131"/>
      <c r="G181" s="131"/>
      <c r="H181" s="1"/>
      <c r="I181" s="1"/>
      <c r="J181" s="1"/>
      <c r="K181" s="1"/>
      <c r="L181" s="1"/>
      <c r="M181" s="1"/>
      <c r="N181" s="1"/>
      <c r="O181" s="1"/>
      <c r="P181" s="1"/>
      <c r="Q181" s="13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31"/>
      <c r="F182" s="131"/>
      <c r="G182" s="131"/>
      <c r="H182" s="1"/>
      <c r="I182" s="1"/>
      <c r="J182" s="1"/>
      <c r="K182" s="1"/>
      <c r="L182" s="1"/>
      <c r="M182" s="1"/>
      <c r="N182" s="1"/>
      <c r="O182" s="1"/>
      <c r="P182" s="1"/>
      <c r="Q182" s="13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31"/>
      <c r="F183" s="131"/>
      <c r="G183" s="131"/>
      <c r="H183" s="1"/>
      <c r="I183" s="1"/>
      <c r="J183" s="1"/>
      <c r="K183" s="1"/>
      <c r="L183" s="1"/>
      <c r="M183" s="1"/>
      <c r="N183" s="1"/>
      <c r="O183" s="1"/>
      <c r="P183" s="1"/>
      <c r="Q183" s="13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31"/>
      <c r="F184" s="131"/>
      <c r="G184" s="131"/>
      <c r="H184" s="1"/>
      <c r="I184" s="1"/>
      <c r="J184" s="1"/>
      <c r="K184" s="1"/>
      <c r="L184" s="1"/>
      <c r="M184" s="1"/>
      <c r="N184" s="1"/>
      <c r="O184" s="1"/>
      <c r="P184" s="1"/>
      <c r="Q184" s="13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31"/>
      <c r="F185" s="131"/>
      <c r="G185" s="131"/>
      <c r="H185" s="1"/>
      <c r="I185" s="1"/>
      <c r="J185" s="1"/>
      <c r="K185" s="1"/>
      <c r="L185" s="1"/>
      <c r="M185" s="1"/>
      <c r="N185" s="1"/>
      <c r="O185" s="1"/>
      <c r="P185" s="1"/>
      <c r="Q185" s="13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31"/>
      <c r="F186" s="131"/>
      <c r="G186" s="131"/>
      <c r="H186" s="1"/>
      <c r="I186" s="1"/>
      <c r="J186" s="1"/>
      <c r="K186" s="1"/>
      <c r="L186" s="1"/>
      <c r="M186" s="1"/>
      <c r="N186" s="1"/>
      <c r="O186" s="1"/>
      <c r="P186" s="1"/>
      <c r="Q186" s="13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31"/>
      <c r="F187" s="131"/>
      <c r="G187" s="131"/>
      <c r="H187" s="1"/>
      <c r="I187" s="1"/>
      <c r="J187" s="1"/>
      <c r="K187" s="1"/>
      <c r="L187" s="1"/>
      <c r="M187" s="1"/>
      <c r="N187" s="1"/>
      <c r="O187" s="1"/>
      <c r="P187" s="1"/>
      <c r="Q187" s="13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31"/>
      <c r="F188" s="131"/>
      <c r="G188" s="131"/>
      <c r="H188" s="1"/>
      <c r="I188" s="1"/>
      <c r="J188" s="1"/>
      <c r="K188" s="1"/>
      <c r="L188" s="1"/>
      <c r="M188" s="1"/>
      <c r="N188" s="1"/>
      <c r="O188" s="1"/>
      <c r="P188" s="1"/>
      <c r="Q188" s="13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31"/>
      <c r="F189" s="131"/>
      <c r="G189" s="131"/>
      <c r="H189" s="1"/>
      <c r="I189" s="1"/>
      <c r="J189" s="1"/>
      <c r="K189" s="1"/>
      <c r="L189" s="1"/>
      <c r="M189" s="1"/>
      <c r="N189" s="1"/>
      <c r="O189" s="1"/>
      <c r="P189" s="1"/>
      <c r="Q189" s="13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31"/>
      <c r="F190" s="131"/>
      <c r="G190" s="131"/>
      <c r="H190" s="1"/>
      <c r="I190" s="1"/>
      <c r="J190" s="1"/>
      <c r="K190" s="1"/>
      <c r="L190" s="1"/>
      <c r="M190" s="1"/>
      <c r="N190" s="1"/>
      <c r="O190" s="1"/>
      <c r="P190" s="1"/>
      <c r="Q190" s="13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31"/>
      <c r="F191" s="131"/>
      <c r="G191" s="131"/>
      <c r="H191" s="1"/>
      <c r="I191" s="1"/>
      <c r="J191" s="1"/>
      <c r="K191" s="1"/>
      <c r="L191" s="1"/>
      <c r="M191" s="1"/>
      <c r="N191" s="1"/>
      <c r="O191" s="1"/>
      <c r="P191" s="1"/>
      <c r="Q191" s="13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31"/>
      <c r="F192" s="131"/>
      <c r="G192" s="131"/>
      <c r="H192" s="1"/>
      <c r="I192" s="1"/>
      <c r="J192" s="1"/>
      <c r="K192" s="1"/>
      <c r="L192" s="1"/>
      <c r="M192" s="1"/>
      <c r="N192" s="1"/>
      <c r="O192" s="1"/>
      <c r="P192" s="1"/>
      <c r="Q192" s="13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31"/>
      <c r="F193" s="131"/>
      <c r="G193" s="131"/>
      <c r="H193" s="1"/>
      <c r="I193" s="1"/>
      <c r="J193" s="1"/>
      <c r="K193" s="1"/>
      <c r="L193" s="1"/>
      <c r="M193" s="1"/>
      <c r="N193" s="1"/>
      <c r="O193" s="1"/>
      <c r="P193" s="1"/>
      <c r="Q193" s="13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31"/>
      <c r="F194" s="131"/>
      <c r="G194" s="131"/>
      <c r="H194" s="1"/>
      <c r="I194" s="1"/>
      <c r="J194" s="1"/>
      <c r="K194" s="1"/>
      <c r="L194" s="1"/>
      <c r="M194" s="1"/>
      <c r="N194" s="1"/>
      <c r="O194" s="1"/>
      <c r="P194" s="1"/>
      <c r="Q194" s="13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31"/>
      <c r="F195" s="131"/>
      <c r="G195" s="131"/>
      <c r="H195" s="1"/>
      <c r="I195" s="1"/>
      <c r="J195" s="1"/>
      <c r="K195" s="1"/>
      <c r="L195" s="1"/>
      <c r="M195" s="1"/>
      <c r="N195" s="1"/>
      <c r="O195" s="1"/>
      <c r="P195" s="1"/>
      <c r="Q195" s="13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31"/>
      <c r="F196" s="131"/>
      <c r="G196" s="131"/>
      <c r="H196" s="1"/>
      <c r="I196" s="1"/>
      <c r="J196" s="1"/>
      <c r="K196" s="1"/>
      <c r="L196" s="1"/>
      <c r="M196" s="1"/>
      <c r="N196" s="1"/>
      <c r="O196" s="1"/>
      <c r="P196" s="1"/>
      <c r="Q196" s="13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31"/>
      <c r="F197" s="131"/>
      <c r="G197" s="131"/>
      <c r="H197" s="1"/>
      <c r="I197" s="1"/>
      <c r="J197" s="1"/>
      <c r="K197" s="1"/>
      <c r="L197" s="1"/>
      <c r="M197" s="1"/>
      <c r="N197" s="1"/>
      <c r="O197" s="1"/>
      <c r="P197" s="1"/>
      <c r="Q197" s="13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31"/>
      <c r="F198" s="131"/>
      <c r="G198" s="131"/>
      <c r="H198" s="1"/>
      <c r="I198" s="1"/>
      <c r="J198" s="1"/>
      <c r="K198" s="1"/>
      <c r="L198" s="1"/>
      <c r="M198" s="1"/>
      <c r="N198" s="1"/>
      <c r="O198" s="1"/>
      <c r="P198" s="1"/>
      <c r="Q198" s="13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31"/>
      <c r="F199" s="131"/>
      <c r="G199" s="131"/>
      <c r="H199" s="1"/>
      <c r="I199" s="1"/>
      <c r="J199" s="1"/>
      <c r="K199" s="1"/>
      <c r="L199" s="1"/>
      <c r="M199" s="1"/>
      <c r="N199" s="1"/>
      <c r="O199" s="1"/>
      <c r="P199" s="1"/>
      <c r="Q199" s="13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31"/>
      <c r="F200" s="131"/>
      <c r="G200" s="131"/>
      <c r="H200" s="1"/>
      <c r="I200" s="1"/>
      <c r="J200" s="1"/>
      <c r="K200" s="1"/>
      <c r="L200" s="1"/>
      <c r="M200" s="1"/>
      <c r="N200" s="1"/>
      <c r="O200" s="1"/>
      <c r="P200" s="1"/>
      <c r="Q200" s="13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31"/>
      <c r="F201" s="131"/>
      <c r="G201" s="131"/>
      <c r="H201" s="1"/>
      <c r="I201" s="1"/>
      <c r="J201" s="1"/>
      <c r="K201" s="1"/>
      <c r="L201" s="1"/>
      <c r="M201" s="1"/>
      <c r="N201" s="1"/>
      <c r="O201" s="1"/>
      <c r="P201" s="1"/>
      <c r="Q201" s="13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31"/>
      <c r="F202" s="131"/>
      <c r="G202" s="131"/>
      <c r="H202" s="1"/>
      <c r="I202" s="1"/>
      <c r="J202" s="1"/>
      <c r="K202" s="1"/>
      <c r="L202" s="1"/>
      <c r="M202" s="1"/>
      <c r="N202" s="1"/>
      <c r="O202" s="1"/>
      <c r="P202" s="1"/>
      <c r="Q202" s="13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31"/>
      <c r="F203" s="131"/>
      <c r="G203" s="131"/>
      <c r="H203" s="1"/>
      <c r="I203" s="1"/>
      <c r="J203" s="1"/>
      <c r="K203" s="1"/>
      <c r="L203" s="1"/>
      <c r="M203" s="1"/>
      <c r="N203" s="1"/>
      <c r="O203" s="1"/>
      <c r="P203" s="1"/>
      <c r="Q203" s="13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31"/>
      <c r="F204" s="131"/>
      <c r="G204" s="131"/>
      <c r="H204" s="1"/>
      <c r="I204" s="1"/>
      <c r="J204" s="1"/>
      <c r="K204" s="1"/>
      <c r="L204" s="1"/>
      <c r="M204" s="1"/>
      <c r="N204" s="1"/>
      <c r="O204" s="1"/>
      <c r="P204" s="1"/>
      <c r="Q204" s="13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31"/>
      <c r="F205" s="131"/>
      <c r="G205" s="131"/>
      <c r="H205" s="1"/>
      <c r="I205" s="1"/>
      <c r="J205" s="1"/>
      <c r="K205" s="1"/>
      <c r="L205" s="1"/>
      <c r="M205" s="1"/>
      <c r="N205" s="1"/>
      <c r="O205" s="1"/>
      <c r="P205" s="1"/>
      <c r="Q205" s="13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31"/>
      <c r="F206" s="131"/>
      <c r="G206" s="131"/>
      <c r="H206" s="1"/>
      <c r="I206" s="1"/>
      <c r="J206" s="1"/>
      <c r="K206" s="1"/>
      <c r="L206" s="1"/>
      <c r="M206" s="1"/>
      <c r="N206" s="1"/>
      <c r="O206" s="1"/>
      <c r="P206" s="1"/>
      <c r="Q206" s="13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31"/>
      <c r="F207" s="131"/>
      <c r="G207" s="131"/>
      <c r="H207" s="1"/>
      <c r="I207" s="1"/>
      <c r="J207" s="1"/>
      <c r="K207" s="1"/>
      <c r="L207" s="1"/>
      <c r="M207" s="1"/>
      <c r="N207" s="1"/>
      <c r="O207" s="1"/>
      <c r="P207" s="1"/>
      <c r="Q207" s="13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31"/>
      <c r="F208" s="131"/>
      <c r="G208" s="131"/>
      <c r="H208" s="1"/>
      <c r="I208" s="1"/>
      <c r="J208" s="1"/>
      <c r="K208" s="1"/>
      <c r="L208" s="1"/>
      <c r="M208" s="1"/>
      <c r="N208" s="1"/>
      <c r="O208" s="1"/>
      <c r="P208" s="1"/>
      <c r="Q208" s="13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31"/>
      <c r="F209" s="131"/>
      <c r="G209" s="131"/>
      <c r="H209" s="1"/>
      <c r="I209" s="1"/>
      <c r="J209" s="1"/>
      <c r="K209" s="1"/>
      <c r="L209" s="1"/>
      <c r="M209" s="1"/>
      <c r="N209" s="1"/>
      <c r="O209" s="1"/>
      <c r="P209" s="1"/>
      <c r="Q209" s="13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31"/>
      <c r="F210" s="131"/>
      <c r="G210" s="131"/>
      <c r="H210" s="1"/>
      <c r="I210" s="1"/>
      <c r="J210" s="1"/>
      <c r="K210" s="1"/>
      <c r="L210" s="1"/>
      <c r="M210" s="1"/>
      <c r="N210" s="1"/>
      <c r="O210" s="1"/>
      <c r="P210" s="1"/>
      <c r="Q210" s="13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31"/>
      <c r="F211" s="131"/>
      <c r="G211" s="131"/>
      <c r="H211" s="1"/>
      <c r="I211" s="1"/>
      <c r="J211" s="1"/>
      <c r="K211" s="1"/>
      <c r="L211" s="1"/>
      <c r="M211" s="1"/>
      <c r="N211" s="1"/>
      <c r="O211" s="1"/>
      <c r="P211" s="1"/>
      <c r="Q211" s="13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31"/>
      <c r="F212" s="131"/>
      <c r="G212" s="131"/>
      <c r="H212" s="1"/>
      <c r="I212" s="1"/>
      <c r="J212" s="1"/>
      <c r="K212" s="1"/>
      <c r="L212" s="1"/>
      <c r="M212" s="1"/>
      <c r="N212" s="1"/>
      <c r="O212" s="1"/>
      <c r="P212" s="1"/>
      <c r="Q212" s="13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31"/>
      <c r="F213" s="131"/>
      <c r="G213" s="131"/>
      <c r="H213" s="1"/>
      <c r="I213" s="1"/>
      <c r="J213" s="1"/>
      <c r="K213" s="1"/>
      <c r="L213" s="1"/>
      <c r="M213" s="1"/>
      <c r="N213" s="1"/>
      <c r="O213" s="1"/>
      <c r="P213" s="1"/>
      <c r="Q213" s="13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31"/>
      <c r="F214" s="131"/>
      <c r="G214" s="131"/>
      <c r="H214" s="1"/>
      <c r="I214" s="1"/>
      <c r="J214" s="1"/>
      <c r="K214" s="1"/>
      <c r="L214" s="1"/>
      <c r="M214" s="1"/>
      <c r="N214" s="1"/>
      <c r="O214" s="1"/>
      <c r="P214" s="1"/>
      <c r="Q214" s="13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31"/>
      <c r="F215" s="131"/>
      <c r="G215" s="131"/>
      <c r="H215" s="1"/>
      <c r="I215" s="1"/>
      <c r="J215" s="1"/>
      <c r="K215" s="1"/>
      <c r="L215" s="1"/>
      <c r="M215" s="1"/>
      <c r="N215" s="1"/>
      <c r="O215" s="1"/>
      <c r="P215" s="1"/>
      <c r="Q215" s="13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31"/>
      <c r="F216" s="131"/>
      <c r="G216" s="131"/>
      <c r="H216" s="1"/>
      <c r="I216" s="1"/>
      <c r="J216" s="1"/>
      <c r="K216" s="1"/>
      <c r="L216" s="1"/>
      <c r="M216" s="1"/>
      <c r="N216" s="1"/>
      <c r="O216" s="1"/>
      <c r="P216" s="1"/>
      <c r="Q216" s="13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31"/>
      <c r="F217" s="131"/>
      <c r="G217" s="131"/>
      <c r="H217" s="1"/>
      <c r="I217" s="1"/>
      <c r="J217" s="1"/>
      <c r="K217" s="1"/>
      <c r="L217" s="1"/>
      <c r="M217" s="1"/>
      <c r="N217" s="1"/>
      <c r="O217" s="1"/>
      <c r="P217" s="1"/>
      <c r="Q217" s="13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31"/>
      <c r="F218" s="131"/>
      <c r="G218" s="131"/>
      <c r="H218" s="1"/>
      <c r="I218" s="1"/>
      <c r="J218" s="1"/>
      <c r="K218" s="1"/>
      <c r="L218" s="1"/>
      <c r="M218" s="1"/>
      <c r="N218" s="1"/>
      <c r="O218" s="1"/>
      <c r="P218" s="1"/>
      <c r="Q218" s="13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31"/>
      <c r="F219" s="131"/>
      <c r="G219" s="131"/>
      <c r="H219" s="1"/>
      <c r="I219" s="1"/>
      <c r="J219" s="1"/>
      <c r="K219" s="1"/>
      <c r="L219" s="1"/>
      <c r="M219" s="1"/>
      <c r="N219" s="1"/>
      <c r="O219" s="1"/>
      <c r="P219" s="1"/>
      <c r="Q219" s="13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31"/>
      <c r="F220" s="131"/>
      <c r="G220" s="131"/>
      <c r="H220" s="1"/>
      <c r="I220" s="1"/>
      <c r="J220" s="1"/>
      <c r="K220" s="1"/>
      <c r="L220" s="1"/>
      <c r="M220" s="1"/>
      <c r="N220" s="1"/>
      <c r="O220" s="1"/>
      <c r="P220" s="1"/>
      <c r="Q220" s="13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31"/>
      <c r="F221" s="131"/>
      <c r="G221" s="131"/>
      <c r="H221" s="1"/>
      <c r="I221" s="1"/>
      <c r="J221" s="1"/>
      <c r="K221" s="1"/>
      <c r="L221" s="1"/>
      <c r="M221" s="1"/>
      <c r="N221" s="1"/>
      <c r="O221" s="1"/>
      <c r="P221" s="1"/>
      <c r="Q221" s="13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31"/>
      <c r="F222" s="131"/>
      <c r="G222" s="131"/>
      <c r="H222" s="1"/>
      <c r="I222" s="1"/>
      <c r="J222" s="1"/>
      <c r="K222" s="1"/>
      <c r="L222" s="1"/>
      <c r="M222" s="1"/>
      <c r="N222" s="1"/>
      <c r="O222" s="1"/>
      <c r="P222" s="1"/>
      <c r="Q222" s="13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31"/>
      <c r="F223" s="131"/>
      <c r="G223" s="131"/>
      <c r="H223" s="1"/>
      <c r="I223" s="1"/>
      <c r="J223" s="1"/>
      <c r="K223" s="1"/>
      <c r="L223" s="1"/>
      <c r="M223" s="1"/>
      <c r="N223" s="1"/>
      <c r="O223" s="1"/>
      <c r="P223" s="1"/>
      <c r="Q223" s="13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31"/>
      <c r="F224" s="131"/>
      <c r="G224" s="131"/>
      <c r="H224" s="1"/>
      <c r="I224" s="1"/>
      <c r="J224" s="1"/>
      <c r="K224" s="1"/>
      <c r="L224" s="1"/>
      <c r="M224" s="1"/>
      <c r="N224" s="1"/>
      <c r="O224" s="1"/>
      <c r="P224" s="1"/>
      <c r="Q224" s="13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31"/>
      <c r="F225" s="131"/>
      <c r="G225" s="131"/>
      <c r="H225" s="1"/>
      <c r="I225" s="1"/>
      <c r="J225" s="1"/>
      <c r="K225" s="1"/>
      <c r="L225" s="1"/>
      <c r="M225" s="1"/>
      <c r="N225" s="1"/>
      <c r="O225" s="1"/>
      <c r="P225" s="1"/>
      <c r="Q225" s="13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31"/>
      <c r="F226" s="131"/>
      <c r="G226" s="131"/>
      <c r="H226" s="1"/>
      <c r="I226" s="1"/>
      <c r="J226" s="1"/>
      <c r="K226" s="1"/>
      <c r="L226" s="1"/>
      <c r="M226" s="1"/>
      <c r="N226" s="1"/>
      <c r="O226" s="1"/>
      <c r="P226" s="1"/>
      <c r="Q226" s="13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31"/>
      <c r="F227" s="131"/>
      <c r="G227" s="131"/>
      <c r="H227" s="1"/>
      <c r="I227" s="1"/>
      <c r="J227" s="1"/>
      <c r="K227" s="1"/>
      <c r="L227" s="1"/>
      <c r="M227" s="1"/>
      <c r="N227" s="1"/>
      <c r="O227" s="1"/>
      <c r="P227" s="1"/>
      <c r="Q227" s="13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31"/>
      <c r="F228" s="131"/>
      <c r="G228" s="131"/>
      <c r="H228" s="1"/>
      <c r="I228" s="1"/>
      <c r="J228" s="1"/>
      <c r="K228" s="1"/>
      <c r="L228" s="1"/>
      <c r="M228" s="1"/>
      <c r="N228" s="1"/>
      <c r="O228" s="1"/>
      <c r="P228" s="1"/>
      <c r="Q228" s="13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31"/>
      <c r="F229" s="131"/>
      <c r="G229" s="131"/>
      <c r="H229" s="1"/>
      <c r="I229" s="1"/>
      <c r="J229" s="1"/>
      <c r="K229" s="1"/>
      <c r="L229" s="1"/>
      <c r="M229" s="1"/>
      <c r="N229" s="1"/>
      <c r="O229" s="1"/>
      <c r="P229" s="1"/>
      <c r="Q229" s="13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31"/>
      <c r="F230" s="131"/>
      <c r="G230" s="131"/>
      <c r="H230" s="1"/>
      <c r="I230" s="1"/>
      <c r="J230" s="1"/>
      <c r="K230" s="1"/>
      <c r="L230" s="1"/>
      <c r="M230" s="1"/>
      <c r="N230" s="1"/>
      <c r="O230" s="1"/>
      <c r="P230" s="1"/>
      <c r="Q230" s="13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31"/>
      <c r="F231" s="131"/>
      <c r="G231" s="131"/>
      <c r="H231" s="1"/>
      <c r="I231" s="1"/>
      <c r="J231" s="1"/>
      <c r="K231" s="1"/>
      <c r="L231" s="1"/>
      <c r="M231" s="1"/>
      <c r="N231" s="1"/>
      <c r="O231" s="1"/>
      <c r="P231" s="1"/>
      <c r="Q231" s="13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31"/>
      <c r="F232" s="131"/>
      <c r="G232" s="131"/>
      <c r="H232" s="1"/>
      <c r="I232" s="1"/>
      <c r="J232" s="1"/>
      <c r="K232" s="1"/>
      <c r="L232" s="1"/>
      <c r="M232" s="1"/>
      <c r="N232" s="1"/>
      <c r="O232" s="1"/>
      <c r="P232" s="1"/>
      <c r="Q232" s="13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31"/>
      <c r="F233" s="131"/>
      <c r="G233" s="131"/>
      <c r="H233" s="1"/>
      <c r="I233" s="1"/>
      <c r="J233" s="1"/>
      <c r="K233" s="1"/>
      <c r="L233" s="1"/>
      <c r="M233" s="1"/>
      <c r="N233" s="1"/>
      <c r="O233" s="1"/>
      <c r="P233" s="1"/>
      <c r="Q233" s="13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31"/>
      <c r="F234" s="131"/>
      <c r="G234" s="131"/>
      <c r="H234" s="1"/>
      <c r="I234" s="1"/>
      <c r="J234" s="1"/>
      <c r="K234" s="1"/>
      <c r="L234" s="1"/>
      <c r="M234" s="1"/>
      <c r="N234" s="1"/>
      <c r="O234" s="1"/>
      <c r="P234" s="1"/>
      <c r="Q234" s="13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31"/>
      <c r="F235" s="131"/>
      <c r="G235" s="131"/>
      <c r="H235" s="1"/>
      <c r="I235" s="1"/>
      <c r="J235" s="1"/>
      <c r="K235" s="1"/>
      <c r="L235" s="1"/>
      <c r="M235" s="1"/>
      <c r="N235" s="1"/>
      <c r="O235" s="1"/>
      <c r="P235" s="1"/>
      <c r="Q235" s="13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31"/>
      <c r="F236" s="131"/>
      <c r="G236" s="131"/>
      <c r="H236" s="1"/>
      <c r="I236" s="1"/>
      <c r="J236" s="1"/>
      <c r="K236" s="1"/>
      <c r="L236" s="1"/>
      <c r="M236" s="1"/>
      <c r="N236" s="1"/>
      <c r="O236" s="1"/>
      <c r="P236" s="1"/>
      <c r="Q236" s="13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31"/>
      <c r="F237" s="131"/>
      <c r="G237" s="131"/>
      <c r="H237" s="1"/>
      <c r="I237" s="1"/>
      <c r="J237" s="1"/>
      <c r="K237" s="1"/>
      <c r="L237" s="1"/>
      <c r="M237" s="1"/>
      <c r="N237" s="1"/>
      <c r="O237" s="1"/>
      <c r="P237" s="1"/>
      <c r="Q237" s="13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31"/>
      <c r="F238" s="131"/>
      <c r="G238" s="131"/>
      <c r="H238" s="1"/>
      <c r="I238" s="1"/>
      <c r="J238" s="1"/>
      <c r="K238" s="1"/>
      <c r="L238" s="1"/>
      <c r="M238" s="1"/>
      <c r="N238" s="1"/>
      <c r="O238" s="1"/>
      <c r="P238" s="1"/>
      <c r="Q238" s="13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31"/>
      <c r="F239" s="131"/>
      <c r="G239" s="131"/>
      <c r="H239" s="1"/>
      <c r="I239" s="1"/>
      <c r="J239" s="1"/>
      <c r="K239" s="1"/>
      <c r="L239" s="1"/>
      <c r="M239" s="1"/>
      <c r="N239" s="1"/>
      <c r="O239" s="1"/>
      <c r="P239" s="1"/>
      <c r="Q239" s="13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31"/>
      <c r="F240" s="131"/>
      <c r="G240" s="131"/>
      <c r="H240" s="1"/>
      <c r="I240" s="1"/>
      <c r="J240" s="1"/>
      <c r="K240" s="1"/>
      <c r="L240" s="1"/>
      <c r="M240" s="1"/>
      <c r="N240" s="1"/>
      <c r="O240" s="1"/>
      <c r="P240" s="1"/>
      <c r="Q240" s="13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31"/>
      <c r="F241" s="131"/>
      <c r="G241" s="131"/>
      <c r="H241" s="1"/>
      <c r="I241" s="1"/>
      <c r="J241" s="1"/>
      <c r="K241" s="1"/>
      <c r="L241" s="1"/>
      <c r="M241" s="1"/>
      <c r="N241" s="1"/>
      <c r="O241" s="1"/>
      <c r="P241" s="1"/>
      <c r="Q241" s="13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31"/>
      <c r="F242" s="131"/>
      <c r="G242" s="131"/>
      <c r="H242" s="1"/>
      <c r="I242" s="1"/>
      <c r="J242" s="1"/>
      <c r="K242" s="1"/>
      <c r="L242" s="1"/>
      <c r="M242" s="1"/>
      <c r="N242" s="1"/>
      <c r="O242" s="1"/>
      <c r="P242" s="1"/>
      <c r="Q242" s="13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31"/>
      <c r="F243" s="131"/>
      <c r="G243" s="131"/>
      <c r="H243" s="1"/>
      <c r="I243" s="1"/>
      <c r="J243" s="1"/>
      <c r="K243" s="1"/>
      <c r="L243" s="1"/>
      <c r="M243" s="1"/>
      <c r="N243" s="1"/>
      <c r="O243" s="1"/>
      <c r="P243" s="1"/>
      <c r="Q243" s="13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31"/>
      <c r="F244" s="131"/>
      <c r="G244" s="131"/>
      <c r="H244" s="1"/>
      <c r="I244" s="1"/>
      <c r="J244" s="1"/>
      <c r="K244" s="1"/>
      <c r="L244" s="1"/>
      <c r="M244" s="1"/>
      <c r="N244" s="1"/>
      <c r="O244" s="1"/>
      <c r="P244" s="1"/>
      <c r="Q244" s="13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31"/>
      <c r="F245" s="131"/>
      <c r="G245" s="131"/>
      <c r="H245" s="1"/>
      <c r="I245" s="1"/>
      <c r="J245" s="1"/>
      <c r="K245" s="1"/>
      <c r="L245" s="1"/>
      <c r="M245" s="1"/>
      <c r="N245" s="1"/>
      <c r="O245" s="1"/>
      <c r="P245" s="1"/>
      <c r="Q245" s="13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31"/>
      <c r="F246" s="131"/>
      <c r="G246" s="131"/>
      <c r="H246" s="1"/>
      <c r="I246" s="1"/>
      <c r="J246" s="1"/>
      <c r="K246" s="1"/>
      <c r="L246" s="1"/>
      <c r="M246" s="1"/>
      <c r="N246" s="1"/>
      <c r="O246" s="1"/>
      <c r="P246" s="1"/>
      <c r="Q246" s="13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31"/>
      <c r="F247" s="131"/>
      <c r="G247" s="131"/>
      <c r="H247" s="1"/>
      <c r="I247" s="1"/>
      <c r="J247" s="1"/>
      <c r="K247" s="1"/>
      <c r="L247" s="1"/>
      <c r="M247" s="1"/>
      <c r="N247" s="1"/>
      <c r="O247" s="1"/>
      <c r="P247" s="1"/>
      <c r="Q247" s="13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31"/>
      <c r="F248" s="131"/>
      <c r="G248" s="131"/>
      <c r="H248" s="1"/>
      <c r="I248" s="1"/>
      <c r="J248" s="1"/>
      <c r="K248" s="1"/>
      <c r="L248" s="1"/>
      <c r="M248" s="1"/>
      <c r="N248" s="1"/>
      <c r="O248" s="1"/>
      <c r="P248" s="1"/>
      <c r="Q248" s="13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31"/>
      <c r="F249" s="131"/>
      <c r="G249" s="131"/>
      <c r="H249" s="1"/>
      <c r="I249" s="1"/>
      <c r="J249" s="1"/>
      <c r="K249" s="1"/>
      <c r="L249" s="1"/>
      <c r="M249" s="1"/>
      <c r="N249" s="1"/>
      <c r="O249" s="1"/>
      <c r="P249" s="1"/>
      <c r="Q249" s="13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31"/>
      <c r="F250" s="131"/>
      <c r="G250" s="131"/>
      <c r="H250" s="1"/>
      <c r="I250" s="1"/>
      <c r="J250" s="1"/>
      <c r="K250" s="1"/>
      <c r="L250" s="1"/>
      <c r="M250" s="1"/>
      <c r="N250" s="1"/>
      <c r="O250" s="1"/>
      <c r="P250" s="1"/>
      <c r="Q250" s="13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31"/>
      <c r="F251" s="131"/>
      <c r="G251" s="131"/>
      <c r="H251" s="1"/>
      <c r="I251" s="1"/>
      <c r="J251" s="1"/>
      <c r="K251" s="1"/>
      <c r="L251" s="1"/>
      <c r="M251" s="1"/>
      <c r="N251" s="1"/>
      <c r="O251" s="1"/>
      <c r="P251" s="1"/>
      <c r="Q251" s="13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31"/>
      <c r="F252" s="131"/>
      <c r="G252" s="131"/>
      <c r="H252" s="1"/>
      <c r="I252" s="1"/>
      <c r="J252" s="1"/>
      <c r="K252" s="1"/>
      <c r="L252" s="1"/>
      <c r="M252" s="1"/>
      <c r="N252" s="1"/>
      <c r="O252" s="1"/>
      <c r="P252" s="1"/>
      <c r="Q252" s="13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31"/>
      <c r="F253" s="131"/>
      <c r="G253" s="131"/>
      <c r="H253" s="1"/>
      <c r="I253" s="1"/>
      <c r="J253" s="1"/>
      <c r="K253" s="1"/>
      <c r="L253" s="1"/>
      <c r="M253" s="1"/>
      <c r="N253" s="1"/>
      <c r="O253" s="1"/>
      <c r="P253" s="1"/>
      <c r="Q253" s="13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31"/>
      <c r="F254" s="131"/>
      <c r="G254" s="131"/>
      <c r="H254" s="1"/>
      <c r="I254" s="1"/>
      <c r="J254" s="1"/>
      <c r="K254" s="1"/>
      <c r="L254" s="1"/>
      <c r="M254" s="1"/>
      <c r="N254" s="1"/>
      <c r="O254" s="1"/>
      <c r="P254" s="1"/>
      <c r="Q254" s="13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31"/>
      <c r="F255" s="131"/>
      <c r="G255" s="131"/>
      <c r="H255" s="1"/>
      <c r="I255" s="1"/>
      <c r="J255" s="1"/>
      <c r="K255" s="1"/>
      <c r="L255" s="1"/>
      <c r="M255" s="1"/>
      <c r="N255" s="1"/>
      <c r="O255" s="1"/>
      <c r="P255" s="1"/>
      <c r="Q255" s="13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31"/>
      <c r="F256" s="131"/>
      <c r="G256" s="131"/>
      <c r="H256" s="1"/>
      <c r="I256" s="1"/>
      <c r="J256" s="1"/>
      <c r="K256" s="1"/>
      <c r="L256" s="1"/>
      <c r="M256" s="1"/>
      <c r="N256" s="1"/>
      <c r="O256" s="1"/>
      <c r="P256" s="1"/>
      <c r="Q256" s="13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31"/>
      <c r="F257" s="131"/>
      <c r="G257" s="131"/>
      <c r="H257" s="1"/>
      <c r="I257" s="1"/>
      <c r="J257" s="1"/>
      <c r="K257" s="1"/>
      <c r="L257" s="1"/>
      <c r="M257" s="1"/>
      <c r="N257" s="1"/>
      <c r="O257" s="1"/>
      <c r="P257" s="1"/>
      <c r="Q257" s="13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31"/>
      <c r="F258" s="131"/>
      <c r="G258" s="131"/>
      <c r="H258" s="1"/>
      <c r="I258" s="1"/>
      <c r="J258" s="1"/>
      <c r="K258" s="1"/>
      <c r="L258" s="1"/>
      <c r="M258" s="1"/>
      <c r="N258" s="1"/>
      <c r="O258" s="1"/>
      <c r="P258" s="1"/>
      <c r="Q258" s="13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31"/>
      <c r="F259" s="131"/>
      <c r="G259" s="131"/>
      <c r="H259" s="1"/>
      <c r="I259" s="1"/>
      <c r="J259" s="1"/>
      <c r="K259" s="1"/>
      <c r="L259" s="1"/>
      <c r="M259" s="1"/>
      <c r="N259" s="1"/>
      <c r="O259" s="1"/>
      <c r="P259" s="1"/>
      <c r="Q259" s="13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31"/>
      <c r="F260" s="131"/>
      <c r="G260" s="131"/>
      <c r="H260" s="1"/>
      <c r="I260" s="1"/>
      <c r="J260" s="1"/>
      <c r="K260" s="1"/>
      <c r="L260" s="1"/>
      <c r="M260" s="1"/>
      <c r="N260" s="1"/>
      <c r="O260" s="1"/>
      <c r="P260" s="1"/>
      <c r="Q260" s="13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31"/>
      <c r="F261" s="131"/>
      <c r="G261" s="131"/>
      <c r="H261" s="1"/>
      <c r="I261" s="1"/>
      <c r="J261" s="1"/>
      <c r="K261" s="1"/>
      <c r="L261" s="1"/>
      <c r="M261" s="1"/>
      <c r="N261" s="1"/>
      <c r="O261" s="1"/>
      <c r="P261" s="1"/>
      <c r="Q261" s="13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31"/>
      <c r="F262" s="131"/>
      <c r="G262" s="131"/>
      <c r="H262" s="1"/>
      <c r="I262" s="1"/>
      <c r="J262" s="1"/>
      <c r="K262" s="1"/>
      <c r="L262" s="1"/>
      <c r="M262" s="1"/>
      <c r="N262" s="1"/>
      <c r="O262" s="1"/>
      <c r="P262" s="1"/>
      <c r="Q262" s="13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31"/>
      <c r="F263" s="131"/>
      <c r="G263" s="131"/>
      <c r="H263" s="1"/>
      <c r="I263" s="1"/>
      <c r="J263" s="1"/>
      <c r="K263" s="1"/>
      <c r="L263" s="1"/>
      <c r="M263" s="1"/>
      <c r="N263" s="1"/>
      <c r="O263" s="1"/>
      <c r="P263" s="1"/>
      <c r="Q263" s="13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31"/>
      <c r="F264" s="131"/>
      <c r="G264" s="131"/>
      <c r="H264" s="1"/>
      <c r="I264" s="1"/>
      <c r="J264" s="1"/>
      <c r="K264" s="1"/>
      <c r="L264" s="1"/>
      <c r="M264" s="1"/>
      <c r="N264" s="1"/>
      <c r="O264" s="1"/>
      <c r="P264" s="1"/>
      <c r="Q264" s="13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31"/>
      <c r="F265" s="131"/>
      <c r="G265" s="131"/>
      <c r="H265" s="1"/>
      <c r="I265" s="1"/>
      <c r="J265" s="1"/>
      <c r="K265" s="1"/>
      <c r="L265" s="1"/>
      <c r="M265" s="1"/>
      <c r="N265" s="1"/>
      <c r="O265" s="1"/>
      <c r="P265" s="1"/>
      <c r="Q265" s="13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31"/>
      <c r="F266" s="131"/>
      <c r="G266" s="131"/>
      <c r="H266" s="1"/>
      <c r="I266" s="1"/>
      <c r="J266" s="1"/>
      <c r="K266" s="1"/>
      <c r="L266" s="1"/>
      <c r="M266" s="1"/>
      <c r="N266" s="1"/>
      <c r="O266" s="1"/>
      <c r="P266" s="1"/>
      <c r="Q266" s="13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31"/>
      <c r="F267" s="131"/>
      <c r="G267" s="131"/>
      <c r="H267" s="1"/>
      <c r="I267" s="1"/>
      <c r="J267" s="1"/>
      <c r="K267" s="1"/>
      <c r="L267" s="1"/>
      <c r="M267" s="1"/>
      <c r="N267" s="1"/>
      <c r="O267" s="1"/>
      <c r="P267" s="1"/>
      <c r="Q267" s="13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31"/>
      <c r="F268" s="131"/>
      <c r="G268" s="131"/>
      <c r="H268" s="1"/>
      <c r="I268" s="1"/>
      <c r="J268" s="1"/>
      <c r="K268" s="1"/>
      <c r="L268" s="1"/>
      <c r="M268" s="1"/>
      <c r="N268" s="1"/>
      <c r="O268" s="1"/>
      <c r="P268" s="1"/>
      <c r="Q268" s="13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31"/>
      <c r="F269" s="131"/>
      <c r="G269" s="131"/>
      <c r="H269" s="1"/>
      <c r="I269" s="1"/>
      <c r="J269" s="1"/>
      <c r="K269" s="1"/>
      <c r="L269" s="1"/>
      <c r="M269" s="1"/>
      <c r="N269" s="1"/>
      <c r="O269" s="1"/>
      <c r="P269" s="1"/>
      <c r="Q269" s="13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31"/>
      <c r="F270" s="131"/>
      <c r="G270" s="131"/>
      <c r="H270" s="1"/>
      <c r="I270" s="1"/>
      <c r="J270" s="1"/>
      <c r="K270" s="1"/>
      <c r="L270" s="1"/>
      <c r="M270" s="1"/>
      <c r="N270" s="1"/>
      <c r="O270" s="1"/>
      <c r="P270" s="1"/>
      <c r="Q270" s="13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31"/>
      <c r="F271" s="131"/>
      <c r="G271" s="131"/>
      <c r="H271" s="1"/>
      <c r="I271" s="1"/>
      <c r="J271" s="1"/>
      <c r="K271" s="1"/>
      <c r="L271" s="1"/>
      <c r="M271" s="1"/>
      <c r="N271" s="1"/>
      <c r="O271" s="1"/>
      <c r="P271" s="1"/>
      <c r="Q271" s="13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31"/>
      <c r="F272" s="131"/>
      <c r="G272" s="131"/>
      <c r="H272" s="1"/>
      <c r="I272" s="1"/>
      <c r="J272" s="1"/>
      <c r="K272" s="1"/>
      <c r="L272" s="1"/>
      <c r="M272" s="1"/>
      <c r="N272" s="1"/>
      <c r="O272" s="1"/>
      <c r="P272" s="1"/>
      <c r="Q272" s="13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31"/>
      <c r="F273" s="131"/>
      <c r="G273" s="131"/>
      <c r="H273" s="1"/>
      <c r="I273" s="1"/>
      <c r="J273" s="1"/>
      <c r="K273" s="1"/>
      <c r="L273" s="1"/>
      <c r="M273" s="1"/>
      <c r="N273" s="1"/>
      <c r="O273" s="1"/>
      <c r="P273" s="1"/>
      <c r="Q273" s="13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31"/>
      <c r="F274" s="131"/>
      <c r="G274" s="131"/>
      <c r="H274" s="1"/>
      <c r="I274" s="1"/>
      <c r="J274" s="1"/>
      <c r="K274" s="1"/>
      <c r="L274" s="1"/>
      <c r="M274" s="1"/>
      <c r="N274" s="1"/>
      <c r="O274" s="1"/>
      <c r="P274" s="1"/>
      <c r="Q274" s="13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31"/>
      <c r="F275" s="131"/>
      <c r="G275" s="131"/>
      <c r="H275" s="1"/>
      <c r="I275" s="1"/>
      <c r="J275" s="1"/>
      <c r="K275" s="1"/>
      <c r="L275" s="1"/>
      <c r="M275" s="1"/>
      <c r="N275" s="1"/>
      <c r="O275" s="1"/>
      <c r="P275" s="1"/>
      <c r="Q275" s="13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31"/>
      <c r="F276" s="131"/>
      <c r="G276" s="131"/>
      <c r="H276" s="1"/>
      <c r="I276" s="1"/>
      <c r="J276" s="1"/>
      <c r="K276" s="1"/>
      <c r="L276" s="1"/>
      <c r="M276" s="1"/>
      <c r="N276" s="1"/>
      <c r="O276" s="1"/>
      <c r="P276" s="1"/>
      <c r="Q276" s="13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31"/>
      <c r="F277" s="131"/>
      <c r="G277" s="131"/>
      <c r="H277" s="1"/>
      <c r="I277" s="1"/>
      <c r="J277" s="1"/>
      <c r="K277" s="1"/>
      <c r="L277" s="1"/>
      <c r="M277" s="1"/>
      <c r="N277" s="1"/>
      <c r="O277" s="1"/>
      <c r="P277" s="1"/>
      <c r="Q277" s="13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31"/>
      <c r="F278" s="131"/>
      <c r="G278" s="131"/>
      <c r="H278" s="1"/>
      <c r="I278" s="1"/>
      <c r="J278" s="1"/>
      <c r="K278" s="1"/>
      <c r="L278" s="1"/>
      <c r="M278" s="1"/>
      <c r="N278" s="1"/>
      <c r="O278" s="1"/>
      <c r="P278" s="1"/>
      <c r="Q278" s="13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31"/>
      <c r="F279" s="131"/>
      <c r="G279" s="131"/>
      <c r="H279" s="1"/>
      <c r="I279" s="1"/>
      <c r="J279" s="1"/>
      <c r="K279" s="1"/>
      <c r="L279" s="1"/>
      <c r="M279" s="1"/>
      <c r="N279" s="1"/>
      <c r="O279" s="1"/>
      <c r="P279" s="1"/>
      <c r="Q279" s="13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31"/>
      <c r="F280" s="131"/>
      <c r="G280" s="131"/>
      <c r="H280" s="1"/>
      <c r="I280" s="1"/>
      <c r="J280" s="1"/>
      <c r="K280" s="1"/>
      <c r="L280" s="1"/>
      <c r="M280" s="1"/>
      <c r="N280" s="1"/>
      <c r="O280" s="1"/>
      <c r="P280" s="1"/>
      <c r="Q280" s="13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31"/>
      <c r="F281" s="131"/>
      <c r="G281" s="131"/>
      <c r="H281" s="1"/>
      <c r="I281" s="1"/>
      <c r="J281" s="1"/>
      <c r="K281" s="1"/>
      <c r="L281" s="1"/>
      <c r="M281" s="1"/>
      <c r="N281" s="1"/>
      <c r="O281" s="1"/>
      <c r="P281" s="1"/>
      <c r="Q281" s="13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31"/>
      <c r="F282" s="131"/>
      <c r="G282" s="131"/>
      <c r="H282" s="1"/>
      <c r="I282" s="1"/>
      <c r="J282" s="1"/>
      <c r="K282" s="1"/>
      <c r="L282" s="1"/>
      <c r="M282" s="1"/>
      <c r="N282" s="1"/>
      <c r="O282" s="1"/>
      <c r="P282" s="1"/>
      <c r="Q282" s="13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31"/>
      <c r="F283" s="131"/>
      <c r="G283" s="131"/>
      <c r="H283" s="1"/>
      <c r="I283" s="1"/>
      <c r="J283" s="1"/>
      <c r="K283" s="1"/>
      <c r="L283" s="1"/>
      <c r="M283" s="1"/>
      <c r="N283" s="1"/>
      <c r="O283" s="1"/>
      <c r="P283" s="1"/>
      <c r="Q283" s="13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31"/>
      <c r="F284" s="131"/>
      <c r="G284" s="131"/>
      <c r="H284" s="1"/>
      <c r="I284" s="1"/>
      <c r="J284" s="1"/>
      <c r="K284" s="1"/>
      <c r="L284" s="1"/>
      <c r="M284" s="1"/>
      <c r="N284" s="1"/>
      <c r="O284" s="1"/>
      <c r="P284" s="1"/>
      <c r="Q284" s="13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31"/>
      <c r="F285" s="131"/>
      <c r="G285" s="131"/>
      <c r="H285" s="1"/>
      <c r="I285" s="1"/>
      <c r="J285" s="1"/>
      <c r="K285" s="1"/>
      <c r="L285" s="1"/>
      <c r="M285" s="1"/>
      <c r="N285" s="1"/>
      <c r="O285" s="1"/>
      <c r="P285" s="1"/>
      <c r="Q285" s="13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31"/>
      <c r="F286" s="131"/>
      <c r="G286" s="131"/>
      <c r="H286" s="1"/>
      <c r="I286" s="1"/>
      <c r="J286" s="1"/>
      <c r="K286" s="1"/>
      <c r="L286" s="1"/>
      <c r="M286" s="1"/>
      <c r="N286" s="1"/>
      <c r="O286" s="1"/>
      <c r="P286" s="1"/>
      <c r="Q286" s="13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31"/>
      <c r="F287" s="131"/>
      <c r="G287" s="131"/>
      <c r="H287" s="1"/>
      <c r="I287" s="1"/>
      <c r="J287" s="1"/>
      <c r="K287" s="1"/>
      <c r="L287" s="1"/>
      <c r="M287" s="1"/>
      <c r="N287" s="1"/>
      <c r="O287" s="1"/>
      <c r="P287" s="1"/>
      <c r="Q287" s="13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31"/>
      <c r="F288" s="131"/>
      <c r="G288" s="131"/>
      <c r="H288" s="1"/>
      <c r="I288" s="1"/>
      <c r="J288" s="1"/>
      <c r="K288" s="1"/>
      <c r="L288" s="1"/>
      <c r="M288" s="1"/>
      <c r="N288" s="1"/>
      <c r="O288" s="1"/>
      <c r="P288" s="1"/>
      <c r="Q288" s="13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31"/>
      <c r="F289" s="131"/>
      <c r="G289" s="131"/>
      <c r="H289" s="1"/>
      <c r="I289" s="1"/>
      <c r="J289" s="1"/>
      <c r="K289" s="1"/>
      <c r="L289" s="1"/>
      <c r="M289" s="1"/>
      <c r="N289" s="1"/>
      <c r="O289" s="1"/>
      <c r="P289" s="1"/>
      <c r="Q289" s="13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31"/>
      <c r="F290" s="131"/>
      <c r="G290" s="131"/>
      <c r="H290" s="1"/>
      <c r="I290" s="1"/>
      <c r="J290" s="1"/>
      <c r="K290" s="1"/>
      <c r="L290" s="1"/>
      <c r="M290" s="1"/>
      <c r="N290" s="1"/>
      <c r="O290" s="1"/>
      <c r="P290" s="1"/>
      <c r="Q290" s="13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31"/>
      <c r="F291" s="131"/>
      <c r="G291" s="131"/>
      <c r="H291" s="1"/>
      <c r="I291" s="1"/>
      <c r="J291" s="1"/>
      <c r="K291" s="1"/>
      <c r="L291" s="1"/>
      <c r="M291" s="1"/>
      <c r="N291" s="1"/>
      <c r="O291" s="1"/>
      <c r="P291" s="1"/>
      <c r="Q291" s="13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31"/>
      <c r="F292" s="131"/>
      <c r="G292" s="131"/>
      <c r="H292" s="1"/>
      <c r="I292" s="1"/>
      <c r="J292" s="1"/>
      <c r="K292" s="1"/>
      <c r="L292" s="1"/>
      <c r="M292" s="1"/>
      <c r="N292" s="1"/>
      <c r="O292" s="1"/>
      <c r="P292" s="1"/>
      <c r="Q292" s="13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31"/>
      <c r="F293" s="131"/>
      <c r="G293" s="131"/>
      <c r="H293" s="1"/>
      <c r="I293" s="1"/>
      <c r="J293" s="1"/>
      <c r="K293" s="1"/>
      <c r="L293" s="1"/>
      <c r="M293" s="1"/>
      <c r="N293" s="1"/>
      <c r="O293" s="1"/>
      <c r="P293" s="1"/>
      <c r="Q293" s="13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31"/>
      <c r="F294" s="131"/>
      <c r="G294" s="131"/>
      <c r="H294" s="1"/>
      <c r="I294" s="1"/>
      <c r="J294" s="1"/>
      <c r="K294" s="1"/>
      <c r="L294" s="1"/>
      <c r="M294" s="1"/>
      <c r="N294" s="1"/>
      <c r="O294" s="1"/>
      <c r="P294" s="1"/>
      <c r="Q294" s="13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31"/>
      <c r="F295" s="131"/>
      <c r="G295" s="131"/>
      <c r="H295" s="1"/>
      <c r="I295" s="1"/>
      <c r="J295" s="1"/>
      <c r="K295" s="1"/>
      <c r="L295" s="1"/>
      <c r="M295" s="1"/>
      <c r="N295" s="1"/>
      <c r="O295" s="1"/>
      <c r="P295" s="1"/>
      <c r="Q295" s="13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31"/>
      <c r="F296" s="131"/>
      <c r="G296" s="131"/>
      <c r="H296" s="1"/>
      <c r="I296" s="1"/>
      <c r="J296" s="1"/>
      <c r="K296" s="1"/>
      <c r="L296" s="1"/>
      <c r="M296" s="1"/>
      <c r="N296" s="1"/>
      <c r="O296" s="1"/>
      <c r="P296" s="1"/>
      <c r="Q296" s="13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31"/>
      <c r="F297" s="131"/>
      <c r="G297" s="131"/>
      <c r="H297" s="1"/>
      <c r="I297" s="1"/>
      <c r="J297" s="1"/>
      <c r="K297" s="1"/>
      <c r="L297" s="1"/>
      <c r="M297" s="1"/>
      <c r="N297" s="1"/>
      <c r="O297" s="1"/>
      <c r="P297" s="1"/>
      <c r="Q297" s="13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31"/>
      <c r="F298" s="131"/>
      <c r="G298" s="131"/>
      <c r="H298" s="1"/>
      <c r="I298" s="1"/>
      <c r="J298" s="1"/>
      <c r="K298" s="1"/>
      <c r="L298" s="1"/>
      <c r="M298" s="1"/>
      <c r="N298" s="1"/>
      <c r="O298" s="1"/>
      <c r="P298" s="1"/>
      <c r="Q298" s="13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31"/>
      <c r="F299" s="131"/>
      <c r="G299" s="131"/>
      <c r="H299" s="1"/>
      <c r="I299" s="1"/>
      <c r="J299" s="1"/>
      <c r="K299" s="1"/>
      <c r="L299" s="1"/>
      <c r="M299" s="1"/>
      <c r="N299" s="1"/>
      <c r="O299" s="1"/>
      <c r="P299" s="1"/>
      <c r="Q299" s="13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31"/>
      <c r="F300" s="131"/>
      <c r="G300" s="131"/>
      <c r="H300" s="1"/>
      <c r="I300" s="1"/>
      <c r="J300" s="1"/>
      <c r="K300" s="1"/>
      <c r="L300" s="1"/>
      <c r="M300" s="1"/>
      <c r="N300" s="1"/>
      <c r="O300" s="1"/>
      <c r="P300" s="1"/>
      <c r="Q300" s="13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31"/>
      <c r="F301" s="131"/>
      <c r="G301" s="131"/>
      <c r="H301" s="1"/>
      <c r="I301" s="1"/>
      <c r="J301" s="1"/>
      <c r="K301" s="1"/>
      <c r="L301" s="1"/>
      <c r="M301" s="1"/>
      <c r="N301" s="1"/>
      <c r="O301" s="1"/>
      <c r="P301" s="1"/>
      <c r="Q301" s="13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31"/>
      <c r="F302" s="131"/>
      <c r="G302" s="131"/>
      <c r="H302" s="1"/>
      <c r="I302" s="1"/>
      <c r="J302" s="1"/>
      <c r="K302" s="1"/>
      <c r="L302" s="1"/>
      <c r="M302" s="1"/>
      <c r="N302" s="1"/>
      <c r="O302" s="1"/>
      <c r="P302" s="1"/>
      <c r="Q302" s="13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31"/>
      <c r="F303" s="131"/>
      <c r="G303" s="131"/>
      <c r="H303" s="1"/>
      <c r="I303" s="1"/>
      <c r="J303" s="1"/>
      <c r="K303" s="1"/>
      <c r="L303" s="1"/>
      <c r="M303" s="1"/>
      <c r="N303" s="1"/>
      <c r="O303" s="1"/>
      <c r="P303" s="1"/>
      <c r="Q303" s="13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31"/>
      <c r="F304" s="131"/>
      <c r="G304" s="131"/>
      <c r="H304" s="1"/>
      <c r="I304" s="1"/>
      <c r="J304" s="1"/>
      <c r="K304" s="1"/>
      <c r="L304" s="1"/>
      <c r="M304" s="1"/>
      <c r="N304" s="1"/>
      <c r="O304" s="1"/>
      <c r="P304" s="1"/>
      <c r="Q304" s="13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31"/>
      <c r="F305" s="131"/>
      <c r="G305" s="131"/>
      <c r="H305" s="1"/>
      <c r="I305" s="1"/>
      <c r="J305" s="1"/>
      <c r="K305" s="1"/>
      <c r="L305" s="1"/>
      <c r="M305" s="1"/>
      <c r="N305" s="1"/>
      <c r="O305" s="1"/>
      <c r="P305" s="1"/>
      <c r="Q305" s="13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31"/>
      <c r="F306" s="131"/>
      <c r="G306" s="131"/>
      <c r="H306" s="1"/>
      <c r="I306" s="1"/>
      <c r="J306" s="1"/>
      <c r="K306" s="1"/>
      <c r="L306" s="1"/>
      <c r="M306" s="1"/>
      <c r="N306" s="1"/>
      <c r="O306" s="1"/>
      <c r="P306" s="1"/>
      <c r="Q306" s="13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31"/>
      <c r="F307" s="131"/>
      <c r="G307" s="131"/>
      <c r="H307" s="1"/>
      <c r="I307" s="1"/>
      <c r="J307" s="1"/>
      <c r="K307" s="1"/>
      <c r="L307" s="1"/>
      <c r="M307" s="1"/>
      <c r="N307" s="1"/>
      <c r="O307" s="1"/>
      <c r="P307" s="1"/>
      <c r="Q307" s="13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31"/>
      <c r="F308" s="131"/>
      <c r="G308" s="131"/>
      <c r="H308" s="1"/>
      <c r="I308" s="1"/>
      <c r="J308" s="1"/>
      <c r="K308" s="1"/>
      <c r="L308" s="1"/>
      <c r="M308" s="1"/>
      <c r="N308" s="1"/>
      <c r="O308" s="1"/>
      <c r="P308" s="1"/>
      <c r="Q308" s="13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31"/>
      <c r="F309" s="131"/>
      <c r="G309" s="131"/>
      <c r="H309" s="1"/>
      <c r="I309" s="1"/>
      <c r="J309" s="1"/>
      <c r="K309" s="1"/>
      <c r="L309" s="1"/>
      <c r="M309" s="1"/>
      <c r="N309" s="1"/>
      <c r="O309" s="1"/>
      <c r="P309" s="1"/>
      <c r="Q309" s="13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31"/>
      <c r="F310" s="131"/>
      <c r="G310" s="131"/>
      <c r="H310" s="1"/>
      <c r="I310" s="1"/>
      <c r="J310" s="1"/>
      <c r="K310" s="1"/>
      <c r="L310" s="1"/>
      <c r="M310" s="1"/>
      <c r="N310" s="1"/>
      <c r="O310" s="1"/>
      <c r="P310" s="1"/>
      <c r="Q310" s="13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31"/>
      <c r="F311" s="131"/>
      <c r="G311" s="131"/>
      <c r="H311" s="1"/>
      <c r="I311" s="1"/>
      <c r="J311" s="1"/>
      <c r="K311" s="1"/>
      <c r="L311" s="1"/>
      <c r="M311" s="1"/>
      <c r="N311" s="1"/>
      <c r="O311" s="1"/>
      <c r="P311" s="1"/>
      <c r="Q311" s="13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31"/>
      <c r="F312" s="131"/>
      <c r="G312" s="131"/>
      <c r="H312" s="1"/>
      <c r="I312" s="1"/>
      <c r="J312" s="1"/>
      <c r="K312" s="1"/>
      <c r="L312" s="1"/>
      <c r="M312" s="1"/>
      <c r="N312" s="1"/>
      <c r="O312" s="1"/>
      <c r="P312" s="1"/>
      <c r="Q312" s="13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31"/>
      <c r="F313" s="131"/>
      <c r="G313" s="131"/>
      <c r="H313" s="1"/>
      <c r="I313" s="1"/>
      <c r="J313" s="1"/>
      <c r="K313" s="1"/>
      <c r="L313" s="1"/>
      <c r="M313" s="1"/>
      <c r="N313" s="1"/>
      <c r="O313" s="1"/>
      <c r="P313" s="1"/>
      <c r="Q313" s="13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31"/>
      <c r="F314" s="131"/>
      <c r="G314" s="131"/>
      <c r="H314" s="1"/>
      <c r="I314" s="1"/>
      <c r="J314" s="1"/>
      <c r="K314" s="1"/>
      <c r="L314" s="1"/>
      <c r="M314" s="1"/>
      <c r="N314" s="1"/>
      <c r="O314" s="1"/>
      <c r="P314" s="1"/>
      <c r="Q314" s="13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31"/>
      <c r="F315" s="131"/>
      <c r="G315" s="131"/>
      <c r="H315" s="1"/>
      <c r="I315" s="1"/>
      <c r="J315" s="1"/>
      <c r="K315" s="1"/>
      <c r="L315" s="1"/>
      <c r="M315" s="1"/>
      <c r="N315" s="1"/>
      <c r="O315" s="1"/>
      <c r="P315" s="1"/>
      <c r="Q315" s="13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31"/>
      <c r="F316" s="131"/>
      <c r="G316" s="131"/>
      <c r="H316" s="1"/>
      <c r="I316" s="1"/>
      <c r="J316" s="1"/>
      <c r="K316" s="1"/>
      <c r="L316" s="1"/>
      <c r="M316" s="1"/>
      <c r="N316" s="1"/>
      <c r="O316" s="1"/>
      <c r="P316" s="1"/>
      <c r="Q316" s="13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31"/>
      <c r="F317" s="131"/>
      <c r="G317" s="131"/>
      <c r="H317" s="1"/>
      <c r="I317" s="1"/>
      <c r="J317" s="1"/>
      <c r="K317" s="1"/>
      <c r="L317" s="1"/>
      <c r="M317" s="1"/>
      <c r="N317" s="1"/>
      <c r="O317" s="1"/>
      <c r="P317" s="1"/>
      <c r="Q317" s="13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31"/>
      <c r="F318" s="131"/>
      <c r="G318" s="131"/>
      <c r="H318" s="1"/>
      <c r="I318" s="1"/>
      <c r="J318" s="1"/>
      <c r="K318" s="1"/>
      <c r="L318" s="1"/>
      <c r="M318" s="1"/>
      <c r="N318" s="1"/>
      <c r="O318" s="1"/>
      <c r="P318" s="1"/>
      <c r="Q318" s="13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31"/>
      <c r="F319" s="131"/>
      <c r="G319" s="131"/>
      <c r="H319" s="1"/>
      <c r="I319" s="1"/>
      <c r="J319" s="1"/>
      <c r="K319" s="1"/>
      <c r="L319" s="1"/>
      <c r="M319" s="1"/>
      <c r="N319" s="1"/>
      <c r="O319" s="1"/>
      <c r="P319" s="1"/>
      <c r="Q319" s="13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31"/>
      <c r="F320" s="131"/>
      <c r="G320" s="131"/>
      <c r="H320" s="1"/>
      <c r="I320" s="1"/>
      <c r="J320" s="1"/>
      <c r="K320" s="1"/>
      <c r="L320" s="1"/>
      <c r="M320" s="1"/>
      <c r="N320" s="1"/>
      <c r="O320" s="1"/>
      <c r="P320" s="1"/>
      <c r="Q320" s="13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31"/>
      <c r="F321" s="131"/>
      <c r="G321" s="131"/>
      <c r="H321" s="1"/>
      <c r="I321" s="1"/>
      <c r="J321" s="1"/>
      <c r="K321" s="1"/>
      <c r="L321" s="1"/>
      <c r="M321" s="1"/>
      <c r="N321" s="1"/>
      <c r="O321" s="1"/>
      <c r="P321" s="1"/>
      <c r="Q321" s="13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31"/>
      <c r="F322" s="131"/>
      <c r="G322" s="131"/>
      <c r="H322" s="1"/>
      <c r="I322" s="1"/>
      <c r="J322" s="1"/>
      <c r="K322" s="1"/>
      <c r="L322" s="1"/>
      <c r="M322" s="1"/>
      <c r="N322" s="1"/>
      <c r="O322" s="1"/>
      <c r="P322" s="1"/>
      <c r="Q322" s="13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31"/>
      <c r="F323" s="131"/>
      <c r="G323" s="131"/>
      <c r="H323" s="1"/>
      <c r="I323" s="1"/>
      <c r="J323" s="1"/>
      <c r="K323" s="1"/>
      <c r="L323" s="1"/>
      <c r="M323" s="1"/>
      <c r="N323" s="1"/>
      <c r="O323" s="1"/>
      <c r="P323" s="1"/>
      <c r="Q323" s="13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31"/>
      <c r="F324" s="131"/>
      <c r="G324" s="131"/>
      <c r="H324" s="1"/>
      <c r="I324" s="1"/>
      <c r="J324" s="1"/>
      <c r="K324" s="1"/>
      <c r="L324" s="1"/>
      <c r="M324" s="1"/>
      <c r="N324" s="1"/>
      <c r="O324" s="1"/>
      <c r="P324" s="1"/>
      <c r="Q324" s="13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31"/>
      <c r="F325" s="131"/>
      <c r="G325" s="131"/>
      <c r="H325" s="1"/>
      <c r="I325" s="1"/>
      <c r="J325" s="1"/>
      <c r="K325" s="1"/>
      <c r="L325" s="1"/>
      <c r="M325" s="1"/>
      <c r="N325" s="1"/>
      <c r="O325" s="1"/>
      <c r="P325" s="1"/>
      <c r="Q325" s="13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31"/>
      <c r="F326" s="131"/>
      <c r="G326" s="131"/>
      <c r="H326" s="1"/>
      <c r="I326" s="1"/>
      <c r="J326" s="1"/>
      <c r="K326" s="1"/>
      <c r="L326" s="1"/>
      <c r="M326" s="1"/>
      <c r="N326" s="1"/>
      <c r="O326" s="1"/>
      <c r="P326" s="1"/>
      <c r="Q326" s="13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31"/>
      <c r="F327" s="131"/>
      <c r="G327" s="131"/>
      <c r="H327" s="1"/>
      <c r="I327" s="1"/>
      <c r="J327" s="1"/>
      <c r="K327" s="1"/>
      <c r="L327" s="1"/>
      <c r="M327" s="1"/>
      <c r="N327" s="1"/>
      <c r="O327" s="1"/>
      <c r="P327" s="1"/>
      <c r="Q327" s="13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31"/>
      <c r="F328" s="131"/>
      <c r="G328" s="131"/>
      <c r="H328" s="1"/>
      <c r="I328" s="1"/>
      <c r="J328" s="1"/>
      <c r="K328" s="1"/>
      <c r="L328" s="1"/>
      <c r="M328" s="1"/>
      <c r="N328" s="1"/>
      <c r="O328" s="1"/>
      <c r="P328" s="1"/>
      <c r="Q328" s="13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31"/>
      <c r="F329" s="131"/>
      <c r="G329" s="131"/>
      <c r="H329" s="1"/>
      <c r="I329" s="1"/>
      <c r="J329" s="1"/>
      <c r="K329" s="1"/>
      <c r="L329" s="1"/>
      <c r="M329" s="1"/>
      <c r="N329" s="1"/>
      <c r="O329" s="1"/>
      <c r="P329" s="1"/>
      <c r="Q329" s="13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31"/>
      <c r="F330" s="131"/>
      <c r="G330" s="131"/>
      <c r="H330" s="1"/>
      <c r="I330" s="1"/>
      <c r="J330" s="1"/>
      <c r="K330" s="1"/>
      <c r="L330" s="1"/>
      <c r="M330" s="1"/>
      <c r="N330" s="1"/>
      <c r="O330" s="1"/>
      <c r="P330" s="1"/>
      <c r="Q330" s="13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31"/>
      <c r="F331" s="131"/>
      <c r="G331" s="131"/>
      <c r="H331" s="1"/>
      <c r="I331" s="1"/>
      <c r="J331" s="1"/>
      <c r="K331" s="1"/>
      <c r="L331" s="1"/>
      <c r="M331" s="1"/>
      <c r="N331" s="1"/>
      <c r="O331" s="1"/>
      <c r="P331" s="1"/>
      <c r="Q331" s="13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31"/>
      <c r="F332" s="131"/>
      <c r="G332" s="131"/>
      <c r="H332" s="1"/>
      <c r="I332" s="1"/>
      <c r="J332" s="1"/>
      <c r="K332" s="1"/>
      <c r="L332" s="1"/>
      <c r="M332" s="1"/>
      <c r="N332" s="1"/>
      <c r="O332" s="1"/>
      <c r="P332" s="1"/>
      <c r="Q332" s="13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31"/>
      <c r="F333" s="131"/>
      <c r="G333" s="131"/>
      <c r="H333" s="1"/>
      <c r="I333" s="1"/>
      <c r="J333" s="1"/>
      <c r="K333" s="1"/>
      <c r="L333" s="1"/>
      <c r="M333" s="1"/>
      <c r="N333" s="1"/>
      <c r="O333" s="1"/>
      <c r="P333" s="1"/>
      <c r="Q333" s="13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31"/>
      <c r="F334" s="131"/>
      <c r="G334" s="131"/>
      <c r="H334" s="1"/>
      <c r="I334" s="1"/>
      <c r="J334" s="1"/>
      <c r="K334" s="1"/>
      <c r="L334" s="1"/>
      <c r="M334" s="1"/>
      <c r="N334" s="1"/>
      <c r="O334" s="1"/>
      <c r="P334" s="1"/>
      <c r="Q334" s="13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31"/>
      <c r="F335" s="131"/>
      <c r="G335" s="131"/>
      <c r="H335" s="1"/>
      <c r="I335" s="1"/>
      <c r="J335" s="1"/>
      <c r="K335" s="1"/>
      <c r="L335" s="1"/>
      <c r="M335" s="1"/>
      <c r="N335" s="1"/>
      <c r="O335" s="1"/>
      <c r="P335" s="1"/>
      <c r="Q335" s="13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31"/>
      <c r="F336" s="131"/>
      <c r="G336" s="131"/>
      <c r="H336" s="1"/>
      <c r="I336" s="1"/>
      <c r="J336" s="1"/>
      <c r="K336" s="1"/>
      <c r="L336" s="1"/>
      <c r="M336" s="1"/>
      <c r="N336" s="1"/>
      <c r="O336" s="1"/>
      <c r="P336" s="1"/>
      <c r="Q336" s="13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31"/>
      <c r="F337" s="131"/>
      <c r="G337" s="131"/>
      <c r="H337" s="1"/>
      <c r="I337" s="1"/>
      <c r="J337" s="1"/>
      <c r="K337" s="1"/>
      <c r="L337" s="1"/>
      <c r="M337" s="1"/>
      <c r="N337" s="1"/>
      <c r="O337" s="1"/>
      <c r="P337" s="1"/>
      <c r="Q337" s="13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31"/>
      <c r="F338" s="131"/>
      <c r="G338" s="131"/>
      <c r="H338" s="1"/>
      <c r="I338" s="1"/>
      <c r="J338" s="1"/>
      <c r="K338" s="1"/>
      <c r="L338" s="1"/>
      <c r="M338" s="1"/>
      <c r="N338" s="1"/>
      <c r="O338" s="1"/>
      <c r="P338" s="1"/>
      <c r="Q338" s="13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31"/>
      <c r="F339" s="131"/>
      <c r="G339" s="131"/>
      <c r="H339" s="1"/>
      <c r="I339" s="1"/>
      <c r="J339" s="1"/>
      <c r="K339" s="1"/>
      <c r="L339" s="1"/>
      <c r="M339" s="1"/>
      <c r="N339" s="1"/>
      <c r="O339" s="1"/>
      <c r="P339" s="1"/>
      <c r="Q339" s="13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31"/>
      <c r="F340" s="131"/>
      <c r="G340" s="131"/>
      <c r="H340" s="1"/>
      <c r="I340" s="1"/>
      <c r="J340" s="1"/>
      <c r="K340" s="1"/>
      <c r="L340" s="1"/>
      <c r="M340" s="1"/>
      <c r="N340" s="1"/>
      <c r="O340" s="1"/>
      <c r="P340" s="1"/>
      <c r="Q340" s="13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31"/>
      <c r="F341" s="131"/>
      <c r="G341" s="131"/>
      <c r="H341" s="1"/>
      <c r="I341" s="1"/>
      <c r="J341" s="1"/>
      <c r="K341" s="1"/>
      <c r="L341" s="1"/>
      <c r="M341" s="1"/>
      <c r="N341" s="1"/>
      <c r="O341" s="1"/>
      <c r="P341" s="1"/>
      <c r="Q341" s="13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31"/>
      <c r="F342" s="131"/>
      <c r="G342" s="131"/>
      <c r="H342" s="1"/>
      <c r="I342" s="1"/>
      <c r="J342" s="1"/>
      <c r="K342" s="1"/>
      <c r="L342" s="1"/>
      <c r="M342" s="1"/>
      <c r="N342" s="1"/>
      <c r="O342" s="1"/>
      <c r="P342" s="1"/>
      <c r="Q342" s="13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31"/>
      <c r="F343" s="131"/>
      <c r="G343" s="131"/>
      <c r="H343" s="1"/>
      <c r="I343" s="1"/>
      <c r="J343" s="1"/>
      <c r="K343" s="1"/>
      <c r="L343" s="1"/>
      <c r="M343" s="1"/>
      <c r="N343" s="1"/>
      <c r="O343" s="1"/>
      <c r="P343" s="1"/>
      <c r="Q343" s="13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31"/>
      <c r="F344" s="131"/>
      <c r="G344" s="131"/>
      <c r="H344" s="1"/>
      <c r="I344" s="1"/>
      <c r="J344" s="1"/>
      <c r="K344" s="1"/>
      <c r="L344" s="1"/>
      <c r="M344" s="1"/>
      <c r="N344" s="1"/>
      <c r="O344" s="1"/>
      <c r="P344" s="1"/>
      <c r="Q344" s="13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31"/>
      <c r="F345" s="131"/>
      <c r="G345" s="131"/>
      <c r="H345" s="1"/>
      <c r="I345" s="1"/>
      <c r="J345" s="1"/>
      <c r="K345" s="1"/>
      <c r="L345" s="1"/>
      <c r="M345" s="1"/>
      <c r="N345" s="1"/>
      <c r="O345" s="1"/>
      <c r="P345" s="1"/>
      <c r="Q345" s="13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31"/>
      <c r="F346" s="131"/>
      <c r="G346" s="131"/>
      <c r="H346" s="1"/>
      <c r="I346" s="1"/>
      <c r="J346" s="1"/>
      <c r="K346" s="1"/>
      <c r="L346" s="1"/>
      <c r="M346" s="1"/>
      <c r="N346" s="1"/>
      <c r="O346" s="1"/>
      <c r="P346" s="1"/>
      <c r="Q346" s="13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31"/>
      <c r="F347" s="131"/>
      <c r="G347" s="131"/>
      <c r="H347" s="1"/>
      <c r="I347" s="1"/>
      <c r="J347" s="1"/>
      <c r="K347" s="1"/>
      <c r="L347" s="1"/>
      <c r="M347" s="1"/>
      <c r="N347" s="1"/>
      <c r="O347" s="1"/>
      <c r="P347" s="1"/>
      <c r="Q347" s="13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31"/>
      <c r="F348" s="131"/>
      <c r="G348" s="131"/>
      <c r="H348" s="1"/>
      <c r="I348" s="1"/>
      <c r="J348" s="1"/>
      <c r="K348" s="1"/>
      <c r="L348" s="1"/>
      <c r="M348" s="1"/>
      <c r="N348" s="1"/>
      <c r="O348" s="1"/>
      <c r="P348" s="1"/>
      <c r="Q348" s="13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31"/>
      <c r="F349" s="131"/>
      <c r="G349" s="131"/>
      <c r="H349" s="1"/>
      <c r="I349" s="1"/>
      <c r="J349" s="1"/>
      <c r="K349" s="1"/>
      <c r="L349" s="1"/>
      <c r="M349" s="1"/>
      <c r="N349" s="1"/>
      <c r="O349" s="1"/>
      <c r="P349" s="1"/>
      <c r="Q349" s="13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31"/>
      <c r="F350" s="131"/>
      <c r="G350" s="131"/>
      <c r="H350" s="1"/>
      <c r="I350" s="1"/>
      <c r="J350" s="1"/>
      <c r="K350" s="1"/>
      <c r="L350" s="1"/>
      <c r="M350" s="1"/>
      <c r="N350" s="1"/>
      <c r="O350" s="1"/>
      <c r="P350" s="1"/>
      <c r="Q350" s="13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31"/>
      <c r="F351" s="131"/>
      <c r="G351" s="131"/>
      <c r="H351" s="1"/>
      <c r="I351" s="1"/>
      <c r="J351" s="1"/>
      <c r="K351" s="1"/>
      <c r="L351" s="1"/>
      <c r="M351" s="1"/>
      <c r="N351" s="1"/>
      <c r="O351" s="1"/>
      <c r="P351" s="1"/>
      <c r="Q351" s="13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31"/>
      <c r="F352" s="131"/>
      <c r="G352" s="131"/>
      <c r="H352" s="1"/>
      <c r="I352" s="1"/>
      <c r="J352" s="1"/>
      <c r="K352" s="1"/>
      <c r="L352" s="1"/>
      <c r="M352" s="1"/>
      <c r="N352" s="1"/>
      <c r="O352" s="1"/>
      <c r="P352" s="1"/>
      <c r="Q352" s="13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31"/>
      <c r="F353" s="131"/>
      <c r="G353" s="131"/>
      <c r="H353" s="1"/>
      <c r="I353" s="1"/>
      <c r="J353" s="1"/>
      <c r="K353" s="1"/>
      <c r="L353" s="1"/>
      <c r="M353" s="1"/>
      <c r="N353" s="1"/>
      <c r="O353" s="1"/>
      <c r="P353" s="1"/>
      <c r="Q353" s="13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31"/>
      <c r="F354" s="131"/>
      <c r="G354" s="131"/>
      <c r="H354" s="1"/>
      <c r="I354" s="1"/>
      <c r="J354" s="1"/>
      <c r="K354" s="1"/>
      <c r="L354" s="1"/>
      <c r="M354" s="1"/>
      <c r="N354" s="1"/>
      <c r="O354" s="1"/>
      <c r="P354" s="1"/>
      <c r="Q354" s="13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31"/>
      <c r="F355" s="131"/>
      <c r="G355" s="131"/>
      <c r="H355" s="1"/>
      <c r="I355" s="1"/>
      <c r="J355" s="1"/>
      <c r="K355" s="1"/>
      <c r="L355" s="1"/>
      <c r="M355" s="1"/>
      <c r="N355" s="1"/>
      <c r="O355" s="1"/>
      <c r="P355" s="1"/>
      <c r="Q355" s="13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31"/>
      <c r="F356" s="131"/>
      <c r="G356" s="131"/>
      <c r="H356" s="1"/>
      <c r="I356" s="1"/>
      <c r="J356" s="1"/>
      <c r="K356" s="1"/>
      <c r="L356" s="1"/>
      <c r="M356" s="1"/>
      <c r="N356" s="1"/>
      <c r="O356" s="1"/>
      <c r="P356" s="1"/>
      <c r="Q356" s="13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31"/>
      <c r="F357" s="131"/>
      <c r="G357" s="131"/>
      <c r="H357" s="1"/>
      <c r="I357" s="1"/>
      <c r="J357" s="1"/>
      <c r="K357" s="1"/>
      <c r="L357" s="1"/>
      <c r="M357" s="1"/>
      <c r="N357" s="1"/>
      <c r="O357" s="1"/>
      <c r="P357" s="1"/>
      <c r="Q357" s="13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31"/>
      <c r="F358" s="131"/>
      <c r="G358" s="131"/>
      <c r="H358" s="1"/>
      <c r="I358" s="1"/>
      <c r="J358" s="1"/>
      <c r="K358" s="1"/>
      <c r="L358" s="1"/>
      <c r="M358" s="1"/>
      <c r="N358" s="1"/>
      <c r="O358" s="1"/>
      <c r="P358" s="1"/>
      <c r="Q358" s="13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31"/>
      <c r="F359" s="131"/>
      <c r="G359" s="131"/>
      <c r="H359" s="1"/>
      <c r="I359" s="1"/>
      <c r="J359" s="1"/>
      <c r="K359" s="1"/>
      <c r="L359" s="1"/>
      <c r="M359" s="1"/>
      <c r="N359" s="1"/>
      <c r="O359" s="1"/>
      <c r="P359" s="1"/>
      <c r="Q359" s="13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31"/>
      <c r="F360" s="131"/>
      <c r="G360" s="131"/>
      <c r="H360" s="1"/>
      <c r="I360" s="1"/>
      <c r="J360" s="1"/>
      <c r="K360" s="1"/>
      <c r="L360" s="1"/>
      <c r="M360" s="1"/>
      <c r="N360" s="1"/>
      <c r="O360" s="1"/>
      <c r="P360" s="1"/>
      <c r="Q360" s="13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31"/>
      <c r="F361" s="131"/>
      <c r="G361" s="131"/>
      <c r="H361" s="1"/>
      <c r="I361" s="1"/>
      <c r="J361" s="1"/>
      <c r="K361" s="1"/>
      <c r="L361" s="1"/>
      <c r="M361" s="1"/>
      <c r="N361" s="1"/>
      <c r="O361" s="1"/>
      <c r="P361" s="1"/>
      <c r="Q361" s="13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31"/>
      <c r="F362" s="131"/>
      <c r="G362" s="131"/>
      <c r="H362" s="1"/>
      <c r="I362" s="1"/>
      <c r="J362" s="1"/>
      <c r="K362" s="1"/>
      <c r="L362" s="1"/>
      <c r="M362" s="1"/>
      <c r="N362" s="1"/>
      <c r="O362" s="1"/>
      <c r="P362" s="1"/>
      <c r="Q362" s="13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31"/>
      <c r="F363" s="131"/>
      <c r="G363" s="131"/>
      <c r="H363" s="1"/>
      <c r="I363" s="1"/>
      <c r="J363" s="1"/>
      <c r="K363" s="1"/>
      <c r="L363" s="1"/>
      <c r="M363" s="1"/>
      <c r="N363" s="1"/>
      <c r="O363" s="1"/>
      <c r="P363" s="1"/>
      <c r="Q363" s="13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31"/>
      <c r="F364" s="131"/>
      <c r="G364" s="131"/>
      <c r="H364" s="1"/>
      <c r="I364" s="1"/>
      <c r="J364" s="1"/>
      <c r="K364" s="1"/>
      <c r="L364" s="1"/>
      <c r="M364" s="1"/>
      <c r="N364" s="1"/>
      <c r="O364" s="1"/>
      <c r="P364" s="1"/>
      <c r="Q364" s="13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31"/>
      <c r="F365" s="131"/>
      <c r="G365" s="131"/>
      <c r="H365" s="1"/>
      <c r="I365" s="1"/>
      <c r="J365" s="1"/>
      <c r="K365" s="1"/>
      <c r="L365" s="1"/>
      <c r="M365" s="1"/>
      <c r="N365" s="1"/>
      <c r="O365" s="1"/>
      <c r="P365" s="1"/>
      <c r="Q365" s="13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31"/>
      <c r="F366" s="131"/>
      <c r="G366" s="131"/>
      <c r="H366" s="1"/>
      <c r="I366" s="1"/>
      <c r="J366" s="1"/>
      <c r="K366" s="1"/>
      <c r="L366" s="1"/>
      <c r="M366" s="1"/>
      <c r="N366" s="1"/>
      <c r="O366" s="1"/>
      <c r="P366" s="1"/>
      <c r="Q366" s="13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31"/>
      <c r="F367" s="131"/>
      <c r="G367" s="131"/>
      <c r="H367" s="1"/>
      <c r="I367" s="1"/>
      <c r="J367" s="1"/>
      <c r="K367" s="1"/>
      <c r="L367" s="1"/>
      <c r="M367" s="1"/>
      <c r="N367" s="1"/>
      <c r="O367" s="1"/>
      <c r="P367" s="1"/>
      <c r="Q367" s="13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31"/>
      <c r="F368" s="131"/>
      <c r="G368" s="131"/>
      <c r="H368" s="1"/>
      <c r="I368" s="1"/>
      <c r="J368" s="1"/>
      <c r="K368" s="1"/>
      <c r="L368" s="1"/>
      <c r="M368" s="1"/>
      <c r="N368" s="1"/>
      <c r="O368" s="1"/>
      <c r="P368" s="1"/>
      <c r="Q368" s="13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31"/>
      <c r="F369" s="131"/>
      <c r="G369" s="131"/>
      <c r="H369" s="1"/>
      <c r="I369" s="1"/>
      <c r="J369" s="1"/>
      <c r="K369" s="1"/>
      <c r="L369" s="1"/>
      <c r="M369" s="1"/>
      <c r="N369" s="1"/>
      <c r="O369" s="1"/>
      <c r="P369" s="1"/>
      <c r="Q369" s="13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31"/>
      <c r="F370" s="131"/>
      <c r="G370" s="131"/>
      <c r="H370" s="1"/>
      <c r="I370" s="1"/>
      <c r="J370" s="1"/>
      <c r="K370" s="1"/>
      <c r="L370" s="1"/>
      <c r="M370" s="1"/>
      <c r="N370" s="1"/>
      <c r="O370" s="1"/>
      <c r="P370" s="1"/>
      <c r="Q370" s="13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31"/>
      <c r="F371" s="131"/>
      <c r="G371" s="131"/>
      <c r="H371" s="1"/>
      <c r="I371" s="1"/>
      <c r="J371" s="1"/>
      <c r="K371" s="1"/>
      <c r="L371" s="1"/>
      <c r="M371" s="1"/>
      <c r="N371" s="1"/>
      <c r="O371" s="1"/>
      <c r="P371" s="1"/>
      <c r="Q371" s="13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31"/>
      <c r="F372" s="131"/>
      <c r="G372" s="131"/>
      <c r="H372" s="1"/>
      <c r="I372" s="1"/>
      <c r="J372" s="1"/>
      <c r="K372" s="1"/>
      <c r="L372" s="1"/>
      <c r="M372" s="1"/>
      <c r="N372" s="1"/>
      <c r="O372" s="1"/>
      <c r="P372" s="1"/>
      <c r="Q372" s="13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31"/>
      <c r="F373" s="131"/>
      <c r="G373" s="131"/>
      <c r="H373" s="1"/>
      <c r="I373" s="1"/>
      <c r="J373" s="1"/>
      <c r="K373" s="1"/>
      <c r="L373" s="1"/>
      <c r="M373" s="1"/>
      <c r="N373" s="1"/>
      <c r="O373" s="1"/>
      <c r="P373" s="1"/>
      <c r="Q373" s="13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31"/>
      <c r="F374" s="131"/>
      <c r="G374" s="131"/>
      <c r="H374" s="1"/>
      <c r="I374" s="1"/>
      <c r="J374" s="1"/>
      <c r="K374" s="1"/>
      <c r="L374" s="1"/>
      <c r="M374" s="1"/>
      <c r="N374" s="1"/>
      <c r="O374" s="1"/>
      <c r="P374" s="1"/>
      <c r="Q374" s="13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31"/>
      <c r="F375" s="131"/>
      <c r="G375" s="131"/>
      <c r="H375" s="1"/>
      <c r="I375" s="1"/>
      <c r="J375" s="1"/>
      <c r="K375" s="1"/>
      <c r="L375" s="1"/>
      <c r="M375" s="1"/>
      <c r="N375" s="1"/>
      <c r="O375" s="1"/>
      <c r="P375" s="1"/>
      <c r="Q375" s="13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31"/>
      <c r="F376" s="131"/>
      <c r="G376" s="131"/>
      <c r="H376" s="1"/>
      <c r="I376" s="1"/>
      <c r="J376" s="1"/>
      <c r="K376" s="1"/>
      <c r="L376" s="1"/>
      <c r="M376" s="1"/>
      <c r="N376" s="1"/>
      <c r="O376" s="1"/>
      <c r="P376" s="1"/>
      <c r="Q376" s="13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31"/>
      <c r="F377" s="131"/>
      <c r="G377" s="131"/>
      <c r="H377" s="1"/>
      <c r="I377" s="1"/>
      <c r="J377" s="1"/>
      <c r="K377" s="1"/>
      <c r="L377" s="1"/>
      <c r="M377" s="1"/>
      <c r="N377" s="1"/>
      <c r="O377" s="1"/>
      <c r="P377" s="1"/>
      <c r="Q377" s="13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31"/>
      <c r="F378" s="131"/>
      <c r="G378" s="131"/>
      <c r="H378" s="1"/>
      <c r="I378" s="1"/>
      <c r="J378" s="1"/>
      <c r="K378" s="1"/>
      <c r="L378" s="1"/>
      <c r="M378" s="1"/>
      <c r="N378" s="1"/>
      <c r="O378" s="1"/>
      <c r="P378" s="1"/>
      <c r="Q378" s="13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31"/>
      <c r="F379" s="131"/>
      <c r="G379" s="131"/>
      <c r="H379" s="1"/>
      <c r="I379" s="1"/>
      <c r="J379" s="1"/>
      <c r="K379" s="1"/>
      <c r="L379" s="1"/>
      <c r="M379" s="1"/>
      <c r="N379" s="1"/>
      <c r="O379" s="1"/>
      <c r="P379" s="1"/>
      <c r="Q379" s="13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31"/>
      <c r="F380" s="131"/>
      <c r="G380" s="131"/>
      <c r="H380" s="1"/>
      <c r="I380" s="1"/>
      <c r="J380" s="1"/>
      <c r="K380" s="1"/>
      <c r="L380" s="1"/>
      <c r="M380" s="1"/>
      <c r="N380" s="1"/>
      <c r="O380" s="1"/>
      <c r="P380" s="1"/>
      <c r="Q380" s="13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31"/>
      <c r="F381" s="131"/>
      <c r="G381" s="131"/>
      <c r="H381" s="1"/>
      <c r="I381" s="1"/>
      <c r="J381" s="1"/>
      <c r="K381" s="1"/>
      <c r="L381" s="1"/>
      <c r="M381" s="1"/>
      <c r="N381" s="1"/>
      <c r="O381" s="1"/>
      <c r="P381" s="1"/>
      <c r="Q381" s="13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31"/>
      <c r="F382" s="131"/>
      <c r="G382" s="131"/>
      <c r="H382" s="1"/>
      <c r="I382" s="1"/>
      <c r="J382" s="1"/>
      <c r="K382" s="1"/>
      <c r="L382" s="1"/>
      <c r="M382" s="1"/>
      <c r="N382" s="1"/>
      <c r="O382" s="1"/>
      <c r="P382" s="1"/>
      <c r="Q382" s="13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31"/>
      <c r="F383" s="131"/>
      <c r="G383" s="131"/>
      <c r="H383" s="1"/>
      <c r="I383" s="1"/>
      <c r="J383" s="1"/>
      <c r="K383" s="1"/>
      <c r="L383" s="1"/>
      <c r="M383" s="1"/>
      <c r="N383" s="1"/>
      <c r="O383" s="1"/>
      <c r="P383" s="1"/>
      <c r="Q383" s="13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31"/>
      <c r="F384" s="131"/>
      <c r="G384" s="131"/>
      <c r="H384" s="1"/>
      <c r="I384" s="1"/>
      <c r="J384" s="1"/>
      <c r="K384" s="1"/>
      <c r="L384" s="1"/>
      <c r="M384" s="1"/>
      <c r="N384" s="1"/>
      <c r="O384" s="1"/>
      <c r="P384" s="1"/>
      <c r="Q384" s="13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31"/>
      <c r="F385" s="131"/>
      <c r="G385" s="131"/>
      <c r="H385" s="1"/>
      <c r="I385" s="1"/>
      <c r="J385" s="1"/>
      <c r="K385" s="1"/>
      <c r="L385" s="1"/>
      <c r="M385" s="1"/>
      <c r="N385" s="1"/>
      <c r="O385" s="1"/>
      <c r="P385" s="1"/>
      <c r="Q385" s="13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31"/>
      <c r="F386" s="131"/>
      <c r="G386" s="131"/>
      <c r="H386" s="1"/>
      <c r="I386" s="1"/>
      <c r="J386" s="1"/>
      <c r="K386" s="1"/>
      <c r="L386" s="1"/>
      <c r="M386" s="1"/>
      <c r="N386" s="1"/>
      <c r="O386" s="1"/>
      <c r="P386" s="1"/>
      <c r="Q386" s="13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31"/>
      <c r="F387" s="131"/>
      <c r="G387" s="131"/>
      <c r="H387" s="1"/>
      <c r="I387" s="1"/>
      <c r="J387" s="1"/>
      <c r="K387" s="1"/>
      <c r="L387" s="1"/>
      <c r="M387" s="1"/>
      <c r="N387" s="1"/>
      <c r="O387" s="1"/>
      <c r="P387" s="1"/>
      <c r="Q387" s="13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31"/>
      <c r="F388" s="131"/>
      <c r="G388" s="131"/>
      <c r="H388" s="1"/>
      <c r="I388" s="1"/>
      <c r="J388" s="1"/>
      <c r="K388" s="1"/>
      <c r="L388" s="1"/>
      <c r="M388" s="1"/>
      <c r="N388" s="1"/>
      <c r="O388" s="1"/>
      <c r="P388" s="1"/>
      <c r="Q388" s="13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31"/>
      <c r="F389" s="131"/>
      <c r="G389" s="131"/>
      <c r="H389" s="1"/>
      <c r="I389" s="1"/>
      <c r="J389" s="1"/>
      <c r="K389" s="1"/>
      <c r="L389" s="1"/>
      <c r="M389" s="1"/>
      <c r="N389" s="1"/>
      <c r="O389" s="1"/>
      <c r="P389" s="1"/>
      <c r="Q389" s="13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31"/>
      <c r="F390" s="131"/>
      <c r="G390" s="131"/>
      <c r="H390" s="1"/>
      <c r="I390" s="1"/>
      <c r="J390" s="1"/>
      <c r="K390" s="1"/>
      <c r="L390" s="1"/>
      <c r="M390" s="1"/>
      <c r="N390" s="1"/>
      <c r="O390" s="1"/>
      <c r="P390" s="1"/>
      <c r="Q390" s="13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31"/>
      <c r="F391" s="131"/>
      <c r="G391" s="131"/>
      <c r="H391" s="1"/>
      <c r="I391" s="1"/>
      <c r="J391" s="1"/>
      <c r="K391" s="1"/>
      <c r="L391" s="1"/>
      <c r="M391" s="1"/>
      <c r="N391" s="1"/>
      <c r="O391" s="1"/>
      <c r="P391" s="1"/>
      <c r="Q391" s="13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31"/>
      <c r="F392" s="131"/>
      <c r="G392" s="131"/>
      <c r="H392" s="1"/>
      <c r="I392" s="1"/>
      <c r="J392" s="1"/>
      <c r="K392" s="1"/>
      <c r="L392" s="1"/>
      <c r="M392" s="1"/>
      <c r="N392" s="1"/>
      <c r="O392" s="1"/>
      <c r="P392" s="1"/>
      <c r="Q392" s="13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31"/>
      <c r="F393" s="131"/>
      <c r="G393" s="131"/>
      <c r="H393" s="1"/>
      <c r="I393" s="1"/>
      <c r="J393" s="1"/>
      <c r="K393" s="1"/>
      <c r="L393" s="1"/>
      <c r="M393" s="1"/>
      <c r="N393" s="1"/>
      <c r="O393" s="1"/>
      <c r="P393" s="1"/>
      <c r="Q393" s="13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31"/>
      <c r="F394" s="131"/>
      <c r="G394" s="131"/>
      <c r="H394" s="1"/>
      <c r="I394" s="1"/>
      <c r="J394" s="1"/>
      <c r="K394" s="1"/>
      <c r="L394" s="1"/>
      <c r="M394" s="1"/>
      <c r="N394" s="1"/>
      <c r="O394" s="1"/>
      <c r="P394" s="1"/>
      <c r="Q394" s="13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31"/>
      <c r="F395" s="131"/>
      <c r="G395" s="131"/>
      <c r="H395" s="1"/>
      <c r="I395" s="1"/>
      <c r="J395" s="1"/>
      <c r="K395" s="1"/>
      <c r="L395" s="1"/>
      <c r="M395" s="1"/>
      <c r="N395" s="1"/>
      <c r="O395" s="1"/>
      <c r="P395" s="1"/>
      <c r="Q395" s="13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31"/>
      <c r="F396" s="131"/>
      <c r="G396" s="131"/>
      <c r="H396" s="1"/>
      <c r="I396" s="1"/>
      <c r="J396" s="1"/>
      <c r="K396" s="1"/>
      <c r="L396" s="1"/>
      <c r="M396" s="1"/>
      <c r="N396" s="1"/>
      <c r="O396" s="1"/>
      <c r="P396" s="1"/>
      <c r="Q396" s="13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31"/>
      <c r="F397" s="131"/>
      <c r="G397" s="131"/>
      <c r="H397" s="1"/>
      <c r="I397" s="1"/>
      <c r="J397" s="1"/>
      <c r="K397" s="1"/>
      <c r="L397" s="1"/>
      <c r="M397" s="1"/>
      <c r="N397" s="1"/>
      <c r="O397" s="1"/>
      <c r="P397" s="1"/>
      <c r="Q397" s="13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31"/>
      <c r="F398" s="131"/>
      <c r="G398" s="131"/>
      <c r="H398" s="1"/>
      <c r="I398" s="1"/>
      <c r="J398" s="1"/>
      <c r="K398" s="1"/>
      <c r="L398" s="1"/>
      <c r="M398" s="1"/>
      <c r="N398" s="1"/>
      <c r="O398" s="1"/>
      <c r="P398" s="1"/>
      <c r="Q398" s="13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31"/>
      <c r="F399" s="131"/>
      <c r="G399" s="131"/>
      <c r="H399" s="1"/>
      <c r="I399" s="1"/>
      <c r="J399" s="1"/>
      <c r="K399" s="1"/>
      <c r="L399" s="1"/>
      <c r="M399" s="1"/>
      <c r="N399" s="1"/>
      <c r="O399" s="1"/>
      <c r="P399" s="1"/>
      <c r="Q399" s="13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31"/>
      <c r="F400" s="131"/>
      <c r="G400" s="131"/>
      <c r="H400" s="1"/>
      <c r="I400" s="1"/>
      <c r="J400" s="1"/>
      <c r="K400" s="1"/>
      <c r="L400" s="1"/>
      <c r="M400" s="1"/>
      <c r="N400" s="1"/>
      <c r="O400" s="1"/>
      <c r="P400" s="1"/>
      <c r="Q400" s="13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31"/>
      <c r="F401" s="131"/>
      <c r="G401" s="131"/>
      <c r="H401" s="1"/>
      <c r="I401" s="1"/>
      <c r="J401" s="1"/>
      <c r="K401" s="1"/>
      <c r="L401" s="1"/>
      <c r="M401" s="1"/>
      <c r="N401" s="1"/>
      <c r="O401" s="1"/>
      <c r="P401" s="1"/>
      <c r="Q401" s="13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31"/>
      <c r="F402" s="131"/>
      <c r="G402" s="131"/>
      <c r="H402" s="1"/>
      <c r="I402" s="1"/>
      <c r="J402" s="1"/>
      <c r="K402" s="1"/>
      <c r="L402" s="1"/>
      <c r="M402" s="1"/>
      <c r="N402" s="1"/>
      <c r="O402" s="1"/>
      <c r="P402" s="1"/>
      <c r="Q402" s="13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31"/>
      <c r="F403" s="131"/>
      <c r="G403" s="131"/>
      <c r="H403" s="1"/>
      <c r="I403" s="1"/>
      <c r="J403" s="1"/>
      <c r="K403" s="1"/>
      <c r="L403" s="1"/>
      <c r="M403" s="1"/>
      <c r="N403" s="1"/>
      <c r="O403" s="1"/>
      <c r="P403" s="1"/>
      <c r="Q403" s="13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31"/>
      <c r="F404" s="131"/>
      <c r="G404" s="131"/>
      <c r="H404" s="1"/>
      <c r="I404" s="1"/>
      <c r="J404" s="1"/>
      <c r="K404" s="1"/>
      <c r="L404" s="1"/>
      <c r="M404" s="1"/>
      <c r="N404" s="1"/>
      <c r="O404" s="1"/>
      <c r="P404" s="1"/>
      <c r="Q404" s="13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31"/>
      <c r="F405" s="131"/>
      <c r="G405" s="131"/>
      <c r="H405" s="1"/>
      <c r="I405" s="1"/>
      <c r="J405" s="1"/>
      <c r="K405" s="1"/>
      <c r="L405" s="1"/>
      <c r="M405" s="1"/>
      <c r="N405" s="1"/>
      <c r="O405" s="1"/>
      <c r="P405" s="1"/>
      <c r="Q405" s="13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31"/>
      <c r="F406" s="131"/>
      <c r="G406" s="131"/>
      <c r="H406" s="1"/>
      <c r="I406" s="1"/>
      <c r="J406" s="1"/>
      <c r="K406" s="1"/>
      <c r="L406" s="1"/>
      <c r="M406" s="1"/>
      <c r="N406" s="1"/>
      <c r="O406" s="1"/>
      <c r="P406" s="1"/>
      <c r="Q406" s="13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31"/>
      <c r="F407" s="131"/>
      <c r="G407" s="131"/>
      <c r="H407" s="1"/>
      <c r="I407" s="1"/>
      <c r="J407" s="1"/>
      <c r="K407" s="1"/>
      <c r="L407" s="1"/>
      <c r="M407" s="1"/>
      <c r="N407" s="1"/>
      <c r="O407" s="1"/>
      <c r="P407" s="1"/>
      <c r="Q407" s="13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31"/>
      <c r="F408" s="131"/>
      <c r="G408" s="131"/>
      <c r="H408" s="1"/>
      <c r="I408" s="1"/>
      <c r="J408" s="1"/>
      <c r="K408" s="1"/>
      <c r="L408" s="1"/>
      <c r="M408" s="1"/>
      <c r="N408" s="1"/>
      <c r="O408" s="1"/>
      <c r="P408" s="1"/>
      <c r="Q408" s="13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31"/>
      <c r="F409" s="131"/>
      <c r="G409" s="131"/>
      <c r="H409" s="1"/>
      <c r="I409" s="1"/>
      <c r="J409" s="1"/>
      <c r="K409" s="1"/>
      <c r="L409" s="1"/>
      <c r="M409" s="1"/>
      <c r="N409" s="1"/>
      <c r="O409" s="1"/>
      <c r="P409" s="1"/>
      <c r="Q409" s="13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31"/>
      <c r="F410" s="131"/>
      <c r="G410" s="131"/>
      <c r="H410" s="1"/>
      <c r="I410" s="1"/>
      <c r="J410" s="1"/>
      <c r="K410" s="1"/>
      <c r="L410" s="1"/>
      <c r="M410" s="1"/>
      <c r="N410" s="1"/>
      <c r="O410" s="1"/>
      <c r="P410" s="1"/>
      <c r="Q410" s="13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31"/>
      <c r="F411" s="131"/>
      <c r="G411" s="131"/>
      <c r="H411" s="1"/>
      <c r="I411" s="1"/>
      <c r="J411" s="1"/>
      <c r="K411" s="1"/>
      <c r="L411" s="1"/>
      <c r="M411" s="1"/>
      <c r="N411" s="1"/>
      <c r="O411" s="1"/>
      <c r="P411" s="1"/>
      <c r="Q411" s="13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31"/>
      <c r="F412" s="131"/>
      <c r="G412" s="131"/>
      <c r="H412" s="1"/>
      <c r="I412" s="1"/>
      <c r="J412" s="1"/>
      <c r="K412" s="1"/>
      <c r="L412" s="1"/>
      <c r="M412" s="1"/>
      <c r="N412" s="1"/>
      <c r="O412" s="1"/>
      <c r="P412" s="1"/>
      <c r="Q412" s="13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31"/>
      <c r="F413" s="131"/>
      <c r="G413" s="131"/>
      <c r="H413" s="1"/>
      <c r="I413" s="1"/>
      <c r="J413" s="1"/>
      <c r="K413" s="1"/>
      <c r="L413" s="1"/>
      <c r="M413" s="1"/>
      <c r="N413" s="1"/>
      <c r="O413" s="1"/>
      <c r="P413" s="1"/>
      <c r="Q413" s="13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31"/>
      <c r="F414" s="131"/>
      <c r="G414" s="131"/>
      <c r="H414" s="1"/>
      <c r="I414" s="1"/>
      <c r="J414" s="1"/>
      <c r="K414" s="1"/>
      <c r="L414" s="1"/>
      <c r="M414" s="1"/>
      <c r="N414" s="1"/>
      <c r="O414" s="1"/>
      <c r="P414" s="1"/>
      <c r="Q414" s="13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31"/>
      <c r="F415" s="131"/>
      <c r="G415" s="131"/>
      <c r="H415" s="1"/>
      <c r="I415" s="1"/>
      <c r="J415" s="1"/>
      <c r="K415" s="1"/>
      <c r="L415" s="1"/>
      <c r="M415" s="1"/>
      <c r="N415" s="1"/>
      <c r="O415" s="1"/>
      <c r="P415" s="1"/>
      <c r="Q415" s="13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31"/>
      <c r="F416" s="131"/>
      <c r="G416" s="131"/>
      <c r="H416" s="1"/>
      <c r="I416" s="1"/>
      <c r="J416" s="1"/>
      <c r="K416" s="1"/>
      <c r="L416" s="1"/>
      <c r="M416" s="1"/>
      <c r="N416" s="1"/>
      <c r="O416" s="1"/>
      <c r="P416" s="1"/>
      <c r="Q416" s="13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31"/>
      <c r="F417" s="131"/>
      <c r="G417" s="131"/>
      <c r="H417" s="1"/>
      <c r="I417" s="1"/>
      <c r="J417" s="1"/>
      <c r="K417" s="1"/>
      <c r="L417" s="1"/>
      <c r="M417" s="1"/>
      <c r="N417" s="1"/>
      <c r="O417" s="1"/>
      <c r="P417" s="1"/>
      <c r="Q417" s="13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31"/>
      <c r="F418" s="131"/>
      <c r="G418" s="131"/>
      <c r="H418" s="1"/>
      <c r="I418" s="1"/>
      <c r="J418" s="1"/>
      <c r="K418" s="1"/>
      <c r="L418" s="1"/>
      <c r="M418" s="1"/>
      <c r="N418" s="1"/>
      <c r="O418" s="1"/>
      <c r="P418" s="1"/>
      <c r="Q418" s="13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31"/>
      <c r="F419" s="131"/>
      <c r="G419" s="131"/>
      <c r="H419" s="1"/>
      <c r="I419" s="1"/>
      <c r="J419" s="1"/>
      <c r="K419" s="1"/>
      <c r="L419" s="1"/>
      <c r="M419" s="1"/>
      <c r="N419" s="1"/>
      <c r="O419" s="1"/>
      <c r="P419" s="1"/>
      <c r="Q419" s="13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31"/>
      <c r="F420" s="131"/>
      <c r="G420" s="131"/>
      <c r="H420" s="1"/>
      <c r="I420" s="1"/>
      <c r="J420" s="1"/>
      <c r="K420" s="1"/>
      <c r="L420" s="1"/>
      <c r="M420" s="1"/>
      <c r="N420" s="1"/>
      <c r="O420" s="1"/>
      <c r="P420" s="1"/>
      <c r="Q420" s="13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31"/>
      <c r="F421" s="131"/>
      <c r="G421" s="131"/>
      <c r="H421" s="1"/>
      <c r="I421" s="1"/>
      <c r="J421" s="1"/>
      <c r="K421" s="1"/>
      <c r="L421" s="1"/>
      <c r="M421" s="1"/>
      <c r="N421" s="1"/>
      <c r="O421" s="1"/>
      <c r="P421" s="1"/>
      <c r="Q421" s="13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31"/>
      <c r="F422" s="131"/>
      <c r="G422" s="131"/>
      <c r="H422" s="1"/>
      <c r="I422" s="1"/>
      <c r="J422" s="1"/>
      <c r="K422" s="1"/>
      <c r="L422" s="1"/>
      <c r="M422" s="1"/>
      <c r="N422" s="1"/>
      <c r="O422" s="1"/>
      <c r="P422" s="1"/>
      <c r="Q422" s="13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31"/>
      <c r="F423" s="131"/>
      <c r="G423" s="131"/>
      <c r="H423" s="1"/>
      <c r="I423" s="1"/>
      <c r="J423" s="1"/>
      <c r="K423" s="1"/>
      <c r="L423" s="1"/>
      <c r="M423" s="1"/>
      <c r="N423" s="1"/>
      <c r="O423" s="1"/>
      <c r="P423" s="1"/>
      <c r="Q423" s="13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31"/>
      <c r="F424" s="131"/>
      <c r="G424" s="131"/>
      <c r="H424" s="1"/>
      <c r="I424" s="1"/>
      <c r="J424" s="1"/>
      <c r="K424" s="1"/>
      <c r="L424" s="1"/>
      <c r="M424" s="1"/>
      <c r="N424" s="1"/>
      <c r="O424" s="1"/>
      <c r="P424" s="1"/>
      <c r="Q424" s="13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31"/>
      <c r="F425" s="131"/>
      <c r="G425" s="131"/>
      <c r="H425" s="1"/>
      <c r="I425" s="1"/>
      <c r="J425" s="1"/>
      <c r="K425" s="1"/>
      <c r="L425" s="1"/>
      <c r="M425" s="1"/>
      <c r="N425" s="1"/>
      <c r="O425" s="1"/>
      <c r="P425" s="1"/>
      <c r="Q425" s="13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31"/>
      <c r="F426" s="131"/>
      <c r="G426" s="131"/>
      <c r="H426" s="1"/>
      <c r="I426" s="1"/>
      <c r="J426" s="1"/>
      <c r="K426" s="1"/>
      <c r="L426" s="1"/>
      <c r="M426" s="1"/>
      <c r="N426" s="1"/>
      <c r="O426" s="1"/>
      <c r="P426" s="1"/>
      <c r="Q426" s="13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31"/>
      <c r="F427" s="131"/>
      <c r="G427" s="131"/>
      <c r="H427" s="1"/>
      <c r="I427" s="1"/>
      <c r="J427" s="1"/>
      <c r="K427" s="1"/>
      <c r="L427" s="1"/>
      <c r="M427" s="1"/>
      <c r="N427" s="1"/>
      <c r="O427" s="1"/>
      <c r="P427" s="1"/>
      <c r="Q427" s="13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31"/>
      <c r="F428" s="131"/>
      <c r="G428" s="131"/>
      <c r="H428" s="1"/>
      <c r="I428" s="1"/>
      <c r="J428" s="1"/>
      <c r="K428" s="1"/>
      <c r="L428" s="1"/>
      <c r="M428" s="1"/>
      <c r="N428" s="1"/>
      <c r="O428" s="1"/>
      <c r="P428" s="1"/>
      <c r="Q428" s="13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31"/>
      <c r="F429" s="131"/>
      <c r="G429" s="131"/>
      <c r="H429" s="1"/>
      <c r="I429" s="1"/>
      <c r="J429" s="1"/>
      <c r="K429" s="1"/>
      <c r="L429" s="1"/>
      <c r="M429" s="1"/>
      <c r="N429" s="1"/>
      <c r="O429" s="1"/>
      <c r="P429" s="1"/>
      <c r="Q429" s="13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31"/>
      <c r="F430" s="131"/>
      <c r="G430" s="131"/>
      <c r="H430" s="1"/>
      <c r="I430" s="1"/>
      <c r="J430" s="1"/>
      <c r="K430" s="1"/>
      <c r="L430" s="1"/>
      <c r="M430" s="1"/>
      <c r="N430" s="1"/>
      <c r="O430" s="1"/>
      <c r="P430" s="1"/>
      <c r="Q430" s="13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31"/>
      <c r="F431" s="131"/>
      <c r="G431" s="131"/>
      <c r="H431" s="1"/>
      <c r="I431" s="1"/>
      <c r="J431" s="1"/>
      <c r="K431" s="1"/>
      <c r="L431" s="1"/>
      <c r="M431" s="1"/>
      <c r="N431" s="1"/>
      <c r="O431" s="1"/>
      <c r="P431" s="1"/>
      <c r="Q431" s="13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31"/>
      <c r="F432" s="131"/>
      <c r="G432" s="131"/>
      <c r="H432" s="1"/>
      <c r="I432" s="1"/>
      <c r="J432" s="1"/>
      <c r="K432" s="1"/>
      <c r="L432" s="1"/>
      <c r="M432" s="1"/>
      <c r="N432" s="1"/>
      <c r="O432" s="1"/>
      <c r="P432" s="1"/>
      <c r="Q432" s="13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31"/>
      <c r="F433" s="131"/>
      <c r="G433" s="131"/>
      <c r="H433" s="1"/>
      <c r="I433" s="1"/>
      <c r="J433" s="1"/>
      <c r="K433" s="1"/>
      <c r="L433" s="1"/>
      <c r="M433" s="1"/>
      <c r="N433" s="1"/>
      <c r="O433" s="1"/>
      <c r="P433" s="1"/>
      <c r="Q433" s="13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31"/>
      <c r="F434" s="131"/>
      <c r="G434" s="131"/>
      <c r="H434" s="1"/>
      <c r="I434" s="1"/>
      <c r="J434" s="1"/>
      <c r="K434" s="1"/>
      <c r="L434" s="1"/>
      <c r="M434" s="1"/>
      <c r="N434" s="1"/>
      <c r="O434" s="1"/>
      <c r="P434" s="1"/>
      <c r="Q434" s="13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31"/>
      <c r="F435" s="131"/>
      <c r="G435" s="131"/>
      <c r="H435" s="1"/>
      <c r="I435" s="1"/>
      <c r="J435" s="1"/>
      <c r="K435" s="1"/>
      <c r="L435" s="1"/>
      <c r="M435" s="1"/>
      <c r="N435" s="1"/>
      <c r="O435" s="1"/>
      <c r="P435" s="1"/>
      <c r="Q435" s="13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31"/>
      <c r="F436" s="131"/>
      <c r="G436" s="131"/>
      <c r="H436" s="1"/>
      <c r="I436" s="1"/>
      <c r="J436" s="1"/>
      <c r="K436" s="1"/>
      <c r="L436" s="1"/>
      <c r="M436" s="1"/>
      <c r="N436" s="1"/>
      <c r="O436" s="1"/>
      <c r="P436" s="1"/>
      <c r="Q436" s="13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31"/>
      <c r="F437" s="131"/>
      <c r="G437" s="131"/>
      <c r="H437" s="1"/>
      <c r="I437" s="1"/>
      <c r="J437" s="1"/>
      <c r="K437" s="1"/>
      <c r="L437" s="1"/>
      <c r="M437" s="1"/>
      <c r="N437" s="1"/>
      <c r="O437" s="1"/>
      <c r="P437" s="1"/>
      <c r="Q437" s="13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31"/>
      <c r="F438" s="131"/>
      <c r="G438" s="131"/>
      <c r="H438" s="1"/>
      <c r="I438" s="1"/>
      <c r="J438" s="1"/>
      <c r="K438" s="1"/>
      <c r="L438" s="1"/>
      <c r="M438" s="1"/>
      <c r="N438" s="1"/>
      <c r="O438" s="1"/>
      <c r="P438" s="1"/>
      <c r="Q438" s="13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31"/>
      <c r="F439" s="131"/>
      <c r="G439" s="131"/>
      <c r="H439" s="1"/>
      <c r="I439" s="1"/>
      <c r="J439" s="1"/>
      <c r="K439" s="1"/>
      <c r="L439" s="1"/>
      <c r="M439" s="1"/>
      <c r="N439" s="1"/>
      <c r="O439" s="1"/>
      <c r="P439" s="1"/>
      <c r="Q439" s="13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31"/>
      <c r="F440" s="131"/>
      <c r="G440" s="131"/>
      <c r="H440" s="1"/>
      <c r="I440" s="1"/>
      <c r="J440" s="1"/>
      <c r="K440" s="1"/>
      <c r="L440" s="1"/>
      <c r="M440" s="1"/>
      <c r="N440" s="1"/>
      <c r="O440" s="1"/>
      <c r="P440" s="1"/>
      <c r="Q440" s="13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31"/>
      <c r="F441" s="131"/>
      <c r="G441" s="131"/>
      <c r="H441" s="1"/>
      <c r="I441" s="1"/>
      <c r="J441" s="1"/>
      <c r="K441" s="1"/>
      <c r="L441" s="1"/>
      <c r="M441" s="1"/>
      <c r="N441" s="1"/>
      <c r="O441" s="1"/>
      <c r="P441" s="1"/>
      <c r="Q441" s="13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31"/>
      <c r="F442" s="131"/>
      <c r="G442" s="131"/>
      <c r="H442" s="1"/>
      <c r="I442" s="1"/>
      <c r="J442" s="1"/>
      <c r="K442" s="1"/>
      <c r="L442" s="1"/>
      <c r="M442" s="1"/>
      <c r="N442" s="1"/>
      <c r="O442" s="1"/>
      <c r="P442" s="1"/>
      <c r="Q442" s="13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31"/>
      <c r="F443" s="131"/>
      <c r="G443" s="131"/>
      <c r="H443" s="1"/>
      <c r="I443" s="1"/>
      <c r="J443" s="1"/>
      <c r="K443" s="1"/>
      <c r="L443" s="1"/>
      <c r="M443" s="1"/>
      <c r="N443" s="1"/>
      <c r="O443" s="1"/>
      <c r="P443" s="1"/>
      <c r="Q443" s="13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31"/>
      <c r="F444" s="131"/>
      <c r="G444" s="131"/>
      <c r="H444" s="1"/>
      <c r="I444" s="1"/>
      <c r="J444" s="1"/>
      <c r="K444" s="1"/>
      <c r="L444" s="1"/>
      <c r="M444" s="1"/>
      <c r="N444" s="1"/>
      <c r="O444" s="1"/>
      <c r="P444" s="1"/>
      <c r="Q444" s="13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31"/>
      <c r="F445" s="131"/>
      <c r="G445" s="131"/>
      <c r="H445" s="1"/>
      <c r="I445" s="1"/>
      <c r="J445" s="1"/>
      <c r="K445" s="1"/>
      <c r="L445" s="1"/>
      <c r="M445" s="1"/>
      <c r="N445" s="1"/>
      <c r="O445" s="1"/>
      <c r="P445" s="1"/>
      <c r="Q445" s="13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31"/>
      <c r="F446" s="131"/>
      <c r="G446" s="131"/>
      <c r="H446" s="1"/>
      <c r="I446" s="1"/>
      <c r="J446" s="1"/>
      <c r="K446" s="1"/>
      <c r="L446" s="1"/>
      <c r="M446" s="1"/>
      <c r="N446" s="1"/>
      <c r="O446" s="1"/>
      <c r="P446" s="1"/>
      <c r="Q446" s="13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31"/>
      <c r="F447" s="131"/>
      <c r="G447" s="131"/>
      <c r="H447" s="1"/>
      <c r="I447" s="1"/>
      <c r="J447" s="1"/>
      <c r="K447" s="1"/>
      <c r="L447" s="1"/>
      <c r="M447" s="1"/>
      <c r="N447" s="1"/>
      <c r="O447" s="1"/>
      <c r="P447" s="1"/>
      <c r="Q447" s="13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31"/>
      <c r="F448" s="131"/>
      <c r="G448" s="131"/>
      <c r="H448" s="1"/>
      <c r="I448" s="1"/>
      <c r="J448" s="1"/>
      <c r="K448" s="1"/>
      <c r="L448" s="1"/>
      <c r="M448" s="1"/>
      <c r="N448" s="1"/>
      <c r="O448" s="1"/>
      <c r="P448" s="1"/>
      <c r="Q448" s="13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31"/>
      <c r="F449" s="131"/>
      <c r="G449" s="131"/>
      <c r="H449" s="1"/>
      <c r="I449" s="1"/>
      <c r="J449" s="1"/>
      <c r="K449" s="1"/>
      <c r="L449" s="1"/>
      <c r="M449" s="1"/>
      <c r="N449" s="1"/>
      <c r="O449" s="1"/>
      <c r="P449" s="1"/>
      <c r="Q449" s="13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31"/>
      <c r="F450" s="131"/>
      <c r="G450" s="131"/>
      <c r="H450" s="1"/>
      <c r="I450" s="1"/>
      <c r="J450" s="1"/>
      <c r="K450" s="1"/>
      <c r="L450" s="1"/>
      <c r="M450" s="1"/>
      <c r="N450" s="1"/>
      <c r="O450" s="1"/>
      <c r="P450" s="1"/>
      <c r="Q450" s="13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31"/>
      <c r="F451" s="131"/>
      <c r="G451" s="131"/>
      <c r="H451" s="1"/>
      <c r="I451" s="1"/>
      <c r="J451" s="1"/>
      <c r="K451" s="1"/>
      <c r="L451" s="1"/>
      <c r="M451" s="1"/>
      <c r="N451" s="1"/>
      <c r="O451" s="1"/>
      <c r="P451" s="1"/>
      <c r="Q451" s="13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31"/>
      <c r="F452" s="131"/>
      <c r="G452" s="131"/>
      <c r="H452" s="1"/>
      <c r="I452" s="1"/>
      <c r="J452" s="1"/>
      <c r="K452" s="1"/>
      <c r="L452" s="1"/>
      <c r="M452" s="1"/>
      <c r="N452" s="1"/>
      <c r="O452" s="1"/>
      <c r="P452" s="1"/>
      <c r="Q452" s="13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31"/>
      <c r="F453" s="131"/>
      <c r="G453" s="131"/>
      <c r="H453" s="1"/>
      <c r="I453" s="1"/>
      <c r="J453" s="1"/>
      <c r="K453" s="1"/>
      <c r="L453" s="1"/>
      <c r="M453" s="1"/>
      <c r="N453" s="1"/>
      <c r="O453" s="1"/>
      <c r="P453" s="1"/>
      <c r="Q453" s="13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31"/>
      <c r="F454" s="131"/>
      <c r="G454" s="131"/>
      <c r="H454" s="1"/>
      <c r="I454" s="1"/>
      <c r="J454" s="1"/>
      <c r="K454" s="1"/>
      <c r="L454" s="1"/>
      <c r="M454" s="1"/>
      <c r="N454" s="1"/>
      <c r="O454" s="1"/>
      <c r="P454" s="1"/>
      <c r="Q454" s="13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31"/>
      <c r="F455" s="131"/>
      <c r="G455" s="131"/>
      <c r="H455" s="1"/>
      <c r="I455" s="1"/>
      <c r="J455" s="1"/>
      <c r="K455" s="1"/>
      <c r="L455" s="1"/>
      <c r="M455" s="1"/>
      <c r="N455" s="1"/>
      <c r="O455" s="1"/>
      <c r="P455" s="1"/>
      <c r="Q455" s="13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31"/>
      <c r="F456" s="131"/>
      <c r="G456" s="131"/>
      <c r="H456" s="1"/>
      <c r="I456" s="1"/>
      <c r="J456" s="1"/>
      <c r="K456" s="1"/>
      <c r="L456" s="1"/>
      <c r="M456" s="1"/>
      <c r="N456" s="1"/>
      <c r="O456" s="1"/>
      <c r="P456" s="1"/>
      <c r="Q456" s="13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31"/>
      <c r="F457" s="131"/>
      <c r="G457" s="131"/>
      <c r="H457" s="1"/>
      <c r="I457" s="1"/>
      <c r="J457" s="1"/>
      <c r="K457" s="1"/>
      <c r="L457" s="1"/>
      <c r="M457" s="1"/>
      <c r="N457" s="1"/>
      <c r="O457" s="1"/>
      <c r="P457" s="1"/>
      <c r="Q457" s="13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31"/>
      <c r="F458" s="131"/>
      <c r="G458" s="131"/>
      <c r="H458" s="1"/>
      <c r="I458" s="1"/>
      <c r="J458" s="1"/>
      <c r="K458" s="1"/>
      <c r="L458" s="1"/>
      <c r="M458" s="1"/>
      <c r="N458" s="1"/>
      <c r="O458" s="1"/>
      <c r="P458" s="1"/>
      <c r="Q458" s="13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31"/>
      <c r="F459" s="131"/>
      <c r="G459" s="131"/>
      <c r="H459" s="1"/>
      <c r="I459" s="1"/>
      <c r="J459" s="1"/>
      <c r="K459" s="1"/>
      <c r="L459" s="1"/>
      <c r="M459" s="1"/>
      <c r="N459" s="1"/>
      <c r="O459" s="1"/>
      <c r="P459" s="1"/>
      <c r="Q459" s="13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31"/>
      <c r="F460" s="131"/>
      <c r="G460" s="131"/>
      <c r="H460" s="1"/>
      <c r="I460" s="1"/>
      <c r="J460" s="1"/>
      <c r="K460" s="1"/>
      <c r="L460" s="1"/>
      <c r="M460" s="1"/>
      <c r="N460" s="1"/>
      <c r="O460" s="1"/>
      <c r="P460" s="1"/>
      <c r="Q460" s="13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31"/>
      <c r="F461" s="131"/>
      <c r="G461" s="131"/>
      <c r="H461" s="1"/>
      <c r="I461" s="1"/>
      <c r="J461" s="1"/>
      <c r="K461" s="1"/>
      <c r="L461" s="1"/>
      <c r="M461" s="1"/>
      <c r="N461" s="1"/>
      <c r="O461" s="1"/>
      <c r="P461" s="1"/>
      <c r="Q461" s="13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31"/>
      <c r="F462" s="131"/>
      <c r="G462" s="131"/>
      <c r="H462" s="1"/>
      <c r="I462" s="1"/>
      <c r="J462" s="1"/>
      <c r="K462" s="1"/>
      <c r="L462" s="1"/>
      <c r="M462" s="1"/>
      <c r="N462" s="1"/>
      <c r="O462" s="1"/>
      <c r="P462" s="1"/>
      <c r="Q462" s="13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31"/>
      <c r="F463" s="131"/>
      <c r="G463" s="131"/>
      <c r="H463" s="1"/>
      <c r="I463" s="1"/>
      <c r="J463" s="1"/>
      <c r="K463" s="1"/>
      <c r="L463" s="1"/>
      <c r="M463" s="1"/>
      <c r="N463" s="1"/>
      <c r="O463" s="1"/>
      <c r="P463" s="1"/>
      <c r="Q463" s="13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31"/>
      <c r="F464" s="131"/>
      <c r="G464" s="131"/>
      <c r="H464" s="1"/>
      <c r="I464" s="1"/>
      <c r="J464" s="1"/>
      <c r="K464" s="1"/>
      <c r="L464" s="1"/>
      <c r="M464" s="1"/>
      <c r="N464" s="1"/>
      <c r="O464" s="1"/>
      <c r="P464" s="1"/>
      <c r="Q464" s="13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31"/>
      <c r="F465" s="131"/>
      <c r="G465" s="131"/>
      <c r="H465" s="1"/>
      <c r="I465" s="1"/>
      <c r="J465" s="1"/>
      <c r="K465" s="1"/>
      <c r="L465" s="1"/>
      <c r="M465" s="1"/>
      <c r="N465" s="1"/>
      <c r="O465" s="1"/>
      <c r="P465" s="1"/>
      <c r="Q465" s="13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31"/>
      <c r="F466" s="131"/>
      <c r="G466" s="131"/>
      <c r="H466" s="1"/>
      <c r="I466" s="1"/>
      <c r="J466" s="1"/>
      <c r="K466" s="1"/>
      <c r="L466" s="1"/>
      <c r="M466" s="1"/>
      <c r="N466" s="1"/>
      <c r="O466" s="1"/>
      <c r="P466" s="1"/>
      <c r="Q466" s="13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31"/>
      <c r="F467" s="131"/>
      <c r="G467" s="131"/>
      <c r="H467" s="1"/>
      <c r="I467" s="1"/>
      <c r="J467" s="1"/>
      <c r="K467" s="1"/>
      <c r="L467" s="1"/>
      <c r="M467" s="1"/>
      <c r="N467" s="1"/>
      <c r="O467" s="1"/>
      <c r="P467" s="1"/>
      <c r="Q467" s="13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31"/>
      <c r="F468" s="131"/>
      <c r="G468" s="131"/>
      <c r="H468" s="1"/>
      <c r="I468" s="1"/>
      <c r="J468" s="1"/>
      <c r="K468" s="1"/>
      <c r="L468" s="1"/>
      <c r="M468" s="1"/>
      <c r="N468" s="1"/>
      <c r="O468" s="1"/>
      <c r="P468" s="1"/>
      <c r="Q468" s="13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31"/>
      <c r="F469" s="131"/>
      <c r="G469" s="131"/>
      <c r="H469" s="1"/>
      <c r="I469" s="1"/>
      <c r="J469" s="1"/>
      <c r="K469" s="1"/>
      <c r="L469" s="1"/>
      <c r="M469" s="1"/>
      <c r="N469" s="1"/>
      <c r="O469" s="1"/>
      <c r="P469" s="1"/>
      <c r="Q469" s="13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31"/>
      <c r="F470" s="131"/>
      <c r="G470" s="131"/>
      <c r="H470" s="1"/>
      <c r="I470" s="1"/>
      <c r="J470" s="1"/>
      <c r="K470" s="1"/>
      <c r="L470" s="1"/>
      <c r="M470" s="1"/>
      <c r="N470" s="1"/>
      <c r="O470" s="1"/>
      <c r="P470" s="1"/>
      <c r="Q470" s="13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31"/>
      <c r="F471" s="131"/>
      <c r="G471" s="131"/>
      <c r="H471" s="1"/>
      <c r="I471" s="1"/>
      <c r="J471" s="1"/>
      <c r="K471" s="1"/>
      <c r="L471" s="1"/>
      <c r="M471" s="1"/>
      <c r="N471" s="1"/>
      <c r="O471" s="1"/>
      <c r="P471" s="1"/>
      <c r="Q471" s="13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31"/>
      <c r="F472" s="131"/>
      <c r="G472" s="131"/>
      <c r="H472" s="1"/>
      <c r="I472" s="1"/>
      <c r="J472" s="1"/>
      <c r="K472" s="1"/>
      <c r="L472" s="1"/>
      <c r="M472" s="1"/>
      <c r="N472" s="1"/>
      <c r="O472" s="1"/>
      <c r="P472" s="1"/>
      <c r="Q472" s="13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31"/>
      <c r="F473" s="131"/>
      <c r="G473" s="131"/>
      <c r="H473" s="1"/>
      <c r="I473" s="1"/>
      <c r="J473" s="1"/>
      <c r="K473" s="1"/>
      <c r="L473" s="1"/>
      <c r="M473" s="1"/>
      <c r="N473" s="1"/>
      <c r="O473" s="1"/>
      <c r="P473" s="1"/>
      <c r="Q473" s="13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31"/>
      <c r="F474" s="131"/>
      <c r="G474" s="131"/>
      <c r="H474" s="1"/>
      <c r="I474" s="1"/>
      <c r="J474" s="1"/>
      <c r="K474" s="1"/>
      <c r="L474" s="1"/>
      <c r="M474" s="1"/>
      <c r="N474" s="1"/>
      <c r="O474" s="1"/>
      <c r="P474" s="1"/>
      <c r="Q474" s="13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31"/>
      <c r="F475" s="131"/>
      <c r="G475" s="131"/>
      <c r="H475" s="1"/>
      <c r="I475" s="1"/>
      <c r="J475" s="1"/>
      <c r="K475" s="1"/>
      <c r="L475" s="1"/>
      <c r="M475" s="1"/>
      <c r="N475" s="1"/>
      <c r="O475" s="1"/>
      <c r="P475" s="1"/>
      <c r="Q475" s="13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31"/>
      <c r="F476" s="131"/>
      <c r="G476" s="131"/>
      <c r="H476" s="1"/>
      <c r="I476" s="1"/>
      <c r="J476" s="1"/>
      <c r="K476" s="1"/>
      <c r="L476" s="1"/>
      <c r="M476" s="1"/>
      <c r="N476" s="1"/>
      <c r="O476" s="1"/>
      <c r="P476" s="1"/>
      <c r="Q476" s="13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31"/>
      <c r="F477" s="131"/>
      <c r="G477" s="131"/>
      <c r="H477" s="1"/>
      <c r="I477" s="1"/>
      <c r="J477" s="1"/>
      <c r="K477" s="1"/>
      <c r="L477" s="1"/>
      <c r="M477" s="1"/>
      <c r="N477" s="1"/>
      <c r="O477" s="1"/>
      <c r="P477" s="1"/>
      <c r="Q477" s="13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31"/>
      <c r="F478" s="131"/>
      <c r="G478" s="131"/>
      <c r="H478" s="1"/>
      <c r="I478" s="1"/>
      <c r="J478" s="1"/>
      <c r="K478" s="1"/>
      <c r="L478" s="1"/>
      <c r="M478" s="1"/>
      <c r="N478" s="1"/>
      <c r="O478" s="1"/>
      <c r="P478" s="1"/>
      <c r="Q478" s="13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31"/>
      <c r="F479" s="131"/>
      <c r="G479" s="131"/>
      <c r="H479" s="1"/>
      <c r="I479" s="1"/>
      <c r="J479" s="1"/>
      <c r="K479" s="1"/>
      <c r="L479" s="1"/>
      <c r="M479" s="1"/>
      <c r="N479" s="1"/>
      <c r="O479" s="1"/>
      <c r="P479" s="1"/>
      <c r="Q479" s="13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31"/>
      <c r="F480" s="131"/>
      <c r="G480" s="131"/>
      <c r="H480" s="1"/>
      <c r="I480" s="1"/>
      <c r="J480" s="1"/>
      <c r="K480" s="1"/>
      <c r="L480" s="1"/>
      <c r="M480" s="1"/>
      <c r="N480" s="1"/>
      <c r="O480" s="1"/>
      <c r="P480" s="1"/>
      <c r="Q480" s="13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31"/>
      <c r="F481" s="131"/>
      <c r="G481" s="131"/>
      <c r="H481" s="1"/>
      <c r="I481" s="1"/>
      <c r="J481" s="1"/>
      <c r="K481" s="1"/>
      <c r="L481" s="1"/>
      <c r="M481" s="1"/>
      <c r="N481" s="1"/>
      <c r="O481" s="1"/>
      <c r="P481" s="1"/>
      <c r="Q481" s="13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31"/>
      <c r="F482" s="131"/>
      <c r="G482" s="131"/>
      <c r="H482" s="1"/>
      <c r="I482" s="1"/>
      <c r="J482" s="1"/>
      <c r="K482" s="1"/>
      <c r="L482" s="1"/>
      <c r="M482" s="1"/>
      <c r="N482" s="1"/>
      <c r="O482" s="1"/>
      <c r="P482" s="1"/>
      <c r="Q482" s="13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31"/>
      <c r="F483" s="131"/>
      <c r="G483" s="131"/>
      <c r="H483" s="1"/>
      <c r="I483" s="1"/>
      <c r="J483" s="1"/>
      <c r="K483" s="1"/>
      <c r="L483" s="1"/>
      <c r="M483" s="1"/>
      <c r="N483" s="1"/>
      <c r="O483" s="1"/>
      <c r="P483" s="1"/>
      <c r="Q483" s="13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31"/>
      <c r="F484" s="131"/>
      <c r="G484" s="131"/>
      <c r="H484" s="1"/>
      <c r="I484" s="1"/>
      <c r="J484" s="1"/>
      <c r="K484" s="1"/>
      <c r="L484" s="1"/>
      <c r="M484" s="1"/>
      <c r="N484" s="1"/>
      <c r="O484" s="1"/>
      <c r="P484" s="1"/>
      <c r="Q484" s="13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31"/>
      <c r="F485" s="131"/>
      <c r="G485" s="131"/>
      <c r="H485" s="1"/>
      <c r="I485" s="1"/>
      <c r="J485" s="1"/>
      <c r="K485" s="1"/>
      <c r="L485" s="1"/>
      <c r="M485" s="1"/>
      <c r="N485" s="1"/>
      <c r="O485" s="1"/>
      <c r="P485" s="1"/>
      <c r="Q485" s="13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31"/>
      <c r="F486" s="131"/>
      <c r="G486" s="131"/>
      <c r="H486" s="1"/>
      <c r="I486" s="1"/>
      <c r="J486" s="1"/>
      <c r="K486" s="1"/>
      <c r="L486" s="1"/>
      <c r="M486" s="1"/>
      <c r="N486" s="1"/>
      <c r="O486" s="1"/>
      <c r="P486" s="1"/>
      <c r="Q486" s="13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31"/>
      <c r="F487" s="131"/>
      <c r="G487" s="131"/>
      <c r="H487" s="1"/>
      <c r="I487" s="1"/>
      <c r="J487" s="1"/>
      <c r="K487" s="1"/>
      <c r="L487" s="1"/>
      <c r="M487" s="1"/>
      <c r="N487" s="1"/>
      <c r="O487" s="1"/>
      <c r="P487" s="1"/>
      <c r="Q487" s="13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31"/>
      <c r="F488" s="131"/>
      <c r="G488" s="131"/>
      <c r="H488" s="1"/>
      <c r="I488" s="1"/>
      <c r="J488" s="1"/>
      <c r="K488" s="1"/>
      <c r="L488" s="1"/>
      <c r="M488" s="1"/>
      <c r="N488" s="1"/>
      <c r="O488" s="1"/>
      <c r="P488" s="1"/>
      <c r="Q488" s="13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31"/>
      <c r="F489" s="131"/>
      <c r="G489" s="131"/>
      <c r="H489" s="1"/>
      <c r="I489" s="1"/>
      <c r="J489" s="1"/>
      <c r="K489" s="1"/>
      <c r="L489" s="1"/>
      <c r="M489" s="1"/>
      <c r="N489" s="1"/>
      <c r="O489" s="1"/>
      <c r="P489" s="1"/>
      <c r="Q489" s="13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31"/>
      <c r="F490" s="131"/>
      <c r="G490" s="131"/>
      <c r="H490" s="1"/>
      <c r="I490" s="1"/>
      <c r="J490" s="1"/>
      <c r="K490" s="1"/>
      <c r="L490" s="1"/>
      <c r="M490" s="1"/>
      <c r="N490" s="1"/>
      <c r="O490" s="1"/>
      <c r="P490" s="1"/>
      <c r="Q490" s="13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31"/>
      <c r="F491" s="131"/>
      <c r="G491" s="131"/>
      <c r="H491" s="1"/>
      <c r="I491" s="1"/>
      <c r="J491" s="1"/>
      <c r="K491" s="1"/>
      <c r="L491" s="1"/>
      <c r="M491" s="1"/>
      <c r="N491" s="1"/>
      <c r="O491" s="1"/>
      <c r="P491" s="1"/>
      <c r="Q491" s="13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31"/>
      <c r="F492" s="131"/>
      <c r="G492" s="131"/>
      <c r="H492" s="1"/>
      <c r="I492" s="1"/>
      <c r="J492" s="1"/>
      <c r="K492" s="1"/>
      <c r="L492" s="1"/>
      <c r="M492" s="1"/>
      <c r="N492" s="1"/>
      <c r="O492" s="1"/>
      <c r="P492" s="1"/>
      <c r="Q492" s="13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31"/>
      <c r="F493" s="131"/>
      <c r="G493" s="131"/>
      <c r="H493" s="1"/>
      <c r="I493" s="1"/>
      <c r="J493" s="1"/>
      <c r="K493" s="1"/>
      <c r="L493" s="1"/>
      <c r="M493" s="1"/>
      <c r="N493" s="1"/>
      <c r="O493" s="1"/>
      <c r="P493" s="1"/>
      <c r="Q493" s="13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31"/>
      <c r="F494" s="131"/>
      <c r="G494" s="131"/>
      <c r="H494" s="1"/>
      <c r="I494" s="1"/>
      <c r="J494" s="1"/>
      <c r="K494" s="1"/>
      <c r="L494" s="1"/>
      <c r="M494" s="1"/>
      <c r="N494" s="1"/>
      <c r="O494" s="1"/>
      <c r="P494" s="1"/>
      <c r="Q494" s="13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31"/>
      <c r="F495" s="131"/>
      <c r="G495" s="131"/>
      <c r="H495" s="1"/>
      <c r="I495" s="1"/>
      <c r="J495" s="1"/>
      <c r="K495" s="1"/>
      <c r="L495" s="1"/>
      <c r="M495" s="1"/>
      <c r="N495" s="1"/>
      <c r="O495" s="1"/>
      <c r="P495" s="1"/>
      <c r="Q495" s="13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31"/>
      <c r="F496" s="131"/>
      <c r="G496" s="131"/>
      <c r="H496" s="1"/>
      <c r="I496" s="1"/>
      <c r="J496" s="1"/>
      <c r="K496" s="1"/>
      <c r="L496" s="1"/>
      <c r="M496" s="1"/>
      <c r="N496" s="1"/>
      <c r="O496" s="1"/>
      <c r="P496" s="1"/>
      <c r="Q496" s="13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31"/>
      <c r="F497" s="131"/>
      <c r="G497" s="131"/>
      <c r="H497" s="1"/>
      <c r="I497" s="1"/>
      <c r="J497" s="1"/>
      <c r="K497" s="1"/>
      <c r="L497" s="1"/>
      <c r="M497" s="1"/>
      <c r="N497" s="1"/>
      <c r="O497" s="1"/>
      <c r="P497" s="1"/>
      <c r="Q497" s="13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31"/>
      <c r="F498" s="131"/>
      <c r="G498" s="131"/>
      <c r="H498" s="1"/>
      <c r="I498" s="1"/>
      <c r="J498" s="1"/>
      <c r="K498" s="1"/>
      <c r="L498" s="1"/>
      <c r="M498" s="1"/>
      <c r="N498" s="1"/>
      <c r="O498" s="1"/>
      <c r="P498" s="1"/>
      <c r="Q498" s="13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31"/>
      <c r="F499" s="131"/>
      <c r="G499" s="131"/>
      <c r="H499" s="1"/>
      <c r="I499" s="1"/>
      <c r="J499" s="1"/>
      <c r="K499" s="1"/>
      <c r="L499" s="1"/>
      <c r="M499" s="1"/>
      <c r="N499" s="1"/>
      <c r="O499" s="1"/>
      <c r="P499" s="1"/>
      <c r="Q499" s="13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31"/>
      <c r="F500" s="131"/>
      <c r="G500" s="131"/>
      <c r="H500" s="1"/>
      <c r="I500" s="1"/>
      <c r="J500" s="1"/>
      <c r="K500" s="1"/>
      <c r="L500" s="1"/>
      <c r="M500" s="1"/>
      <c r="N500" s="1"/>
      <c r="O500" s="1"/>
      <c r="P500" s="1"/>
      <c r="Q500" s="13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31"/>
      <c r="F501" s="131"/>
      <c r="G501" s="131"/>
      <c r="H501" s="1"/>
      <c r="I501" s="1"/>
      <c r="J501" s="1"/>
      <c r="K501" s="1"/>
      <c r="L501" s="1"/>
      <c r="M501" s="1"/>
      <c r="N501" s="1"/>
      <c r="O501" s="1"/>
      <c r="P501" s="1"/>
      <c r="Q501" s="13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31"/>
      <c r="F502" s="131"/>
      <c r="G502" s="131"/>
      <c r="H502" s="1"/>
      <c r="I502" s="1"/>
      <c r="J502" s="1"/>
      <c r="K502" s="1"/>
      <c r="L502" s="1"/>
      <c r="M502" s="1"/>
      <c r="N502" s="1"/>
      <c r="O502" s="1"/>
      <c r="P502" s="1"/>
      <c r="Q502" s="13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31"/>
      <c r="F503" s="131"/>
      <c r="G503" s="131"/>
      <c r="H503" s="1"/>
      <c r="I503" s="1"/>
      <c r="J503" s="1"/>
      <c r="K503" s="1"/>
      <c r="L503" s="1"/>
      <c r="M503" s="1"/>
      <c r="N503" s="1"/>
      <c r="O503" s="1"/>
      <c r="P503" s="1"/>
      <c r="Q503" s="13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31"/>
      <c r="F504" s="131"/>
      <c r="G504" s="131"/>
      <c r="H504" s="1"/>
      <c r="I504" s="1"/>
      <c r="J504" s="1"/>
      <c r="K504" s="1"/>
      <c r="L504" s="1"/>
      <c r="M504" s="1"/>
      <c r="N504" s="1"/>
      <c r="O504" s="1"/>
      <c r="P504" s="1"/>
      <c r="Q504" s="13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31"/>
      <c r="F505" s="131"/>
      <c r="G505" s="131"/>
      <c r="H505" s="1"/>
      <c r="I505" s="1"/>
      <c r="J505" s="1"/>
      <c r="K505" s="1"/>
      <c r="L505" s="1"/>
      <c r="M505" s="1"/>
      <c r="N505" s="1"/>
      <c r="O505" s="1"/>
      <c r="P505" s="1"/>
      <c r="Q505" s="13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31"/>
      <c r="F506" s="131"/>
      <c r="G506" s="131"/>
      <c r="H506" s="1"/>
      <c r="I506" s="1"/>
      <c r="J506" s="1"/>
      <c r="K506" s="1"/>
      <c r="L506" s="1"/>
      <c r="M506" s="1"/>
      <c r="N506" s="1"/>
      <c r="O506" s="1"/>
      <c r="P506" s="1"/>
      <c r="Q506" s="13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31"/>
      <c r="F507" s="131"/>
      <c r="G507" s="131"/>
      <c r="H507" s="1"/>
      <c r="I507" s="1"/>
      <c r="J507" s="1"/>
      <c r="K507" s="1"/>
      <c r="L507" s="1"/>
      <c r="M507" s="1"/>
      <c r="N507" s="1"/>
      <c r="O507" s="1"/>
      <c r="P507" s="1"/>
      <c r="Q507" s="13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31"/>
      <c r="F508" s="131"/>
      <c r="G508" s="131"/>
      <c r="H508" s="1"/>
      <c r="I508" s="1"/>
      <c r="J508" s="1"/>
      <c r="K508" s="1"/>
      <c r="L508" s="1"/>
      <c r="M508" s="1"/>
      <c r="N508" s="1"/>
      <c r="O508" s="1"/>
      <c r="P508" s="1"/>
      <c r="Q508" s="13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31"/>
      <c r="F509" s="131"/>
      <c r="G509" s="131"/>
      <c r="H509" s="1"/>
      <c r="I509" s="1"/>
      <c r="J509" s="1"/>
      <c r="K509" s="1"/>
      <c r="L509" s="1"/>
      <c r="M509" s="1"/>
      <c r="N509" s="1"/>
      <c r="O509" s="1"/>
      <c r="P509" s="1"/>
      <c r="Q509" s="13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31"/>
      <c r="F510" s="131"/>
      <c r="G510" s="131"/>
      <c r="H510" s="1"/>
      <c r="I510" s="1"/>
      <c r="J510" s="1"/>
      <c r="K510" s="1"/>
      <c r="L510" s="1"/>
      <c r="M510" s="1"/>
      <c r="N510" s="1"/>
      <c r="O510" s="1"/>
      <c r="P510" s="1"/>
      <c r="Q510" s="13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31"/>
      <c r="F511" s="131"/>
      <c r="G511" s="131"/>
      <c r="H511" s="1"/>
      <c r="I511" s="1"/>
      <c r="J511" s="1"/>
      <c r="K511" s="1"/>
      <c r="L511" s="1"/>
      <c r="M511" s="1"/>
      <c r="N511" s="1"/>
      <c r="O511" s="1"/>
      <c r="P511" s="1"/>
      <c r="Q511" s="13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31"/>
      <c r="F512" s="131"/>
      <c r="G512" s="131"/>
      <c r="H512" s="1"/>
      <c r="I512" s="1"/>
      <c r="J512" s="1"/>
      <c r="K512" s="1"/>
      <c r="L512" s="1"/>
      <c r="M512" s="1"/>
      <c r="N512" s="1"/>
      <c r="O512" s="1"/>
      <c r="P512" s="1"/>
      <c r="Q512" s="13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31"/>
      <c r="F513" s="131"/>
      <c r="G513" s="131"/>
      <c r="H513" s="1"/>
      <c r="I513" s="1"/>
      <c r="J513" s="1"/>
      <c r="K513" s="1"/>
      <c r="L513" s="1"/>
      <c r="M513" s="1"/>
      <c r="N513" s="1"/>
      <c r="O513" s="1"/>
      <c r="P513" s="1"/>
      <c r="Q513" s="13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31"/>
      <c r="F514" s="131"/>
      <c r="G514" s="131"/>
      <c r="H514" s="1"/>
      <c r="I514" s="1"/>
      <c r="J514" s="1"/>
      <c r="K514" s="1"/>
      <c r="L514" s="1"/>
      <c r="M514" s="1"/>
      <c r="N514" s="1"/>
      <c r="O514" s="1"/>
      <c r="P514" s="1"/>
      <c r="Q514" s="13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31"/>
      <c r="F515" s="131"/>
      <c r="G515" s="131"/>
      <c r="H515" s="1"/>
      <c r="I515" s="1"/>
      <c r="J515" s="1"/>
      <c r="K515" s="1"/>
      <c r="L515" s="1"/>
      <c r="M515" s="1"/>
      <c r="N515" s="1"/>
      <c r="O515" s="1"/>
      <c r="P515" s="1"/>
      <c r="Q515" s="13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31"/>
      <c r="F516" s="131"/>
      <c r="G516" s="131"/>
      <c r="H516" s="1"/>
      <c r="I516" s="1"/>
      <c r="J516" s="1"/>
      <c r="K516" s="1"/>
      <c r="L516" s="1"/>
      <c r="M516" s="1"/>
      <c r="N516" s="1"/>
      <c r="O516" s="1"/>
      <c r="P516" s="1"/>
      <c r="Q516" s="13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31"/>
      <c r="F517" s="131"/>
      <c r="G517" s="131"/>
      <c r="H517" s="1"/>
      <c r="I517" s="1"/>
      <c r="J517" s="1"/>
      <c r="K517" s="1"/>
      <c r="L517" s="1"/>
      <c r="M517" s="1"/>
      <c r="N517" s="1"/>
      <c r="O517" s="1"/>
      <c r="P517" s="1"/>
      <c r="Q517" s="13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31"/>
      <c r="F518" s="131"/>
      <c r="G518" s="131"/>
      <c r="H518" s="1"/>
      <c r="I518" s="1"/>
      <c r="J518" s="1"/>
      <c r="K518" s="1"/>
      <c r="L518" s="1"/>
      <c r="M518" s="1"/>
      <c r="N518" s="1"/>
      <c r="O518" s="1"/>
      <c r="P518" s="1"/>
      <c r="Q518" s="13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31"/>
      <c r="F519" s="131"/>
      <c r="G519" s="131"/>
      <c r="H519" s="1"/>
      <c r="I519" s="1"/>
      <c r="J519" s="1"/>
      <c r="K519" s="1"/>
      <c r="L519" s="1"/>
      <c r="M519" s="1"/>
      <c r="N519" s="1"/>
      <c r="O519" s="1"/>
      <c r="P519" s="1"/>
      <c r="Q519" s="13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31"/>
      <c r="F520" s="131"/>
      <c r="G520" s="131"/>
      <c r="H520" s="1"/>
      <c r="I520" s="1"/>
      <c r="J520" s="1"/>
      <c r="K520" s="1"/>
      <c r="L520" s="1"/>
      <c r="M520" s="1"/>
      <c r="N520" s="1"/>
      <c r="O520" s="1"/>
      <c r="P520" s="1"/>
      <c r="Q520" s="13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31"/>
      <c r="F521" s="131"/>
      <c r="G521" s="131"/>
      <c r="H521" s="1"/>
      <c r="I521" s="1"/>
      <c r="J521" s="1"/>
      <c r="K521" s="1"/>
      <c r="L521" s="1"/>
      <c r="M521" s="1"/>
      <c r="N521" s="1"/>
      <c r="O521" s="1"/>
      <c r="P521" s="1"/>
      <c r="Q521" s="13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31"/>
      <c r="F522" s="131"/>
      <c r="G522" s="131"/>
      <c r="H522" s="1"/>
      <c r="I522" s="1"/>
      <c r="J522" s="1"/>
      <c r="K522" s="1"/>
      <c r="L522" s="1"/>
      <c r="M522" s="1"/>
      <c r="N522" s="1"/>
      <c r="O522" s="1"/>
      <c r="P522" s="1"/>
      <c r="Q522" s="13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31"/>
      <c r="F523" s="131"/>
      <c r="G523" s="131"/>
      <c r="H523" s="1"/>
      <c r="I523" s="1"/>
      <c r="J523" s="1"/>
      <c r="K523" s="1"/>
      <c r="L523" s="1"/>
      <c r="M523" s="1"/>
      <c r="N523" s="1"/>
      <c r="O523" s="1"/>
      <c r="P523" s="1"/>
      <c r="Q523" s="13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31"/>
      <c r="F524" s="131"/>
      <c r="G524" s="131"/>
      <c r="H524" s="1"/>
      <c r="I524" s="1"/>
      <c r="J524" s="1"/>
      <c r="K524" s="1"/>
      <c r="L524" s="1"/>
      <c r="M524" s="1"/>
      <c r="N524" s="1"/>
      <c r="O524" s="1"/>
      <c r="P524" s="1"/>
      <c r="Q524" s="13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31"/>
      <c r="F525" s="131"/>
      <c r="G525" s="131"/>
      <c r="H525" s="1"/>
      <c r="I525" s="1"/>
      <c r="J525" s="1"/>
      <c r="K525" s="1"/>
      <c r="L525" s="1"/>
      <c r="M525" s="1"/>
      <c r="N525" s="1"/>
      <c r="O525" s="1"/>
      <c r="P525" s="1"/>
      <c r="Q525" s="13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31"/>
      <c r="F526" s="131"/>
      <c r="G526" s="131"/>
      <c r="H526" s="1"/>
      <c r="I526" s="1"/>
      <c r="J526" s="1"/>
      <c r="K526" s="1"/>
      <c r="L526" s="1"/>
      <c r="M526" s="1"/>
      <c r="N526" s="1"/>
      <c r="O526" s="1"/>
      <c r="P526" s="1"/>
      <c r="Q526" s="13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31"/>
      <c r="F527" s="131"/>
      <c r="G527" s="131"/>
      <c r="H527" s="1"/>
      <c r="I527" s="1"/>
      <c r="J527" s="1"/>
      <c r="K527" s="1"/>
      <c r="L527" s="1"/>
      <c r="M527" s="1"/>
      <c r="N527" s="1"/>
      <c r="O527" s="1"/>
      <c r="P527" s="1"/>
      <c r="Q527" s="13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31"/>
      <c r="F528" s="131"/>
      <c r="G528" s="131"/>
      <c r="H528" s="1"/>
      <c r="I528" s="1"/>
      <c r="J528" s="1"/>
      <c r="K528" s="1"/>
      <c r="L528" s="1"/>
      <c r="M528" s="1"/>
      <c r="N528" s="1"/>
      <c r="O528" s="1"/>
      <c r="P528" s="1"/>
      <c r="Q528" s="13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31"/>
      <c r="F529" s="131"/>
      <c r="G529" s="131"/>
      <c r="H529" s="1"/>
      <c r="I529" s="1"/>
      <c r="J529" s="1"/>
      <c r="K529" s="1"/>
      <c r="L529" s="1"/>
      <c r="M529" s="1"/>
      <c r="N529" s="1"/>
      <c r="O529" s="1"/>
      <c r="P529" s="1"/>
      <c r="Q529" s="13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31"/>
      <c r="F530" s="131"/>
      <c r="G530" s="131"/>
      <c r="H530" s="1"/>
      <c r="I530" s="1"/>
      <c r="J530" s="1"/>
      <c r="K530" s="1"/>
      <c r="L530" s="1"/>
      <c r="M530" s="1"/>
      <c r="N530" s="1"/>
      <c r="O530" s="1"/>
      <c r="P530" s="1"/>
      <c r="Q530" s="13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31"/>
      <c r="F531" s="131"/>
      <c r="G531" s="131"/>
      <c r="H531" s="1"/>
      <c r="I531" s="1"/>
      <c r="J531" s="1"/>
      <c r="K531" s="1"/>
      <c r="L531" s="1"/>
      <c r="M531" s="1"/>
      <c r="N531" s="1"/>
      <c r="O531" s="1"/>
      <c r="P531" s="1"/>
      <c r="Q531" s="13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31"/>
      <c r="F532" s="131"/>
      <c r="G532" s="131"/>
      <c r="H532" s="1"/>
      <c r="I532" s="1"/>
      <c r="J532" s="1"/>
      <c r="K532" s="1"/>
      <c r="L532" s="1"/>
      <c r="M532" s="1"/>
      <c r="N532" s="1"/>
      <c r="O532" s="1"/>
      <c r="P532" s="1"/>
      <c r="Q532" s="13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31"/>
      <c r="F533" s="131"/>
      <c r="G533" s="131"/>
      <c r="H533" s="1"/>
      <c r="I533" s="1"/>
      <c r="J533" s="1"/>
      <c r="K533" s="1"/>
      <c r="L533" s="1"/>
      <c r="M533" s="1"/>
      <c r="N533" s="1"/>
      <c r="O533" s="1"/>
      <c r="P533" s="1"/>
      <c r="Q533" s="13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31"/>
      <c r="F534" s="131"/>
      <c r="G534" s="131"/>
      <c r="H534" s="1"/>
      <c r="I534" s="1"/>
      <c r="J534" s="1"/>
      <c r="K534" s="1"/>
      <c r="L534" s="1"/>
      <c r="M534" s="1"/>
      <c r="N534" s="1"/>
      <c r="O534" s="1"/>
      <c r="P534" s="1"/>
      <c r="Q534" s="13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31"/>
      <c r="F535" s="131"/>
      <c r="G535" s="131"/>
      <c r="H535" s="1"/>
      <c r="I535" s="1"/>
      <c r="J535" s="1"/>
      <c r="K535" s="1"/>
      <c r="L535" s="1"/>
      <c r="M535" s="1"/>
      <c r="N535" s="1"/>
      <c r="O535" s="1"/>
      <c r="P535" s="1"/>
      <c r="Q535" s="13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31"/>
      <c r="F536" s="131"/>
      <c r="G536" s="131"/>
      <c r="H536" s="1"/>
      <c r="I536" s="1"/>
      <c r="J536" s="1"/>
      <c r="K536" s="1"/>
      <c r="L536" s="1"/>
      <c r="M536" s="1"/>
      <c r="N536" s="1"/>
      <c r="O536" s="1"/>
      <c r="P536" s="1"/>
      <c r="Q536" s="13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31"/>
      <c r="F537" s="131"/>
      <c r="G537" s="131"/>
      <c r="H537" s="1"/>
      <c r="I537" s="1"/>
      <c r="J537" s="1"/>
      <c r="K537" s="1"/>
      <c r="L537" s="1"/>
      <c r="M537" s="1"/>
      <c r="N537" s="1"/>
      <c r="O537" s="1"/>
      <c r="P537" s="1"/>
      <c r="Q537" s="13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31"/>
      <c r="F538" s="131"/>
      <c r="G538" s="131"/>
      <c r="H538" s="1"/>
      <c r="I538" s="1"/>
      <c r="J538" s="1"/>
      <c r="K538" s="1"/>
      <c r="L538" s="1"/>
      <c r="M538" s="1"/>
      <c r="N538" s="1"/>
      <c r="O538" s="1"/>
      <c r="P538" s="1"/>
      <c r="Q538" s="13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31"/>
      <c r="F539" s="131"/>
      <c r="G539" s="131"/>
      <c r="H539" s="1"/>
      <c r="I539" s="1"/>
      <c r="J539" s="1"/>
      <c r="K539" s="1"/>
      <c r="L539" s="1"/>
      <c r="M539" s="1"/>
      <c r="N539" s="1"/>
      <c r="O539" s="1"/>
      <c r="P539" s="1"/>
      <c r="Q539" s="13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31"/>
      <c r="F540" s="131"/>
      <c r="G540" s="131"/>
      <c r="H540" s="1"/>
      <c r="I540" s="1"/>
      <c r="J540" s="1"/>
      <c r="K540" s="1"/>
      <c r="L540" s="1"/>
      <c r="M540" s="1"/>
      <c r="N540" s="1"/>
      <c r="O540" s="1"/>
      <c r="P540" s="1"/>
      <c r="Q540" s="13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31"/>
      <c r="F541" s="131"/>
      <c r="G541" s="131"/>
      <c r="H541" s="1"/>
      <c r="I541" s="1"/>
      <c r="J541" s="1"/>
      <c r="K541" s="1"/>
      <c r="L541" s="1"/>
      <c r="M541" s="1"/>
      <c r="N541" s="1"/>
      <c r="O541" s="1"/>
      <c r="P541" s="1"/>
      <c r="Q541" s="13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31"/>
      <c r="F542" s="131"/>
      <c r="G542" s="131"/>
      <c r="H542" s="1"/>
      <c r="I542" s="1"/>
      <c r="J542" s="1"/>
      <c r="K542" s="1"/>
      <c r="L542" s="1"/>
      <c r="M542" s="1"/>
      <c r="N542" s="1"/>
      <c r="O542" s="1"/>
      <c r="P542" s="1"/>
      <c r="Q542" s="13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31"/>
      <c r="F543" s="131"/>
      <c r="G543" s="131"/>
      <c r="H543" s="1"/>
      <c r="I543" s="1"/>
      <c r="J543" s="1"/>
      <c r="K543" s="1"/>
      <c r="L543" s="1"/>
      <c r="M543" s="1"/>
      <c r="N543" s="1"/>
      <c r="O543" s="1"/>
      <c r="P543" s="1"/>
      <c r="Q543" s="13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31"/>
      <c r="F544" s="131"/>
      <c r="G544" s="131"/>
      <c r="H544" s="1"/>
      <c r="I544" s="1"/>
      <c r="J544" s="1"/>
      <c r="K544" s="1"/>
      <c r="L544" s="1"/>
      <c r="M544" s="1"/>
      <c r="N544" s="1"/>
      <c r="O544" s="1"/>
      <c r="P544" s="1"/>
      <c r="Q544" s="13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31"/>
      <c r="F545" s="131"/>
      <c r="G545" s="131"/>
      <c r="H545" s="1"/>
      <c r="I545" s="1"/>
      <c r="J545" s="1"/>
      <c r="K545" s="1"/>
      <c r="L545" s="1"/>
      <c r="M545" s="1"/>
      <c r="N545" s="1"/>
      <c r="O545" s="1"/>
      <c r="P545" s="1"/>
      <c r="Q545" s="13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31"/>
      <c r="F546" s="131"/>
      <c r="G546" s="131"/>
      <c r="H546" s="1"/>
      <c r="I546" s="1"/>
      <c r="J546" s="1"/>
      <c r="K546" s="1"/>
      <c r="L546" s="1"/>
      <c r="M546" s="1"/>
      <c r="N546" s="1"/>
      <c r="O546" s="1"/>
      <c r="P546" s="1"/>
      <c r="Q546" s="13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31"/>
      <c r="F547" s="131"/>
      <c r="G547" s="131"/>
      <c r="H547" s="1"/>
      <c r="I547" s="1"/>
      <c r="J547" s="1"/>
      <c r="K547" s="1"/>
      <c r="L547" s="1"/>
      <c r="M547" s="1"/>
      <c r="N547" s="1"/>
      <c r="O547" s="1"/>
      <c r="P547" s="1"/>
      <c r="Q547" s="13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31"/>
      <c r="F548" s="131"/>
      <c r="G548" s="131"/>
      <c r="H548" s="1"/>
      <c r="I548" s="1"/>
      <c r="J548" s="1"/>
      <c r="K548" s="1"/>
      <c r="L548" s="1"/>
      <c r="M548" s="1"/>
      <c r="N548" s="1"/>
      <c r="O548" s="1"/>
      <c r="P548" s="1"/>
      <c r="Q548" s="13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31"/>
      <c r="F549" s="131"/>
      <c r="G549" s="131"/>
      <c r="H549" s="1"/>
      <c r="I549" s="1"/>
      <c r="J549" s="1"/>
      <c r="K549" s="1"/>
      <c r="L549" s="1"/>
      <c r="M549" s="1"/>
      <c r="N549" s="1"/>
      <c r="O549" s="1"/>
      <c r="P549" s="1"/>
      <c r="Q549" s="13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31"/>
      <c r="F550" s="131"/>
      <c r="G550" s="131"/>
      <c r="H550" s="1"/>
      <c r="I550" s="1"/>
      <c r="J550" s="1"/>
      <c r="K550" s="1"/>
      <c r="L550" s="1"/>
      <c r="M550" s="1"/>
      <c r="N550" s="1"/>
      <c r="O550" s="1"/>
      <c r="P550" s="1"/>
      <c r="Q550" s="13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31"/>
      <c r="F551" s="131"/>
      <c r="G551" s="131"/>
      <c r="H551" s="1"/>
      <c r="I551" s="1"/>
      <c r="J551" s="1"/>
      <c r="K551" s="1"/>
      <c r="L551" s="1"/>
      <c r="M551" s="1"/>
      <c r="N551" s="1"/>
      <c r="O551" s="1"/>
      <c r="P551" s="1"/>
      <c r="Q551" s="13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31"/>
      <c r="F552" s="131"/>
      <c r="G552" s="131"/>
      <c r="H552" s="1"/>
      <c r="I552" s="1"/>
      <c r="J552" s="1"/>
      <c r="K552" s="1"/>
      <c r="L552" s="1"/>
      <c r="M552" s="1"/>
      <c r="N552" s="1"/>
      <c r="O552" s="1"/>
      <c r="P552" s="1"/>
      <c r="Q552" s="13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31"/>
      <c r="F553" s="131"/>
      <c r="G553" s="131"/>
      <c r="H553" s="1"/>
      <c r="I553" s="1"/>
      <c r="J553" s="1"/>
      <c r="K553" s="1"/>
      <c r="L553" s="1"/>
      <c r="M553" s="1"/>
      <c r="N553" s="1"/>
      <c r="O553" s="1"/>
      <c r="P553" s="1"/>
      <c r="Q553" s="13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31"/>
      <c r="F554" s="131"/>
      <c r="G554" s="131"/>
      <c r="H554" s="1"/>
      <c r="I554" s="1"/>
      <c r="J554" s="1"/>
      <c r="K554" s="1"/>
      <c r="L554" s="1"/>
      <c r="M554" s="1"/>
      <c r="N554" s="1"/>
      <c r="O554" s="1"/>
      <c r="P554" s="1"/>
      <c r="Q554" s="13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31"/>
      <c r="F555" s="131"/>
      <c r="G555" s="131"/>
      <c r="H555" s="1"/>
      <c r="I555" s="1"/>
      <c r="J555" s="1"/>
      <c r="K555" s="1"/>
      <c r="L555" s="1"/>
      <c r="M555" s="1"/>
      <c r="N555" s="1"/>
      <c r="O555" s="1"/>
      <c r="P555" s="1"/>
      <c r="Q555" s="13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31"/>
      <c r="F556" s="131"/>
      <c r="G556" s="131"/>
      <c r="H556" s="1"/>
      <c r="I556" s="1"/>
      <c r="J556" s="1"/>
      <c r="K556" s="1"/>
      <c r="L556" s="1"/>
      <c r="M556" s="1"/>
      <c r="N556" s="1"/>
      <c r="O556" s="1"/>
      <c r="P556" s="1"/>
      <c r="Q556" s="13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31"/>
      <c r="F557" s="131"/>
      <c r="G557" s="131"/>
      <c r="H557" s="1"/>
      <c r="I557" s="1"/>
      <c r="J557" s="1"/>
      <c r="K557" s="1"/>
      <c r="L557" s="1"/>
      <c r="M557" s="1"/>
      <c r="N557" s="1"/>
      <c r="O557" s="1"/>
      <c r="P557" s="1"/>
      <c r="Q557" s="13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31"/>
      <c r="F558" s="131"/>
      <c r="G558" s="131"/>
      <c r="H558" s="1"/>
      <c r="I558" s="1"/>
      <c r="J558" s="1"/>
      <c r="K558" s="1"/>
      <c r="L558" s="1"/>
      <c r="M558" s="1"/>
      <c r="N558" s="1"/>
      <c r="O558" s="1"/>
      <c r="P558" s="1"/>
      <c r="Q558" s="13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31"/>
      <c r="F559" s="131"/>
      <c r="G559" s="131"/>
      <c r="H559" s="1"/>
      <c r="I559" s="1"/>
      <c r="J559" s="1"/>
      <c r="K559" s="1"/>
      <c r="L559" s="1"/>
      <c r="M559" s="1"/>
      <c r="N559" s="1"/>
      <c r="O559" s="1"/>
      <c r="P559" s="1"/>
      <c r="Q559" s="13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31"/>
      <c r="F560" s="131"/>
      <c r="G560" s="131"/>
      <c r="H560" s="1"/>
      <c r="I560" s="1"/>
      <c r="J560" s="1"/>
      <c r="K560" s="1"/>
      <c r="L560" s="1"/>
      <c r="M560" s="1"/>
      <c r="N560" s="1"/>
      <c r="O560" s="1"/>
      <c r="P560" s="1"/>
      <c r="Q560" s="13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31"/>
      <c r="F561" s="131"/>
      <c r="G561" s="131"/>
      <c r="H561" s="1"/>
      <c r="I561" s="1"/>
      <c r="J561" s="1"/>
      <c r="K561" s="1"/>
      <c r="L561" s="1"/>
      <c r="M561" s="1"/>
      <c r="N561" s="1"/>
      <c r="O561" s="1"/>
      <c r="P561" s="1"/>
      <c r="Q561" s="13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31"/>
      <c r="F562" s="131"/>
      <c r="G562" s="131"/>
      <c r="H562" s="1"/>
      <c r="I562" s="1"/>
      <c r="J562" s="1"/>
      <c r="K562" s="1"/>
      <c r="L562" s="1"/>
      <c r="M562" s="1"/>
      <c r="N562" s="1"/>
      <c r="O562" s="1"/>
      <c r="P562" s="1"/>
      <c r="Q562" s="13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31"/>
      <c r="F563" s="131"/>
      <c r="G563" s="131"/>
      <c r="H563" s="1"/>
      <c r="I563" s="1"/>
      <c r="J563" s="1"/>
      <c r="K563" s="1"/>
      <c r="L563" s="1"/>
      <c r="M563" s="1"/>
      <c r="N563" s="1"/>
      <c r="O563" s="1"/>
      <c r="P563" s="1"/>
      <c r="Q563" s="13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31"/>
      <c r="F564" s="131"/>
      <c r="G564" s="131"/>
      <c r="H564" s="1"/>
      <c r="I564" s="1"/>
      <c r="J564" s="1"/>
      <c r="K564" s="1"/>
      <c r="L564" s="1"/>
      <c r="M564" s="1"/>
      <c r="N564" s="1"/>
      <c r="O564" s="1"/>
      <c r="P564" s="1"/>
      <c r="Q564" s="13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31"/>
      <c r="F565" s="131"/>
      <c r="G565" s="131"/>
      <c r="H565" s="1"/>
      <c r="I565" s="1"/>
      <c r="J565" s="1"/>
      <c r="K565" s="1"/>
      <c r="L565" s="1"/>
      <c r="M565" s="1"/>
      <c r="N565" s="1"/>
      <c r="O565" s="1"/>
      <c r="P565" s="1"/>
      <c r="Q565" s="13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31"/>
      <c r="F566" s="131"/>
      <c r="G566" s="131"/>
      <c r="H566" s="1"/>
      <c r="I566" s="1"/>
      <c r="J566" s="1"/>
      <c r="K566" s="1"/>
      <c r="L566" s="1"/>
      <c r="M566" s="1"/>
      <c r="N566" s="1"/>
      <c r="O566" s="1"/>
      <c r="P566" s="1"/>
      <c r="Q566" s="13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31"/>
      <c r="F567" s="131"/>
      <c r="G567" s="131"/>
      <c r="H567" s="1"/>
      <c r="I567" s="1"/>
      <c r="J567" s="1"/>
      <c r="K567" s="1"/>
      <c r="L567" s="1"/>
      <c r="M567" s="1"/>
      <c r="N567" s="1"/>
      <c r="O567" s="1"/>
      <c r="P567" s="1"/>
      <c r="Q567" s="13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31"/>
      <c r="F568" s="131"/>
      <c r="G568" s="131"/>
      <c r="H568" s="1"/>
      <c r="I568" s="1"/>
      <c r="J568" s="1"/>
      <c r="K568" s="1"/>
      <c r="L568" s="1"/>
      <c r="M568" s="1"/>
      <c r="N568" s="1"/>
      <c r="O568" s="1"/>
      <c r="P568" s="1"/>
      <c r="Q568" s="13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31"/>
      <c r="F569" s="131"/>
      <c r="G569" s="131"/>
      <c r="H569" s="1"/>
      <c r="I569" s="1"/>
      <c r="J569" s="1"/>
      <c r="K569" s="1"/>
      <c r="L569" s="1"/>
      <c r="M569" s="1"/>
      <c r="N569" s="1"/>
      <c r="O569" s="1"/>
      <c r="P569" s="1"/>
      <c r="Q569" s="13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31"/>
      <c r="F570" s="131"/>
      <c r="G570" s="131"/>
      <c r="H570" s="1"/>
      <c r="I570" s="1"/>
      <c r="J570" s="1"/>
      <c r="K570" s="1"/>
      <c r="L570" s="1"/>
      <c r="M570" s="1"/>
      <c r="N570" s="1"/>
      <c r="O570" s="1"/>
      <c r="P570" s="1"/>
      <c r="Q570" s="13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31"/>
      <c r="F571" s="131"/>
      <c r="G571" s="131"/>
      <c r="H571" s="1"/>
      <c r="I571" s="1"/>
      <c r="J571" s="1"/>
      <c r="K571" s="1"/>
      <c r="L571" s="1"/>
      <c r="M571" s="1"/>
      <c r="N571" s="1"/>
      <c r="O571" s="1"/>
      <c r="P571" s="1"/>
      <c r="Q571" s="13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31"/>
      <c r="F572" s="131"/>
      <c r="G572" s="131"/>
      <c r="H572" s="1"/>
      <c r="I572" s="1"/>
      <c r="J572" s="1"/>
      <c r="K572" s="1"/>
      <c r="L572" s="1"/>
      <c r="M572" s="1"/>
      <c r="N572" s="1"/>
      <c r="O572" s="1"/>
      <c r="P572" s="1"/>
      <c r="Q572" s="13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31"/>
      <c r="F573" s="131"/>
      <c r="G573" s="131"/>
      <c r="H573" s="1"/>
      <c r="I573" s="1"/>
      <c r="J573" s="1"/>
      <c r="K573" s="1"/>
      <c r="L573" s="1"/>
      <c r="M573" s="1"/>
      <c r="N573" s="1"/>
      <c r="O573" s="1"/>
      <c r="P573" s="1"/>
      <c r="Q573" s="13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31"/>
      <c r="F574" s="131"/>
      <c r="G574" s="131"/>
      <c r="H574" s="1"/>
      <c r="I574" s="1"/>
      <c r="J574" s="1"/>
      <c r="K574" s="1"/>
      <c r="L574" s="1"/>
      <c r="M574" s="1"/>
      <c r="N574" s="1"/>
      <c r="O574" s="1"/>
      <c r="P574" s="1"/>
      <c r="Q574" s="13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31"/>
      <c r="F575" s="131"/>
      <c r="G575" s="131"/>
      <c r="H575" s="1"/>
      <c r="I575" s="1"/>
      <c r="J575" s="1"/>
      <c r="K575" s="1"/>
      <c r="L575" s="1"/>
      <c r="M575" s="1"/>
      <c r="N575" s="1"/>
      <c r="O575" s="1"/>
      <c r="P575" s="1"/>
      <c r="Q575" s="13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31"/>
      <c r="F576" s="131"/>
      <c r="G576" s="131"/>
      <c r="H576" s="1"/>
      <c r="I576" s="1"/>
      <c r="J576" s="1"/>
      <c r="K576" s="1"/>
      <c r="L576" s="1"/>
      <c r="M576" s="1"/>
      <c r="N576" s="1"/>
      <c r="O576" s="1"/>
      <c r="P576" s="1"/>
      <c r="Q576" s="13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31"/>
      <c r="F577" s="131"/>
      <c r="G577" s="131"/>
      <c r="H577" s="1"/>
      <c r="I577" s="1"/>
      <c r="J577" s="1"/>
      <c r="K577" s="1"/>
      <c r="L577" s="1"/>
      <c r="M577" s="1"/>
      <c r="N577" s="1"/>
      <c r="O577" s="1"/>
      <c r="P577" s="1"/>
      <c r="Q577" s="13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31"/>
      <c r="F578" s="131"/>
      <c r="G578" s="131"/>
      <c r="H578" s="1"/>
      <c r="I578" s="1"/>
      <c r="J578" s="1"/>
      <c r="K578" s="1"/>
      <c r="L578" s="1"/>
      <c r="M578" s="1"/>
      <c r="N578" s="1"/>
      <c r="O578" s="1"/>
      <c r="P578" s="1"/>
      <c r="Q578" s="13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31"/>
      <c r="F579" s="131"/>
      <c r="G579" s="131"/>
      <c r="H579" s="1"/>
      <c r="I579" s="1"/>
      <c r="J579" s="1"/>
      <c r="K579" s="1"/>
      <c r="L579" s="1"/>
      <c r="M579" s="1"/>
      <c r="N579" s="1"/>
      <c r="O579" s="1"/>
      <c r="P579" s="1"/>
      <c r="Q579" s="13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31"/>
      <c r="F580" s="131"/>
      <c r="G580" s="131"/>
      <c r="H580" s="1"/>
      <c r="I580" s="1"/>
      <c r="J580" s="1"/>
      <c r="K580" s="1"/>
      <c r="L580" s="1"/>
      <c r="M580" s="1"/>
      <c r="N580" s="1"/>
      <c r="O580" s="1"/>
      <c r="P580" s="1"/>
      <c r="Q580" s="13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31"/>
      <c r="F581" s="131"/>
      <c r="G581" s="131"/>
      <c r="H581" s="1"/>
      <c r="I581" s="1"/>
      <c r="J581" s="1"/>
      <c r="K581" s="1"/>
      <c r="L581" s="1"/>
      <c r="M581" s="1"/>
      <c r="N581" s="1"/>
      <c r="O581" s="1"/>
      <c r="P581" s="1"/>
      <c r="Q581" s="13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31"/>
      <c r="F582" s="131"/>
      <c r="G582" s="131"/>
      <c r="H582" s="1"/>
      <c r="I582" s="1"/>
      <c r="J582" s="1"/>
      <c r="K582" s="1"/>
      <c r="L582" s="1"/>
      <c r="M582" s="1"/>
      <c r="N582" s="1"/>
      <c r="O582" s="1"/>
      <c r="P582" s="1"/>
      <c r="Q582" s="13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31"/>
      <c r="F583" s="131"/>
      <c r="G583" s="131"/>
      <c r="H583" s="1"/>
      <c r="I583" s="1"/>
      <c r="J583" s="1"/>
      <c r="K583" s="1"/>
      <c r="L583" s="1"/>
      <c r="M583" s="1"/>
      <c r="N583" s="1"/>
      <c r="O583" s="1"/>
      <c r="P583" s="1"/>
      <c r="Q583" s="13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31"/>
      <c r="F584" s="131"/>
      <c r="G584" s="131"/>
      <c r="H584" s="1"/>
      <c r="I584" s="1"/>
      <c r="J584" s="1"/>
      <c r="K584" s="1"/>
      <c r="L584" s="1"/>
      <c r="M584" s="1"/>
      <c r="N584" s="1"/>
      <c r="O584" s="1"/>
      <c r="P584" s="1"/>
      <c r="Q584" s="13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31"/>
      <c r="F585" s="131"/>
      <c r="G585" s="131"/>
      <c r="H585" s="1"/>
      <c r="I585" s="1"/>
      <c r="J585" s="1"/>
      <c r="K585" s="1"/>
      <c r="L585" s="1"/>
      <c r="M585" s="1"/>
      <c r="N585" s="1"/>
      <c r="O585" s="1"/>
      <c r="P585" s="1"/>
      <c r="Q585" s="13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31"/>
      <c r="F586" s="131"/>
      <c r="G586" s="131"/>
      <c r="H586" s="1"/>
      <c r="I586" s="1"/>
      <c r="J586" s="1"/>
      <c r="K586" s="1"/>
      <c r="L586" s="1"/>
      <c r="M586" s="1"/>
      <c r="N586" s="1"/>
      <c r="O586" s="1"/>
      <c r="P586" s="1"/>
      <c r="Q586" s="13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31"/>
      <c r="F587" s="131"/>
      <c r="G587" s="131"/>
      <c r="H587" s="1"/>
      <c r="I587" s="1"/>
      <c r="J587" s="1"/>
      <c r="K587" s="1"/>
      <c r="L587" s="1"/>
      <c r="M587" s="1"/>
      <c r="N587" s="1"/>
      <c r="O587" s="1"/>
      <c r="P587" s="1"/>
      <c r="Q587" s="13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31"/>
      <c r="F588" s="131"/>
      <c r="G588" s="131"/>
      <c r="H588" s="1"/>
      <c r="I588" s="1"/>
      <c r="J588" s="1"/>
      <c r="K588" s="1"/>
      <c r="L588" s="1"/>
      <c r="M588" s="1"/>
      <c r="N588" s="1"/>
      <c r="O588" s="1"/>
      <c r="P588" s="1"/>
      <c r="Q588" s="13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31"/>
      <c r="F589" s="131"/>
      <c r="G589" s="131"/>
      <c r="H589" s="1"/>
      <c r="I589" s="1"/>
      <c r="J589" s="1"/>
      <c r="K589" s="1"/>
      <c r="L589" s="1"/>
      <c r="M589" s="1"/>
      <c r="N589" s="1"/>
      <c r="O589" s="1"/>
      <c r="P589" s="1"/>
      <c r="Q589" s="13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31"/>
      <c r="F590" s="131"/>
      <c r="G590" s="131"/>
      <c r="H590" s="1"/>
      <c r="I590" s="1"/>
      <c r="J590" s="1"/>
      <c r="K590" s="1"/>
      <c r="L590" s="1"/>
      <c r="M590" s="1"/>
      <c r="N590" s="1"/>
      <c r="O590" s="1"/>
      <c r="P590" s="1"/>
      <c r="Q590" s="13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31"/>
      <c r="F591" s="131"/>
      <c r="G591" s="131"/>
      <c r="H591" s="1"/>
      <c r="I591" s="1"/>
      <c r="J591" s="1"/>
      <c r="K591" s="1"/>
      <c r="L591" s="1"/>
      <c r="M591" s="1"/>
      <c r="N591" s="1"/>
      <c r="O591" s="1"/>
      <c r="P591" s="1"/>
      <c r="Q591" s="13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31"/>
      <c r="F592" s="131"/>
      <c r="G592" s="131"/>
      <c r="H592" s="1"/>
      <c r="I592" s="1"/>
      <c r="J592" s="1"/>
      <c r="K592" s="1"/>
      <c r="L592" s="1"/>
      <c r="M592" s="1"/>
      <c r="N592" s="1"/>
      <c r="O592" s="1"/>
      <c r="P592" s="1"/>
      <c r="Q592" s="13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31"/>
      <c r="F593" s="131"/>
      <c r="G593" s="131"/>
      <c r="H593" s="1"/>
      <c r="I593" s="1"/>
      <c r="J593" s="1"/>
      <c r="K593" s="1"/>
      <c r="L593" s="1"/>
      <c r="M593" s="1"/>
      <c r="N593" s="1"/>
      <c r="O593" s="1"/>
      <c r="P593" s="1"/>
      <c r="Q593" s="13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31"/>
      <c r="F594" s="131"/>
      <c r="G594" s="131"/>
      <c r="H594" s="1"/>
      <c r="I594" s="1"/>
      <c r="J594" s="1"/>
      <c r="K594" s="1"/>
      <c r="L594" s="1"/>
      <c r="M594" s="1"/>
      <c r="N594" s="1"/>
      <c r="O594" s="1"/>
      <c r="P594" s="1"/>
      <c r="Q594" s="13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31"/>
      <c r="F595" s="131"/>
      <c r="G595" s="131"/>
      <c r="H595" s="1"/>
      <c r="I595" s="1"/>
      <c r="J595" s="1"/>
      <c r="K595" s="1"/>
      <c r="L595" s="1"/>
      <c r="M595" s="1"/>
      <c r="N595" s="1"/>
      <c r="O595" s="1"/>
      <c r="P595" s="1"/>
      <c r="Q595" s="13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31"/>
      <c r="F596" s="131"/>
      <c r="G596" s="131"/>
      <c r="H596" s="1"/>
      <c r="I596" s="1"/>
      <c r="J596" s="1"/>
      <c r="K596" s="1"/>
      <c r="L596" s="1"/>
      <c r="M596" s="1"/>
      <c r="N596" s="1"/>
      <c r="O596" s="1"/>
      <c r="P596" s="1"/>
      <c r="Q596" s="13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31"/>
      <c r="F597" s="131"/>
      <c r="G597" s="131"/>
      <c r="H597" s="1"/>
      <c r="I597" s="1"/>
      <c r="J597" s="1"/>
      <c r="K597" s="1"/>
      <c r="L597" s="1"/>
      <c r="M597" s="1"/>
      <c r="N597" s="1"/>
      <c r="O597" s="1"/>
      <c r="P597" s="1"/>
      <c r="Q597" s="13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31"/>
      <c r="F598" s="131"/>
      <c r="G598" s="131"/>
      <c r="H598" s="1"/>
      <c r="I598" s="1"/>
      <c r="J598" s="1"/>
      <c r="K598" s="1"/>
      <c r="L598" s="1"/>
      <c r="M598" s="1"/>
      <c r="N598" s="1"/>
      <c r="O598" s="1"/>
      <c r="P598" s="1"/>
      <c r="Q598" s="13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31"/>
      <c r="F599" s="131"/>
      <c r="G599" s="131"/>
      <c r="H599" s="1"/>
      <c r="I599" s="1"/>
      <c r="J599" s="1"/>
      <c r="K599" s="1"/>
      <c r="L599" s="1"/>
      <c r="M599" s="1"/>
      <c r="N599" s="1"/>
      <c r="O599" s="1"/>
      <c r="P599" s="1"/>
      <c r="Q599" s="13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31"/>
      <c r="F600" s="131"/>
      <c r="G600" s="131"/>
      <c r="H600" s="1"/>
      <c r="I600" s="1"/>
      <c r="J600" s="1"/>
      <c r="K600" s="1"/>
      <c r="L600" s="1"/>
      <c r="M600" s="1"/>
      <c r="N600" s="1"/>
      <c r="O600" s="1"/>
      <c r="P600" s="1"/>
      <c r="Q600" s="13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31"/>
      <c r="F601" s="131"/>
      <c r="G601" s="131"/>
      <c r="H601" s="1"/>
      <c r="I601" s="1"/>
      <c r="J601" s="1"/>
      <c r="K601" s="1"/>
      <c r="L601" s="1"/>
      <c r="M601" s="1"/>
      <c r="N601" s="1"/>
      <c r="O601" s="1"/>
      <c r="P601" s="1"/>
      <c r="Q601" s="13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31"/>
      <c r="F602" s="131"/>
      <c r="G602" s="131"/>
      <c r="H602" s="1"/>
      <c r="I602" s="1"/>
      <c r="J602" s="1"/>
      <c r="K602" s="1"/>
      <c r="L602" s="1"/>
      <c r="M602" s="1"/>
      <c r="N602" s="1"/>
      <c r="O602" s="1"/>
      <c r="P602" s="1"/>
      <c r="Q602" s="13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31"/>
      <c r="F603" s="131"/>
      <c r="G603" s="131"/>
      <c r="H603" s="1"/>
      <c r="I603" s="1"/>
      <c r="J603" s="1"/>
      <c r="K603" s="1"/>
      <c r="L603" s="1"/>
      <c r="M603" s="1"/>
      <c r="N603" s="1"/>
      <c r="O603" s="1"/>
      <c r="P603" s="1"/>
      <c r="Q603" s="13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31"/>
      <c r="F604" s="131"/>
      <c r="G604" s="131"/>
      <c r="H604" s="1"/>
      <c r="I604" s="1"/>
      <c r="J604" s="1"/>
      <c r="K604" s="1"/>
      <c r="L604" s="1"/>
      <c r="M604" s="1"/>
      <c r="N604" s="1"/>
      <c r="O604" s="1"/>
      <c r="P604" s="1"/>
      <c r="Q604" s="13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31"/>
      <c r="F605" s="131"/>
      <c r="G605" s="131"/>
      <c r="H605" s="1"/>
      <c r="I605" s="1"/>
      <c r="J605" s="1"/>
      <c r="K605" s="1"/>
      <c r="L605" s="1"/>
      <c r="M605" s="1"/>
      <c r="N605" s="1"/>
      <c r="O605" s="1"/>
      <c r="P605" s="1"/>
      <c r="Q605" s="13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31"/>
      <c r="F606" s="131"/>
      <c r="G606" s="131"/>
      <c r="H606" s="1"/>
      <c r="I606" s="1"/>
      <c r="J606" s="1"/>
      <c r="K606" s="1"/>
      <c r="L606" s="1"/>
      <c r="M606" s="1"/>
      <c r="N606" s="1"/>
      <c r="O606" s="1"/>
      <c r="P606" s="1"/>
      <c r="Q606" s="13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31"/>
      <c r="F607" s="131"/>
      <c r="G607" s="131"/>
      <c r="H607" s="1"/>
      <c r="I607" s="1"/>
      <c r="J607" s="1"/>
      <c r="K607" s="1"/>
      <c r="L607" s="1"/>
      <c r="M607" s="1"/>
      <c r="N607" s="1"/>
      <c r="O607" s="1"/>
      <c r="P607" s="1"/>
      <c r="Q607" s="13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31"/>
      <c r="F608" s="131"/>
      <c r="G608" s="131"/>
      <c r="H608" s="1"/>
      <c r="I608" s="1"/>
      <c r="J608" s="1"/>
      <c r="K608" s="1"/>
      <c r="L608" s="1"/>
      <c r="M608" s="1"/>
      <c r="N608" s="1"/>
      <c r="O608" s="1"/>
      <c r="P608" s="1"/>
      <c r="Q608" s="13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31"/>
      <c r="F609" s="131"/>
      <c r="G609" s="131"/>
      <c r="H609" s="1"/>
      <c r="I609" s="1"/>
      <c r="J609" s="1"/>
      <c r="K609" s="1"/>
      <c r="L609" s="1"/>
      <c r="M609" s="1"/>
      <c r="N609" s="1"/>
      <c r="O609" s="1"/>
      <c r="P609" s="1"/>
      <c r="Q609" s="13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31"/>
      <c r="F610" s="131"/>
      <c r="G610" s="131"/>
      <c r="H610" s="1"/>
      <c r="I610" s="1"/>
      <c r="J610" s="1"/>
      <c r="K610" s="1"/>
      <c r="L610" s="1"/>
      <c r="M610" s="1"/>
      <c r="N610" s="1"/>
      <c r="O610" s="1"/>
      <c r="P610" s="1"/>
      <c r="Q610" s="13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31"/>
      <c r="F611" s="131"/>
      <c r="G611" s="131"/>
      <c r="H611" s="1"/>
      <c r="I611" s="1"/>
      <c r="J611" s="1"/>
      <c r="K611" s="1"/>
      <c r="L611" s="1"/>
      <c r="M611" s="1"/>
      <c r="N611" s="1"/>
      <c r="O611" s="1"/>
      <c r="P611" s="1"/>
      <c r="Q611" s="13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31"/>
      <c r="F612" s="131"/>
      <c r="G612" s="131"/>
      <c r="H612" s="1"/>
      <c r="I612" s="1"/>
      <c r="J612" s="1"/>
      <c r="K612" s="1"/>
      <c r="L612" s="1"/>
      <c r="M612" s="1"/>
      <c r="N612" s="1"/>
      <c r="O612" s="1"/>
      <c r="P612" s="1"/>
      <c r="Q612" s="13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31"/>
      <c r="F613" s="131"/>
      <c r="G613" s="131"/>
      <c r="H613" s="1"/>
      <c r="I613" s="1"/>
      <c r="J613" s="1"/>
      <c r="K613" s="1"/>
      <c r="L613" s="1"/>
      <c r="M613" s="1"/>
      <c r="N613" s="1"/>
      <c r="O613" s="1"/>
      <c r="P613" s="1"/>
      <c r="Q613" s="13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31"/>
      <c r="F614" s="131"/>
      <c r="G614" s="131"/>
      <c r="H614" s="1"/>
      <c r="I614" s="1"/>
      <c r="J614" s="1"/>
      <c r="K614" s="1"/>
      <c r="L614" s="1"/>
      <c r="M614" s="1"/>
      <c r="N614" s="1"/>
      <c r="O614" s="1"/>
      <c r="P614" s="1"/>
      <c r="Q614" s="13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31"/>
      <c r="F615" s="131"/>
      <c r="G615" s="131"/>
      <c r="H615" s="1"/>
      <c r="I615" s="1"/>
      <c r="J615" s="1"/>
      <c r="K615" s="1"/>
      <c r="L615" s="1"/>
      <c r="M615" s="1"/>
      <c r="N615" s="1"/>
      <c r="O615" s="1"/>
      <c r="P615" s="1"/>
      <c r="Q615" s="13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31"/>
      <c r="F616" s="131"/>
      <c r="G616" s="131"/>
      <c r="H616" s="1"/>
      <c r="I616" s="1"/>
      <c r="J616" s="1"/>
      <c r="K616" s="1"/>
      <c r="L616" s="1"/>
      <c r="M616" s="1"/>
      <c r="N616" s="1"/>
      <c r="O616" s="1"/>
      <c r="P616" s="1"/>
      <c r="Q616" s="13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31"/>
      <c r="F617" s="131"/>
      <c r="G617" s="131"/>
      <c r="H617" s="1"/>
      <c r="I617" s="1"/>
      <c r="J617" s="1"/>
      <c r="K617" s="1"/>
      <c r="L617" s="1"/>
      <c r="M617" s="1"/>
      <c r="N617" s="1"/>
      <c r="O617" s="1"/>
      <c r="P617" s="1"/>
      <c r="Q617" s="13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31"/>
      <c r="F618" s="131"/>
      <c r="G618" s="131"/>
      <c r="H618" s="1"/>
      <c r="I618" s="1"/>
      <c r="J618" s="1"/>
      <c r="K618" s="1"/>
      <c r="L618" s="1"/>
      <c r="M618" s="1"/>
      <c r="N618" s="1"/>
      <c r="O618" s="1"/>
      <c r="P618" s="1"/>
      <c r="Q618" s="13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31"/>
      <c r="F619" s="131"/>
      <c r="G619" s="131"/>
      <c r="H619" s="1"/>
      <c r="I619" s="1"/>
      <c r="J619" s="1"/>
      <c r="K619" s="1"/>
      <c r="L619" s="1"/>
      <c r="M619" s="1"/>
      <c r="N619" s="1"/>
      <c r="O619" s="1"/>
      <c r="P619" s="1"/>
      <c r="Q619" s="13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31"/>
      <c r="F620" s="131"/>
      <c r="G620" s="131"/>
      <c r="H620" s="1"/>
      <c r="I620" s="1"/>
      <c r="J620" s="1"/>
      <c r="K620" s="1"/>
      <c r="L620" s="1"/>
      <c r="M620" s="1"/>
      <c r="N620" s="1"/>
      <c r="O620" s="1"/>
      <c r="P620" s="1"/>
      <c r="Q620" s="13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31"/>
      <c r="F621" s="131"/>
      <c r="G621" s="131"/>
      <c r="H621" s="1"/>
      <c r="I621" s="1"/>
      <c r="J621" s="1"/>
      <c r="K621" s="1"/>
      <c r="L621" s="1"/>
      <c r="M621" s="1"/>
      <c r="N621" s="1"/>
      <c r="O621" s="1"/>
      <c r="P621" s="1"/>
      <c r="Q621" s="13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31"/>
      <c r="F622" s="131"/>
      <c r="G622" s="131"/>
      <c r="H622" s="1"/>
      <c r="I622" s="1"/>
      <c r="J622" s="1"/>
      <c r="K622" s="1"/>
      <c r="L622" s="1"/>
      <c r="M622" s="1"/>
      <c r="N622" s="1"/>
      <c r="O622" s="1"/>
      <c r="P622" s="1"/>
      <c r="Q622" s="13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31"/>
      <c r="F623" s="131"/>
      <c r="G623" s="131"/>
      <c r="H623" s="1"/>
      <c r="I623" s="1"/>
      <c r="J623" s="1"/>
      <c r="K623" s="1"/>
      <c r="L623" s="1"/>
      <c r="M623" s="1"/>
      <c r="N623" s="1"/>
      <c r="O623" s="1"/>
      <c r="P623" s="1"/>
      <c r="Q623" s="13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31"/>
      <c r="F624" s="131"/>
      <c r="G624" s="131"/>
      <c r="H624" s="1"/>
      <c r="I624" s="1"/>
      <c r="J624" s="1"/>
      <c r="K624" s="1"/>
      <c r="L624" s="1"/>
      <c r="M624" s="1"/>
      <c r="N624" s="1"/>
      <c r="O624" s="1"/>
      <c r="P624" s="1"/>
      <c r="Q624" s="13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31"/>
      <c r="F625" s="131"/>
      <c r="G625" s="131"/>
      <c r="H625" s="1"/>
      <c r="I625" s="1"/>
      <c r="J625" s="1"/>
      <c r="K625" s="1"/>
      <c r="L625" s="1"/>
      <c r="M625" s="1"/>
      <c r="N625" s="1"/>
      <c r="O625" s="1"/>
      <c r="P625" s="1"/>
      <c r="Q625" s="13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31"/>
      <c r="F626" s="131"/>
      <c r="G626" s="131"/>
      <c r="H626" s="1"/>
      <c r="I626" s="1"/>
      <c r="J626" s="1"/>
      <c r="K626" s="1"/>
      <c r="L626" s="1"/>
      <c r="M626" s="1"/>
      <c r="N626" s="1"/>
      <c r="O626" s="1"/>
      <c r="P626" s="1"/>
      <c r="Q626" s="13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31"/>
      <c r="F627" s="131"/>
      <c r="G627" s="131"/>
      <c r="H627" s="1"/>
      <c r="I627" s="1"/>
      <c r="J627" s="1"/>
      <c r="K627" s="1"/>
      <c r="L627" s="1"/>
      <c r="M627" s="1"/>
      <c r="N627" s="1"/>
      <c r="O627" s="1"/>
      <c r="P627" s="1"/>
      <c r="Q627" s="13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31"/>
      <c r="F628" s="131"/>
      <c r="G628" s="131"/>
      <c r="H628" s="1"/>
      <c r="I628" s="1"/>
      <c r="J628" s="1"/>
      <c r="K628" s="1"/>
      <c r="L628" s="1"/>
      <c r="M628" s="1"/>
      <c r="N628" s="1"/>
      <c r="O628" s="1"/>
      <c r="P628" s="1"/>
      <c r="Q628" s="13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31"/>
      <c r="F629" s="131"/>
      <c r="G629" s="131"/>
      <c r="H629" s="1"/>
      <c r="I629" s="1"/>
      <c r="J629" s="1"/>
      <c r="K629" s="1"/>
      <c r="L629" s="1"/>
      <c r="M629" s="1"/>
      <c r="N629" s="1"/>
      <c r="O629" s="1"/>
      <c r="P629" s="1"/>
      <c r="Q629" s="13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31"/>
      <c r="F630" s="131"/>
      <c r="G630" s="131"/>
      <c r="H630" s="1"/>
      <c r="I630" s="1"/>
      <c r="J630" s="1"/>
      <c r="K630" s="1"/>
      <c r="L630" s="1"/>
      <c r="M630" s="1"/>
      <c r="N630" s="1"/>
      <c r="O630" s="1"/>
      <c r="P630" s="1"/>
      <c r="Q630" s="13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31"/>
      <c r="F631" s="131"/>
      <c r="G631" s="131"/>
      <c r="H631" s="1"/>
      <c r="I631" s="1"/>
      <c r="J631" s="1"/>
      <c r="K631" s="1"/>
      <c r="L631" s="1"/>
      <c r="M631" s="1"/>
      <c r="N631" s="1"/>
      <c r="O631" s="1"/>
      <c r="P631" s="1"/>
      <c r="Q631" s="13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31"/>
      <c r="F632" s="131"/>
      <c r="G632" s="131"/>
      <c r="H632" s="1"/>
      <c r="I632" s="1"/>
      <c r="J632" s="1"/>
      <c r="K632" s="1"/>
      <c r="L632" s="1"/>
      <c r="M632" s="1"/>
      <c r="N632" s="1"/>
      <c r="O632" s="1"/>
      <c r="P632" s="1"/>
      <c r="Q632" s="13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31"/>
      <c r="F633" s="131"/>
      <c r="G633" s="131"/>
      <c r="H633" s="1"/>
      <c r="I633" s="1"/>
      <c r="J633" s="1"/>
      <c r="K633" s="1"/>
      <c r="L633" s="1"/>
      <c r="M633" s="1"/>
      <c r="N633" s="1"/>
      <c r="O633" s="1"/>
      <c r="P633" s="1"/>
      <c r="Q633" s="13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31"/>
      <c r="F634" s="131"/>
      <c r="G634" s="131"/>
      <c r="H634" s="1"/>
      <c r="I634" s="1"/>
      <c r="J634" s="1"/>
      <c r="K634" s="1"/>
      <c r="L634" s="1"/>
      <c r="M634" s="1"/>
      <c r="N634" s="1"/>
      <c r="O634" s="1"/>
      <c r="P634" s="1"/>
      <c r="Q634" s="13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31"/>
      <c r="F635" s="131"/>
      <c r="G635" s="131"/>
      <c r="H635" s="1"/>
      <c r="I635" s="1"/>
      <c r="J635" s="1"/>
      <c r="K635" s="1"/>
      <c r="L635" s="1"/>
      <c r="M635" s="1"/>
      <c r="N635" s="1"/>
      <c r="O635" s="1"/>
      <c r="P635" s="1"/>
      <c r="Q635" s="13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31"/>
      <c r="F636" s="131"/>
      <c r="G636" s="131"/>
      <c r="H636" s="1"/>
      <c r="I636" s="1"/>
      <c r="J636" s="1"/>
      <c r="K636" s="1"/>
      <c r="L636" s="1"/>
      <c r="M636" s="1"/>
      <c r="N636" s="1"/>
      <c r="O636" s="1"/>
      <c r="P636" s="1"/>
      <c r="Q636" s="13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31"/>
      <c r="F637" s="131"/>
      <c r="G637" s="131"/>
      <c r="H637" s="1"/>
      <c r="I637" s="1"/>
      <c r="J637" s="1"/>
      <c r="K637" s="1"/>
      <c r="L637" s="1"/>
      <c r="M637" s="1"/>
      <c r="N637" s="1"/>
      <c r="O637" s="1"/>
      <c r="P637" s="1"/>
      <c r="Q637" s="13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31"/>
      <c r="F638" s="131"/>
      <c r="G638" s="131"/>
      <c r="H638" s="1"/>
      <c r="I638" s="1"/>
      <c r="J638" s="1"/>
      <c r="K638" s="1"/>
      <c r="L638" s="1"/>
      <c r="M638" s="1"/>
      <c r="N638" s="1"/>
      <c r="O638" s="1"/>
      <c r="P638" s="1"/>
      <c r="Q638" s="13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31"/>
      <c r="F639" s="131"/>
      <c r="G639" s="131"/>
      <c r="H639" s="1"/>
      <c r="I639" s="1"/>
      <c r="J639" s="1"/>
      <c r="K639" s="1"/>
      <c r="L639" s="1"/>
      <c r="M639" s="1"/>
      <c r="N639" s="1"/>
      <c r="O639" s="1"/>
      <c r="P639" s="1"/>
      <c r="Q639" s="13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31"/>
      <c r="F640" s="131"/>
      <c r="G640" s="131"/>
      <c r="H640" s="1"/>
      <c r="I640" s="1"/>
      <c r="J640" s="1"/>
      <c r="K640" s="1"/>
      <c r="L640" s="1"/>
      <c r="M640" s="1"/>
      <c r="N640" s="1"/>
      <c r="O640" s="1"/>
      <c r="P640" s="1"/>
      <c r="Q640" s="13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31"/>
      <c r="F641" s="131"/>
      <c r="G641" s="131"/>
      <c r="H641" s="1"/>
      <c r="I641" s="1"/>
      <c r="J641" s="1"/>
      <c r="K641" s="1"/>
      <c r="L641" s="1"/>
      <c r="M641" s="1"/>
      <c r="N641" s="1"/>
      <c r="O641" s="1"/>
      <c r="P641" s="1"/>
      <c r="Q641" s="13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31"/>
      <c r="F642" s="131"/>
      <c r="G642" s="131"/>
      <c r="H642" s="1"/>
      <c r="I642" s="1"/>
      <c r="J642" s="1"/>
      <c r="K642" s="1"/>
      <c r="L642" s="1"/>
      <c r="M642" s="1"/>
      <c r="N642" s="1"/>
      <c r="O642" s="1"/>
      <c r="P642" s="1"/>
      <c r="Q642" s="13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31"/>
      <c r="F643" s="131"/>
      <c r="G643" s="131"/>
      <c r="H643" s="1"/>
      <c r="I643" s="1"/>
      <c r="J643" s="1"/>
      <c r="K643" s="1"/>
      <c r="L643" s="1"/>
      <c r="M643" s="1"/>
      <c r="N643" s="1"/>
      <c r="O643" s="1"/>
      <c r="P643" s="1"/>
      <c r="Q643" s="13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31"/>
      <c r="F644" s="131"/>
      <c r="G644" s="131"/>
      <c r="H644" s="1"/>
      <c r="I644" s="1"/>
      <c r="J644" s="1"/>
      <c r="K644" s="1"/>
      <c r="L644" s="1"/>
      <c r="M644" s="1"/>
      <c r="N644" s="1"/>
      <c r="O644" s="1"/>
      <c r="P644" s="1"/>
      <c r="Q644" s="13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31"/>
      <c r="F645" s="131"/>
      <c r="G645" s="131"/>
      <c r="H645" s="1"/>
      <c r="I645" s="1"/>
      <c r="J645" s="1"/>
      <c r="K645" s="1"/>
      <c r="L645" s="1"/>
      <c r="M645" s="1"/>
      <c r="N645" s="1"/>
      <c r="O645" s="1"/>
      <c r="P645" s="1"/>
      <c r="Q645" s="13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31"/>
      <c r="F646" s="131"/>
      <c r="G646" s="131"/>
      <c r="H646" s="1"/>
      <c r="I646" s="1"/>
      <c r="J646" s="1"/>
      <c r="K646" s="1"/>
      <c r="L646" s="1"/>
      <c r="M646" s="1"/>
      <c r="N646" s="1"/>
      <c r="O646" s="1"/>
      <c r="P646" s="1"/>
      <c r="Q646" s="13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31"/>
      <c r="F647" s="131"/>
      <c r="G647" s="131"/>
      <c r="H647" s="1"/>
      <c r="I647" s="1"/>
      <c r="J647" s="1"/>
      <c r="K647" s="1"/>
      <c r="L647" s="1"/>
      <c r="M647" s="1"/>
      <c r="N647" s="1"/>
      <c r="O647" s="1"/>
      <c r="P647" s="1"/>
      <c r="Q647" s="13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31"/>
      <c r="F648" s="131"/>
      <c r="G648" s="131"/>
      <c r="H648" s="1"/>
      <c r="I648" s="1"/>
      <c r="J648" s="1"/>
      <c r="K648" s="1"/>
      <c r="L648" s="1"/>
      <c r="M648" s="1"/>
      <c r="N648" s="1"/>
      <c r="O648" s="1"/>
      <c r="P648" s="1"/>
      <c r="Q648" s="13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31"/>
      <c r="F649" s="131"/>
      <c r="G649" s="131"/>
      <c r="H649" s="1"/>
      <c r="I649" s="1"/>
      <c r="J649" s="1"/>
      <c r="K649" s="1"/>
      <c r="L649" s="1"/>
      <c r="M649" s="1"/>
      <c r="N649" s="1"/>
      <c r="O649" s="1"/>
      <c r="P649" s="1"/>
      <c r="Q649" s="13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31"/>
      <c r="F650" s="131"/>
      <c r="G650" s="131"/>
      <c r="H650" s="1"/>
      <c r="I650" s="1"/>
      <c r="J650" s="1"/>
      <c r="K650" s="1"/>
      <c r="L650" s="1"/>
      <c r="M650" s="1"/>
      <c r="N650" s="1"/>
      <c r="O650" s="1"/>
      <c r="P650" s="1"/>
      <c r="Q650" s="13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31"/>
      <c r="F651" s="131"/>
      <c r="G651" s="131"/>
      <c r="H651" s="1"/>
      <c r="I651" s="1"/>
      <c r="J651" s="1"/>
      <c r="K651" s="1"/>
      <c r="L651" s="1"/>
      <c r="M651" s="1"/>
      <c r="N651" s="1"/>
      <c r="O651" s="1"/>
      <c r="P651" s="1"/>
      <c r="Q651" s="13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31"/>
      <c r="F652" s="131"/>
      <c r="G652" s="131"/>
      <c r="H652" s="1"/>
      <c r="I652" s="1"/>
      <c r="J652" s="1"/>
      <c r="K652" s="1"/>
      <c r="L652" s="1"/>
      <c r="M652" s="1"/>
      <c r="N652" s="1"/>
      <c r="O652" s="1"/>
      <c r="P652" s="1"/>
      <c r="Q652" s="13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31"/>
      <c r="F653" s="131"/>
      <c r="G653" s="131"/>
      <c r="H653" s="1"/>
      <c r="I653" s="1"/>
      <c r="J653" s="1"/>
      <c r="K653" s="1"/>
      <c r="L653" s="1"/>
      <c r="M653" s="1"/>
      <c r="N653" s="1"/>
      <c r="O653" s="1"/>
      <c r="P653" s="1"/>
      <c r="Q653" s="13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31"/>
      <c r="F654" s="131"/>
      <c r="G654" s="131"/>
      <c r="H654" s="1"/>
      <c r="I654" s="1"/>
      <c r="J654" s="1"/>
      <c r="K654" s="1"/>
      <c r="L654" s="1"/>
      <c r="M654" s="1"/>
      <c r="N654" s="1"/>
      <c r="O654" s="1"/>
      <c r="P654" s="1"/>
      <c r="Q654" s="13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31"/>
      <c r="F655" s="131"/>
      <c r="G655" s="131"/>
      <c r="H655" s="1"/>
      <c r="I655" s="1"/>
      <c r="J655" s="1"/>
      <c r="K655" s="1"/>
      <c r="L655" s="1"/>
      <c r="M655" s="1"/>
      <c r="N655" s="1"/>
      <c r="O655" s="1"/>
      <c r="P655" s="1"/>
      <c r="Q655" s="13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31"/>
      <c r="F656" s="131"/>
      <c r="G656" s="131"/>
      <c r="H656" s="1"/>
      <c r="I656" s="1"/>
      <c r="J656" s="1"/>
      <c r="K656" s="1"/>
      <c r="L656" s="1"/>
      <c r="M656" s="1"/>
      <c r="N656" s="1"/>
      <c r="O656" s="1"/>
      <c r="P656" s="1"/>
      <c r="Q656" s="13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31"/>
      <c r="F657" s="131"/>
      <c r="G657" s="131"/>
      <c r="H657" s="1"/>
      <c r="I657" s="1"/>
      <c r="J657" s="1"/>
      <c r="K657" s="1"/>
      <c r="L657" s="1"/>
      <c r="M657" s="1"/>
      <c r="N657" s="1"/>
      <c r="O657" s="1"/>
      <c r="P657" s="1"/>
      <c r="Q657" s="13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31"/>
      <c r="F658" s="131"/>
      <c r="G658" s="131"/>
      <c r="H658" s="1"/>
      <c r="I658" s="1"/>
      <c r="J658" s="1"/>
      <c r="K658" s="1"/>
      <c r="L658" s="1"/>
      <c r="M658" s="1"/>
      <c r="N658" s="1"/>
      <c r="O658" s="1"/>
      <c r="P658" s="1"/>
      <c r="Q658" s="13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31"/>
      <c r="F659" s="131"/>
      <c r="G659" s="131"/>
      <c r="H659" s="1"/>
      <c r="I659" s="1"/>
      <c r="J659" s="1"/>
      <c r="K659" s="1"/>
      <c r="L659" s="1"/>
      <c r="M659" s="1"/>
      <c r="N659" s="1"/>
      <c r="O659" s="1"/>
      <c r="P659" s="1"/>
      <c r="Q659" s="13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31"/>
      <c r="F660" s="131"/>
      <c r="G660" s="131"/>
      <c r="H660" s="1"/>
      <c r="I660" s="1"/>
      <c r="J660" s="1"/>
      <c r="K660" s="1"/>
      <c r="L660" s="1"/>
      <c r="M660" s="1"/>
      <c r="N660" s="1"/>
      <c r="O660" s="1"/>
      <c r="P660" s="1"/>
      <c r="Q660" s="13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31"/>
      <c r="F661" s="131"/>
      <c r="G661" s="131"/>
      <c r="H661" s="1"/>
      <c r="I661" s="1"/>
      <c r="J661" s="1"/>
      <c r="K661" s="1"/>
      <c r="L661" s="1"/>
      <c r="M661" s="1"/>
      <c r="N661" s="1"/>
      <c r="O661" s="1"/>
      <c r="P661" s="1"/>
      <c r="Q661" s="13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31"/>
      <c r="F662" s="131"/>
      <c r="G662" s="131"/>
      <c r="H662" s="1"/>
      <c r="I662" s="1"/>
      <c r="J662" s="1"/>
      <c r="K662" s="1"/>
      <c r="L662" s="1"/>
      <c r="M662" s="1"/>
      <c r="N662" s="1"/>
      <c r="O662" s="1"/>
      <c r="P662" s="1"/>
      <c r="Q662" s="13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31"/>
      <c r="F663" s="131"/>
      <c r="G663" s="131"/>
      <c r="H663" s="1"/>
      <c r="I663" s="1"/>
      <c r="J663" s="1"/>
      <c r="K663" s="1"/>
      <c r="L663" s="1"/>
      <c r="M663" s="1"/>
      <c r="N663" s="1"/>
      <c r="O663" s="1"/>
      <c r="P663" s="1"/>
      <c r="Q663" s="13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31"/>
      <c r="F664" s="131"/>
      <c r="G664" s="131"/>
      <c r="H664" s="1"/>
      <c r="I664" s="1"/>
      <c r="J664" s="1"/>
      <c r="K664" s="1"/>
      <c r="L664" s="1"/>
      <c r="M664" s="1"/>
      <c r="N664" s="1"/>
      <c r="O664" s="1"/>
      <c r="P664" s="1"/>
      <c r="Q664" s="13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31"/>
      <c r="F665" s="131"/>
      <c r="G665" s="131"/>
      <c r="H665" s="1"/>
      <c r="I665" s="1"/>
      <c r="J665" s="1"/>
      <c r="K665" s="1"/>
      <c r="L665" s="1"/>
      <c r="M665" s="1"/>
      <c r="N665" s="1"/>
      <c r="O665" s="1"/>
      <c r="P665" s="1"/>
      <c r="Q665" s="13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31"/>
      <c r="F666" s="131"/>
      <c r="G666" s="131"/>
      <c r="H666" s="1"/>
      <c r="I666" s="1"/>
      <c r="J666" s="1"/>
      <c r="K666" s="1"/>
      <c r="L666" s="1"/>
      <c r="M666" s="1"/>
      <c r="N666" s="1"/>
      <c r="O666" s="1"/>
      <c r="P666" s="1"/>
      <c r="Q666" s="13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31"/>
      <c r="F667" s="131"/>
      <c r="G667" s="131"/>
      <c r="H667" s="1"/>
      <c r="I667" s="1"/>
      <c r="J667" s="1"/>
      <c r="K667" s="1"/>
      <c r="L667" s="1"/>
      <c r="M667" s="1"/>
      <c r="N667" s="1"/>
      <c r="O667" s="1"/>
      <c r="P667" s="1"/>
      <c r="Q667" s="13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31"/>
      <c r="F668" s="131"/>
      <c r="G668" s="131"/>
      <c r="H668" s="1"/>
      <c r="I668" s="1"/>
      <c r="J668" s="1"/>
      <c r="K668" s="1"/>
      <c r="L668" s="1"/>
      <c r="M668" s="1"/>
      <c r="N668" s="1"/>
      <c r="O668" s="1"/>
      <c r="P668" s="1"/>
      <c r="Q668" s="13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31"/>
      <c r="F669" s="131"/>
      <c r="G669" s="131"/>
      <c r="H669" s="1"/>
      <c r="I669" s="1"/>
      <c r="J669" s="1"/>
      <c r="K669" s="1"/>
      <c r="L669" s="1"/>
      <c r="M669" s="1"/>
      <c r="N669" s="1"/>
      <c r="O669" s="1"/>
      <c r="P669" s="1"/>
      <c r="Q669" s="13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31"/>
      <c r="F670" s="131"/>
      <c r="G670" s="131"/>
      <c r="H670" s="1"/>
      <c r="I670" s="1"/>
      <c r="J670" s="1"/>
      <c r="K670" s="1"/>
      <c r="L670" s="1"/>
      <c r="M670" s="1"/>
      <c r="N670" s="1"/>
      <c r="O670" s="1"/>
      <c r="P670" s="1"/>
      <c r="Q670" s="13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31"/>
      <c r="F671" s="131"/>
      <c r="G671" s="131"/>
      <c r="H671" s="1"/>
      <c r="I671" s="1"/>
      <c r="J671" s="1"/>
      <c r="K671" s="1"/>
      <c r="L671" s="1"/>
      <c r="M671" s="1"/>
      <c r="N671" s="1"/>
      <c r="O671" s="1"/>
      <c r="P671" s="1"/>
      <c r="Q671" s="13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31"/>
      <c r="F672" s="131"/>
      <c r="G672" s="131"/>
      <c r="H672" s="1"/>
      <c r="I672" s="1"/>
      <c r="J672" s="1"/>
      <c r="K672" s="1"/>
      <c r="L672" s="1"/>
      <c r="M672" s="1"/>
      <c r="N672" s="1"/>
      <c r="O672" s="1"/>
      <c r="P672" s="1"/>
      <c r="Q672" s="13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31"/>
      <c r="F673" s="131"/>
      <c r="G673" s="131"/>
      <c r="H673" s="1"/>
      <c r="I673" s="1"/>
      <c r="J673" s="1"/>
      <c r="K673" s="1"/>
      <c r="L673" s="1"/>
      <c r="M673" s="1"/>
      <c r="N673" s="1"/>
      <c r="O673" s="1"/>
      <c r="P673" s="1"/>
      <c r="Q673" s="13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31"/>
      <c r="F674" s="131"/>
      <c r="G674" s="131"/>
      <c r="H674" s="1"/>
      <c r="I674" s="1"/>
      <c r="J674" s="1"/>
      <c r="K674" s="1"/>
      <c r="L674" s="1"/>
      <c r="M674" s="1"/>
      <c r="N674" s="1"/>
      <c r="O674" s="1"/>
      <c r="P674" s="1"/>
      <c r="Q674" s="13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31"/>
      <c r="F675" s="131"/>
      <c r="G675" s="131"/>
      <c r="H675" s="1"/>
      <c r="I675" s="1"/>
      <c r="J675" s="1"/>
      <c r="K675" s="1"/>
      <c r="L675" s="1"/>
      <c r="M675" s="1"/>
      <c r="N675" s="1"/>
      <c r="O675" s="1"/>
      <c r="P675" s="1"/>
      <c r="Q675" s="13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31"/>
      <c r="F676" s="131"/>
      <c r="G676" s="131"/>
      <c r="H676" s="1"/>
      <c r="I676" s="1"/>
      <c r="J676" s="1"/>
      <c r="K676" s="1"/>
      <c r="L676" s="1"/>
      <c r="M676" s="1"/>
      <c r="N676" s="1"/>
      <c r="O676" s="1"/>
      <c r="P676" s="1"/>
      <c r="Q676" s="13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31"/>
      <c r="F677" s="131"/>
      <c r="G677" s="131"/>
      <c r="H677" s="1"/>
      <c r="I677" s="1"/>
      <c r="J677" s="1"/>
      <c r="K677" s="1"/>
      <c r="L677" s="1"/>
      <c r="M677" s="1"/>
      <c r="N677" s="1"/>
      <c r="O677" s="1"/>
      <c r="P677" s="1"/>
      <c r="Q677" s="13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31"/>
      <c r="F678" s="131"/>
      <c r="G678" s="131"/>
      <c r="H678" s="1"/>
      <c r="I678" s="1"/>
      <c r="J678" s="1"/>
      <c r="K678" s="1"/>
      <c r="L678" s="1"/>
      <c r="M678" s="1"/>
      <c r="N678" s="1"/>
      <c r="O678" s="1"/>
      <c r="P678" s="1"/>
      <c r="Q678" s="13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31"/>
      <c r="F679" s="131"/>
      <c r="G679" s="131"/>
      <c r="H679" s="1"/>
      <c r="I679" s="1"/>
      <c r="J679" s="1"/>
      <c r="K679" s="1"/>
      <c r="L679" s="1"/>
      <c r="M679" s="1"/>
      <c r="N679" s="1"/>
      <c r="O679" s="1"/>
      <c r="P679" s="1"/>
      <c r="Q679" s="13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31"/>
      <c r="F680" s="131"/>
      <c r="G680" s="131"/>
      <c r="H680" s="1"/>
      <c r="I680" s="1"/>
      <c r="J680" s="1"/>
      <c r="K680" s="1"/>
      <c r="L680" s="1"/>
      <c r="M680" s="1"/>
      <c r="N680" s="1"/>
      <c r="O680" s="1"/>
      <c r="P680" s="1"/>
      <c r="Q680" s="13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31"/>
      <c r="F681" s="131"/>
      <c r="G681" s="131"/>
      <c r="H681" s="1"/>
      <c r="I681" s="1"/>
      <c r="J681" s="1"/>
      <c r="K681" s="1"/>
      <c r="L681" s="1"/>
      <c r="M681" s="1"/>
      <c r="N681" s="1"/>
      <c r="O681" s="1"/>
      <c r="P681" s="1"/>
      <c r="Q681" s="13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31"/>
      <c r="F682" s="131"/>
      <c r="G682" s="131"/>
      <c r="H682" s="1"/>
      <c r="I682" s="1"/>
      <c r="J682" s="1"/>
      <c r="K682" s="1"/>
      <c r="L682" s="1"/>
      <c r="M682" s="1"/>
      <c r="N682" s="1"/>
      <c r="O682" s="1"/>
      <c r="P682" s="1"/>
      <c r="Q682" s="13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31"/>
      <c r="F683" s="131"/>
      <c r="G683" s="131"/>
      <c r="H683" s="1"/>
      <c r="I683" s="1"/>
      <c r="J683" s="1"/>
      <c r="K683" s="1"/>
      <c r="L683" s="1"/>
      <c r="M683" s="1"/>
      <c r="N683" s="1"/>
      <c r="O683" s="1"/>
      <c r="P683" s="1"/>
      <c r="Q683" s="13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31"/>
      <c r="F684" s="131"/>
      <c r="G684" s="131"/>
      <c r="H684" s="1"/>
      <c r="I684" s="1"/>
      <c r="J684" s="1"/>
      <c r="K684" s="1"/>
      <c r="L684" s="1"/>
      <c r="M684" s="1"/>
      <c r="N684" s="1"/>
      <c r="O684" s="1"/>
      <c r="P684" s="1"/>
      <c r="Q684" s="13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31"/>
      <c r="F685" s="131"/>
      <c r="G685" s="131"/>
      <c r="H685" s="1"/>
      <c r="I685" s="1"/>
      <c r="J685" s="1"/>
      <c r="K685" s="1"/>
      <c r="L685" s="1"/>
      <c r="M685" s="1"/>
      <c r="N685" s="1"/>
      <c r="O685" s="1"/>
      <c r="P685" s="1"/>
      <c r="Q685" s="13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31"/>
      <c r="F686" s="131"/>
      <c r="G686" s="131"/>
      <c r="H686" s="1"/>
      <c r="I686" s="1"/>
      <c r="J686" s="1"/>
      <c r="K686" s="1"/>
      <c r="L686" s="1"/>
      <c r="M686" s="1"/>
      <c r="N686" s="1"/>
      <c r="O686" s="1"/>
      <c r="P686" s="1"/>
      <c r="Q686" s="13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31"/>
      <c r="F687" s="131"/>
      <c r="G687" s="131"/>
      <c r="H687" s="1"/>
      <c r="I687" s="1"/>
      <c r="J687" s="1"/>
      <c r="K687" s="1"/>
      <c r="L687" s="1"/>
      <c r="M687" s="1"/>
      <c r="N687" s="1"/>
      <c r="O687" s="1"/>
      <c r="P687" s="1"/>
      <c r="Q687" s="13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31"/>
      <c r="F688" s="131"/>
      <c r="G688" s="131"/>
      <c r="H688" s="1"/>
      <c r="I688" s="1"/>
      <c r="J688" s="1"/>
      <c r="K688" s="1"/>
      <c r="L688" s="1"/>
      <c r="M688" s="1"/>
      <c r="N688" s="1"/>
      <c r="O688" s="1"/>
      <c r="P688" s="1"/>
      <c r="Q688" s="13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31"/>
      <c r="F689" s="131"/>
      <c r="G689" s="131"/>
      <c r="H689" s="1"/>
      <c r="I689" s="1"/>
      <c r="J689" s="1"/>
      <c r="K689" s="1"/>
      <c r="L689" s="1"/>
      <c r="M689" s="1"/>
      <c r="N689" s="1"/>
      <c r="O689" s="1"/>
      <c r="P689" s="1"/>
      <c r="Q689" s="13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31"/>
      <c r="F690" s="131"/>
      <c r="G690" s="131"/>
      <c r="H690" s="1"/>
      <c r="I690" s="1"/>
      <c r="J690" s="1"/>
      <c r="K690" s="1"/>
      <c r="L690" s="1"/>
      <c r="M690" s="1"/>
      <c r="N690" s="1"/>
      <c r="O690" s="1"/>
      <c r="P690" s="1"/>
      <c r="Q690" s="13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31"/>
      <c r="F691" s="131"/>
      <c r="G691" s="131"/>
      <c r="H691" s="1"/>
      <c r="I691" s="1"/>
      <c r="J691" s="1"/>
      <c r="K691" s="1"/>
      <c r="L691" s="1"/>
      <c r="M691" s="1"/>
      <c r="N691" s="1"/>
      <c r="O691" s="1"/>
      <c r="P691" s="1"/>
      <c r="Q691" s="13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31"/>
      <c r="F692" s="131"/>
      <c r="G692" s="131"/>
      <c r="H692" s="1"/>
      <c r="I692" s="1"/>
      <c r="J692" s="1"/>
      <c r="K692" s="1"/>
      <c r="L692" s="1"/>
      <c r="M692" s="1"/>
      <c r="N692" s="1"/>
      <c r="O692" s="1"/>
      <c r="P692" s="1"/>
      <c r="Q692" s="13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31"/>
      <c r="F693" s="131"/>
      <c r="G693" s="131"/>
      <c r="H693" s="1"/>
      <c r="I693" s="1"/>
      <c r="J693" s="1"/>
      <c r="K693" s="1"/>
      <c r="L693" s="1"/>
      <c r="M693" s="1"/>
      <c r="N693" s="1"/>
      <c r="O693" s="1"/>
      <c r="P693" s="1"/>
      <c r="Q693" s="13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31"/>
      <c r="F694" s="131"/>
      <c r="G694" s="131"/>
      <c r="H694" s="1"/>
      <c r="I694" s="1"/>
      <c r="J694" s="1"/>
      <c r="K694" s="1"/>
      <c r="L694" s="1"/>
      <c r="M694" s="1"/>
      <c r="N694" s="1"/>
      <c r="O694" s="1"/>
      <c r="P694" s="1"/>
      <c r="Q694" s="13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31"/>
      <c r="F695" s="131"/>
      <c r="G695" s="131"/>
      <c r="H695" s="1"/>
      <c r="I695" s="1"/>
      <c r="J695" s="1"/>
      <c r="K695" s="1"/>
      <c r="L695" s="1"/>
      <c r="M695" s="1"/>
      <c r="N695" s="1"/>
      <c r="O695" s="1"/>
      <c r="P695" s="1"/>
      <c r="Q695" s="13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31"/>
      <c r="F696" s="131"/>
      <c r="G696" s="131"/>
      <c r="H696" s="1"/>
      <c r="I696" s="1"/>
      <c r="J696" s="1"/>
      <c r="K696" s="1"/>
      <c r="L696" s="1"/>
      <c r="M696" s="1"/>
      <c r="N696" s="1"/>
      <c r="O696" s="1"/>
      <c r="P696" s="1"/>
      <c r="Q696" s="13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31"/>
      <c r="F697" s="131"/>
      <c r="G697" s="131"/>
      <c r="H697" s="1"/>
      <c r="I697" s="1"/>
      <c r="J697" s="1"/>
      <c r="K697" s="1"/>
      <c r="L697" s="1"/>
      <c r="M697" s="1"/>
      <c r="N697" s="1"/>
      <c r="O697" s="1"/>
      <c r="P697" s="1"/>
      <c r="Q697" s="13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31"/>
      <c r="F698" s="131"/>
      <c r="G698" s="131"/>
      <c r="H698" s="1"/>
      <c r="I698" s="1"/>
      <c r="J698" s="1"/>
      <c r="K698" s="1"/>
      <c r="L698" s="1"/>
      <c r="M698" s="1"/>
      <c r="N698" s="1"/>
      <c r="O698" s="1"/>
      <c r="P698" s="1"/>
      <c r="Q698" s="13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31"/>
      <c r="F699" s="131"/>
      <c r="G699" s="131"/>
      <c r="H699" s="1"/>
      <c r="I699" s="1"/>
      <c r="J699" s="1"/>
      <c r="K699" s="1"/>
      <c r="L699" s="1"/>
      <c r="M699" s="1"/>
      <c r="N699" s="1"/>
      <c r="O699" s="1"/>
      <c r="P699" s="1"/>
      <c r="Q699" s="13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31"/>
      <c r="F700" s="131"/>
      <c r="G700" s="131"/>
      <c r="H700" s="1"/>
      <c r="I700" s="1"/>
      <c r="J700" s="1"/>
      <c r="K700" s="1"/>
      <c r="L700" s="1"/>
      <c r="M700" s="1"/>
      <c r="N700" s="1"/>
      <c r="O700" s="1"/>
      <c r="P700" s="1"/>
      <c r="Q700" s="13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31"/>
      <c r="F701" s="131"/>
      <c r="G701" s="131"/>
      <c r="H701" s="1"/>
      <c r="I701" s="1"/>
      <c r="J701" s="1"/>
      <c r="K701" s="1"/>
      <c r="L701" s="1"/>
      <c r="M701" s="1"/>
      <c r="N701" s="1"/>
      <c r="O701" s="1"/>
      <c r="P701" s="1"/>
      <c r="Q701" s="13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31"/>
      <c r="F702" s="131"/>
      <c r="G702" s="131"/>
      <c r="H702" s="1"/>
      <c r="I702" s="1"/>
      <c r="J702" s="1"/>
      <c r="K702" s="1"/>
      <c r="L702" s="1"/>
      <c r="M702" s="1"/>
      <c r="N702" s="1"/>
      <c r="O702" s="1"/>
      <c r="P702" s="1"/>
      <c r="Q702" s="13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31"/>
      <c r="F703" s="131"/>
      <c r="G703" s="131"/>
      <c r="H703" s="1"/>
      <c r="I703" s="1"/>
      <c r="J703" s="1"/>
      <c r="K703" s="1"/>
      <c r="L703" s="1"/>
      <c r="M703" s="1"/>
      <c r="N703" s="1"/>
      <c r="O703" s="1"/>
      <c r="P703" s="1"/>
      <c r="Q703" s="13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31"/>
      <c r="F704" s="131"/>
      <c r="G704" s="131"/>
      <c r="H704" s="1"/>
      <c r="I704" s="1"/>
      <c r="J704" s="1"/>
      <c r="K704" s="1"/>
      <c r="L704" s="1"/>
      <c r="M704" s="1"/>
      <c r="N704" s="1"/>
      <c r="O704" s="1"/>
      <c r="P704" s="1"/>
      <c r="Q704" s="13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31"/>
      <c r="F705" s="131"/>
      <c r="G705" s="131"/>
      <c r="H705" s="1"/>
      <c r="I705" s="1"/>
      <c r="J705" s="1"/>
      <c r="K705" s="1"/>
      <c r="L705" s="1"/>
      <c r="M705" s="1"/>
      <c r="N705" s="1"/>
      <c r="O705" s="1"/>
      <c r="P705" s="1"/>
      <c r="Q705" s="13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31"/>
      <c r="F706" s="131"/>
      <c r="G706" s="131"/>
      <c r="H706" s="1"/>
      <c r="I706" s="1"/>
      <c r="J706" s="1"/>
      <c r="K706" s="1"/>
      <c r="L706" s="1"/>
      <c r="M706" s="1"/>
      <c r="N706" s="1"/>
      <c r="O706" s="1"/>
      <c r="P706" s="1"/>
      <c r="Q706" s="13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31"/>
      <c r="F707" s="131"/>
      <c r="G707" s="131"/>
      <c r="H707" s="1"/>
      <c r="I707" s="1"/>
      <c r="J707" s="1"/>
      <c r="K707" s="1"/>
      <c r="L707" s="1"/>
      <c r="M707" s="1"/>
      <c r="N707" s="1"/>
      <c r="O707" s="1"/>
      <c r="P707" s="1"/>
      <c r="Q707" s="13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31"/>
      <c r="F708" s="131"/>
      <c r="G708" s="131"/>
      <c r="H708" s="1"/>
      <c r="I708" s="1"/>
      <c r="J708" s="1"/>
      <c r="K708" s="1"/>
      <c r="L708" s="1"/>
      <c r="M708" s="1"/>
      <c r="N708" s="1"/>
      <c r="O708" s="1"/>
      <c r="P708" s="1"/>
      <c r="Q708" s="13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31"/>
      <c r="F709" s="131"/>
      <c r="G709" s="131"/>
      <c r="H709" s="1"/>
      <c r="I709" s="1"/>
      <c r="J709" s="1"/>
      <c r="K709" s="1"/>
      <c r="L709" s="1"/>
      <c r="M709" s="1"/>
      <c r="N709" s="1"/>
      <c r="O709" s="1"/>
      <c r="P709" s="1"/>
      <c r="Q709" s="13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31"/>
      <c r="F710" s="131"/>
      <c r="G710" s="131"/>
      <c r="H710" s="1"/>
      <c r="I710" s="1"/>
      <c r="J710" s="1"/>
      <c r="K710" s="1"/>
      <c r="L710" s="1"/>
      <c r="M710" s="1"/>
      <c r="N710" s="1"/>
      <c r="O710" s="1"/>
      <c r="P710" s="1"/>
      <c r="Q710" s="13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31"/>
      <c r="F711" s="131"/>
      <c r="G711" s="131"/>
      <c r="H711" s="1"/>
      <c r="I711" s="1"/>
      <c r="J711" s="1"/>
      <c r="K711" s="1"/>
      <c r="L711" s="1"/>
      <c r="M711" s="1"/>
      <c r="N711" s="1"/>
      <c r="O711" s="1"/>
      <c r="P711" s="1"/>
      <c r="Q711" s="13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31"/>
      <c r="F712" s="131"/>
      <c r="G712" s="131"/>
      <c r="H712" s="1"/>
      <c r="I712" s="1"/>
      <c r="J712" s="1"/>
      <c r="K712" s="1"/>
      <c r="L712" s="1"/>
      <c r="M712" s="1"/>
      <c r="N712" s="1"/>
      <c r="O712" s="1"/>
      <c r="P712" s="1"/>
      <c r="Q712" s="13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31"/>
      <c r="F713" s="131"/>
      <c r="G713" s="131"/>
      <c r="H713" s="1"/>
      <c r="I713" s="1"/>
      <c r="J713" s="1"/>
      <c r="K713" s="1"/>
      <c r="L713" s="1"/>
      <c r="M713" s="1"/>
      <c r="N713" s="1"/>
      <c r="O713" s="1"/>
      <c r="P713" s="1"/>
      <c r="Q713" s="13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31"/>
      <c r="F714" s="131"/>
      <c r="G714" s="131"/>
      <c r="H714" s="1"/>
      <c r="I714" s="1"/>
      <c r="J714" s="1"/>
      <c r="K714" s="1"/>
      <c r="L714" s="1"/>
      <c r="M714" s="1"/>
      <c r="N714" s="1"/>
      <c r="O714" s="1"/>
      <c r="P714" s="1"/>
      <c r="Q714" s="13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31"/>
      <c r="F715" s="131"/>
      <c r="G715" s="131"/>
      <c r="H715" s="1"/>
      <c r="I715" s="1"/>
      <c r="J715" s="1"/>
      <c r="K715" s="1"/>
      <c r="L715" s="1"/>
      <c r="M715" s="1"/>
      <c r="N715" s="1"/>
      <c r="O715" s="1"/>
      <c r="P715" s="1"/>
      <c r="Q715" s="13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31"/>
      <c r="F716" s="131"/>
      <c r="G716" s="131"/>
      <c r="H716" s="1"/>
      <c r="I716" s="1"/>
      <c r="J716" s="1"/>
      <c r="K716" s="1"/>
      <c r="L716" s="1"/>
      <c r="M716" s="1"/>
      <c r="N716" s="1"/>
      <c r="O716" s="1"/>
      <c r="P716" s="1"/>
      <c r="Q716" s="13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31"/>
      <c r="F717" s="131"/>
      <c r="G717" s="131"/>
      <c r="H717" s="1"/>
      <c r="I717" s="1"/>
      <c r="J717" s="1"/>
      <c r="K717" s="1"/>
      <c r="L717" s="1"/>
      <c r="M717" s="1"/>
      <c r="N717" s="1"/>
      <c r="O717" s="1"/>
      <c r="P717" s="1"/>
      <c r="Q717" s="13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31"/>
      <c r="F718" s="131"/>
      <c r="G718" s="131"/>
      <c r="H718" s="1"/>
      <c r="I718" s="1"/>
      <c r="J718" s="1"/>
      <c r="K718" s="1"/>
      <c r="L718" s="1"/>
      <c r="M718" s="1"/>
      <c r="N718" s="1"/>
      <c r="O718" s="1"/>
      <c r="P718" s="1"/>
      <c r="Q718" s="13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31"/>
      <c r="F719" s="131"/>
      <c r="G719" s="131"/>
      <c r="H719" s="1"/>
      <c r="I719" s="1"/>
      <c r="J719" s="1"/>
      <c r="K719" s="1"/>
      <c r="L719" s="1"/>
      <c r="M719" s="1"/>
      <c r="N719" s="1"/>
      <c r="O719" s="1"/>
      <c r="P719" s="1"/>
      <c r="Q719" s="13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31"/>
      <c r="F720" s="131"/>
      <c r="G720" s="131"/>
      <c r="H720" s="1"/>
      <c r="I720" s="1"/>
      <c r="J720" s="1"/>
      <c r="K720" s="1"/>
      <c r="L720" s="1"/>
      <c r="M720" s="1"/>
      <c r="N720" s="1"/>
      <c r="O720" s="1"/>
      <c r="P720" s="1"/>
      <c r="Q720" s="13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31"/>
      <c r="F721" s="131"/>
      <c r="G721" s="131"/>
      <c r="H721" s="1"/>
      <c r="I721" s="1"/>
      <c r="J721" s="1"/>
      <c r="K721" s="1"/>
      <c r="L721" s="1"/>
      <c r="M721" s="1"/>
      <c r="N721" s="1"/>
      <c r="O721" s="1"/>
      <c r="P721" s="1"/>
      <c r="Q721" s="13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31"/>
      <c r="F722" s="131"/>
      <c r="G722" s="131"/>
      <c r="H722" s="1"/>
      <c r="I722" s="1"/>
      <c r="J722" s="1"/>
      <c r="K722" s="1"/>
      <c r="L722" s="1"/>
      <c r="M722" s="1"/>
      <c r="N722" s="1"/>
      <c r="O722" s="1"/>
      <c r="P722" s="1"/>
      <c r="Q722" s="13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31"/>
      <c r="F723" s="131"/>
      <c r="G723" s="131"/>
      <c r="H723" s="1"/>
      <c r="I723" s="1"/>
      <c r="J723" s="1"/>
      <c r="K723" s="1"/>
      <c r="L723" s="1"/>
      <c r="M723" s="1"/>
      <c r="N723" s="1"/>
      <c r="O723" s="1"/>
      <c r="P723" s="1"/>
      <c r="Q723" s="13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31"/>
      <c r="F724" s="131"/>
      <c r="G724" s="131"/>
      <c r="H724" s="1"/>
      <c r="I724" s="1"/>
      <c r="J724" s="1"/>
      <c r="K724" s="1"/>
      <c r="L724" s="1"/>
      <c r="M724" s="1"/>
      <c r="N724" s="1"/>
      <c r="O724" s="1"/>
      <c r="P724" s="1"/>
      <c r="Q724" s="13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31"/>
      <c r="F725" s="131"/>
      <c r="G725" s="131"/>
      <c r="H725" s="1"/>
      <c r="I725" s="1"/>
      <c r="J725" s="1"/>
      <c r="K725" s="1"/>
      <c r="L725" s="1"/>
      <c r="M725" s="1"/>
      <c r="N725" s="1"/>
      <c r="O725" s="1"/>
      <c r="P725" s="1"/>
      <c r="Q725" s="13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31"/>
      <c r="F726" s="131"/>
      <c r="G726" s="131"/>
      <c r="H726" s="1"/>
      <c r="I726" s="1"/>
      <c r="J726" s="1"/>
      <c r="K726" s="1"/>
      <c r="L726" s="1"/>
      <c r="M726" s="1"/>
      <c r="N726" s="1"/>
      <c r="O726" s="1"/>
      <c r="P726" s="1"/>
      <c r="Q726" s="13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31"/>
      <c r="F727" s="131"/>
      <c r="G727" s="131"/>
      <c r="H727" s="1"/>
      <c r="I727" s="1"/>
      <c r="J727" s="1"/>
      <c r="K727" s="1"/>
      <c r="L727" s="1"/>
      <c r="M727" s="1"/>
      <c r="N727" s="1"/>
      <c r="O727" s="1"/>
      <c r="P727" s="1"/>
      <c r="Q727" s="13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31"/>
      <c r="F728" s="131"/>
      <c r="G728" s="131"/>
      <c r="H728" s="1"/>
      <c r="I728" s="1"/>
      <c r="J728" s="1"/>
      <c r="K728" s="1"/>
      <c r="L728" s="1"/>
      <c r="M728" s="1"/>
      <c r="N728" s="1"/>
      <c r="O728" s="1"/>
      <c r="P728" s="1"/>
      <c r="Q728" s="13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31"/>
      <c r="F729" s="131"/>
      <c r="G729" s="131"/>
      <c r="H729" s="1"/>
      <c r="I729" s="1"/>
      <c r="J729" s="1"/>
      <c r="K729" s="1"/>
      <c r="L729" s="1"/>
      <c r="M729" s="1"/>
      <c r="N729" s="1"/>
      <c r="O729" s="1"/>
      <c r="P729" s="1"/>
      <c r="Q729" s="13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31"/>
      <c r="F730" s="131"/>
      <c r="G730" s="131"/>
      <c r="H730" s="1"/>
      <c r="I730" s="1"/>
      <c r="J730" s="1"/>
      <c r="K730" s="1"/>
      <c r="L730" s="1"/>
      <c r="M730" s="1"/>
      <c r="N730" s="1"/>
      <c r="O730" s="1"/>
      <c r="P730" s="1"/>
      <c r="Q730" s="13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31"/>
      <c r="F731" s="131"/>
      <c r="G731" s="131"/>
      <c r="H731" s="1"/>
      <c r="I731" s="1"/>
      <c r="J731" s="1"/>
      <c r="K731" s="1"/>
      <c r="L731" s="1"/>
      <c r="M731" s="1"/>
      <c r="N731" s="1"/>
      <c r="O731" s="1"/>
      <c r="P731" s="1"/>
      <c r="Q731" s="13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31"/>
      <c r="F732" s="131"/>
      <c r="G732" s="131"/>
      <c r="H732" s="1"/>
      <c r="I732" s="1"/>
      <c r="J732" s="1"/>
      <c r="K732" s="1"/>
      <c r="L732" s="1"/>
      <c r="M732" s="1"/>
      <c r="N732" s="1"/>
      <c r="O732" s="1"/>
      <c r="P732" s="1"/>
      <c r="Q732" s="13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31"/>
      <c r="F733" s="131"/>
      <c r="G733" s="131"/>
      <c r="H733" s="1"/>
      <c r="I733" s="1"/>
      <c r="J733" s="1"/>
      <c r="K733" s="1"/>
      <c r="L733" s="1"/>
      <c r="M733" s="1"/>
      <c r="N733" s="1"/>
      <c r="O733" s="1"/>
      <c r="P733" s="1"/>
      <c r="Q733" s="13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31"/>
      <c r="F734" s="131"/>
      <c r="G734" s="131"/>
      <c r="H734" s="1"/>
      <c r="I734" s="1"/>
      <c r="J734" s="1"/>
      <c r="K734" s="1"/>
      <c r="L734" s="1"/>
      <c r="M734" s="1"/>
      <c r="N734" s="1"/>
      <c r="O734" s="1"/>
      <c r="P734" s="1"/>
      <c r="Q734" s="13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31"/>
      <c r="F735" s="131"/>
      <c r="G735" s="131"/>
      <c r="H735" s="1"/>
      <c r="I735" s="1"/>
      <c r="J735" s="1"/>
      <c r="K735" s="1"/>
      <c r="L735" s="1"/>
      <c r="M735" s="1"/>
      <c r="N735" s="1"/>
      <c r="O735" s="1"/>
      <c r="P735" s="1"/>
      <c r="Q735" s="13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31"/>
      <c r="F736" s="131"/>
      <c r="G736" s="131"/>
      <c r="H736" s="1"/>
      <c r="I736" s="1"/>
      <c r="J736" s="1"/>
      <c r="K736" s="1"/>
      <c r="L736" s="1"/>
      <c r="M736" s="1"/>
      <c r="N736" s="1"/>
      <c r="O736" s="1"/>
      <c r="P736" s="1"/>
      <c r="Q736" s="13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31"/>
      <c r="F737" s="131"/>
      <c r="G737" s="131"/>
      <c r="H737" s="1"/>
      <c r="I737" s="1"/>
      <c r="J737" s="1"/>
      <c r="K737" s="1"/>
      <c r="L737" s="1"/>
      <c r="M737" s="1"/>
      <c r="N737" s="1"/>
      <c r="O737" s="1"/>
      <c r="P737" s="1"/>
      <c r="Q737" s="13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31"/>
      <c r="F738" s="131"/>
      <c r="G738" s="131"/>
      <c r="H738" s="1"/>
      <c r="I738" s="1"/>
      <c r="J738" s="1"/>
      <c r="K738" s="1"/>
      <c r="L738" s="1"/>
      <c r="M738" s="1"/>
      <c r="N738" s="1"/>
      <c r="O738" s="1"/>
      <c r="P738" s="1"/>
      <c r="Q738" s="13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31"/>
      <c r="F739" s="131"/>
      <c r="G739" s="131"/>
      <c r="H739" s="1"/>
      <c r="I739" s="1"/>
      <c r="J739" s="1"/>
      <c r="K739" s="1"/>
      <c r="L739" s="1"/>
      <c r="M739" s="1"/>
      <c r="N739" s="1"/>
      <c r="O739" s="1"/>
      <c r="P739" s="1"/>
      <c r="Q739" s="13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31"/>
      <c r="F740" s="131"/>
      <c r="G740" s="131"/>
      <c r="H740" s="1"/>
      <c r="I740" s="1"/>
      <c r="J740" s="1"/>
      <c r="K740" s="1"/>
      <c r="L740" s="1"/>
      <c r="M740" s="1"/>
      <c r="N740" s="1"/>
      <c r="O740" s="1"/>
      <c r="P740" s="1"/>
      <c r="Q740" s="13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31"/>
      <c r="F741" s="131"/>
      <c r="G741" s="131"/>
      <c r="H741" s="1"/>
      <c r="I741" s="1"/>
      <c r="J741" s="1"/>
      <c r="K741" s="1"/>
      <c r="L741" s="1"/>
      <c r="M741" s="1"/>
      <c r="N741" s="1"/>
      <c r="O741" s="1"/>
      <c r="P741" s="1"/>
      <c r="Q741" s="13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31"/>
      <c r="F742" s="131"/>
      <c r="G742" s="131"/>
      <c r="H742" s="1"/>
      <c r="I742" s="1"/>
      <c r="J742" s="1"/>
      <c r="K742" s="1"/>
      <c r="L742" s="1"/>
      <c r="M742" s="1"/>
      <c r="N742" s="1"/>
      <c r="O742" s="1"/>
      <c r="P742" s="1"/>
      <c r="Q742" s="13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31"/>
      <c r="F743" s="131"/>
      <c r="G743" s="131"/>
      <c r="H743" s="1"/>
      <c r="I743" s="1"/>
      <c r="J743" s="1"/>
      <c r="K743" s="1"/>
      <c r="L743" s="1"/>
      <c r="M743" s="1"/>
      <c r="N743" s="1"/>
      <c r="O743" s="1"/>
      <c r="P743" s="1"/>
      <c r="Q743" s="13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31"/>
      <c r="F744" s="131"/>
      <c r="G744" s="131"/>
      <c r="H744" s="1"/>
      <c r="I744" s="1"/>
      <c r="J744" s="1"/>
      <c r="K744" s="1"/>
      <c r="L744" s="1"/>
      <c r="M744" s="1"/>
      <c r="N744" s="1"/>
      <c r="O744" s="1"/>
      <c r="P744" s="1"/>
      <c r="Q744" s="13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31"/>
      <c r="F745" s="131"/>
      <c r="G745" s="131"/>
      <c r="H745" s="1"/>
      <c r="I745" s="1"/>
      <c r="J745" s="1"/>
      <c r="K745" s="1"/>
      <c r="L745" s="1"/>
      <c r="M745" s="1"/>
      <c r="N745" s="1"/>
      <c r="O745" s="1"/>
      <c r="P745" s="1"/>
      <c r="Q745" s="13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31"/>
      <c r="F746" s="131"/>
      <c r="G746" s="131"/>
      <c r="H746" s="1"/>
      <c r="I746" s="1"/>
      <c r="J746" s="1"/>
      <c r="K746" s="1"/>
      <c r="L746" s="1"/>
      <c r="M746" s="1"/>
      <c r="N746" s="1"/>
      <c r="O746" s="1"/>
      <c r="P746" s="1"/>
      <c r="Q746" s="13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31"/>
      <c r="F747" s="131"/>
      <c r="G747" s="131"/>
      <c r="H747" s="1"/>
      <c r="I747" s="1"/>
      <c r="J747" s="1"/>
      <c r="K747" s="1"/>
      <c r="L747" s="1"/>
      <c r="M747" s="1"/>
      <c r="N747" s="1"/>
      <c r="O747" s="1"/>
      <c r="P747" s="1"/>
      <c r="Q747" s="13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31"/>
      <c r="F748" s="131"/>
      <c r="G748" s="131"/>
      <c r="H748" s="1"/>
      <c r="I748" s="1"/>
      <c r="J748" s="1"/>
      <c r="K748" s="1"/>
      <c r="L748" s="1"/>
      <c r="M748" s="1"/>
      <c r="N748" s="1"/>
      <c r="O748" s="1"/>
      <c r="P748" s="1"/>
      <c r="Q748" s="13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31"/>
      <c r="F749" s="131"/>
      <c r="G749" s="131"/>
      <c r="H749" s="1"/>
      <c r="I749" s="1"/>
      <c r="J749" s="1"/>
      <c r="K749" s="1"/>
      <c r="L749" s="1"/>
      <c r="M749" s="1"/>
      <c r="N749" s="1"/>
      <c r="O749" s="1"/>
      <c r="P749" s="1"/>
      <c r="Q749" s="13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31"/>
      <c r="F750" s="131"/>
      <c r="G750" s="131"/>
      <c r="H750" s="1"/>
      <c r="I750" s="1"/>
      <c r="J750" s="1"/>
      <c r="K750" s="1"/>
      <c r="L750" s="1"/>
      <c r="M750" s="1"/>
      <c r="N750" s="1"/>
      <c r="O750" s="1"/>
      <c r="P750" s="1"/>
      <c r="Q750" s="13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31"/>
      <c r="F751" s="131"/>
      <c r="G751" s="131"/>
      <c r="H751" s="1"/>
      <c r="I751" s="1"/>
      <c r="J751" s="1"/>
      <c r="K751" s="1"/>
      <c r="L751" s="1"/>
      <c r="M751" s="1"/>
      <c r="N751" s="1"/>
      <c r="O751" s="1"/>
      <c r="P751" s="1"/>
      <c r="Q751" s="13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31"/>
      <c r="F752" s="131"/>
      <c r="G752" s="131"/>
      <c r="H752" s="1"/>
      <c r="I752" s="1"/>
      <c r="J752" s="1"/>
      <c r="K752" s="1"/>
      <c r="L752" s="1"/>
      <c r="M752" s="1"/>
      <c r="N752" s="1"/>
      <c r="O752" s="1"/>
      <c r="P752" s="1"/>
      <c r="Q752" s="13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31"/>
      <c r="F753" s="131"/>
      <c r="G753" s="131"/>
      <c r="H753" s="1"/>
      <c r="I753" s="1"/>
      <c r="J753" s="1"/>
      <c r="K753" s="1"/>
      <c r="L753" s="1"/>
      <c r="M753" s="1"/>
      <c r="N753" s="1"/>
      <c r="O753" s="1"/>
      <c r="P753" s="1"/>
      <c r="Q753" s="13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31"/>
      <c r="F754" s="131"/>
      <c r="G754" s="131"/>
      <c r="H754" s="1"/>
      <c r="I754" s="1"/>
      <c r="J754" s="1"/>
      <c r="K754" s="1"/>
      <c r="L754" s="1"/>
      <c r="M754" s="1"/>
      <c r="N754" s="1"/>
      <c r="O754" s="1"/>
      <c r="P754" s="1"/>
      <c r="Q754" s="13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31"/>
      <c r="F755" s="131"/>
      <c r="G755" s="131"/>
      <c r="H755" s="1"/>
      <c r="I755" s="1"/>
      <c r="J755" s="1"/>
      <c r="K755" s="1"/>
      <c r="L755" s="1"/>
      <c r="M755" s="1"/>
      <c r="N755" s="1"/>
      <c r="O755" s="1"/>
      <c r="P755" s="1"/>
      <c r="Q755" s="13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31"/>
      <c r="F756" s="131"/>
      <c r="G756" s="131"/>
      <c r="H756" s="1"/>
      <c r="I756" s="1"/>
      <c r="J756" s="1"/>
      <c r="K756" s="1"/>
      <c r="L756" s="1"/>
      <c r="M756" s="1"/>
      <c r="N756" s="1"/>
      <c r="O756" s="1"/>
      <c r="P756" s="1"/>
      <c r="Q756" s="13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31"/>
      <c r="F757" s="131"/>
      <c r="G757" s="131"/>
      <c r="H757" s="1"/>
      <c r="I757" s="1"/>
      <c r="J757" s="1"/>
      <c r="K757" s="1"/>
      <c r="L757" s="1"/>
      <c r="M757" s="1"/>
      <c r="N757" s="1"/>
      <c r="O757" s="1"/>
      <c r="P757" s="1"/>
      <c r="Q757" s="13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31"/>
      <c r="F758" s="131"/>
      <c r="G758" s="131"/>
      <c r="H758" s="1"/>
      <c r="I758" s="1"/>
      <c r="J758" s="1"/>
      <c r="K758" s="1"/>
      <c r="L758" s="1"/>
      <c r="M758" s="1"/>
      <c r="N758" s="1"/>
      <c r="O758" s="1"/>
      <c r="P758" s="1"/>
      <c r="Q758" s="13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31"/>
      <c r="F759" s="131"/>
      <c r="G759" s="131"/>
      <c r="H759" s="1"/>
      <c r="I759" s="1"/>
      <c r="J759" s="1"/>
      <c r="K759" s="1"/>
      <c r="L759" s="1"/>
      <c r="M759" s="1"/>
      <c r="N759" s="1"/>
      <c r="O759" s="1"/>
      <c r="P759" s="1"/>
      <c r="Q759" s="13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31"/>
      <c r="F760" s="131"/>
      <c r="G760" s="131"/>
      <c r="H760" s="1"/>
      <c r="I760" s="1"/>
      <c r="J760" s="1"/>
      <c r="K760" s="1"/>
      <c r="L760" s="1"/>
      <c r="M760" s="1"/>
      <c r="N760" s="1"/>
      <c r="O760" s="1"/>
      <c r="P760" s="1"/>
      <c r="Q760" s="13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31"/>
      <c r="F761" s="131"/>
      <c r="G761" s="131"/>
      <c r="H761" s="1"/>
      <c r="I761" s="1"/>
      <c r="J761" s="1"/>
      <c r="K761" s="1"/>
      <c r="L761" s="1"/>
      <c r="M761" s="1"/>
      <c r="N761" s="1"/>
      <c r="O761" s="1"/>
      <c r="P761" s="1"/>
      <c r="Q761" s="13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31"/>
      <c r="F762" s="131"/>
      <c r="G762" s="131"/>
      <c r="H762" s="1"/>
      <c r="I762" s="1"/>
      <c r="J762" s="1"/>
      <c r="K762" s="1"/>
      <c r="L762" s="1"/>
      <c r="M762" s="1"/>
      <c r="N762" s="1"/>
      <c r="O762" s="1"/>
      <c r="P762" s="1"/>
      <c r="Q762" s="13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31"/>
      <c r="F763" s="131"/>
      <c r="G763" s="131"/>
      <c r="H763" s="1"/>
      <c r="I763" s="1"/>
      <c r="J763" s="1"/>
      <c r="K763" s="1"/>
      <c r="L763" s="1"/>
      <c r="M763" s="1"/>
      <c r="N763" s="1"/>
      <c r="O763" s="1"/>
      <c r="P763" s="1"/>
      <c r="Q763" s="13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31"/>
      <c r="F764" s="131"/>
      <c r="G764" s="131"/>
      <c r="H764" s="1"/>
      <c r="I764" s="1"/>
      <c r="J764" s="1"/>
      <c r="K764" s="1"/>
      <c r="L764" s="1"/>
      <c r="M764" s="1"/>
      <c r="N764" s="1"/>
      <c r="O764" s="1"/>
      <c r="P764" s="1"/>
      <c r="Q764" s="13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31"/>
      <c r="F765" s="131"/>
      <c r="G765" s="131"/>
      <c r="H765" s="1"/>
      <c r="I765" s="1"/>
      <c r="J765" s="1"/>
      <c r="K765" s="1"/>
      <c r="L765" s="1"/>
      <c r="M765" s="1"/>
      <c r="N765" s="1"/>
      <c r="O765" s="1"/>
      <c r="P765" s="1"/>
      <c r="Q765" s="13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31"/>
      <c r="F766" s="131"/>
      <c r="G766" s="131"/>
      <c r="H766" s="1"/>
      <c r="I766" s="1"/>
      <c r="J766" s="1"/>
      <c r="K766" s="1"/>
      <c r="L766" s="1"/>
      <c r="M766" s="1"/>
      <c r="N766" s="1"/>
      <c r="O766" s="1"/>
      <c r="P766" s="1"/>
      <c r="Q766" s="13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31"/>
      <c r="F767" s="131"/>
      <c r="G767" s="131"/>
      <c r="H767" s="1"/>
      <c r="I767" s="1"/>
      <c r="J767" s="1"/>
      <c r="K767" s="1"/>
      <c r="L767" s="1"/>
      <c r="M767" s="1"/>
      <c r="N767" s="1"/>
      <c r="O767" s="1"/>
      <c r="P767" s="1"/>
      <c r="Q767" s="13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31"/>
      <c r="F768" s="131"/>
      <c r="G768" s="131"/>
      <c r="H768" s="1"/>
      <c r="I768" s="1"/>
      <c r="J768" s="1"/>
      <c r="K768" s="1"/>
      <c r="L768" s="1"/>
      <c r="M768" s="1"/>
      <c r="N768" s="1"/>
      <c r="O768" s="1"/>
      <c r="P768" s="1"/>
      <c r="Q768" s="13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31"/>
      <c r="F769" s="131"/>
      <c r="G769" s="131"/>
      <c r="H769" s="1"/>
      <c r="I769" s="1"/>
      <c r="J769" s="1"/>
      <c r="K769" s="1"/>
      <c r="L769" s="1"/>
      <c r="M769" s="1"/>
      <c r="N769" s="1"/>
      <c r="O769" s="1"/>
      <c r="P769" s="1"/>
      <c r="Q769" s="13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31"/>
      <c r="F770" s="131"/>
      <c r="G770" s="131"/>
      <c r="H770" s="1"/>
      <c r="I770" s="1"/>
      <c r="J770" s="1"/>
      <c r="K770" s="1"/>
      <c r="L770" s="1"/>
      <c r="M770" s="1"/>
      <c r="N770" s="1"/>
      <c r="O770" s="1"/>
      <c r="P770" s="1"/>
      <c r="Q770" s="13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31"/>
      <c r="F771" s="131"/>
      <c r="G771" s="131"/>
      <c r="H771" s="1"/>
      <c r="I771" s="1"/>
      <c r="J771" s="1"/>
      <c r="K771" s="1"/>
      <c r="L771" s="1"/>
      <c r="M771" s="1"/>
      <c r="N771" s="1"/>
      <c r="O771" s="1"/>
      <c r="P771" s="1"/>
      <c r="Q771" s="13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31"/>
      <c r="F772" s="131"/>
      <c r="G772" s="131"/>
      <c r="H772" s="1"/>
      <c r="I772" s="1"/>
      <c r="J772" s="1"/>
      <c r="K772" s="1"/>
      <c r="L772" s="1"/>
      <c r="M772" s="1"/>
      <c r="N772" s="1"/>
      <c r="O772" s="1"/>
      <c r="P772" s="1"/>
      <c r="Q772" s="13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31"/>
      <c r="F773" s="131"/>
      <c r="G773" s="131"/>
      <c r="H773" s="1"/>
      <c r="I773" s="1"/>
      <c r="J773" s="1"/>
      <c r="K773" s="1"/>
      <c r="L773" s="1"/>
      <c r="M773" s="1"/>
      <c r="N773" s="1"/>
      <c r="O773" s="1"/>
      <c r="P773" s="1"/>
      <c r="Q773" s="13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31"/>
      <c r="F774" s="131"/>
      <c r="G774" s="131"/>
      <c r="H774" s="1"/>
      <c r="I774" s="1"/>
      <c r="J774" s="1"/>
      <c r="K774" s="1"/>
      <c r="L774" s="1"/>
      <c r="M774" s="1"/>
      <c r="N774" s="1"/>
      <c r="O774" s="1"/>
      <c r="P774" s="1"/>
      <c r="Q774" s="13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31"/>
      <c r="F775" s="131"/>
      <c r="G775" s="131"/>
      <c r="H775" s="1"/>
      <c r="I775" s="1"/>
      <c r="J775" s="1"/>
      <c r="K775" s="1"/>
      <c r="L775" s="1"/>
      <c r="M775" s="1"/>
      <c r="N775" s="1"/>
      <c r="O775" s="1"/>
      <c r="P775" s="1"/>
      <c r="Q775" s="13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</sheetData>
  <mergeCells count="17">
    <mergeCell ref="L2:L3"/>
    <mergeCell ref="N2:N3"/>
    <mergeCell ref="R2:R3"/>
    <mergeCell ref="P5:P7"/>
    <mergeCell ref="Q5:Q7"/>
    <mergeCell ref="R5:R7"/>
    <mergeCell ref="D2:D3"/>
    <mergeCell ref="E5:E7"/>
    <mergeCell ref="F5:F7"/>
    <mergeCell ref="G5:G7"/>
    <mergeCell ref="J1:L1"/>
    <mergeCell ref="M1:O1"/>
    <mergeCell ref="B2:B3"/>
    <mergeCell ref="C2:C3"/>
    <mergeCell ref="H2:H3"/>
    <mergeCell ref="K2:K3"/>
    <mergeCell ref="O2:O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31.88"/>
    <col customWidth="1" min="3" max="3" width="11.5"/>
    <col customWidth="1" min="4" max="4" width="8.75"/>
    <col customWidth="1" min="5" max="5" width="19.25"/>
    <col customWidth="1" min="6" max="6" width="18.88"/>
    <col customWidth="1" min="7" max="7" width="19.25"/>
    <col customWidth="1" min="8" max="8" width="41.25"/>
    <col customWidth="1" min="9" max="10" width="14.25"/>
    <col customWidth="1" min="11" max="11" width="16.88"/>
    <col customWidth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19.75"/>
  </cols>
  <sheetData>
    <row r="1">
      <c r="A1" s="1"/>
      <c r="B1" s="2"/>
      <c r="C1" s="2"/>
      <c r="D1" s="2"/>
      <c r="E1" s="4"/>
      <c r="F1" s="4"/>
      <c r="G1" s="4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42"/>
      <c r="F3" s="42"/>
      <c r="G3" s="42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49" t="s">
        <v>27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34</v>
      </c>
      <c r="C4" s="53" t="s">
        <v>37</v>
      </c>
      <c r="D4" s="56"/>
      <c r="E4" s="55" t="s">
        <v>41</v>
      </c>
      <c r="F4" s="58" t="s">
        <v>44</v>
      </c>
      <c r="G4" s="58" t="s">
        <v>47</v>
      </c>
      <c r="H4" s="62" t="s">
        <v>48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23"/>
      <c r="F5" s="23"/>
      <c r="G5" s="23"/>
      <c r="H5" s="76" t="s">
        <v>56</v>
      </c>
      <c r="I5" s="83">
        <f>16600/1.07</f>
        <v>15514.01869</v>
      </c>
      <c r="J5" s="86">
        <f>6500*1.1</f>
        <v>7150</v>
      </c>
      <c r="K5" s="87">
        <f t="shared" ref="K5:K9" si="1">I5-J5</f>
        <v>8364.018692</v>
      </c>
      <c r="L5" s="88">
        <f t="shared" ref="L5:L9" si="2">K5/I5</f>
        <v>0.539126506</v>
      </c>
      <c r="M5" s="86">
        <v>10000.0</v>
      </c>
      <c r="N5" s="87">
        <f t="shared" ref="N5:N9" si="3">I5-M5</f>
        <v>5514.018692</v>
      </c>
      <c r="O5" s="88">
        <f t="shared" ref="O5:O9" si="4">N5/I5</f>
        <v>0.3554216867</v>
      </c>
      <c r="P5" s="55" t="s">
        <v>76</v>
      </c>
      <c r="Q5" s="97">
        <v>46232.0</v>
      </c>
      <c r="R5" s="99" t="s">
        <v>78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23"/>
      <c r="F6" s="23"/>
      <c r="G6" s="23"/>
      <c r="H6" s="76" t="s">
        <v>81</v>
      </c>
      <c r="I6" s="83">
        <f>69800/1.07</f>
        <v>65233.64486</v>
      </c>
      <c r="J6" s="86">
        <f>32000*1.1</f>
        <v>35200</v>
      </c>
      <c r="K6" s="87">
        <f t="shared" si="1"/>
        <v>30033.64486</v>
      </c>
      <c r="L6" s="88">
        <f t="shared" si="2"/>
        <v>0.4604011461</v>
      </c>
      <c r="M6" s="86">
        <v>42000.0</v>
      </c>
      <c r="N6" s="87">
        <f t="shared" si="3"/>
        <v>23233.64486</v>
      </c>
      <c r="O6" s="88">
        <f t="shared" si="4"/>
        <v>0.3561604585</v>
      </c>
      <c r="P6" s="23"/>
      <c r="Q6" s="23"/>
      <c r="R6" s="2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23"/>
      <c r="F7" s="23"/>
      <c r="G7" s="23"/>
      <c r="H7" s="76" t="s">
        <v>86</v>
      </c>
      <c r="I7" s="83">
        <f>28500/1.07</f>
        <v>26635.51402</v>
      </c>
      <c r="J7" s="86">
        <f>16000*1.1</f>
        <v>17600</v>
      </c>
      <c r="K7" s="87">
        <f t="shared" si="1"/>
        <v>9035.514019</v>
      </c>
      <c r="L7" s="88">
        <f t="shared" si="2"/>
        <v>0.3392280702</v>
      </c>
      <c r="M7" s="86">
        <v>19000.0</v>
      </c>
      <c r="N7" s="87">
        <f t="shared" si="3"/>
        <v>7635.514019</v>
      </c>
      <c r="O7" s="88">
        <f t="shared" si="4"/>
        <v>0.2866666667</v>
      </c>
      <c r="P7" s="23"/>
      <c r="Q7" s="23"/>
      <c r="R7" s="2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23"/>
      <c r="F8" s="23"/>
      <c r="G8" s="23"/>
      <c r="H8" s="76" t="s">
        <v>89</v>
      </c>
      <c r="I8" s="83">
        <f>23900/1.07</f>
        <v>22336.4486</v>
      </c>
      <c r="J8" s="86">
        <f t="shared" ref="J8:J9" si="5">15000*1.1</f>
        <v>16500</v>
      </c>
      <c r="K8" s="87">
        <f t="shared" si="1"/>
        <v>5836.448598</v>
      </c>
      <c r="L8" s="88">
        <f t="shared" si="2"/>
        <v>0.2612970711</v>
      </c>
      <c r="M8" s="86">
        <v>17000.0</v>
      </c>
      <c r="N8" s="87">
        <f t="shared" si="3"/>
        <v>5336.448598</v>
      </c>
      <c r="O8" s="88">
        <f t="shared" si="4"/>
        <v>0.2389121339</v>
      </c>
      <c r="P8" s="23"/>
      <c r="Q8" s="23"/>
      <c r="R8" s="2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23"/>
      <c r="F9" s="23"/>
      <c r="G9" s="23"/>
      <c r="H9" s="76" t="s">
        <v>90</v>
      </c>
      <c r="I9" s="83">
        <f>12400/1.07</f>
        <v>11588.78505</v>
      </c>
      <c r="J9" s="86">
        <f t="shared" si="5"/>
        <v>16500</v>
      </c>
      <c r="K9" s="87">
        <f t="shared" si="1"/>
        <v>-4911.214953</v>
      </c>
      <c r="L9" s="88">
        <f t="shared" si="2"/>
        <v>-0.4237903226</v>
      </c>
      <c r="M9" s="86">
        <v>8000.0</v>
      </c>
      <c r="N9" s="87">
        <f t="shared" si="3"/>
        <v>3588.785047</v>
      </c>
      <c r="O9" s="88">
        <f t="shared" si="4"/>
        <v>0.3096774194</v>
      </c>
      <c r="P9" s="101"/>
      <c r="Q9" s="101"/>
      <c r="R9" s="100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1"/>
      <c r="F10" s="101"/>
      <c r="G10" s="101"/>
      <c r="H10" s="62" t="s">
        <v>92</v>
      </c>
      <c r="I10" s="102">
        <f>-3200/1.07</f>
        <v>-2990.654206</v>
      </c>
      <c r="J10" s="106">
        <v>-2295.79</v>
      </c>
      <c r="K10" s="86">
        <v>0.0</v>
      </c>
      <c r="L10" s="107">
        <v>0.0</v>
      </c>
      <c r="M10" s="86">
        <v>0.0</v>
      </c>
      <c r="N10" s="86">
        <v>0.0</v>
      </c>
      <c r="O10" s="108">
        <v>0.0</v>
      </c>
      <c r="P10" s="59"/>
      <c r="Q10" s="105"/>
      <c r="R10" s="9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13" t="str">
        <f t="shared" ref="B11:C11" si="6">B4</f>
        <v>Origin Plug &amp; Play Sirindhorn Station</v>
      </c>
      <c r="C11" s="113" t="str">
        <f t="shared" si="6"/>
        <v>Room B1009</v>
      </c>
      <c r="D11" s="115">
        <f>SUM(D4:D10)</f>
        <v>0</v>
      </c>
      <c r="E11" s="116"/>
      <c r="F11" s="116"/>
      <c r="G11" s="116"/>
      <c r="H11" s="117" t="s">
        <v>95</v>
      </c>
      <c r="I11" s="118">
        <f>SUM(I5:I10)</f>
        <v>138317.757</v>
      </c>
      <c r="J11" s="118">
        <f>SUM(J4:J10)</f>
        <v>90654.21</v>
      </c>
      <c r="K11" s="118">
        <f>I11-J11</f>
        <v>47663.54701</v>
      </c>
      <c r="L11" s="119">
        <f>K11/I11</f>
        <v>0.3445945628</v>
      </c>
      <c r="M11" s="118">
        <f>SUM(M4:M10)</f>
        <v>96000</v>
      </c>
      <c r="N11" s="118">
        <f>I11-M11</f>
        <v>42317.75701</v>
      </c>
      <c r="O11" s="119">
        <f>N11/I11</f>
        <v>0.3059459459</v>
      </c>
      <c r="P11" s="120"/>
      <c r="Q11" s="121"/>
      <c r="R11" s="11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22"/>
      <c r="B12" s="123"/>
      <c r="C12" s="124"/>
      <c r="D12" s="124"/>
      <c r="E12" s="125"/>
      <c r="F12" s="125"/>
      <c r="G12" s="125"/>
      <c r="H12" s="126"/>
      <c r="I12" s="127"/>
      <c r="J12" s="127"/>
      <c r="K12" s="127"/>
      <c r="L12" s="128"/>
      <c r="M12" s="127"/>
      <c r="N12" s="127"/>
      <c r="O12" s="128"/>
      <c r="P12" s="125"/>
      <c r="Q12" s="125"/>
      <c r="R12" s="125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</row>
    <row r="13">
      <c r="A13" s="1"/>
      <c r="B13" s="51" t="s">
        <v>34</v>
      </c>
      <c r="C13" s="53" t="s">
        <v>99</v>
      </c>
      <c r="D13" s="56"/>
      <c r="E13" s="74"/>
      <c r="F13" s="74"/>
      <c r="G13" s="74"/>
      <c r="H13" s="62" t="s">
        <v>43</v>
      </c>
      <c r="I13" s="63"/>
      <c r="J13" s="65"/>
      <c r="K13" s="63"/>
      <c r="L13" s="67"/>
      <c r="M13" s="65"/>
      <c r="N13" s="63"/>
      <c r="O13" s="67"/>
      <c r="P13" s="59"/>
      <c r="Q13" s="59"/>
      <c r="R13" s="5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74"/>
      <c r="F14" s="74"/>
      <c r="G14" s="74"/>
      <c r="H14" s="76" t="s">
        <v>100</v>
      </c>
      <c r="I14" s="83">
        <f>12000/1.07</f>
        <v>11214.95327</v>
      </c>
      <c r="J14" s="86"/>
      <c r="K14" s="87">
        <f>I14-J14</f>
        <v>11214.95327</v>
      </c>
      <c r="L14" s="88">
        <f>K14/I14</f>
        <v>1</v>
      </c>
      <c r="M14" s="86">
        <v>7500.0</v>
      </c>
      <c r="N14" s="87">
        <f>I14-M14</f>
        <v>3714.953271</v>
      </c>
      <c r="O14" s="88">
        <f>N14/I14</f>
        <v>0.33125</v>
      </c>
      <c r="P14" s="129" t="s">
        <v>76</v>
      </c>
      <c r="Q14" s="130">
        <v>46245.0</v>
      </c>
      <c r="R14" s="59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74"/>
      <c r="F15" s="74"/>
      <c r="G15" s="74"/>
      <c r="H15" s="62" t="s">
        <v>92</v>
      </c>
      <c r="I15" s="102">
        <f>-1000/1.07</f>
        <v>-934.5794393</v>
      </c>
      <c r="J15" s="106"/>
      <c r="K15" s="86">
        <v>0.0</v>
      </c>
      <c r="L15" s="107">
        <v>0.0</v>
      </c>
      <c r="M15" s="86">
        <v>0.0</v>
      </c>
      <c r="N15" s="86">
        <v>0.0</v>
      </c>
      <c r="O15" s="108">
        <v>0.0</v>
      </c>
      <c r="P15" s="59"/>
      <c r="Q15" s="59"/>
      <c r="R15" s="5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13" t="str">
        <f t="shared" ref="B16:C16" si="7">B13</f>
        <v>Origin Plug &amp; Play Sirindhorn Station</v>
      </c>
      <c r="C16" s="113" t="str">
        <f t="shared" si="7"/>
        <v>Room C1209</v>
      </c>
      <c r="D16" s="115">
        <f>SUM(D13:D15)</f>
        <v>0</v>
      </c>
      <c r="E16" s="134"/>
      <c r="F16" s="134"/>
      <c r="G16" s="134"/>
      <c r="H16" s="117" t="s">
        <v>95</v>
      </c>
      <c r="I16" s="118">
        <f>SUM(I14:I15)</f>
        <v>10280.37383</v>
      </c>
      <c r="J16" s="118">
        <f>SUM(J13:J15)</f>
        <v>0</v>
      </c>
      <c r="K16" s="118">
        <f>I16-J16</f>
        <v>10280.37383</v>
      </c>
      <c r="L16" s="119">
        <f>K16/I16</f>
        <v>1</v>
      </c>
      <c r="M16" s="118">
        <f>SUM(M13:M15)</f>
        <v>7500</v>
      </c>
      <c r="N16" s="118">
        <f>I16-M16</f>
        <v>2780.373832</v>
      </c>
      <c r="O16" s="119">
        <f>N16/I16</f>
        <v>0.2704545455</v>
      </c>
      <c r="P16" s="120"/>
      <c r="Q16" s="121"/>
      <c r="R16" s="11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22"/>
      <c r="B17" s="123"/>
      <c r="C17" s="124"/>
      <c r="D17" s="124"/>
      <c r="E17" s="125"/>
      <c r="F17" s="125"/>
      <c r="G17" s="125"/>
      <c r="H17" s="126"/>
      <c r="I17" s="127"/>
      <c r="J17" s="127"/>
      <c r="K17" s="127"/>
      <c r="L17" s="128"/>
      <c r="M17" s="127"/>
      <c r="N17" s="127"/>
      <c r="O17" s="128"/>
      <c r="P17" s="125"/>
      <c r="Q17" s="125"/>
      <c r="R17" s="125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>
      <c r="A18" s="1"/>
      <c r="B18" s="1"/>
      <c r="C18" s="1"/>
      <c r="D18" s="1"/>
      <c r="E18" s="131"/>
      <c r="F18" s="131"/>
      <c r="G18" s="131"/>
      <c r="H18" s="1"/>
      <c r="I18" s="1"/>
      <c r="J18" s="1"/>
      <c r="K18" s="1"/>
      <c r="L18" s="1"/>
      <c r="M18" s="1"/>
      <c r="N18" s="1"/>
      <c r="O18" s="1"/>
      <c r="P18" s="1"/>
      <c r="Q18" s="13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31"/>
      <c r="F19" s="131"/>
      <c r="G19" s="131"/>
      <c r="H19" s="1"/>
      <c r="I19" s="1"/>
      <c r="J19" s="1"/>
      <c r="K19" s="1"/>
      <c r="L19" s="1"/>
      <c r="M19" s="1"/>
      <c r="N19" s="1"/>
      <c r="O19" s="1"/>
      <c r="P19" s="1"/>
      <c r="Q19" s="13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1"/>
      <c r="E20" s="131"/>
      <c r="F20" s="131"/>
      <c r="G20" s="131"/>
      <c r="H20" s="1"/>
      <c r="I20" s="1"/>
      <c r="J20" s="1"/>
      <c r="K20" s="1"/>
      <c r="L20" s="1"/>
      <c r="M20" s="1"/>
      <c r="N20" s="1"/>
      <c r="O20" s="1"/>
      <c r="P20" s="1"/>
      <c r="Q20" s="13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"/>
      <c r="D21" s="1"/>
      <c r="E21" s="131"/>
      <c r="F21" s="131"/>
      <c r="G21" s="131"/>
      <c r="H21" s="1"/>
      <c r="I21" s="1"/>
      <c r="J21" s="1"/>
      <c r="K21" s="1"/>
      <c r="L21" s="1"/>
      <c r="M21" s="1"/>
      <c r="N21" s="1"/>
      <c r="O21" s="1"/>
      <c r="P21" s="1"/>
      <c r="Q21" s="13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1"/>
      <c r="D22" s="1"/>
      <c r="E22" s="131"/>
      <c r="F22" s="131"/>
      <c r="G22" s="131"/>
      <c r="H22" s="1"/>
      <c r="I22" s="1"/>
      <c r="J22" s="1"/>
      <c r="K22" s="1"/>
      <c r="L22" s="1"/>
      <c r="M22" s="1"/>
      <c r="N22" s="1"/>
      <c r="O22" s="1"/>
      <c r="P22" s="1"/>
      <c r="Q22" s="13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31"/>
      <c r="F23" s="131"/>
      <c r="G23" s="131"/>
      <c r="H23" s="1"/>
      <c r="I23" s="1"/>
      <c r="J23" s="1"/>
      <c r="K23" s="1"/>
      <c r="L23" s="1"/>
      <c r="M23" s="1"/>
      <c r="N23" s="1"/>
      <c r="O23" s="1"/>
      <c r="P23" s="1"/>
      <c r="Q23" s="1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31"/>
      <c r="F24" s="131"/>
      <c r="G24" s="131"/>
      <c r="H24" s="1"/>
      <c r="I24" s="1"/>
      <c r="J24" s="1"/>
      <c r="K24" s="1"/>
      <c r="L24" s="1"/>
      <c r="M24" s="1"/>
      <c r="N24" s="1"/>
      <c r="O24" s="1"/>
      <c r="P24" s="1"/>
      <c r="Q24" s="13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31"/>
      <c r="F25" s="131"/>
      <c r="G25" s="131"/>
      <c r="H25" s="1"/>
      <c r="I25" s="1"/>
      <c r="J25" s="1"/>
      <c r="K25" s="1"/>
      <c r="L25" s="1"/>
      <c r="M25" s="1"/>
      <c r="N25" s="1"/>
      <c r="O25" s="1"/>
      <c r="P25" s="1"/>
      <c r="Q25" s="13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31"/>
      <c r="F26" s="131"/>
      <c r="G26" s="131"/>
      <c r="H26" s="1"/>
      <c r="I26" s="1"/>
      <c r="J26" s="1"/>
      <c r="K26" s="1"/>
      <c r="L26" s="1"/>
      <c r="M26" s="1"/>
      <c r="N26" s="1"/>
      <c r="O26" s="1"/>
      <c r="P26" s="1"/>
      <c r="Q26" s="13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31"/>
      <c r="F27" s="131"/>
      <c r="G27" s="131"/>
      <c r="H27" s="1"/>
      <c r="I27" s="1"/>
      <c r="J27" s="1"/>
      <c r="K27" s="1"/>
      <c r="L27" s="1"/>
      <c r="M27" s="1"/>
      <c r="N27" s="1"/>
      <c r="O27" s="1"/>
      <c r="P27" s="1"/>
      <c r="Q27" s="13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"/>
      <c r="D28" s="1"/>
      <c r="E28" s="131"/>
      <c r="F28" s="131"/>
      <c r="G28" s="131"/>
      <c r="H28" s="1"/>
      <c r="I28" s="1"/>
      <c r="J28" s="1"/>
      <c r="K28" s="1"/>
      <c r="L28" s="1"/>
      <c r="M28" s="1"/>
      <c r="N28" s="1"/>
      <c r="O28" s="1"/>
      <c r="P28" s="1"/>
      <c r="Q28" s="13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31"/>
      <c r="F29" s="131"/>
      <c r="G29" s="131"/>
      <c r="H29" s="1"/>
      <c r="I29" s="1"/>
      <c r="J29" s="1"/>
      <c r="K29" s="1"/>
      <c r="L29" s="1"/>
      <c r="M29" s="1"/>
      <c r="N29" s="1"/>
      <c r="O29" s="1"/>
      <c r="P29" s="1"/>
      <c r="Q29" s="13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131"/>
      <c r="F30" s="131"/>
      <c r="G30" s="131"/>
      <c r="H30" s="1"/>
      <c r="I30" s="1"/>
      <c r="J30" s="1"/>
      <c r="K30" s="1"/>
      <c r="L30" s="1"/>
      <c r="M30" s="1"/>
      <c r="N30" s="1"/>
      <c r="O30" s="1"/>
      <c r="P30" s="1"/>
      <c r="Q30" s="13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31"/>
      <c r="F31" s="131"/>
      <c r="G31" s="131"/>
      <c r="H31" s="1"/>
      <c r="I31" s="1"/>
      <c r="J31" s="1"/>
      <c r="K31" s="1"/>
      <c r="L31" s="1"/>
      <c r="M31" s="1"/>
      <c r="N31" s="1"/>
      <c r="O31" s="1"/>
      <c r="P31" s="1"/>
      <c r="Q31" s="13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31"/>
      <c r="F32" s="131"/>
      <c r="G32" s="131"/>
      <c r="H32" s="1"/>
      <c r="I32" s="1"/>
      <c r="J32" s="1"/>
      <c r="K32" s="1"/>
      <c r="L32" s="1"/>
      <c r="M32" s="1"/>
      <c r="N32" s="1"/>
      <c r="O32" s="1"/>
      <c r="P32" s="1"/>
      <c r="Q32" s="13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31"/>
      <c r="F33" s="131"/>
      <c r="G33" s="131"/>
      <c r="H33" s="1"/>
      <c r="I33" s="1"/>
      <c r="J33" s="1"/>
      <c r="K33" s="1"/>
      <c r="L33" s="1"/>
      <c r="M33" s="1"/>
      <c r="N33" s="1"/>
      <c r="O33" s="1"/>
      <c r="P33" s="1"/>
      <c r="Q33" s="13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31"/>
      <c r="F34" s="131"/>
      <c r="G34" s="131"/>
      <c r="H34" s="1"/>
      <c r="I34" s="1"/>
      <c r="J34" s="1"/>
      <c r="K34" s="1"/>
      <c r="L34" s="1"/>
      <c r="M34" s="1"/>
      <c r="N34" s="1"/>
      <c r="O34" s="1"/>
      <c r="P34" s="1"/>
      <c r="Q34" s="13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31"/>
      <c r="F35" s="131"/>
      <c r="G35" s="131"/>
      <c r="H35" s="1"/>
      <c r="I35" s="1"/>
      <c r="J35" s="1"/>
      <c r="K35" s="1"/>
      <c r="L35" s="1"/>
      <c r="M35" s="1"/>
      <c r="N35" s="1"/>
      <c r="O35" s="1"/>
      <c r="P35" s="1"/>
      <c r="Q35" s="13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31"/>
      <c r="F36" s="131"/>
      <c r="G36" s="131"/>
      <c r="H36" s="1"/>
      <c r="I36" s="1"/>
      <c r="J36" s="1"/>
      <c r="K36" s="1"/>
      <c r="L36" s="1"/>
      <c r="M36" s="1"/>
      <c r="N36" s="1"/>
      <c r="O36" s="1"/>
      <c r="P36" s="1"/>
      <c r="Q36" s="13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31"/>
      <c r="F37" s="131"/>
      <c r="G37" s="131"/>
      <c r="H37" s="1"/>
      <c r="I37" s="1"/>
      <c r="J37" s="1"/>
      <c r="K37" s="1"/>
      <c r="L37" s="1"/>
      <c r="M37" s="1"/>
      <c r="N37" s="1"/>
      <c r="O37" s="1"/>
      <c r="P37" s="1"/>
      <c r="Q37" s="13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31"/>
      <c r="F38" s="131"/>
      <c r="G38" s="131"/>
      <c r="H38" s="1"/>
      <c r="I38" s="1"/>
      <c r="J38" s="1"/>
      <c r="K38" s="1"/>
      <c r="L38" s="1"/>
      <c r="M38" s="1"/>
      <c r="N38" s="1"/>
      <c r="O38" s="1"/>
      <c r="P38" s="1"/>
      <c r="Q38" s="13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31"/>
      <c r="F39" s="131"/>
      <c r="G39" s="131"/>
      <c r="H39" s="1"/>
      <c r="I39" s="1"/>
      <c r="J39" s="1"/>
      <c r="K39" s="1"/>
      <c r="L39" s="1"/>
      <c r="M39" s="1"/>
      <c r="N39" s="1"/>
      <c r="O39" s="1"/>
      <c r="P39" s="1"/>
      <c r="Q39" s="13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31"/>
      <c r="F40" s="131"/>
      <c r="G40" s="131"/>
      <c r="H40" s="1"/>
      <c r="I40" s="1"/>
      <c r="J40" s="1"/>
      <c r="K40" s="1"/>
      <c r="L40" s="1"/>
      <c r="M40" s="1"/>
      <c r="N40" s="1"/>
      <c r="O40" s="1"/>
      <c r="P40" s="1"/>
      <c r="Q40" s="13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31"/>
      <c r="F41" s="131"/>
      <c r="G41" s="131"/>
      <c r="H41" s="1"/>
      <c r="I41" s="1"/>
      <c r="J41" s="1"/>
      <c r="K41" s="1"/>
      <c r="L41" s="1"/>
      <c r="M41" s="1"/>
      <c r="N41" s="1"/>
      <c r="O41" s="1"/>
      <c r="P41" s="1"/>
      <c r="Q41" s="13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31"/>
      <c r="F42" s="131"/>
      <c r="G42" s="131"/>
      <c r="H42" s="1"/>
      <c r="I42" s="1"/>
      <c r="J42" s="1"/>
      <c r="K42" s="1"/>
      <c r="L42" s="1"/>
      <c r="M42" s="1"/>
      <c r="N42" s="1"/>
      <c r="O42" s="1"/>
      <c r="P42" s="1"/>
      <c r="Q42" s="13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31"/>
      <c r="F43" s="131"/>
      <c r="G43" s="131"/>
      <c r="H43" s="1"/>
      <c r="I43" s="1"/>
      <c r="J43" s="1"/>
      <c r="K43" s="1"/>
      <c r="L43" s="1"/>
      <c r="M43" s="1"/>
      <c r="N43" s="1"/>
      <c r="O43" s="1"/>
      <c r="P43" s="1"/>
      <c r="Q43" s="13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31"/>
      <c r="F44" s="131"/>
      <c r="G44" s="131"/>
      <c r="H44" s="1"/>
      <c r="I44" s="1"/>
      <c r="J44" s="1"/>
      <c r="K44" s="1"/>
      <c r="L44" s="1"/>
      <c r="M44" s="1"/>
      <c r="N44" s="1"/>
      <c r="O44" s="1"/>
      <c r="P44" s="1"/>
      <c r="Q44" s="13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31"/>
      <c r="F45" s="131"/>
      <c r="G45" s="131"/>
      <c r="H45" s="1"/>
      <c r="I45" s="1"/>
      <c r="J45" s="1"/>
      <c r="K45" s="1"/>
      <c r="L45" s="1"/>
      <c r="M45" s="1"/>
      <c r="N45" s="1"/>
      <c r="O45" s="1"/>
      <c r="P45" s="1"/>
      <c r="Q45" s="13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31"/>
      <c r="F46" s="131"/>
      <c r="G46" s="131"/>
      <c r="H46" s="1"/>
      <c r="I46" s="1"/>
      <c r="J46" s="1"/>
      <c r="K46" s="1"/>
      <c r="L46" s="1"/>
      <c r="M46" s="1"/>
      <c r="N46" s="1"/>
      <c r="O46" s="1"/>
      <c r="P46" s="1"/>
      <c r="Q46" s="13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31"/>
      <c r="F47" s="131"/>
      <c r="G47" s="131"/>
      <c r="H47" s="1"/>
      <c r="I47" s="1"/>
      <c r="J47" s="1"/>
      <c r="K47" s="1"/>
      <c r="L47" s="1"/>
      <c r="M47" s="1"/>
      <c r="N47" s="1"/>
      <c r="O47" s="1"/>
      <c r="P47" s="1"/>
      <c r="Q47" s="13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31"/>
      <c r="F48" s="131"/>
      <c r="G48" s="131"/>
      <c r="H48" s="1"/>
      <c r="I48" s="1"/>
      <c r="J48" s="1"/>
      <c r="K48" s="1"/>
      <c r="L48" s="1"/>
      <c r="M48" s="1"/>
      <c r="N48" s="1"/>
      <c r="O48" s="1"/>
      <c r="P48" s="1"/>
      <c r="Q48" s="13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31"/>
      <c r="F49" s="131"/>
      <c r="G49" s="131"/>
      <c r="H49" s="1"/>
      <c r="I49" s="1"/>
      <c r="J49" s="1"/>
      <c r="K49" s="1"/>
      <c r="L49" s="1"/>
      <c r="M49" s="1"/>
      <c r="N49" s="1"/>
      <c r="O49" s="1"/>
      <c r="P49" s="1"/>
      <c r="Q49" s="13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31"/>
      <c r="F50" s="131"/>
      <c r="G50" s="131"/>
      <c r="H50" s="1"/>
      <c r="I50" s="1"/>
      <c r="J50" s="1"/>
      <c r="K50" s="1"/>
      <c r="L50" s="1"/>
      <c r="M50" s="1"/>
      <c r="N50" s="1"/>
      <c r="O50" s="1"/>
      <c r="P50" s="1"/>
      <c r="Q50" s="13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31"/>
      <c r="F51" s="131"/>
      <c r="G51" s="131"/>
      <c r="H51" s="1"/>
      <c r="I51" s="1"/>
      <c r="J51" s="1"/>
      <c r="K51" s="1"/>
      <c r="L51" s="1"/>
      <c r="M51" s="1"/>
      <c r="N51" s="1"/>
      <c r="O51" s="1"/>
      <c r="P51" s="1"/>
      <c r="Q51" s="1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31"/>
      <c r="F52" s="131"/>
      <c r="G52" s="131"/>
      <c r="H52" s="1"/>
      <c r="I52" s="1"/>
      <c r="J52" s="1"/>
      <c r="K52" s="1"/>
      <c r="L52" s="1"/>
      <c r="M52" s="1"/>
      <c r="N52" s="1"/>
      <c r="O52" s="1"/>
      <c r="P52" s="1"/>
      <c r="Q52" s="13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31"/>
      <c r="F53" s="131"/>
      <c r="G53" s="131"/>
      <c r="H53" s="1"/>
      <c r="I53" s="1"/>
      <c r="J53" s="1"/>
      <c r="K53" s="1"/>
      <c r="L53" s="1"/>
      <c r="M53" s="1"/>
      <c r="N53" s="1"/>
      <c r="O53" s="1"/>
      <c r="P53" s="1"/>
      <c r="Q53" s="13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31"/>
      <c r="F54" s="131"/>
      <c r="G54" s="131"/>
      <c r="H54" s="1"/>
      <c r="I54" s="1"/>
      <c r="J54" s="1"/>
      <c r="K54" s="1"/>
      <c r="L54" s="1"/>
      <c r="M54" s="1"/>
      <c r="N54" s="1"/>
      <c r="O54" s="1"/>
      <c r="P54" s="1"/>
      <c r="Q54" s="13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31"/>
      <c r="F55" s="131"/>
      <c r="G55" s="131"/>
      <c r="H55" s="1"/>
      <c r="I55" s="1"/>
      <c r="J55" s="1"/>
      <c r="K55" s="1"/>
      <c r="L55" s="1"/>
      <c r="M55" s="1"/>
      <c r="N55" s="1"/>
      <c r="O55" s="1"/>
      <c r="P55" s="1"/>
      <c r="Q55" s="13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31"/>
      <c r="F56" s="131"/>
      <c r="G56" s="131"/>
      <c r="H56" s="1"/>
      <c r="I56" s="1"/>
      <c r="J56" s="1"/>
      <c r="K56" s="1"/>
      <c r="L56" s="1"/>
      <c r="M56" s="1"/>
      <c r="N56" s="1"/>
      <c r="O56" s="1"/>
      <c r="P56" s="1"/>
      <c r="Q56" s="13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31"/>
      <c r="F57" s="131"/>
      <c r="G57" s="131"/>
      <c r="H57" s="1"/>
      <c r="I57" s="1"/>
      <c r="J57" s="1"/>
      <c r="K57" s="1"/>
      <c r="L57" s="1"/>
      <c r="M57" s="1"/>
      <c r="N57" s="1"/>
      <c r="O57" s="1"/>
      <c r="P57" s="1"/>
      <c r="Q57" s="13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31"/>
      <c r="F58" s="131"/>
      <c r="G58" s="131"/>
      <c r="H58" s="1"/>
      <c r="I58" s="1"/>
      <c r="J58" s="1"/>
      <c r="K58" s="1"/>
      <c r="L58" s="1"/>
      <c r="M58" s="1"/>
      <c r="N58" s="1"/>
      <c r="O58" s="1"/>
      <c r="P58" s="1"/>
      <c r="Q58" s="13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31"/>
      <c r="F59" s="131"/>
      <c r="G59" s="131"/>
      <c r="H59" s="1"/>
      <c r="I59" s="1"/>
      <c r="J59" s="1"/>
      <c r="K59" s="1"/>
      <c r="L59" s="1"/>
      <c r="M59" s="1"/>
      <c r="N59" s="1"/>
      <c r="O59" s="1"/>
      <c r="P59" s="1"/>
      <c r="Q59" s="13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31"/>
      <c r="F60" s="131"/>
      <c r="G60" s="131"/>
      <c r="H60" s="1"/>
      <c r="I60" s="1"/>
      <c r="J60" s="1"/>
      <c r="K60" s="1"/>
      <c r="L60" s="1"/>
      <c r="M60" s="1"/>
      <c r="N60" s="1"/>
      <c r="O60" s="1"/>
      <c r="P60" s="1"/>
      <c r="Q60" s="13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31"/>
      <c r="F61" s="131"/>
      <c r="G61" s="131"/>
      <c r="H61" s="1"/>
      <c r="I61" s="1"/>
      <c r="J61" s="1"/>
      <c r="K61" s="1"/>
      <c r="L61" s="1"/>
      <c r="M61" s="1"/>
      <c r="N61" s="1"/>
      <c r="O61" s="1"/>
      <c r="P61" s="1"/>
      <c r="Q61" s="13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31"/>
      <c r="F62" s="131"/>
      <c r="G62" s="131"/>
      <c r="H62" s="1"/>
      <c r="I62" s="1"/>
      <c r="J62" s="1"/>
      <c r="K62" s="1"/>
      <c r="L62" s="1"/>
      <c r="M62" s="1"/>
      <c r="N62" s="1"/>
      <c r="O62" s="1"/>
      <c r="P62" s="1"/>
      <c r="Q62" s="13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31"/>
      <c r="F63" s="131"/>
      <c r="G63" s="131"/>
      <c r="H63" s="1"/>
      <c r="I63" s="1"/>
      <c r="J63" s="1"/>
      <c r="K63" s="1"/>
      <c r="L63" s="1"/>
      <c r="M63" s="1"/>
      <c r="N63" s="1"/>
      <c r="O63" s="1"/>
      <c r="P63" s="1"/>
      <c r="Q63" s="13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31"/>
      <c r="F64" s="131"/>
      <c r="G64" s="131"/>
      <c r="H64" s="1"/>
      <c r="I64" s="1"/>
      <c r="J64" s="1"/>
      <c r="K64" s="1"/>
      <c r="L64" s="1"/>
      <c r="M64" s="1"/>
      <c r="N64" s="1"/>
      <c r="O64" s="1"/>
      <c r="P64" s="1"/>
      <c r="Q64" s="13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31"/>
      <c r="F65" s="131"/>
      <c r="G65" s="131"/>
      <c r="H65" s="1"/>
      <c r="I65" s="1"/>
      <c r="J65" s="1"/>
      <c r="K65" s="1"/>
      <c r="L65" s="1"/>
      <c r="M65" s="1"/>
      <c r="N65" s="1"/>
      <c r="O65" s="1"/>
      <c r="P65" s="1"/>
      <c r="Q65" s="13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31"/>
      <c r="F66" s="131"/>
      <c r="G66" s="131"/>
      <c r="H66" s="1"/>
      <c r="I66" s="1"/>
      <c r="J66" s="1"/>
      <c r="K66" s="1"/>
      <c r="L66" s="1"/>
      <c r="M66" s="1"/>
      <c r="N66" s="1"/>
      <c r="O66" s="1"/>
      <c r="P66" s="1"/>
      <c r="Q66" s="13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31"/>
      <c r="F67" s="131"/>
      <c r="G67" s="131"/>
      <c r="H67" s="1"/>
      <c r="I67" s="1"/>
      <c r="J67" s="1"/>
      <c r="K67" s="1"/>
      <c r="L67" s="1"/>
      <c r="M67" s="1"/>
      <c r="N67" s="1"/>
      <c r="O67" s="1"/>
      <c r="P67" s="1"/>
      <c r="Q67" s="13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31"/>
      <c r="F68" s="131"/>
      <c r="G68" s="131"/>
      <c r="H68" s="1"/>
      <c r="I68" s="1"/>
      <c r="J68" s="1"/>
      <c r="K68" s="1"/>
      <c r="L68" s="1"/>
      <c r="M68" s="1"/>
      <c r="N68" s="1"/>
      <c r="O68" s="1"/>
      <c r="P68" s="1"/>
      <c r="Q68" s="13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31"/>
      <c r="F69" s="131"/>
      <c r="G69" s="131"/>
      <c r="H69" s="1"/>
      <c r="I69" s="1"/>
      <c r="J69" s="1"/>
      <c r="K69" s="1"/>
      <c r="L69" s="1"/>
      <c r="M69" s="1"/>
      <c r="N69" s="1"/>
      <c r="O69" s="1"/>
      <c r="P69" s="1"/>
      <c r="Q69" s="13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31"/>
      <c r="F70" s="131"/>
      <c r="G70" s="131"/>
      <c r="H70" s="1"/>
      <c r="I70" s="1"/>
      <c r="J70" s="1"/>
      <c r="K70" s="1"/>
      <c r="L70" s="1"/>
      <c r="M70" s="1"/>
      <c r="N70" s="1"/>
      <c r="O70" s="1"/>
      <c r="P70" s="1"/>
      <c r="Q70" s="13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31"/>
      <c r="F71" s="131"/>
      <c r="G71" s="131"/>
      <c r="H71" s="1"/>
      <c r="I71" s="1"/>
      <c r="J71" s="1"/>
      <c r="K71" s="1"/>
      <c r="L71" s="1"/>
      <c r="M71" s="1"/>
      <c r="N71" s="1"/>
      <c r="O71" s="1"/>
      <c r="P71" s="1"/>
      <c r="Q71" s="13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31"/>
      <c r="F72" s="131"/>
      <c r="G72" s="131"/>
      <c r="H72" s="1"/>
      <c r="I72" s="1"/>
      <c r="J72" s="1"/>
      <c r="K72" s="1"/>
      <c r="L72" s="1"/>
      <c r="M72" s="1"/>
      <c r="N72" s="1"/>
      <c r="O72" s="1"/>
      <c r="P72" s="1"/>
      <c r="Q72" s="13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31"/>
      <c r="F73" s="131"/>
      <c r="G73" s="131"/>
      <c r="H73" s="1"/>
      <c r="I73" s="1"/>
      <c r="J73" s="1"/>
      <c r="K73" s="1"/>
      <c r="L73" s="1"/>
      <c r="M73" s="1"/>
      <c r="N73" s="1"/>
      <c r="O73" s="1"/>
      <c r="P73" s="1"/>
      <c r="Q73" s="13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31"/>
      <c r="F74" s="131"/>
      <c r="G74" s="131"/>
      <c r="H74" s="1"/>
      <c r="I74" s="1"/>
      <c r="J74" s="1"/>
      <c r="K74" s="1"/>
      <c r="L74" s="1"/>
      <c r="M74" s="1"/>
      <c r="N74" s="1"/>
      <c r="O74" s="1"/>
      <c r="P74" s="1"/>
      <c r="Q74" s="13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31"/>
      <c r="F75" s="131"/>
      <c r="G75" s="131"/>
      <c r="H75" s="1"/>
      <c r="I75" s="1"/>
      <c r="J75" s="1"/>
      <c r="K75" s="1"/>
      <c r="L75" s="1"/>
      <c r="M75" s="1"/>
      <c r="N75" s="1"/>
      <c r="O75" s="1"/>
      <c r="P75" s="1"/>
      <c r="Q75" s="13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31"/>
      <c r="F76" s="131"/>
      <c r="G76" s="131"/>
      <c r="H76" s="1"/>
      <c r="I76" s="1"/>
      <c r="J76" s="1"/>
      <c r="K76" s="1"/>
      <c r="L76" s="1"/>
      <c r="M76" s="1"/>
      <c r="N76" s="1"/>
      <c r="O76" s="1"/>
      <c r="P76" s="1"/>
      <c r="Q76" s="13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31"/>
      <c r="F77" s="131"/>
      <c r="G77" s="131"/>
      <c r="H77" s="1"/>
      <c r="I77" s="1"/>
      <c r="J77" s="1"/>
      <c r="K77" s="1"/>
      <c r="L77" s="1"/>
      <c r="M77" s="1"/>
      <c r="N77" s="1"/>
      <c r="O77" s="1"/>
      <c r="P77" s="1"/>
      <c r="Q77" s="13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31"/>
      <c r="F78" s="131"/>
      <c r="G78" s="131"/>
      <c r="H78" s="1"/>
      <c r="I78" s="1"/>
      <c r="J78" s="1"/>
      <c r="K78" s="1"/>
      <c r="L78" s="1"/>
      <c r="M78" s="1"/>
      <c r="N78" s="1"/>
      <c r="O78" s="1"/>
      <c r="P78" s="1"/>
      <c r="Q78" s="13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31"/>
      <c r="F79" s="131"/>
      <c r="G79" s="131"/>
      <c r="H79" s="1"/>
      <c r="I79" s="1"/>
      <c r="J79" s="1"/>
      <c r="K79" s="1"/>
      <c r="L79" s="1"/>
      <c r="M79" s="1"/>
      <c r="N79" s="1"/>
      <c r="O79" s="1"/>
      <c r="P79" s="1"/>
      <c r="Q79" s="13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31"/>
      <c r="F80" s="131"/>
      <c r="G80" s="131"/>
      <c r="H80" s="1"/>
      <c r="I80" s="1"/>
      <c r="J80" s="1"/>
      <c r="K80" s="1"/>
      <c r="L80" s="1"/>
      <c r="M80" s="1"/>
      <c r="N80" s="1"/>
      <c r="O80" s="1"/>
      <c r="P80" s="1"/>
      <c r="Q80" s="13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31"/>
      <c r="F81" s="131"/>
      <c r="G81" s="131"/>
      <c r="H81" s="1"/>
      <c r="I81" s="1"/>
      <c r="J81" s="1"/>
      <c r="K81" s="1"/>
      <c r="L81" s="1"/>
      <c r="M81" s="1"/>
      <c r="N81" s="1"/>
      <c r="O81" s="1"/>
      <c r="P81" s="1"/>
      <c r="Q81" s="13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31"/>
      <c r="F82" s="131"/>
      <c r="G82" s="131"/>
      <c r="H82" s="1"/>
      <c r="I82" s="1"/>
      <c r="J82" s="1"/>
      <c r="K82" s="1"/>
      <c r="L82" s="1"/>
      <c r="M82" s="1"/>
      <c r="N82" s="1"/>
      <c r="O82" s="1"/>
      <c r="P82" s="1"/>
      <c r="Q82" s="13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31"/>
      <c r="F83" s="131"/>
      <c r="G83" s="131"/>
      <c r="H83" s="1"/>
      <c r="I83" s="1"/>
      <c r="J83" s="1"/>
      <c r="K83" s="1"/>
      <c r="L83" s="1"/>
      <c r="M83" s="1"/>
      <c r="N83" s="1"/>
      <c r="O83" s="1"/>
      <c r="P83" s="1"/>
      <c r="Q83" s="13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31"/>
      <c r="F84" s="131"/>
      <c r="G84" s="131"/>
      <c r="H84" s="1"/>
      <c r="I84" s="1"/>
      <c r="J84" s="1"/>
      <c r="K84" s="1"/>
      <c r="L84" s="1"/>
      <c r="M84" s="1"/>
      <c r="N84" s="1"/>
      <c r="O84" s="1"/>
      <c r="P84" s="1"/>
      <c r="Q84" s="13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31"/>
      <c r="F85" s="131"/>
      <c r="G85" s="131"/>
      <c r="H85" s="1"/>
      <c r="I85" s="1"/>
      <c r="J85" s="1"/>
      <c r="K85" s="1"/>
      <c r="L85" s="1"/>
      <c r="M85" s="1"/>
      <c r="N85" s="1"/>
      <c r="O85" s="1"/>
      <c r="P85" s="1"/>
      <c r="Q85" s="13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31"/>
      <c r="F86" s="131"/>
      <c r="G86" s="131"/>
      <c r="H86" s="1"/>
      <c r="I86" s="1"/>
      <c r="J86" s="1"/>
      <c r="K86" s="1"/>
      <c r="L86" s="1"/>
      <c r="M86" s="1"/>
      <c r="N86" s="1"/>
      <c r="O86" s="1"/>
      <c r="P86" s="1"/>
      <c r="Q86" s="13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31"/>
      <c r="F87" s="131"/>
      <c r="G87" s="131"/>
      <c r="H87" s="1"/>
      <c r="I87" s="1"/>
      <c r="J87" s="1"/>
      <c r="K87" s="1"/>
      <c r="L87" s="1"/>
      <c r="M87" s="1"/>
      <c r="N87" s="1"/>
      <c r="O87" s="1"/>
      <c r="P87" s="1"/>
      <c r="Q87" s="13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31"/>
      <c r="F88" s="131"/>
      <c r="G88" s="131"/>
      <c r="H88" s="1"/>
      <c r="I88" s="1"/>
      <c r="J88" s="1"/>
      <c r="K88" s="1"/>
      <c r="L88" s="1"/>
      <c r="M88" s="1"/>
      <c r="N88" s="1"/>
      <c r="O88" s="1"/>
      <c r="P88" s="1"/>
      <c r="Q88" s="13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31"/>
      <c r="F89" s="131"/>
      <c r="G89" s="131"/>
      <c r="H89" s="1"/>
      <c r="I89" s="1"/>
      <c r="J89" s="1"/>
      <c r="K89" s="1"/>
      <c r="L89" s="1"/>
      <c r="M89" s="1"/>
      <c r="N89" s="1"/>
      <c r="O89" s="1"/>
      <c r="P89" s="1"/>
      <c r="Q89" s="13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31"/>
      <c r="F90" s="131"/>
      <c r="G90" s="131"/>
      <c r="H90" s="1"/>
      <c r="I90" s="1"/>
      <c r="J90" s="1"/>
      <c r="K90" s="1"/>
      <c r="L90" s="1"/>
      <c r="M90" s="1"/>
      <c r="N90" s="1"/>
      <c r="O90" s="1"/>
      <c r="P90" s="1"/>
      <c r="Q90" s="13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31"/>
      <c r="F91" s="131"/>
      <c r="G91" s="131"/>
      <c r="H91" s="1"/>
      <c r="I91" s="1"/>
      <c r="J91" s="1"/>
      <c r="K91" s="1"/>
      <c r="L91" s="1"/>
      <c r="M91" s="1"/>
      <c r="N91" s="1"/>
      <c r="O91" s="1"/>
      <c r="P91" s="1"/>
      <c r="Q91" s="13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31"/>
      <c r="F92" s="131"/>
      <c r="G92" s="131"/>
      <c r="H92" s="1"/>
      <c r="I92" s="1"/>
      <c r="J92" s="1"/>
      <c r="K92" s="1"/>
      <c r="L92" s="1"/>
      <c r="M92" s="1"/>
      <c r="N92" s="1"/>
      <c r="O92" s="1"/>
      <c r="P92" s="1"/>
      <c r="Q92" s="13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31"/>
      <c r="F93" s="131"/>
      <c r="G93" s="131"/>
      <c r="H93" s="1"/>
      <c r="I93" s="1"/>
      <c r="J93" s="1"/>
      <c r="K93" s="1"/>
      <c r="L93" s="1"/>
      <c r="M93" s="1"/>
      <c r="N93" s="1"/>
      <c r="O93" s="1"/>
      <c r="P93" s="1"/>
      <c r="Q93" s="13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31"/>
      <c r="F94" s="131"/>
      <c r="G94" s="131"/>
      <c r="H94" s="1"/>
      <c r="I94" s="1"/>
      <c r="J94" s="1"/>
      <c r="K94" s="1"/>
      <c r="L94" s="1"/>
      <c r="M94" s="1"/>
      <c r="N94" s="1"/>
      <c r="O94" s="1"/>
      <c r="P94" s="1"/>
      <c r="Q94" s="13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31"/>
      <c r="F95" s="131"/>
      <c r="G95" s="131"/>
      <c r="H95" s="1"/>
      <c r="I95" s="1"/>
      <c r="J95" s="1"/>
      <c r="K95" s="1"/>
      <c r="L95" s="1"/>
      <c r="M95" s="1"/>
      <c r="N95" s="1"/>
      <c r="O95" s="1"/>
      <c r="P95" s="1"/>
      <c r="Q95" s="13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31"/>
      <c r="F96" s="131"/>
      <c r="G96" s="131"/>
      <c r="H96" s="1"/>
      <c r="I96" s="1"/>
      <c r="J96" s="1"/>
      <c r="K96" s="1"/>
      <c r="L96" s="1"/>
      <c r="M96" s="1"/>
      <c r="N96" s="1"/>
      <c r="O96" s="1"/>
      <c r="P96" s="1"/>
      <c r="Q96" s="13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31"/>
      <c r="F97" s="131"/>
      <c r="G97" s="131"/>
      <c r="H97" s="1"/>
      <c r="I97" s="1"/>
      <c r="J97" s="1"/>
      <c r="K97" s="1"/>
      <c r="L97" s="1"/>
      <c r="M97" s="1"/>
      <c r="N97" s="1"/>
      <c r="O97" s="1"/>
      <c r="P97" s="1"/>
      <c r="Q97" s="13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31"/>
      <c r="F98" s="131"/>
      <c r="G98" s="131"/>
      <c r="H98" s="1"/>
      <c r="I98" s="1"/>
      <c r="J98" s="1"/>
      <c r="K98" s="1"/>
      <c r="L98" s="1"/>
      <c r="M98" s="1"/>
      <c r="N98" s="1"/>
      <c r="O98" s="1"/>
      <c r="P98" s="1"/>
      <c r="Q98" s="13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31"/>
      <c r="F99" s="131"/>
      <c r="G99" s="131"/>
      <c r="H99" s="1"/>
      <c r="I99" s="1"/>
      <c r="J99" s="1"/>
      <c r="K99" s="1"/>
      <c r="L99" s="1"/>
      <c r="M99" s="1"/>
      <c r="N99" s="1"/>
      <c r="O99" s="1"/>
      <c r="P99" s="1"/>
      <c r="Q99" s="13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31"/>
      <c r="F100" s="131"/>
      <c r="G100" s="131"/>
      <c r="H100" s="1"/>
      <c r="I100" s="1"/>
      <c r="J100" s="1"/>
      <c r="K100" s="1"/>
      <c r="L100" s="1"/>
      <c r="M100" s="1"/>
      <c r="N100" s="1"/>
      <c r="O100" s="1"/>
      <c r="P100" s="1"/>
      <c r="Q100" s="13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31"/>
      <c r="F101" s="131"/>
      <c r="G101" s="131"/>
      <c r="H101" s="1"/>
      <c r="I101" s="1"/>
      <c r="J101" s="1"/>
      <c r="K101" s="1"/>
      <c r="L101" s="1"/>
      <c r="M101" s="1"/>
      <c r="N101" s="1"/>
      <c r="O101" s="1"/>
      <c r="P101" s="1"/>
      <c r="Q101" s="13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31"/>
      <c r="F102" s="131"/>
      <c r="G102" s="131"/>
      <c r="H102" s="1"/>
      <c r="I102" s="1"/>
      <c r="J102" s="1"/>
      <c r="K102" s="1"/>
      <c r="L102" s="1"/>
      <c r="M102" s="1"/>
      <c r="N102" s="1"/>
      <c r="O102" s="1"/>
      <c r="P102" s="1"/>
      <c r="Q102" s="13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31"/>
      <c r="F103" s="131"/>
      <c r="G103" s="131"/>
      <c r="H103" s="1"/>
      <c r="I103" s="1"/>
      <c r="J103" s="1"/>
      <c r="K103" s="1"/>
      <c r="L103" s="1"/>
      <c r="M103" s="1"/>
      <c r="N103" s="1"/>
      <c r="O103" s="1"/>
      <c r="P103" s="1"/>
      <c r="Q103" s="13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31"/>
      <c r="F104" s="131"/>
      <c r="G104" s="131"/>
      <c r="H104" s="1"/>
      <c r="I104" s="1"/>
      <c r="J104" s="1"/>
      <c r="K104" s="1"/>
      <c r="L104" s="1"/>
      <c r="M104" s="1"/>
      <c r="N104" s="1"/>
      <c r="O104" s="1"/>
      <c r="P104" s="1"/>
      <c r="Q104" s="13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31"/>
      <c r="F105" s="131"/>
      <c r="G105" s="131"/>
      <c r="H105" s="1"/>
      <c r="I105" s="1"/>
      <c r="J105" s="1"/>
      <c r="K105" s="1"/>
      <c r="L105" s="1"/>
      <c r="M105" s="1"/>
      <c r="N105" s="1"/>
      <c r="O105" s="1"/>
      <c r="P105" s="1"/>
      <c r="Q105" s="13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31"/>
      <c r="F106" s="131"/>
      <c r="G106" s="131"/>
      <c r="H106" s="1"/>
      <c r="I106" s="1"/>
      <c r="J106" s="1"/>
      <c r="K106" s="1"/>
      <c r="L106" s="1"/>
      <c r="M106" s="1"/>
      <c r="N106" s="1"/>
      <c r="O106" s="1"/>
      <c r="P106" s="1"/>
      <c r="Q106" s="13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31"/>
      <c r="F107" s="131"/>
      <c r="G107" s="131"/>
      <c r="H107" s="1"/>
      <c r="I107" s="1"/>
      <c r="J107" s="1"/>
      <c r="K107" s="1"/>
      <c r="L107" s="1"/>
      <c r="M107" s="1"/>
      <c r="N107" s="1"/>
      <c r="O107" s="1"/>
      <c r="P107" s="1"/>
      <c r="Q107" s="13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31"/>
      <c r="F108" s="131"/>
      <c r="G108" s="131"/>
      <c r="H108" s="1"/>
      <c r="I108" s="1"/>
      <c r="J108" s="1"/>
      <c r="K108" s="1"/>
      <c r="L108" s="1"/>
      <c r="M108" s="1"/>
      <c r="N108" s="1"/>
      <c r="O108" s="1"/>
      <c r="P108" s="1"/>
      <c r="Q108" s="13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31"/>
      <c r="F109" s="131"/>
      <c r="G109" s="131"/>
      <c r="H109" s="1"/>
      <c r="I109" s="1"/>
      <c r="J109" s="1"/>
      <c r="K109" s="1"/>
      <c r="L109" s="1"/>
      <c r="M109" s="1"/>
      <c r="N109" s="1"/>
      <c r="O109" s="1"/>
      <c r="P109" s="1"/>
      <c r="Q109" s="13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31"/>
      <c r="F110" s="131"/>
      <c r="G110" s="131"/>
      <c r="H110" s="1"/>
      <c r="I110" s="1"/>
      <c r="J110" s="1"/>
      <c r="K110" s="1"/>
      <c r="L110" s="1"/>
      <c r="M110" s="1"/>
      <c r="N110" s="1"/>
      <c r="O110" s="1"/>
      <c r="P110" s="1"/>
      <c r="Q110" s="13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31"/>
      <c r="F111" s="131"/>
      <c r="G111" s="131"/>
      <c r="H111" s="1"/>
      <c r="I111" s="1"/>
      <c r="J111" s="1"/>
      <c r="K111" s="1"/>
      <c r="L111" s="1"/>
      <c r="M111" s="1"/>
      <c r="N111" s="1"/>
      <c r="O111" s="1"/>
      <c r="P111" s="1"/>
      <c r="Q111" s="13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31"/>
      <c r="F112" s="131"/>
      <c r="G112" s="131"/>
      <c r="H112" s="1"/>
      <c r="I112" s="1"/>
      <c r="J112" s="1"/>
      <c r="K112" s="1"/>
      <c r="L112" s="1"/>
      <c r="M112" s="1"/>
      <c r="N112" s="1"/>
      <c r="O112" s="1"/>
      <c r="P112" s="1"/>
      <c r="Q112" s="13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31"/>
      <c r="F113" s="131"/>
      <c r="G113" s="131"/>
      <c r="H113" s="1"/>
      <c r="I113" s="1"/>
      <c r="J113" s="1"/>
      <c r="K113" s="1"/>
      <c r="L113" s="1"/>
      <c r="M113" s="1"/>
      <c r="N113" s="1"/>
      <c r="O113" s="1"/>
      <c r="P113" s="1"/>
      <c r="Q113" s="13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31"/>
      <c r="F114" s="131"/>
      <c r="G114" s="131"/>
      <c r="H114" s="1"/>
      <c r="I114" s="1"/>
      <c r="J114" s="1"/>
      <c r="K114" s="1"/>
      <c r="L114" s="1"/>
      <c r="M114" s="1"/>
      <c r="N114" s="1"/>
      <c r="O114" s="1"/>
      <c r="P114" s="1"/>
      <c r="Q114" s="13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31"/>
      <c r="F115" s="131"/>
      <c r="G115" s="131"/>
      <c r="H115" s="1"/>
      <c r="I115" s="1"/>
      <c r="J115" s="1"/>
      <c r="K115" s="1"/>
      <c r="L115" s="1"/>
      <c r="M115" s="1"/>
      <c r="N115" s="1"/>
      <c r="O115" s="1"/>
      <c r="P115" s="1"/>
      <c r="Q115" s="13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31"/>
      <c r="F116" s="131"/>
      <c r="G116" s="131"/>
      <c r="H116" s="1"/>
      <c r="I116" s="1"/>
      <c r="J116" s="1"/>
      <c r="K116" s="1"/>
      <c r="L116" s="1"/>
      <c r="M116" s="1"/>
      <c r="N116" s="1"/>
      <c r="O116" s="1"/>
      <c r="P116" s="1"/>
      <c r="Q116" s="13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31"/>
      <c r="F117" s="131"/>
      <c r="G117" s="131"/>
      <c r="H117" s="1"/>
      <c r="I117" s="1"/>
      <c r="J117" s="1"/>
      <c r="K117" s="1"/>
      <c r="L117" s="1"/>
      <c r="M117" s="1"/>
      <c r="N117" s="1"/>
      <c r="O117" s="1"/>
      <c r="P117" s="1"/>
      <c r="Q117" s="13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31"/>
      <c r="F118" s="131"/>
      <c r="G118" s="131"/>
      <c r="H118" s="1"/>
      <c r="I118" s="1"/>
      <c r="J118" s="1"/>
      <c r="K118" s="1"/>
      <c r="L118" s="1"/>
      <c r="M118" s="1"/>
      <c r="N118" s="1"/>
      <c r="O118" s="1"/>
      <c r="P118" s="1"/>
      <c r="Q118" s="13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31"/>
      <c r="F119" s="131"/>
      <c r="G119" s="131"/>
      <c r="H119" s="1"/>
      <c r="I119" s="1"/>
      <c r="J119" s="1"/>
      <c r="K119" s="1"/>
      <c r="L119" s="1"/>
      <c r="M119" s="1"/>
      <c r="N119" s="1"/>
      <c r="O119" s="1"/>
      <c r="P119" s="1"/>
      <c r="Q119" s="13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31"/>
      <c r="F120" s="131"/>
      <c r="G120" s="131"/>
      <c r="H120" s="1"/>
      <c r="I120" s="1"/>
      <c r="J120" s="1"/>
      <c r="K120" s="1"/>
      <c r="L120" s="1"/>
      <c r="M120" s="1"/>
      <c r="N120" s="1"/>
      <c r="O120" s="1"/>
      <c r="P120" s="1"/>
      <c r="Q120" s="13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31"/>
      <c r="F121" s="131"/>
      <c r="G121" s="131"/>
      <c r="H121" s="1"/>
      <c r="I121" s="1"/>
      <c r="J121" s="1"/>
      <c r="K121" s="1"/>
      <c r="L121" s="1"/>
      <c r="M121" s="1"/>
      <c r="N121" s="1"/>
      <c r="O121" s="1"/>
      <c r="P121" s="1"/>
      <c r="Q121" s="13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31"/>
      <c r="F122" s="131"/>
      <c r="G122" s="131"/>
      <c r="H122" s="1"/>
      <c r="I122" s="1"/>
      <c r="J122" s="1"/>
      <c r="K122" s="1"/>
      <c r="L122" s="1"/>
      <c r="M122" s="1"/>
      <c r="N122" s="1"/>
      <c r="O122" s="1"/>
      <c r="P122" s="1"/>
      <c r="Q122" s="13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31"/>
      <c r="F123" s="131"/>
      <c r="G123" s="131"/>
      <c r="H123" s="1"/>
      <c r="I123" s="1"/>
      <c r="J123" s="1"/>
      <c r="K123" s="1"/>
      <c r="L123" s="1"/>
      <c r="M123" s="1"/>
      <c r="N123" s="1"/>
      <c r="O123" s="1"/>
      <c r="P123" s="1"/>
      <c r="Q123" s="13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31"/>
      <c r="F124" s="131"/>
      <c r="G124" s="131"/>
      <c r="H124" s="1"/>
      <c r="I124" s="1"/>
      <c r="J124" s="1"/>
      <c r="K124" s="1"/>
      <c r="L124" s="1"/>
      <c r="M124" s="1"/>
      <c r="N124" s="1"/>
      <c r="O124" s="1"/>
      <c r="P124" s="1"/>
      <c r="Q124" s="13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31"/>
      <c r="F125" s="131"/>
      <c r="G125" s="131"/>
      <c r="H125" s="1"/>
      <c r="I125" s="1"/>
      <c r="J125" s="1"/>
      <c r="K125" s="1"/>
      <c r="L125" s="1"/>
      <c r="M125" s="1"/>
      <c r="N125" s="1"/>
      <c r="O125" s="1"/>
      <c r="P125" s="1"/>
      <c r="Q125" s="13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31"/>
      <c r="F126" s="131"/>
      <c r="G126" s="131"/>
      <c r="H126" s="1"/>
      <c r="I126" s="1"/>
      <c r="J126" s="1"/>
      <c r="K126" s="1"/>
      <c r="L126" s="1"/>
      <c r="M126" s="1"/>
      <c r="N126" s="1"/>
      <c r="O126" s="1"/>
      <c r="P126" s="1"/>
      <c r="Q126" s="13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31"/>
      <c r="F127" s="131"/>
      <c r="G127" s="131"/>
      <c r="H127" s="1"/>
      <c r="I127" s="1"/>
      <c r="J127" s="1"/>
      <c r="K127" s="1"/>
      <c r="L127" s="1"/>
      <c r="M127" s="1"/>
      <c r="N127" s="1"/>
      <c r="O127" s="1"/>
      <c r="P127" s="1"/>
      <c r="Q127" s="13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31"/>
      <c r="F128" s="131"/>
      <c r="G128" s="131"/>
      <c r="H128" s="1"/>
      <c r="I128" s="1"/>
      <c r="J128" s="1"/>
      <c r="K128" s="1"/>
      <c r="L128" s="1"/>
      <c r="M128" s="1"/>
      <c r="N128" s="1"/>
      <c r="O128" s="1"/>
      <c r="P128" s="1"/>
      <c r="Q128" s="13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31"/>
      <c r="F129" s="131"/>
      <c r="G129" s="131"/>
      <c r="H129" s="1"/>
      <c r="I129" s="1"/>
      <c r="J129" s="1"/>
      <c r="K129" s="1"/>
      <c r="L129" s="1"/>
      <c r="M129" s="1"/>
      <c r="N129" s="1"/>
      <c r="O129" s="1"/>
      <c r="P129" s="1"/>
      <c r="Q129" s="13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31"/>
      <c r="F130" s="131"/>
      <c r="G130" s="131"/>
      <c r="H130" s="1"/>
      <c r="I130" s="1"/>
      <c r="J130" s="1"/>
      <c r="K130" s="1"/>
      <c r="L130" s="1"/>
      <c r="M130" s="1"/>
      <c r="N130" s="1"/>
      <c r="O130" s="1"/>
      <c r="P130" s="1"/>
      <c r="Q130" s="13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31"/>
      <c r="F131" s="131"/>
      <c r="G131" s="131"/>
      <c r="H131" s="1"/>
      <c r="I131" s="1"/>
      <c r="J131" s="1"/>
      <c r="K131" s="1"/>
      <c r="L131" s="1"/>
      <c r="M131" s="1"/>
      <c r="N131" s="1"/>
      <c r="O131" s="1"/>
      <c r="P131" s="1"/>
      <c r="Q131" s="13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31"/>
      <c r="F132" s="131"/>
      <c r="G132" s="131"/>
      <c r="H132" s="1"/>
      <c r="I132" s="1"/>
      <c r="J132" s="1"/>
      <c r="K132" s="1"/>
      <c r="L132" s="1"/>
      <c r="M132" s="1"/>
      <c r="N132" s="1"/>
      <c r="O132" s="1"/>
      <c r="P132" s="1"/>
      <c r="Q132" s="13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31"/>
      <c r="F133" s="131"/>
      <c r="G133" s="131"/>
      <c r="H133" s="1"/>
      <c r="I133" s="1"/>
      <c r="J133" s="1"/>
      <c r="K133" s="1"/>
      <c r="L133" s="1"/>
      <c r="M133" s="1"/>
      <c r="N133" s="1"/>
      <c r="O133" s="1"/>
      <c r="P133" s="1"/>
      <c r="Q133" s="13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31"/>
      <c r="F134" s="131"/>
      <c r="G134" s="131"/>
      <c r="H134" s="1"/>
      <c r="I134" s="1"/>
      <c r="J134" s="1"/>
      <c r="K134" s="1"/>
      <c r="L134" s="1"/>
      <c r="M134" s="1"/>
      <c r="N134" s="1"/>
      <c r="O134" s="1"/>
      <c r="P134" s="1"/>
      <c r="Q134" s="13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31"/>
      <c r="F135" s="131"/>
      <c r="G135" s="131"/>
      <c r="H135" s="1"/>
      <c r="I135" s="1"/>
      <c r="J135" s="1"/>
      <c r="K135" s="1"/>
      <c r="L135" s="1"/>
      <c r="M135" s="1"/>
      <c r="N135" s="1"/>
      <c r="O135" s="1"/>
      <c r="P135" s="1"/>
      <c r="Q135" s="13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31"/>
      <c r="F136" s="131"/>
      <c r="G136" s="131"/>
      <c r="H136" s="1"/>
      <c r="I136" s="1"/>
      <c r="J136" s="1"/>
      <c r="K136" s="1"/>
      <c r="L136" s="1"/>
      <c r="M136" s="1"/>
      <c r="N136" s="1"/>
      <c r="O136" s="1"/>
      <c r="P136" s="1"/>
      <c r="Q136" s="13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31"/>
      <c r="F137" s="131"/>
      <c r="G137" s="131"/>
      <c r="H137" s="1"/>
      <c r="I137" s="1"/>
      <c r="J137" s="1"/>
      <c r="K137" s="1"/>
      <c r="L137" s="1"/>
      <c r="M137" s="1"/>
      <c r="N137" s="1"/>
      <c r="O137" s="1"/>
      <c r="P137" s="1"/>
      <c r="Q137" s="13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31"/>
      <c r="F138" s="131"/>
      <c r="G138" s="131"/>
      <c r="H138" s="1"/>
      <c r="I138" s="1"/>
      <c r="J138" s="1"/>
      <c r="K138" s="1"/>
      <c r="L138" s="1"/>
      <c r="M138" s="1"/>
      <c r="N138" s="1"/>
      <c r="O138" s="1"/>
      <c r="P138" s="1"/>
      <c r="Q138" s="13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31"/>
      <c r="F139" s="131"/>
      <c r="G139" s="131"/>
      <c r="H139" s="1"/>
      <c r="I139" s="1"/>
      <c r="J139" s="1"/>
      <c r="K139" s="1"/>
      <c r="L139" s="1"/>
      <c r="M139" s="1"/>
      <c r="N139" s="1"/>
      <c r="O139" s="1"/>
      <c r="P139" s="1"/>
      <c r="Q139" s="13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31"/>
      <c r="F140" s="131"/>
      <c r="G140" s="131"/>
      <c r="H140" s="1"/>
      <c r="I140" s="1"/>
      <c r="J140" s="1"/>
      <c r="K140" s="1"/>
      <c r="L140" s="1"/>
      <c r="M140" s="1"/>
      <c r="N140" s="1"/>
      <c r="O140" s="1"/>
      <c r="P140" s="1"/>
      <c r="Q140" s="13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31"/>
      <c r="F141" s="131"/>
      <c r="G141" s="131"/>
      <c r="H141" s="1"/>
      <c r="I141" s="1"/>
      <c r="J141" s="1"/>
      <c r="K141" s="1"/>
      <c r="L141" s="1"/>
      <c r="M141" s="1"/>
      <c r="N141" s="1"/>
      <c r="O141" s="1"/>
      <c r="P141" s="1"/>
      <c r="Q141" s="13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31"/>
      <c r="F142" s="131"/>
      <c r="G142" s="131"/>
      <c r="H142" s="1"/>
      <c r="I142" s="1"/>
      <c r="J142" s="1"/>
      <c r="K142" s="1"/>
      <c r="L142" s="1"/>
      <c r="M142" s="1"/>
      <c r="N142" s="1"/>
      <c r="O142" s="1"/>
      <c r="P142" s="1"/>
      <c r="Q142" s="13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31"/>
      <c r="F143" s="131"/>
      <c r="G143" s="131"/>
      <c r="H143" s="1"/>
      <c r="I143" s="1"/>
      <c r="J143" s="1"/>
      <c r="K143" s="1"/>
      <c r="L143" s="1"/>
      <c r="M143" s="1"/>
      <c r="N143" s="1"/>
      <c r="O143" s="1"/>
      <c r="P143" s="1"/>
      <c r="Q143" s="13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31"/>
      <c r="F144" s="131"/>
      <c r="G144" s="131"/>
      <c r="H144" s="1"/>
      <c r="I144" s="1"/>
      <c r="J144" s="1"/>
      <c r="K144" s="1"/>
      <c r="L144" s="1"/>
      <c r="M144" s="1"/>
      <c r="N144" s="1"/>
      <c r="O144" s="1"/>
      <c r="P144" s="1"/>
      <c r="Q144" s="13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31"/>
      <c r="F145" s="131"/>
      <c r="G145" s="131"/>
      <c r="H145" s="1"/>
      <c r="I145" s="1"/>
      <c r="J145" s="1"/>
      <c r="K145" s="1"/>
      <c r="L145" s="1"/>
      <c r="M145" s="1"/>
      <c r="N145" s="1"/>
      <c r="O145" s="1"/>
      <c r="P145" s="1"/>
      <c r="Q145" s="13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31"/>
      <c r="F146" s="131"/>
      <c r="G146" s="131"/>
      <c r="H146" s="1"/>
      <c r="I146" s="1"/>
      <c r="J146" s="1"/>
      <c r="K146" s="1"/>
      <c r="L146" s="1"/>
      <c r="M146" s="1"/>
      <c r="N146" s="1"/>
      <c r="O146" s="1"/>
      <c r="P146" s="1"/>
      <c r="Q146" s="13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31"/>
      <c r="F147" s="131"/>
      <c r="G147" s="131"/>
      <c r="H147" s="1"/>
      <c r="I147" s="1"/>
      <c r="J147" s="1"/>
      <c r="K147" s="1"/>
      <c r="L147" s="1"/>
      <c r="M147" s="1"/>
      <c r="N147" s="1"/>
      <c r="O147" s="1"/>
      <c r="P147" s="1"/>
      <c r="Q147" s="13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31"/>
      <c r="F148" s="131"/>
      <c r="G148" s="131"/>
      <c r="H148" s="1"/>
      <c r="I148" s="1"/>
      <c r="J148" s="1"/>
      <c r="K148" s="1"/>
      <c r="L148" s="1"/>
      <c r="M148" s="1"/>
      <c r="N148" s="1"/>
      <c r="O148" s="1"/>
      <c r="P148" s="1"/>
      <c r="Q148" s="13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31"/>
      <c r="F149" s="131"/>
      <c r="G149" s="131"/>
      <c r="H149" s="1"/>
      <c r="I149" s="1"/>
      <c r="J149" s="1"/>
      <c r="K149" s="1"/>
      <c r="L149" s="1"/>
      <c r="M149" s="1"/>
      <c r="N149" s="1"/>
      <c r="O149" s="1"/>
      <c r="P149" s="1"/>
      <c r="Q149" s="13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31"/>
      <c r="F150" s="131"/>
      <c r="G150" s="131"/>
      <c r="H150" s="1"/>
      <c r="I150" s="1"/>
      <c r="J150" s="1"/>
      <c r="K150" s="1"/>
      <c r="L150" s="1"/>
      <c r="M150" s="1"/>
      <c r="N150" s="1"/>
      <c r="O150" s="1"/>
      <c r="P150" s="1"/>
      <c r="Q150" s="13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31"/>
      <c r="F151" s="131"/>
      <c r="G151" s="131"/>
      <c r="H151" s="1"/>
      <c r="I151" s="1"/>
      <c r="J151" s="1"/>
      <c r="K151" s="1"/>
      <c r="L151" s="1"/>
      <c r="M151" s="1"/>
      <c r="N151" s="1"/>
      <c r="O151" s="1"/>
      <c r="P151" s="1"/>
      <c r="Q151" s="13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31"/>
      <c r="F152" s="131"/>
      <c r="G152" s="131"/>
      <c r="H152" s="1"/>
      <c r="I152" s="1"/>
      <c r="J152" s="1"/>
      <c r="K152" s="1"/>
      <c r="L152" s="1"/>
      <c r="M152" s="1"/>
      <c r="N152" s="1"/>
      <c r="O152" s="1"/>
      <c r="P152" s="1"/>
      <c r="Q152" s="13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31"/>
      <c r="F153" s="131"/>
      <c r="G153" s="131"/>
      <c r="H153" s="1"/>
      <c r="I153" s="1"/>
      <c r="J153" s="1"/>
      <c r="K153" s="1"/>
      <c r="L153" s="1"/>
      <c r="M153" s="1"/>
      <c r="N153" s="1"/>
      <c r="O153" s="1"/>
      <c r="P153" s="1"/>
      <c r="Q153" s="13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31"/>
      <c r="F154" s="131"/>
      <c r="G154" s="131"/>
      <c r="H154" s="1"/>
      <c r="I154" s="1"/>
      <c r="J154" s="1"/>
      <c r="K154" s="1"/>
      <c r="L154" s="1"/>
      <c r="M154" s="1"/>
      <c r="N154" s="1"/>
      <c r="O154" s="1"/>
      <c r="P154" s="1"/>
      <c r="Q154" s="13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31"/>
      <c r="F155" s="131"/>
      <c r="G155" s="131"/>
      <c r="H155" s="1"/>
      <c r="I155" s="1"/>
      <c r="J155" s="1"/>
      <c r="K155" s="1"/>
      <c r="L155" s="1"/>
      <c r="M155" s="1"/>
      <c r="N155" s="1"/>
      <c r="O155" s="1"/>
      <c r="P155" s="1"/>
      <c r="Q155" s="13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31"/>
      <c r="F156" s="131"/>
      <c r="G156" s="131"/>
      <c r="H156" s="1"/>
      <c r="I156" s="1"/>
      <c r="J156" s="1"/>
      <c r="K156" s="1"/>
      <c r="L156" s="1"/>
      <c r="M156" s="1"/>
      <c r="N156" s="1"/>
      <c r="O156" s="1"/>
      <c r="P156" s="1"/>
      <c r="Q156" s="13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31"/>
      <c r="F157" s="131"/>
      <c r="G157" s="131"/>
      <c r="H157" s="1"/>
      <c r="I157" s="1"/>
      <c r="J157" s="1"/>
      <c r="K157" s="1"/>
      <c r="L157" s="1"/>
      <c r="M157" s="1"/>
      <c r="N157" s="1"/>
      <c r="O157" s="1"/>
      <c r="P157" s="1"/>
      <c r="Q157" s="13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31"/>
      <c r="F158" s="131"/>
      <c r="G158" s="131"/>
      <c r="H158" s="1"/>
      <c r="I158" s="1"/>
      <c r="J158" s="1"/>
      <c r="K158" s="1"/>
      <c r="L158" s="1"/>
      <c r="M158" s="1"/>
      <c r="N158" s="1"/>
      <c r="O158" s="1"/>
      <c r="P158" s="1"/>
      <c r="Q158" s="13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31"/>
      <c r="F159" s="131"/>
      <c r="G159" s="131"/>
      <c r="H159" s="1"/>
      <c r="I159" s="1"/>
      <c r="J159" s="1"/>
      <c r="K159" s="1"/>
      <c r="L159" s="1"/>
      <c r="M159" s="1"/>
      <c r="N159" s="1"/>
      <c r="O159" s="1"/>
      <c r="P159" s="1"/>
      <c r="Q159" s="13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31"/>
      <c r="F160" s="131"/>
      <c r="G160" s="131"/>
      <c r="H160" s="1"/>
      <c r="I160" s="1"/>
      <c r="J160" s="1"/>
      <c r="K160" s="1"/>
      <c r="L160" s="1"/>
      <c r="M160" s="1"/>
      <c r="N160" s="1"/>
      <c r="O160" s="1"/>
      <c r="P160" s="1"/>
      <c r="Q160" s="13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31"/>
      <c r="F161" s="131"/>
      <c r="G161" s="131"/>
      <c r="H161" s="1"/>
      <c r="I161" s="1"/>
      <c r="J161" s="1"/>
      <c r="K161" s="1"/>
      <c r="L161" s="1"/>
      <c r="M161" s="1"/>
      <c r="N161" s="1"/>
      <c r="O161" s="1"/>
      <c r="P161" s="1"/>
      <c r="Q161" s="13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31"/>
      <c r="F162" s="131"/>
      <c r="G162" s="131"/>
      <c r="H162" s="1"/>
      <c r="I162" s="1"/>
      <c r="J162" s="1"/>
      <c r="K162" s="1"/>
      <c r="L162" s="1"/>
      <c r="M162" s="1"/>
      <c r="N162" s="1"/>
      <c r="O162" s="1"/>
      <c r="P162" s="1"/>
      <c r="Q162" s="13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31"/>
      <c r="F163" s="131"/>
      <c r="G163" s="131"/>
      <c r="H163" s="1"/>
      <c r="I163" s="1"/>
      <c r="J163" s="1"/>
      <c r="K163" s="1"/>
      <c r="L163" s="1"/>
      <c r="M163" s="1"/>
      <c r="N163" s="1"/>
      <c r="O163" s="1"/>
      <c r="P163" s="1"/>
      <c r="Q163" s="13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31"/>
      <c r="F164" s="131"/>
      <c r="G164" s="131"/>
      <c r="H164" s="1"/>
      <c r="I164" s="1"/>
      <c r="J164" s="1"/>
      <c r="K164" s="1"/>
      <c r="L164" s="1"/>
      <c r="M164" s="1"/>
      <c r="N164" s="1"/>
      <c r="O164" s="1"/>
      <c r="P164" s="1"/>
      <c r="Q164" s="13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31"/>
      <c r="F165" s="131"/>
      <c r="G165" s="131"/>
      <c r="H165" s="1"/>
      <c r="I165" s="1"/>
      <c r="J165" s="1"/>
      <c r="K165" s="1"/>
      <c r="L165" s="1"/>
      <c r="M165" s="1"/>
      <c r="N165" s="1"/>
      <c r="O165" s="1"/>
      <c r="P165" s="1"/>
      <c r="Q165" s="13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31"/>
      <c r="F166" s="131"/>
      <c r="G166" s="131"/>
      <c r="H166" s="1"/>
      <c r="I166" s="1"/>
      <c r="J166" s="1"/>
      <c r="K166" s="1"/>
      <c r="L166" s="1"/>
      <c r="M166" s="1"/>
      <c r="N166" s="1"/>
      <c r="O166" s="1"/>
      <c r="P166" s="1"/>
      <c r="Q166" s="13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31"/>
      <c r="F167" s="131"/>
      <c r="G167" s="131"/>
      <c r="H167" s="1"/>
      <c r="I167" s="1"/>
      <c r="J167" s="1"/>
      <c r="K167" s="1"/>
      <c r="L167" s="1"/>
      <c r="M167" s="1"/>
      <c r="N167" s="1"/>
      <c r="O167" s="1"/>
      <c r="P167" s="1"/>
      <c r="Q167" s="13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31"/>
      <c r="F168" s="131"/>
      <c r="G168" s="131"/>
      <c r="H168" s="1"/>
      <c r="I168" s="1"/>
      <c r="J168" s="1"/>
      <c r="K168" s="1"/>
      <c r="L168" s="1"/>
      <c r="M168" s="1"/>
      <c r="N168" s="1"/>
      <c r="O168" s="1"/>
      <c r="P168" s="1"/>
      <c r="Q168" s="13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31"/>
      <c r="F169" s="131"/>
      <c r="G169" s="131"/>
      <c r="H169" s="1"/>
      <c r="I169" s="1"/>
      <c r="J169" s="1"/>
      <c r="K169" s="1"/>
      <c r="L169" s="1"/>
      <c r="M169" s="1"/>
      <c r="N169" s="1"/>
      <c r="O169" s="1"/>
      <c r="P169" s="1"/>
      <c r="Q169" s="13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31"/>
      <c r="F170" s="131"/>
      <c r="G170" s="131"/>
      <c r="H170" s="1"/>
      <c r="I170" s="1"/>
      <c r="J170" s="1"/>
      <c r="K170" s="1"/>
      <c r="L170" s="1"/>
      <c r="M170" s="1"/>
      <c r="N170" s="1"/>
      <c r="O170" s="1"/>
      <c r="P170" s="1"/>
      <c r="Q170" s="13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31"/>
      <c r="F171" s="131"/>
      <c r="G171" s="131"/>
      <c r="H171" s="1"/>
      <c r="I171" s="1"/>
      <c r="J171" s="1"/>
      <c r="K171" s="1"/>
      <c r="L171" s="1"/>
      <c r="M171" s="1"/>
      <c r="N171" s="1"/>
      <c r="O171" s="1"/>
      <c r="P171" s="1"/>
      <c r="Q171" s="13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31"/>
      <c r="F172" s="131"/>
      <c r="G172" s="131"/>
      <c r="H172" s="1"/>
      <c r="I172" s="1"/>
      <c r="J172" s="1"/>
      <c r="K172" s="1"/>
      <c r="L172" s="1"/>
      <c r="M172" s="1"/>
      <c r="N172" s="1"/>
      <c r="O172" s="1"/>
      <c r="P172" s="1"/>
      <c r="Q172" s="13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31"/>
      <c r="F173" s="131"/>
      <c r="G173" s="131"/>
      <c r="H173" s="1"/>
      <c r="I173" s="1"/>
      <c r="J173" s="1"/>
      <c r="K173" s="1"/>
      <c r="L173" s="1"/>
      <c r="M173" s="1"/>
      <c r="N173" s="1"/>
      <c r="O173" s="1"/>
      <c r="P173" s="1"/>
      <c r="Q173" s="13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31"/>
      <c r="F174" s="131"/>
      <c r="G174" s="131"/>
      <c r="H174" s="1"/>
      <c r="I174" s="1"/>
      <c r="J174" s="1"/>
      <c r="K174" s="1"/>
      <c r="L174" s="1"/>
      <c r="M174" s="1"/>
      <c r="N174" s="1"/>
      <c r="O174" s="1"/>
      <c r="P174" s="1"/>
      <c r="Q174" s="13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31"/>
      <c r="F175" s="131"/>
      <c r="G175" s="131"/>
      <c r="H175" s="1"/>
      <c r="I175" s="1"/>
      <c r="J175" s="1"/>
      <c r="K175" s="1"/>
      <c r="L175" s="1"/>
      <c r="M175" s="1"/>
      <c r="N175" s="1"/>
      <c r="O175" s="1"/>
      <c r="P175" s="1"/>
      <c r="Q175" s="13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31"/>
      <c r="F176" s="131"/>
      <c r="G176" s="131"/>
      <c r="H176" s="1"/>
      <c r="I176" s="1"/>
      <c r="J176" s="1"/>
      <c r="K176" s="1"/>
      <c r="L176" s="1"/>
      <c r="M176" s="1"/>
      <c r="N176" s="1"/>
      <c r="O176" s="1"/>
      <c r="P176" s="1"/>
      <c r="Q176" s="13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31"/>
      <c r="F177" s="131"/>
      <c r="G177" s="131"/>
      <c r="H177" s="1"/>
      <c r="I177" s="1"/>
      <c r="J177" s="1"/>
      <c r="K177" s="1"/>
      <c r="L177" s="1"/>
      <c r="M177" s="1"/>
      <c r="N177" s="1"/>
      <c r="O177" s="1"/>
      <c r="P177" s="1"/>
      <c r="Q177" s="13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31"/>
      <c r="F178" s="131"/>
      <c r="G178" s="131"/>
      <c r="H178" s="1"/>
      <c r="I178" s="1"/>
      <c r="J178" s="1"/>
      <c r="K178" s="1"/>
      <c r="L178" s="1"/>
      <c r="M178" s="1"/>
      <c r="N178" s="1"/>
      <c r="O178" s="1"/>
      <c r="P178" s="1"/>
      <c r="Q178" s="13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31"/>
      <c r="F179" s="131"/>
      <c r="G179" s="131"/>
      <c r="H179" s="1"/>
      <c r="I179" s="1"/>
      <c r="J179" s="1"/>
      <c r="K179" s="1"/>
      <c r="L179" s="1"/>
      <c r="M179" s="1"/>
      <c r="N179" s="1"/>
      <c r="O179" s="1"/>
      <c r="P179" s="1"/>
      <c r="Q179" s="13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31"/>
      <c r="F180" s="131"/>
      <c r="G180" s="131"/>
      <c r="H180" s="1"/>
      <c r="I180" s="1"/>
      <c r="J180" s="1"/>
      <c r="K180" s="1"/>
      <c r="L180" s="1"/>
      <c r="M180" s="1"/>
      <c r="N180" s="1"/>
      <c r="O180" s="1"/>
      <c r="P180" s="1"/>
      <c r="Q180" s="13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31"/>
      <c r="F181" s="131"/>
      <c r="G181" s="131"/>
      <c r="H181" s="1"/>
      <c r="I181" s="1"/>
      <c r="J181" s="1"/>
      <c r="K181" s="1"/>
      <c r="L181" s="1"/>
      <c r="M181" s="1"/>
      <c r="N181" s="1"/>
      <c r="O181" s="1"/>
      <c r="P181" s="1"/>
      <c r="Q181" s="13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31"/>
      <c r="F182" s="131"/>
      <c r="G182" s="131"/>
      <c r="H182" s="1"/>
      <c r="I182" s="1"/>
      <c r="J182" s="1"/>
      <c r="K182" s="1"/>
      <c r="L182" s="1"/>
      <c r="M182" s="1"/>
      <c r="N182" s="1"/>
      <c r="O182" s="1"/>
      <c r="P182" s="1"/>
      <c r="Q182" s="13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31"/>
      <c r="F183" s="131"/>
      <c r="G183" s="131"/>
      <c r="H183" s="1"/>
      <c r="I183" s="1"/>
      <c r="J183" s="1"/>
      <c r="K183" s="1"/>
      <c r="L183" s="1"/>
      <c r="M183" s="1"/>
      <c r="N183" s="1"/>
      <c r="O183" s="1"/>
      <c r="P183" s="1"/>
      <c r="Q183" s="13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31"/>
      <c r="F184" s="131"/>
      <c r="G184" s="131"/>
      <c r="H184" s="1"/>
      <c r="I184" s="1"/>
      <c r="J184" s="1"/>
      <c r="K184" s="1"/>
      <c r="L184" s="1"/>
      <c r="M184" s="1"/>
      <c r="N184" s="1"/>
      <c r="O184" s="1"/>
      <c r="P184" s="1"/>
      <c r="Q184" s="13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31"/>
      <c r="F185" s="131"/>
      <c r="G185" s="131"/>
      <c r="H185" s="1"/>
      <c r="I185" s="1"/>
      <c r="J185" s="1"/>
      <c r="K185" s="1"/>
      <c r="L185" s="1"/>
      <c r="M185" s="1"/>
      <c r="N185" s="1"/>
      <c r="O185" s="1"/>
      <c r="P185" s="1"/>
      <c r="Q185" s="13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31"/>
      <c r="F186" s="131"/>
      <c r="G186" s="131"/>
      <c r="H186" s="1"/>
      <c r="I186" s="1"/>
      <c r="J186" s="1"/>
      <c r="K186" s="1"/>
      <c r="L186" s="1"/>
      <c r="M186" s="1"/>
      <c r="N186" s="1"/>
      <c r="O186" s="1"/>
      <c r="P186" s="1"/>
      <c r="Q186" s="13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31"/>
      <c r="F187" s="131"/>
      <c r="G187" s="131"/>
      <c r="H187" s="1"/>
      <c r="I187" s="1"/>
      <c r="J187" s="1"/>
      <c r="K187" s="1"/>
      <c r="L187" s="1"/>
      <c r="M187" s="1"/>
      <c r="N187" s="1"/>
      <c r="O187" s="1"/>
      <c r="P187" s="1"/>
      <c r="Q187" s="13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31"/>
      <c r="F188" s="131"/>
      <c r="G188" s="131"/>
      <c r="H188" s="1"/>
      <c r="I188" s="1"/>
      <c r="J188" s="1"/>
      <c r="K188" s="1"/>
      <c r="L188" s="1"/>
      <c r="M188" s="1"/>
      <c r="N188" s="1"/>
      <c r="O188" s="1"/>
      <c r="P188" s="1"/>
      <c r="Q188" s="13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31"/>
      <c r="F189" s="131"/>
      <c r="G189" s="131"/>
      <c r="H189" s="1"/>
      <c r="I189" s="1"/>
      <c r="J189" s="1"/>
      <c r="K189" s="1"/>
      <c r="L189" s="1"/>
      <c r="M189" s="1"/>
      <c r="N189" s="1"/>
      <c r="O189" s="1"/>
      <c r="P189" s="1"/>
      <c r="Q189" s="13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31"/>
      <c r="F190" s="131"/>
      <c r="G190" s="131"/>
      <c r="H190" s="1"/>
      <c r="I190" s="1"/>
      <c r="J190" s="1"/>
      <c r="K190" s="1"/>
      <c r="L190" s="1"/>
      <c r="M190" s="1"/>
      <c r="N190" s="1"/>
      <c r="O190" s="1"/>
      <c r="P190" s="1"/>
      <c r="Q190" s="13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31"/>
      <c r="F191" s="131"/>
      <c r="G191" s="131"/>
      <c r="H191" s="1"/>
      <c r="I191" s="1"/>
      <c r="J191" s="1"/>
      <c r="K191" s="1"/>
      <c r="L191" s="1"/>
      <c r="M191" s="1"/>
      <c r="N191" s="1"/>
      <c r="O191" s="1"/>
      <c r="P191" s="1"/>
      <c r="Q191" s="13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31"/>
      <c r="F192" s="131"/>
      <c r="G192" s="131"/>
      <c r="H192" s="1"/>
      <c r="I192" s="1"/>
      <c r="J192" s="1"/>
      <c r="K192" s="1"/>
      <c r="L192" s="1"/>
      <c r="M192" s="1"/>
      <c r="N192" s="1"/>
      <c r="O192" s="1"/>
      <c r="P192" s="1"/>
      <c r="Q192" s="13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31"/>
      <c r="F193" s="131"/>
      <c r="G193" s="131"/>
      <c r="H193" s="1"/>
      <c r="I193" s="1"/>
      <c r="J193" s="1"/>
      <c r="K193" s="1"/>
      <c r="L193" s="1"/>
      <c r="M193" s="1"/>
      <c r="N193" s="1"/>
      <c r="O193" s="1"/>
      <c r="P193" s="1"/>
      <c r="Q193" s="13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31"/>
      <c r="F194" s="131"/>
      <c r="G194" s="131"/>
      <c r="H194" s="1"/>
      <c r="I194" s="1"/>
      <c r="J194" s="1"/>
      <c r="K194" s="1"/>
      <c r="L194" s="1"/>
      <c r="M194" s="1"/>
      <c r="N194" s="1"/>
      <c r="O194" s="1"/>
      <c r="P194" s="1"/>
      <c r="Q194" s="13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31"/>
      <c r="F195" s="131"/>
      <c r="G195" s="131"/>
      <c r="H195" s="1"/>
      <c r="I195" s="1"/>
      <c r="J195" s="1"/>
      <c r="K195" s="1"/>
      <c r="L195" s="1"/>
      <c r="M195" s="1"/>
      <c r="N195" s="1"/>
      <c r="O195" s="1"/>
      <c r="P195" s="1"/>
      <c r="Q195" s="13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31"/>
      <c r="F196" s="131"/>
      <c r="G196" s="131"/>
      <c r="H196" s="1"/>
      <c r="I196" s="1"/>
      <c r="J196" s="1"/>
      <c r="K196" s="1"/>
      <c r="L196" s="1"/>
      <c r="M196" s="1"/>
      <c r="N196" s="1"/>
      <c r="O196" s="1"/>
      <c r="P196" s="1"/>
      <c r="Q196" s="13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31"/>
      <c r="F197" s="131"/>
      <c r="G197" s="131"/>
      <c r="H197" s="1"/>
      <c r="I197" s="1"/>
      <c r="J197" s="1"/>
      <c r="K197" s="1"/>
      <c r="L197" s="1"/>
      <c r="M197" s="1"/>
      <c r="N197" s="1"/>
      <c r="O197" s="1"/>
      <c r="P197" s="1"/>
      <c r="Q197" s="13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31"/>
      <c r="F198" s="131"/>
      <c r="G198" s="131"/>
      <c r="H198" s="1"/>
      <c r="I198" s="1"/>
      <c r="J198" s="1"/>
      <c r="K198" s="1"/>
      <c r="L198" s="1"/>
      <c r="M198" s="1"/>
      <c r="N198" s="1"/>
      <c r="O198" s="1"/>
      <c r="P198" s="1"/>
      <c r="Q198" s="13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31"/>
      <c r="F199" s="131"/>
      <c r="G199" s="131"/>
      <c r="H199" s="1"/>
      <c r="I199" s="1"/>
      <c r="J199" s="1"/>
      <c r="K199" s="1"/>
      <c r="L199" s="1"/>
      <c r="M199" s="1"/>
      <c r="N199" s="1"/>
      <c r="O199" s="1"/>
      <c r="P199" s="1"/>
      <c r="Q199" s="13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31"/>
      <c r="F200" s="131"/>
      <c r="G200" s="131"/>
      <c r="H200" s="1"/>
      <c r="I200" s="1"/>
      <c r="J200" s="1"/>
      <c r="K200" s="1"/>
      <c r="L200" s="1"/>
      <c r="M200" s="1"/>
      <c r="N200" s="1"/>
      <c r="O200" s="1"/>
      <c r="P200" s="1"/>
      <c r="Q200" s="13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31"/>
      <c r="F201" s="131"/>
      <c r="G201" s="131"/>
      <c r="H201" s="1"/>
      <c r="I201" s="1"/>
      <c r="J201" s="1"/>
      <c r="K201" s="1"/>
      <c r="L201" s="1"/>
      <c r="M201" s="1"/>
      <c r="N201" s="1"/>
      <c r="O201" s="1"/>
      <c r="P201" s="1"/>
      <c r="Q201" s="13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31"/>
      <c r="F202" s="131"/>
      <c r="G202" s="131"/>
      <c r="H202" s="1"/>
      <c r="I202" s="1"/>
      <c r="J202" s="1"/>
      <c r="K202" s="1"/>
      <c r="L202" s="1"/>
      <c r="M202" s="1"/>
      <c r="N202" s="1"/>
      <c r="O202" s="1"/>
      <c r="P202" s="1"/>
      <c r="Q202" s="13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31"/>
      <c r="F203" s="131"/>
      <c r="G203" s="131"/>
      <c r="H203" s="1"/>
      <c r="I203" s="1"/>
      <c r="J203" s="1"/>
      <c r="K203" s="1"/>
      <c r="L203" s="1"/>
      <c r="M203" s="1"/>
      <c r="N203" s="1"/>
      <c r="O203" s="1"/>
      <c r="P203" s="1"/>
      <c r="Q203" s="13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31"/>
      <c r="F204" s="131"/>
      <c r="G204" s="131"/>
      <c r="H204" s="1"/>
      <c r="I204" s="1"/>
      <c r="J204" s="1"/>
      <c r="K204" s="1"/>
      <c r="L204" s="1"/>
      <c r="M204" s="1"/>
      <c r="N204" s="1"/>
      <c r="O204" s="1"/>
      <c r="P204" s="1"/>
      <c r="Q204" s="13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31"/>
      <c r="F205" s="131"/>
      <c r="G205" s="131"/>
      <c r="H205" s="1"/>
      <c r="I205" s="1"/>
      <c r="J205" s="1"/>
      <c r="K205" s="1"/>
      <c r="L205" s="1"/>
      <c r="M205" s="1"/>
      <c r="N205" s="1"/>
      <c r="O205" s="1"/>
      <c r="P205" s="1"/>
      <c r="Q205" s="13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31"/>
      <c r="F206" s="131"/>
      <c r="G206" s="131"/>
      <c r="H206" s="1"/>
      <c r="I206" s="1"/>
      <c r="J206" s="1"/>
      <c r="K206" s="1"/>
      <c r="L206" s="1"/>
      <c r="M206" s="1"/>
      <c r="N206" s="1"/>
      <c r="O206" s="1"/>
      <c r="P206" s="1"/>
      <c r="Q206" s="13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31"/>
      <c r="F207" s="131"/>
      <c r="G207" s="131"/>
      <c r="H207" s="1"/>
      <c r="I207" s="1"/>
      <c r="J207" s="1"/>
      <c r="K207" s="1"/>
      <c r="L207" s="1"/>
      <c r="M207" s="1"/>
      <c r="N207" s="1"/>
      <c r="O207" s="1"/>
      <c r="P207" s="1"/>
      <c r="Q207" s="13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31"/>
      <c r="F208" s="131"/>
      <c r="G208" s="131"/>
      <c r="H208" s="1"/>
      <c r="I208" s="1"/>
      <c r="J208" s="1"/>
      <c r="K208" s="1"/>
      <c r="L208" s="1"/>
      <c r="M208" s="1"/>
      <c r="N208" s="1"/>
      <c r="O208" s="1"/>
      <c r="P208" s="1"/>
      <c r="Q208" s="13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31"/>
      <c r="F209" s="131"/>
      <c r="G209" s="131"/>
      <c r="H209" s="1"/>
      <c r="I209" s="1"/>
      <c r="J209" s="1"/>
      <c r="K209" s="1"/>
      <c r="L209" s="1"/>
      <c r="M209" s="1"/>
      <c r="N209" s="1"/>
      <c r="O209" s="1"/>
      <c r="P209" s="1"/>
      <c r="Q209" s="13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31"/>
      <c r="F210" s="131"/>
      <c r="G210" s="131"/>
      <c r="H210" s="1"/>
      <c r="I210" s="1"/>
      <c r="J210" s="1"/>
      <c r="K210" s="1"/>
      <c r="L210" s="1"/>
      <c r="M210" s="1"/>
      <c r="N210" s="1"/>
      <c r="O210" s="1"/>
      <c r="P210" s="1"/>
      <c r="Q210" s="13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31"/>
      <c r="F211" s="131"/>
      <c r="G211" s="131"/>
      <c r="H211" s="1"/>
      <c r="I211" s="1"/>
      <c r="J211" s="1"/>
      <c r="K211" s="1"/>
      <c r="L211" s="1"/>
      <c r="M211" s="1"/>
      <c r="N211" s="1"/>
      <c r="O211" s="1"/>
      <c r="P211" s="1"/>
      <c r="Q211" s="13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31"/>
      <c r="F212" s="131"/>
      <c r="G212" s="131"/>
      <c r="H212" s="1"/>
      <c r="I212" s="1"/>
      <c r="J212" s="1"/>
      <c r="K212" s="1"/>
      <c r="L212" s="1"/>
      <c r="M212" s="1"/>
      <c r="N212" s="1"/>
      <c r="O212" s="1"/>
      <c r="P212" s="1"/>
      <c r="Q212" s="13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31"/>
      <c r="F213" s="131"/>
      <c r="G213" s="131"/>
      <c r="H213" s="1"/>
      <c r="I213" s="1"/>
      <c r="J213" s="1"/>
      <c r="K213" s="1"/>
      <c r="L213" s="1"/>
      <c r="M213" s="1"/>
      <c r="N213" s="1"/>
      <c r="O213" s="1"/>
      <c r="P213" s="1"/>
      <c r="Q213" s="13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31"/>
      <c r="F214" s="131"/>
      <c r="G214" s="131"/>
      <c r="H214" s="1"/>
      <c r="I214" s="1"/>
      <c r="J214" s="1"/>
      <c r="K214" s="1"/>
      <c r="L214" s="1"/>
      <c r="M214" s="1"/>
      <c r="N214" s="1"/>
      <c r="O214" s="1"/>
      <c r="P214" s="1"/>
      <c r="Q214" s="13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31"/>
      <c r="F215" s="131"/>
      <c r="G215" s="131"/>
      <c r="H215" s="1"/>
      <c r="I215" s="1"/>
      <c r="J215" s="1"/>
      <c r="K215" s="1"/>
      <c r="L215" s="1"/>
      <c r="M215" s="1"/>
      <c r="N215" s="1"/>
      <c r="O215" s="1"/>
      <c r="P215" s="1"/>
      <c r="Q215" s="13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31"/>
      <c r="F216" s="131"/>
      <c r="G216" s="131"/>
      <c r="H216" s="1"/>
      <c r="I216" s="1"/>
      <c r="J216" s="1"/>
      <c r="K216" s="1"/>
      <c r="L216" s="1"/>
      <c r="M216" s="1"/>
      <c r="N216" s="1"/>
      <c r="O216" s="1"/>
      <c r="P216" s="1"/>
      <c r="Q216" s="13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31"/>
      <c r="F217" s="131"/>
      <c r="G217" s="131"/>
      <c r="H217" s="1"/>
      <c r="I217" s="1"/>
      <c r="J217" s="1"/>
      <c r="K217" s="1"/>
      <c r="L217" s="1"/>
      <c r="M217" s="1"/>
      <c r="N217" s="1"/>
      <c r="O217" s="1"/>
      <c r="P217" s="1"/>
      <c r="Q217" s="13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31"/>
      <c r="F218" s="131"/>
      <c r="G218" s="131"/>
      <c r="H218" s="1"/>
      <c r="I218" s="1"/>
      <c r="J218" s="1"/>
      <c r="K218" s="1"/>
      <c r="L218" s="1"/>
      <c r="M218" s="1"/>
      <c r="N218" s="1"/>
      <c r="O218" s="1"/>
      <c r="P218" s="1"/>
      <c r="Q218" s="13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31"/>
      <c r="F219" s="131"/>
      <c r="G219" s="131"/>
      <c r="H219" s="1"/>
      <c r="I219" s="1"/>
      <c r="J219" s="1"/>
      <c r="K219" s="1"/>
      <c r="L219" s="1"/>
      <c r="M219" s="1"/>
      <c r="N219" s="1"/>
      <c r="O219" s="1"/>
      <c r="P219" s="1"/>
      <c r="Q219" s="13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31"/>
      <c r="F220" s="131"/>
      <c r="G220" s="131"/>
      <c r="H220" s="1"/>
      <c r="I220" s="1"/>
      <c r="J220" s="1"/>
      <c r="K220" s="1"/>
      <c r="L220" s="1"/>
      <c r="M220" s="1"/>
      <c r="N220" s="1"/>
      <c r="O220" s="1"/>
      <c r="P220" s="1"/>
      <c r="Q220" s="13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31"/>
      <c r="F221" s="131"/>
      <c r="G221" s="131"/>
      <c r="H221" s="1"/>
      <c r="I221" s="1"/>
      <c r="J221" s="1"/>
      <c r="K221" s="1"/>
      <c r="L221" s="1"/>
      <c r="M221" s="1"/>
      <c r="N221" s="1"/>
      <c r="O221" s="1"/>
      <c r="P221" s="1"/>
      <c r="Q221" s="13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31"/>
      <c r="F222" s="131"/>
      <c r="G222" s="131"/>
      <c r="H222" s="1"/>
      <c r="I222" s="1"/>
      <c r="J222" s="1"/>
      <c r="K222" s="1"/>
      <c r="L222" s="1"/>
      <c r="M222" s="1"/>
      <c r="N222" s="1"/>
      <c r="O222" s="1"/>
      <c r="P222" s="1"/>
      <c r="Q222" s="13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31"/>
      <c r="F223" s="131"/>
      <c r="G223" s="131"/>
      <c r="H223" s="1"/>
      <c r="I223" s="1"/>
      <c r="J223" s="1"/>
      <c r="K223" s="1"/>
      <c r="L223" s="1"/>
      <c r="M223" s="1"/>
      <c r="N223" s="1"/>
      <c r="O223" s="1"/>
      <c r="P223" s="1"/>
      <c r="Q223" s="13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31"/>
      <c r="F224" s="131"/>
      <c r="G224" s="131"/>
      <c r="H224" s="1"/>
      <c r="I224" s="1"/>
      <c r="J224" s="1"/>
      <c r="K224" s="1"/>
      <c r="L224" s="1"/>
      <c r="M224" s="1"/>
      <c r="N224" s="1"/>
      <c r="O224" s="1"/>
      <c r="P224" s="1"/>
      <c r="Q224" s="13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31"/>
      <c r="F225" s="131"/>
      <c r="G225" s="131"/>
      <c r="H225" s="1"/>
      <c r="I225" s="1"/>
      <c r="J225" s="1"/>
      <c r="K225" s="1"/>
      <c r="L225" s="1"/>
      <c r="M225" s="1"/>
      <c r="N225" s="1"/>
      <c r="O225" s="1"/>
      <c r="P225" s="1"/>
      <c r="Q225" s="13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31"/>
      <c r="F226" s="131"/>
      <c r="G226" s="131"/>
      <c r="H226" s="1"/>
      <c r="I226" s="1"/>
      <c r="J226" s="1"/>
      <c r="K226" s="1"/>
      <c r="L226" s="1"/>
      <c r="M226" s="1"/>
      <c r="N226" s="1"/>
      <c r="O226" s="1"/>
      <c r="P226" s="1"/>
      <c r="Q226" s="13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31"/>
      <c r="F227" s="131"/>
      <c r="G227" s="131"/>
      <c r="H227" s="1"/>
      <c r="I227" s="1"/>
      <c r="J227" s="1"/>
      <c r="K227" s="1"/>
      <c r="L227" s="1"/>
      <c r="M227" s="1"/>
      <c r="N227" s="1"/>
      <c r="O227" s="1"/>
      <c r="P227" s="1"/>
      <c r="Q227" s="13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31"/>
      <c r="F228" s="131"/>
      <c r="G228" s="131"/>
      <c r="H228" s="1"/>
      <c r="I228" s="1"/>
      <c r="J228" s="1"/>
      <c r="K228" s="1"/>
      <c r="L228" s="1"/>
      <c r="M228" s="1"/>
      <c r="N228" s="1"/>
      <c r="O228" s="1"/>
      <c r="P228" s="1"/>
      <c r="Q228" s="13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31"/>
      <c r="F229" s="131"/>
      <c r="G229" s="131"/>
      <c r="H229" s="1"/>
      <c r="I229" s="1"/>
      <c r="J229" s="1"/>
      <c r="K229" s="1"/>
      <c r="L229" s="1"/>
      <c r="M229" s="1"/>
      <c r="N229" s="1"/>
      <c r="O229" s="1"/>
      <c r="P229" s="1"/>
      <c r="Q229" s="13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31"/>
      <c r="F230" s="131"/>
      <c r="G230" s="131"/>
      <c r="H230" s="1"/>
      <c r="I230" s="1"/>
      <c r="J230" s="1"/>
      <c r="K230" s="1"/>
      <c r="L230" s="1"/>
      <c r="M230" s="1"/>
      <c r="N230" s="1"/>
      <c r="O230" s="1"/>
      <c r="P230" s="1"/>
      <c r="Q230" s="13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31"/>
      <c r="F231" s="131"/>
      <c r="G231" s="131"/>
      <c r="H231" s="1"/>
      <c r="I231" s="1"/>
      <c r="J231" s="1"/>
      <c r="K231" s="1"/>
      <c r="L231" s="1"/>
      <c r="M231" s="1"/>
      <c r="N231" s="1"/>
      <c r="O231" s="1"/>
      <c r="P231" s="1"/>
      <c r="Q231" s="13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31"/>
      <c r="F232" s="131"/>
      <c r="G232" s="131"/>
      <c r="H232" s="1"/>
      <c r="I232" s="1"/>
      <c r="J232" s="1"/>
      <c r="K232" s="1"/>
      <c r="L232" s="1"/>
      <c r="M232" s="1"/>
      <c r="N232" s="1"/>
      <c r="O232" s="1"/>
      <c r="P232" s="1"/>
      <c r="Q232" s="13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31"/>
      <c r="F233" s="131"/>
      <c r="G233" s="131"/>
      <c r="H233" s="1"/>
      <c r="I233" s="1"/>
      <c r="J233" s="1"/>
      <c r="K233" s="1"/>
      <c r="L233" s="1"/>
      <c r="M233" s="1"/>
      <c r="N233" s="1"/>
      <c r="O233" s="1"/>
      <c r="P233" s="1"/>
      <c r="Q233" s="13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31"/>
      <c r="F234" s="131"/>
      <c r="G234" s="131"/>
      <c r="H234" s="1"/>
      <c r="I234" s="1"/>
      <c r="J234" s="1"/>
      <c r="K234" s="1"/>
      <c r="L234" s="1"/>
      <c r="M234" s="1"/>
      <c r="N234" s="1"/>
      <c r="O234" s="1"/>
      <c r="P234" s="1"/>
      <c r="Q234" s="13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31"/>
      <c r="F235" s="131"/>
      <c r="G235" s="131"/>
      <c r="H235" s="1"/>
      <c r="I235" s="1"/>
      <c r="J235" s="1"/>
      <c r="K235" s="1"/>
      <c r="L235" s="1"/>
      <c r="M235" s="1"/>
      <c r="N235" s="1"/>
      <c r="O235" s="1"/>
      <c r="P235" s="1"/>
      <c r="Q235" s="13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31"/>
      <c r="F236" s="131"/>
      <c r="G236" s="131"/>
      <c r="H236" s="1"/>
      <c r="I236" s="1"/>
      <c r="J236" s="1"/>
      <c r="K236" s="1"/>
      <c r="L236" s="1"/>
      <c r="M236" s="1"/>
      <c r="N236" s="1"/>
      <c r="O236" s="1"/>
      <c r="P236" s="1"/>
      <c r="Q236" s="13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31"/>
      <c r="F237" s="131"/>
      <c r="G237" s="131"/>
      <c r="H237" s="1"/>
      <c r="I237" s="1"/>
      <c r="J237" s="1"/>
      <c r="K237" s="1"/>
      <c r="L237" s="1"/>
      <c r="M237" s="1"/>
      <c r="N237" s="1"/>
      <c r="O237" s="1"/>
      <c r="P237" s="1"/>
      <c r="Q237" s="13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31"/>
      <c r="F238" s="131"/>
      <c r="G238" s="131"/>
      <c r="H238" s="1"/>
      <c r="I238" s="1"/>
      <c r="J238" s="1"/>
      <c r="K238" s="1"/>
      <c r="L238" s="1"/>
      <c r="M238" s="1"/>
      <c r="N238" s="1"/>
      <c r="O238" s="1"/>
      <c r="P238" s="1"/>
      <c r="Q238" s="13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31"/>
      <c r="F239" s="131"/>
      <c r="G239" s="131"/>
      <c r="H239" s="1"/>
      <c r="I239" s="1"/>
      <c r="J239" s="1"/>
      <c r="K239" s="1"/>
      <c r="L239" s="1"/>
      <c r="M239" s="1"/>
      <c r="N239" s="1"/>
      <c r="O239" s="1"/>
      <c r="P239" s="1"/>
      <c r="Q239" s="13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31"/>
      <c r="F240" s="131"/>
      <c r="G240" s="131"/>
      <c r="H240" s="1"/>
      <c r="I240" s="1"/>
      <c r="J240" s="1"/>
      <c r="K240" s="1"/>
      <c r="L240" s="1"/>
      <c r="M240" s="1"/>
      <c r="N240" s="1"/>
      <c r="O240" s="1"/>
      <c r="P240" s="1"/>
      <c r="Q240" s="13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31"/>
      <c r="F241" s="131"/>
      <c r="G241" s="131"/>
      <c r="H241" s="1"/>
      <c r="I241" s="1"/>
      <c r="J241" s="1"/>
      <c r="K241" s="1"/>
      <c r="L241" s="1"/>
      <c r="M241" s="1"/>
      <c r="N241" s="1"/>
      <c r="O241" s="1"/>
      <c r="P241" s="1"/>
      <c r="Q241" s="13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31"/>
      <c r="F242" s="131"/>
      <c r="G242" s="131"/>
      <c r="H242" s="1"/>
      <c r="I242" s="1"/>
      <c r="J242" s="1"/>
      <c r="K242" s="1"/>
      <c r="L242" s="1"/>
      <c r="M242" s="1"/>
      <c r="N242" s="1"/>
      <c r="O242" s="1"/>
      <c r="P242" s="1"/>
      <c r="Q242" s="13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31"/>
      <c r="F243" s="131"/>
      <c r="G243" s="131"/>
      <c r="H243" s="1"/>
      <c r="I243" s="1"/>
      <c r="J243" s="1"/>
      <c r="K243" s="1"/>
      <c r="L243" s="1"/>
      <c r="M243" s="1"/>
      <c r="N243" s="1"/>
      <c r="O243" s="1"/>
      <c r="P243" s="1"/>
      <c r="Q243" s="13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31"/>
      <c r="F244" s="131"/>
      <c r="G244" s="131"/>
      <c r="H244" s="1"/>
      <c r="I244" s="1"/>
      <c r="J244" s="1"/>
      <c r="K244" s="1"/>
      <c r="L244" s="1"/>
      <c r="M244" s="1"/>
      <c r="N244" s="1"/>
      <c r="O244" s="1"/>
      <c r="P244" s="1"/>
      <c r="Q244" s="13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31"/>
      <c r="F245" s="131"/>
      <c r="G245" s="131"/>
      <c r="H245" s="1"/>
      <c r="I245" s="1"/>
      <c r="J245" s="1"/>
      <c r="K245" s="1"/>
      <c r="L245" s="1"/>
      <c r="M245" s="1"/>
      <c r="N245" s="1"/>
      <c r="O245" s="1"/>
      <c r="P245" s="1"/>
      <c r="Q245" s="13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31"/>
      <c r="F246" s="131"/>
      <c r="G246" s="131"/>
      <c r="H246" s="1"/>
      <c r="I246" s="1"/>
      <c r="J246" s="1"/>
      <c r="K246" s="1"/>
      <c r="L246" s="1"/>
      <c r="M246" s="1"/>
      <c r="N246" s="1"/>
      <c r="O246" s="1"/>
      <c r="P246" s="1"/>
      <c r="Q246" s="13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31"/>
      <c r="F247" s="131"/>
      <c r="G247" s="131"/>
      <c r="H247" s="1"/>
      <c r="I247" s="1"/>
      <c r="J247" s="1"/>
      <c r="K247" s="1"/>
      <c r="L247" s="1"/>
      <c r="M247" s="1"/>
      <c r="N247" s="1"/>
      <c r="O247" s="1"/>
      <c r="P247" s="1"/>
      <c r="Q247" s="13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31"/>
      <c r="F248" s="131"/>
      <c r="G248" s="131"/>
      <c r="H248" s="1"/>
      <c r="I248" s="1"/>
      <c r="J248" s="1"/>
      <c r="K248" s="1"/>
      <c r="L248" s="1"/>
      <c r="M248" s="1"/>
      <c r="N248" s="1"/>
      <c r="O248" s="1"/>
      <c r="P248" s="1"/>
      <c r="Q248" s="13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31"/>
      <c r="F249" s="131"/>
      <c r="G249" s="131"/>
      <c r="H249" s="1"/>
      <c r="I249" s="1"/>
      <c r="J249" s="1"/>
      <c r="K249" s="1"/>
      <c r="L249" s="1"/>
      <c r="M249" s="1"/>
      <c r="N249" s="1"/>
      <c r="O249" s="1"/>
      <c r="P249" s="1"/>
      <c r="Q249" s="13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31"/>
      <c r="F250" s="131"/>
      <c r="G250" s="131"/>
      <c r="H250" s="1"/>
      <c r="I250" s="1"/>
      <c r="J250" s="1"/>
      <c r="K250" s="1"/>
      <c r="L250" s="1"/>
      <c r="M250" s="1"/>
      <c r="N250" s="1"/>
      <c r="O250" s="1"/>
      <c r="P250" s="1"/>
      <c r="Q250" s="13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31"/>
      <c r="F251" s="131"/>
      <c r="G251" s="131"/>
      <c r="H251" s="1"/>
      <c r="I251" s="1"/>
      <c r="J251" s="1"/>
      <c r="K251" s="1"/>
      <c r="L251" s="1"/>
      <c r="M251" s="1"/>
      <c r="N251" s="1"/>
      <c r="O251" s="1"/>
      <c r="P251" s="1"/>
      <c r="Q251" s="13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31"/>
      <c r="F252" s="131"/>
      <c r="G252" s="131"/>
      <c r="H252" s="1"/>
      <c r="I252" s="1"/>
      <c r="J252" s="1"/>
      <c r="K252" s="1"/>
      <c r="L252" s="1"/>
      <c r="M252" s="1"/>
      <c r="N252" s="1"/>
      <c r="O252" s="1"/>
      <c r="P252" s="1"/>
      <c r="Q252" s="13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31"/>
      <c r="F253" s="131"/>
      <c r="G253" s="131"/>
      <c r="H253" s="1"/>
      <c r="I253" s="1"/>
      <c r="J253" s="1"/>
      <c r="K253" s="1"/>
      <c r="L253" s="1"/>
      <c r="M253" s="1"/>
      <c r="N253" s="1"/>
      <c r="O253" s="1"/>
      <c r="P253" s="1"/>
      <c r="Q253" s="13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31"/>
      <c r="F254" s="131"/>
      <c r="G254" s="131"/>
      <c r="H254" s="1"/>
      <c r="I254" s="1"/>
      <c r="J254" s="1"/>
      <c r="K254" s="1"/>
      <c r="L254" s="1"/>
      <c r="M254" s="1"/>
      <c r="N254" s="1"/>
      <c r="O254" s="1"/>
      <c r="P254" s="1"/>
      <c r="Q254" s="13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31"/>
      <c r="F255" s="131"/>
      <c r="G255" s="131"/>
      <c r="H255" s="1"/>
      <c r="I255" s="1"/>
      <c r="J255" s="1"/>
      <c r="K255" s="1"/>
      <c r="L255" s="1"/>
      <c r="M255" s="1"/>
      <c r="N255" s="1"/>
      <c r="O255" s="1"/>
      <c r="P255" s="1"/>
      <c r="Q255" s="13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31"/>
      <c r="F256" s="131"/>
      <c r="G256" s="131"/>
      <c r="H256" s="1"/>
      <c r="I256" s="1"/>
      <c r="J256" s="1"/>
      <c r="K256" s="1"/>
      <c r="L256" s="1"/>
      <c r="M256" s="1"/>
      <c r="N256" s="1"/>
      <c r="O256" s="1"/>
      <c r="P256" s="1"/>
      <c r="Q256" s="13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31"/>
      <c r="F257" s="131"/>
      <c r="G257" s="131"/>
      <c r="H257" s="1"/>
      <c r="I257" s="1"/>
      <c r="J257" s="1"/>
      <c r="K257" s="1"/>
      <c r="L257" s="1"/>
      <c r="M257" s="1"/>
      <c r="N257" s="1"/>
      <c r="O257" s="1"/>
      <c r="P257" s="1"/>
      <c r="Q257" s="13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31"/>
      <c r="F258" s="131"/>
      <c r="G258" s="131"/>
      <c r="H258" s="1"/>
      <c r="I258" s="1"/>
      <c r="J258" s="1"/>
      <c r="K258" s="1"/>
      <c r="L258" s="1"/>
      <c r="M258" s="1"/>
      <c r="N258" s="1"/>
      <c r="O258" s="1"/>
      <c r="P258" s="1"/>
      <c r="Q258" s="13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31"/>
      <c r="F259" s="131"/>
      <c r="G259" s="131"/>
      <c r="H259" s="1"/>
      <c r="I259" s="1"/>
      <c r="J259" s="1"/>
      <c r="K259" s="1"/>
      <c r="L259" s="1"/>
      <c r="M259" s="1"/>
      <c r="N259" s="1"/>
      <c r="O259" s="1"/>
      <c r="P259" s="1"/>
      <c r="Q259" s="13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31"/>
      <c r="F260" s="131"/>
      <c r="G260" s="131"/>
      <c r="H260" s="1"/>
      <c r="I260" s="1"/>
      <c r="J260" s="1"/>
      <c r="K260" s="1"/>
      <c r="L260" s="1"/>
      <c r="M260" s="1"/>
      <c r="N260" s="1"/>
      <c r="O260" s="1"/>
      <c r="P260" s="1"/>
      <c r="Q260" s="13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31"/>
      <c r="F261" s="131"/>
      <c r="G261" s="131"/>
      <c r="H261" s="1"/>
      <c r="I261" s="1"/>
      <c r="J261" s="1"/>
      <c r="K261" s="1"/>
      <c r="L261" s="1"/>
      <c r="M261" s="1"/>
      <c r="N261" s="1"/>
      <c r="O261" s="1"/>
      <c r="P261" s="1"/>
      <c r="Q261" s="13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31"/>
      <c r="F262" s="131"/>
      <c r="G262" s="131"/>
      <c r="H262" s="1"/>
      <c r="I262" s="1"/>
      <c r="J262" s="1"/>
      <c r="K262" s="1"/>
      <c r="L262" s="1"/>
      <c r="M262" s="1"/>
      <c r="N262" s="1"/>
      <c r="O262" s="1"/>
      <c r="P262" s="1"/>
      <c r="Q262" s="13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31"/>
      <c r="F263" s="131"/>
      <c r="G263" s="131"/>
      <c r="H263" s="1"/>
      <c r="I263" s="1"/>
      <c r="J263" s="1"/>
      <c r="K263" s="1"/>
      <c r="L263" s="1"/>
      <c r="M263" s="1"/>
      <c r="N263" s="1"/>
      <c r="O263" s="1"/>
      <c r="P263" s="1"/>
      <c r="Q263" s="13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31"/>
      <c r="F264" s="131"/>
      <c r="G264" s="131"/>
      <c r="H264" s="1"/>
      <c r="I264" s="1"/>
      <c r="J264" s="1"/>
      <c r="K264" s="1"/>
      <c r="L264" s="1"/>
      <c r="M264" s="1"/>
      <c r="N264" s="1"/>
      <c r="O264" s="1"/>
      <c r="P264" s="1"/>
      <c r="Q264" s="13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31"/>
      <c r="F265" s="131"/>
      <c r="G265" s="131"/>
      <c r="H265" s="1"/>
      <c r="I265" s="1"/>
      <c r="J265" s="1"/>
      <c r="K265" s="1"/>
      <c r="L265" s="1"/>
      <c r="M265" s="1"/>
      <c r="N265" s="1"/>
      <c r="O265" s="1"/>
      <c r="P265" s="1"/>
      <c r="Q265" s="13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31"/>
      <c r="F266" s="131"/>
      <c r="G266" s="131"/>
      <c r="H266" s="1"/>
      <c r="I266" s="1"/>
      <c r="J266" s="1"/>
      <c r="K266" s="1"/>
      <c r="L266" s="1"/>
      <c r="M266" s="1"/>
      <c r="N266" s="1"/>
      <c r="O266" s="1"/>
      <c r="P266" s="1"/>
      <c r="Q266" s="13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31"/>
      <c r="F267" s="131"/>
      <c r="G267" s="131"/>
      <c r="H267" s="1"/>
      <c r="I267" s="1"/>
      <c r="J267" s="1"/>
      <c r="K267" s="1"/>
      <c r="L267" s="1"/>
      <c r="M267" s="1"/>
      <c r="N267" s="1"/>
      <c r="O267" s="1"/>
      <c r="P267" s="1"/>
      <c r="Q267" s="13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31"/>
      <c r="F268" s="131"/>
      <c r="G268" s="131"/>
      <c r="H268" s="1"/>
      <c r="I268" s="1"/>
      <c r="J268" s="1"/>
      <c r="K268" s="1"/>
      <c r="L268" s="1"/>
      <c r="M268" s="1"/>
      <c r="N268" s="1"/>
      <c r="O268" s="1"/>
      <c r="P268" s="1"/>
      <c r="Q268" s="13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31"/>
      <c r="F269" s="131"/>
      <c r="G269" s="131"/>
      <c r="H269" s="1"/>
      <c r="I269" s="1"/>
      <c r="J269" s="1"/>
      <c r="K269" s="1"/>
      <c r="L269" s="1"/>
      <c r="M269" s="1"/>
      <c r="N269" s="1"/>
      <c r="O269" s="1"/>
      <c r="P269" s="1"/>
      <c r="Q269" s="13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31"/>
      <c r="F270" s="131"/>
      <c r="G270" s="131"/>
      <c r="H270" s="1"/>
      <c r="I270" s="1"/>
      <c r="J270" s="1"/>
      <c r="K270" s="1"/>
      <c r="L270" s="1"/>
      <c r="M270" s="1"/>
      <c r="N270" s="1"/>
      <c r="O270" s="1"/>
      <c r="P270" s="1"/>
      <c r="Q270" s="13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31"/>
      <c r="F271" s="131"/>
      <c r="G271" s="131"/>
      <c r="H271" s="1"/>
      <c r="I271" s="1"/>
      <c r="J271" s="1"/>
      <c r="K271" s="1"/>
      <c r="L271" s="1"/>
      <c r="M271" s="1"/>
      <c r="N271" s="1"/>
      <c r="O271" s="1"/>
      <c r="P271" s="1"/>
      <c r="Q271" s="13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31"/>
      <c r="F272" s="131"/>
      <c r="G272" s="131"/>
      <c r="H272" s="1"/>
      <c r="I272" s="1"/>
      <c r="J272" s="1"/>
      <c r="K272" s="1"/>
      <c r="L272" s="1"/>
      <c r="M272" s="1"/>
      <c r="N272" s="1"/>
      <c r="O272" s="1"/>
      <c r="P272" s="1"/>
      <c r="Q272" s="13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31"/>
      <c r="F273" s="131"/>
      <c r="G273" s="131"/>
      <c r="H273" s="1"/>
      <c r="I273" s="1"/>
      <c r="J273" s="1"/>
      <c r="K273" s="1"/>
      <c r="L273" s="1"/>
      <c r="M273" s="1"/>
      <c r="N273" s="1"/>
      <c r="O273" s="1"/>
      <c r="P273" s="1"/>
      <c r="Q273" s="13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31"/>
      <c r="F274" s="131"/>
      <c r="G274" s="131"/>
      <c r="H274" s="1"/>
      <c r="I274" s="1"/>
      <c r="J274" s="1"/>
      <c r="K274" s="1"/>
      <c r="L274" s="1"/>
      <c r="M274" s="1"/>
      <c r="N274" s="1"/>
      <c r="O274" s="1"/>
      <c r="P274" s="1"/>
      <c r="Q274" s="13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31"/>
      <c r="F275" s="131"/>
      <c r="G275" s="131"/>
      <c r="H275" s="1"/>
      <c r="I275" s="1"/>
      <c r="J275" s="1"/>
      <c r="K275" s="1"/>
      <c r="L275" s="1"/>
      <c r="M275" s="1"/>
      <c r="N275" s="1"/>
      <c r="O275" s="1"/>
      <c r="P275" s="1"/>
      <c r="Q275" s="13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31"/>
      <c r="F276" s="131"/>
      <c r="G276" s="131"/>
      <c r="H276" s="1"/>
      <c r="I276" s="1"/>
      <c r="J276" s="1"/>
      <c r="K276" s="1"/>
      <c r="L276" s="1"/>
      <c r="M276" s="1"/>
      <c r="N276" s="1"/>
      <c r="O276" s="1"/>
      <c r="P276" s="1"/>
      <c r="Q276" s="13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31"/>
      <c r="F277" s="131"/>
      <c r="G277" s="131"/>
      <c r="H277" s="1"/>
      <c r="I277" s="1"/>
      <c r="J277" s="1"/>
      <c r="K277" s="1"/>
      <c r="L277" s="1"/>
      <c r="M277" s="1"/>
      <c r="N277" s="1"/>
      <c r="O277" s="1"/>
      <c r="P277" s="1"/>
      <c r="Q277" s="13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31"/>
      <c r="F278" s="131"/>
      <c r="G278" s="131"/>
      <c r="H278" s="1"/>
      <c r="I278" s="1"/>
      <c r="J278" s="1"/>
      <c r="K278" s="1"/>
      <c r="L278" s="1"/>
      <c r="M278" s="1"/>
      <c r="N278" s="1"/>
      <c r="O278" s="1"/>
      <c r="P278" s="1"/>
      <c r="Q278" s="13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31"/>
      <c r="F279" s="131"/>
      <c r="G279" s="131"/>
      <c r="H279" s="1"/>
      <c r="I279" s="1"/>
      <c r="J279" s="1"/>
      <c r="K279" s="1"/>
      <c r="L279" s="1"/>
      <c r="M279" s="1"/>
      <c r="N279" s="1"/>
      <c r="O279" s="1"/>
      <c r="P279" s="1"/>
      <c r="Q279" s="13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31"/>
      <c r="F280" s="131"/>
      <c r="G280" s="131"/>
      <c r="H280" s="1"/>
      <c r="I280" s="1"/>
      <c r="J280" s="1"/>
      <c r="K280" s="1"/>
      <c r="L280" s="1"/>
      <c r="M280" s="1"/>
      <c r="N280" s="1"/>
      <c r="O280" s="1"/>
      <c r="P280" s="1"/>
      <c r="Q280" s="13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31"/>
      <c r="F281" s="131"/>
      <c r="G281" s="131"/>
      <c r="H281" s="1"/>
      <c r="I281" s="1"/>
      <c r="J281" s="1"/>
      <c r="K281" s="1"/>
      <c r="L281" s="1"/>
      <c r="M281" s="1"/>
      <c r="N281" s="1"/>
      <c r="O281" s="1"/>
      <c r="P281" s="1"/>
      <c r="Q281" s="13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31"/>
      <c r="F282" s="131"/>
      <c r="G282" s="131"/>
      <c r="H282" s="1"/>
      <c r="I282" s="1"/>
      <c r="J282" s="1"/>
      <c r="K282" s="1"/>
      <c r="L282" s="1"/>
      <c r="M282" s="1"/>
      <c r="N282" s="1"/>
      <c r="O282" s="1"/>
      <c r="P282" s="1"/>
      <c r="Q282" s="13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31"/>
      <c r="F283" s="131"/>
      <c r="G283" s="131"/>
      <c r="H283" s="1"/>
      <c r="I283" s="1"/>
      <c r="J283" s="1"/>
      <c r="K283" s="1"/>
      <c r="L283" s="1"/>
      <c r="M283" s="1"/>
      <c r="N283" s="1"/>
      <c r="O283" s="1"/>
      <c r="P283" s="1"/>
      <c r="Q283" s="13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31"/>
      <c r="F284" s="131"/>
      <c r="G284" s="131"/>
      <c r="H284" s="1"/>
      <c r="I284" s="1"/>
      <c r="J284" s="1"/>
      <c r="K284" s="1"/>
      <c r="L284" s="1"/>
      <c r="M284" s="1"/>
      <c r="N284" s="1"/>
      <c r="O284" s="1"/>
      <c r="P284" s="1"/>
      <c r="Q284" s="13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31"/>
      <c r="F285" s="131"/>
      <c r="G285" s="131"/>
      <c r="H285" s="1"/>
      <c r="I285" s="1"/>
      <c r="J285" s="1"/>
      <c r="K285" s="1"/>
      <c r="L285" s="1"/>
      <c r="M285" s="1"/>
      <c r="N285" s="1"/>
      <c r="O285" s="1"/>
      <c r="P285" s="1"/>
      <c r="Q285" s="13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31"/>
      <c r="F286" s="131"/>
      <c r="G286" s="131"/>
      <c r="H286" s="1"/>
      <c r="I286" s="1"/>
      <c r="J286" s="1"/>
      <c r="K286" s="1"/>
      <c r="L286" s="1"/>
      <c r="M286" s="1"/>
      <c r="N286" s="1"/>
      <c r="O286" s="1"/>
      <c r="P286" s="1"/>
      <c r="Q286" s="13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31"/>
      <c r="F287" s="131"/>
      <c r="G287" s="131"/>
      <c r="H287" s="1"/>
      <c r="I287" s="1"/>
      <c r="J287" s="1"/>
      <c r="K287" s="1"/>
      <c r="L287" s="1"/>
      <c r="M287" s="1"/>
      <c r="N287" s="1"/>
      <c r="O287" s="1"/>
      <c r="P287" s="1"/>
      <c r="Q287" s="13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31"/>
      <c r="F288" s="131"/>
      <c r="G288" s="131"/>
      <c r="H288" s="1"/>
      <c r="I288" s="1"/>
      <c r="J288" s="1"/>
      <c r="K288" s="1"/>
      <c r="L288" s="1"/>
      <c r="M288" s="1"/>
      <c r="N288" s="1"/>
      <c r="O288" s="1"/>
      <c r="P288" s="1"/>
      <c r="Q288" s="13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31"/>
      <c r="F289" s="131"/>
      <c r="G289" s="131"/>
      <c r="H289" s="1"/>
      <c r="I289" s="1"/>
      <c r="J289" s="1"/>
      <c r="K289" s="1"/>
      <c r="L289" s="1"/>
      <c r="M289" s="1"/>
      <c r="N289" s="1"/>
      <c r="O289" s="1"/>
      <c r="P289" s="1"/>
      <c r="Q289" s="13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31"/>
      <c r="F290" s="131"/>
      <c r="G290" s="131"/>
      <c r="H290" s="1"/>
      <c r="I290" s="1"/>
      <c r="J290" s="1"/>
      <c r="K290" s="1"/>
      <c r="L290" s="1"/>
      <c r="M290" s="1"/>
      <c r="N290" s="1"/>
      <c r="O290" s="1"/>
      <c r="P290" s="1"/>
      <c r="Q290" s="13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31"/>
      <c r="F291" s="131"/>
      <c r="G291" s="131"/>
      <c r="H291" s="1"/>
      <c r="I291" s="1"/>
      <c r="J291" s="1"/>
      <c r="K291" s="1"/>
      <c r="L291" s="1"/>
      <c r="M291" s="1"/>
      <c r="N291" s="1"/>
      <c r="O291" s="1"/>
      <c r="P291" s="1"/>
      <c r="Q291" s="13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31"/>
      <c r="F292" s="131"/>
      <c r="G292" s="131"/>
      <c r="H292" s="1"/>
      <c r="I292" s="1"/>
      <c r="J292" s="1"/>
      <c r="K292" s="1"/>
      <c r="L292" s="1"/>
      <c r="M292" s="1"/>
      <c r="N292" s="1"/>
      <c r="O292" s="1"/>
      <c r="P292" s="1"/>
      <c r="Q292" s="13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31"/>
      <c r="F293" s="131"/>
      <c r="G293" s="131"/>
      <c r="H293" s="1"/>
      <c r="I293" s="1"/>
      <c r="J293" s="1"/>
      <c r="K293" s="1"/>
      <c r="L293" s="1"/>
      <c r="M293" s="1"/>
      <c r="N293" s="1"/>
      <c r="O293" s="1"/>
      <c r="P293" s="1"/>
      <c r="Q293" s="13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31"/>
      <c r="F294" s="131"/>
      <c r="G294" s="131"/>
      <c r="H294" s="1"/>
      <c r="I294" s="1"/>
      <c r="J294" s="1"/>
      <c r="K294" s="1"/>
      <c r="L294" s="1"/>
      <c r="M294" s="1"/>
      <c r="N294" s="1"/>
      <c r="O294" s="1"/>
      <c r="P294" s="1"/>
      <c r="Q294" s="13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31"/>
      <c r="F295" s="131"/>
      <c r="G295" s="131"/>
      <c r="H295" s="1"/>
      <c r="I295" s="1"/>
      <c r="J295" s="1"/>
      <c r="K295" s="1"/>
      <c r="L295" s="1"/>
      <c r="M295" s="1"/>
      <c r="N295" s="1"/>
      <c r="O295" s="1"/>
      <c r="P295" s="1"/>
      <c r="Q295" s="13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31"/>
      <c r="F296" s="131"/>
      <c r="G296" s="131"/>
      <c r="H296" s="1"/>
      <c r="I296" s="1"/>
      <c r="J296" s="1"/>
      <c r="K296" s="1"/>
      <c r="L296" s="1"/>
      <c r="M296" s="1"/>
      <c r="N296" s="1"/>
      <c r="O296" s="1"/>
      <c r="P296" s="1"/>
      <c r="Q296" s="13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31"/>
      <c r="F297" s="131"/>
      <c r="G297" s="131"/>
      <c r="H297" s="1"/>
      <c r="I297" s="1"/>
      <c r="J297" s="1"/>
      <c r="K297" s="1"/>
      <c r="L297" s="1"/>
      <c r="M297" s="1"/>
      <c r="N297" s="1"/>
      <c r="O297" s="1"/>
      <c r="P297" s="1"/>
      <c r="Q297" s="13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31"/>
      <c r="F298" s="131"/>
      <c r="G298" s="131"/>
      <c r="H298" s="1"/>
      <c r="I298" s="1"/>
      <c r="J298" s="1"/>
      <c r="K298" s="1"/>
      <c r="L298" s="1"/>
      <c r="M298" s="1"/>
      <c r="N298" s="1"/>
      <c r="O298" s="1"/>
      <c r="P298" s="1"/>
      <c r="Q298" s="13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31"/>
      <c r="F299" s="131"/>
      <c r="G299" s="131"/>
      <c r="H299" s="1"/>
      <c r="I299" s="1"/>
      <c r="J299" s="1"/>
      <c r="K299" s="1"/>
      <c r="L299" s="1"/>
      <c r="M299" s="1"/>
      <c r="N299" s="1"/>
      <c r="O299" s="1"/>
      <c r="P299" s="1"/>
      <c r="Q299" s="13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31"/>
      <c r="F300" s="131"/>
      <c r="G300" s="131"/>
      <c r="H300" s="1"/>
      <c r="I300" s="1"/>
      <c r="J300" s="1"/>
      <c r="K300" s="1"/>
      <c r="L300" s="1"/>
      <c r="M300" s="1"/>
      <c r="N300" s="1"/>
      <c r="O300" s="1"/>
      <c r="P300" s="1"/>
      <c r="Q300" s="13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31"/>
      <c r="F301" s="131"/>
      <c r="G301" s="131"/>
      <c r="H301" s="1"/>
      <c r="I301" s="1"/>
      <c r="J301" s="1"/>
      <c r="K301" s="1"/>
      <c r="L301" s="1"/>
      <c r="M301" s="1"/>
      <c r="N301" s="1"/>
      <c r="O301" s="1"/>
      <c r="P301" s="1"/>
      <c r="Q301" s="13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31"/>
      <c r="F302" s="131"/>
      <c r="G302" s="131"/>
      <c r="H302" s="1"/>
      <c r="I302" s="1"/>
      <c r="J302" s="1"/>
      <c r="K302" s="1"/>
      <c r="L302" s="1"/>
      <c r="M302" s="1"/>
      <c r="N302" s="1"/>
      <c r="O302" s="1"/>
      <c r="P302" s="1"/>
      <c r="Q302" s="13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31"/>
      <c r="F303" s="131"/>
      <c r="G303" s="131"/>
      <c r="H303" s="1"/>
      <c r="I303" s="1"/>
      <c r="J303" s="1"/>
      <c r="K303" s="1"/>
      <c r="L303" s="1"/>
      <c r="M303" s="1"/>
      <c r="N303" s="1"/>
      <c r="O303" s="1"/>
      <c r="P303" s="1"/>
      <c r="Q303" s="13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31"/>
      <c r="F304" s="131"/>
      <c r="G304" s="131"/>
      <c r="H304" s="1"/>
      <c r="I304" s="1"/>
      <c r="J304" s="1"/>
      <c r="K304" s="1"/>
      <c r="L304" s="1"/>
      <c r="M304" s="1"/>
      <c r="N304" s="1"/>
      <c r="O304" s="1"/>
      <c r="P304" s="1"/>
      <c r="Q304" s="13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31"/>
      <c r="F305" s="131"/>
      <c r="G305" s="131"/>
      <c r="H305" s="1"/>
      <c r="I305" s="1"/>
      <c r="J305" s="1"/>
      <c r="K305" s="1"/>
      <c r="L305" s="1"/>
      <c r="M305" s="1"/>
      <c r="N305" s="1"/>
      <c r="O305" s="1"/>
      <c r="P305" s="1"/>
      <c r="Q305" s="13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31"/>
      <c r="F306" s="131"/>
      <c r="G306" s="131"/>
      <c r="H306" s="1"/>
      <c r="I306" s="1"/>
      <c r="J306" s="1"/>
      <c r="K306" s="1"/>
      <c r="L306" s="1"/>
      <c r="M306" s="1"/>
      <c r="N306" s="1"/>
      <c r="O306" s="1"/>
      <c r="P306" s="1"/>
      <c r="Q306" s="13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31"/>
      <c r="F307" s="131"/>
      <c r="G307" s="131"/>
      <c r="H307" s="1"/>
      <c r="I307" s="1"/>
      <c r="J307" s="1"/>
      <c r="K307" s="1"/>
      <c r="L307" s="1"/>
      <c r="M307" s="1"/>
      <c r="N307" s="1"/>
      <c r="O307" s="1"/>
      <c r="P307" s="1"/>
      <c r="Q307" s="13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31"/>
      <c r="F308" s="131"/>
      <c r="G308" s="131"/>
      <c r="H308" s="1"/>
      <c r="I308" s="1"/>
      <c r="J308" s="1"/>
      <c r="K308" s="1"/>
      <c r="L308" s="1"/>
      <c r="M308" s="1"/>
      <c r="N308" s="1"/>
      <c r="O308" s="1"/>
      <c r="P308" s="1"/>
      <c r="Q308" s="13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31"/>
      <c r="F309" s="131"/>
      <c r="G309" s="131"/>
      <c r="H309" s="1"/>
      <c r="I309" s="1"/>
      <c r="J309" s="1"/>
      <c r="K309" s="1"/>
      <c r="L309" s="1"/>
      <c r="M309" s="1"/>
      <c r="N309" s="1"/>
      <c r="O309" s="1"/>
      <c r="P309" s="1"/>
      <c r="Q309" s="13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31"/>
      <c r="F310" s="131"/>
      <c r="G310" s="131"/>
      <c r="H310" s="1"/>
      <c r="I310" s="1"/>
      <c r="J310" s="1"/>
      <c r="K310" s="1"/>
      <c r="L310" s="1"/>
      <c r="M310" s="1"/>
      <c r="N310" s="1"/>
      <c r="O310" s="1"/>
      <c r="P310" s="1"/>
      <c r="Q310" s="13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31"/>
      <c r="F311" s="131"/>
      <c r="G311" s="131"/>
      <c r="H311" s="1"/>
      <c r="I311" s="1"/>
      <c r="J311" s="1"/>
      <c r="K311" s="1"/>
      <c r="L311" s="1"/>
      <c r="M311" s="1"/>
      <c r="N311" s="1"/>
      <c r="O311" s="1"/>
      <c r="P311" s="1"/>
      <c r="Q311" s="13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31"/>
      <c r="F312" s="131"/>
      <c r="G312" s="131"/>
      <c r="H312" s="1"/>
      <c r="I312" s="1"/>
      <c r="J312" s="1"/>
      <c r="K312" s="1"/>
      <c r="L312" s="1"/>
      <c r="M312" s="1"/>
      <c r="N312" s="1"/>
      <c r="O312" s="1"/>
      <c r="P312" s="1"/>
      <c r="Q312" s="13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31"/>
      <c r="F313" s="131"/>
      <c r="G313" s="131"/>
      <c r="H313" s="1"/>
      <c r="I313" s="1"/>
      <c r="J313" s="1"/>
      <c r="K313" s="1"/>
      <c r="L313" s="1"/>
      <c r="M313" s="1"/>
      <c r="N313" s="1"/>
      <c r="O313" s="1"/>
      <c r="P313" s="1"/>
      <c r="Q313" s="13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31"/>
      <c r="F314" s="131"/>
      <c r="G314" s="131"/>
      <c r="H314" s="1"/>
      <c r="I314" s="1"/>
      <c r="J314" s="1"/>
      <c r="K314" s="1"/>
      <c r="L314" s="1"/>
      <c r="M314" s="1"/>
      <c r="N314" s="1"/>
      <c r="O314" s="1"/>
      <c r="P314" s="1"/>
      <c r="Q314" s="13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31"/>
      <c r="F315" s="131"/>
      <c r="G315" s="131"/>
      <c r="H315" s="1"/>
      <c r="I315" s="1"/>
      <c r="J315" s="1"/>
      <c r="K315" s="1"/>
      <c r="L315" s="1"/>
      <c r="M315" s="1"/>
      <c r="N315" s="1"/>
      <c r="O315" s="1"/>
      <c r="P315" s="1"/>
      <c r="Q315" s="13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31"/>
      <c r="F316" s="131"/>
      <c r="G316" s="131"/>
      <c r="H316" s="1"/>
      <c r="I316" s="1"/>
      <c r="J316" s="1"/>
      <c r="K316" s="1"/>
      <c r="L316" s="1"/>
      <c r="M316" s="1"/>
      <c r="N316" s="1"/>
      <c r="O316" s="1"/>
      <c r="P316" s="1"/>
      <c r="Q316" s="13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31"/>
      <c r="F317" s="131"/>
      <c r="G317" s="131"/>
      <c r="H317" s="1"/>
      <c r="I317" s="1"/>
      <c r="J317" s="1"/>
      <c r="K317" s="1"/>
      <c r="L317" s="1"/>
      <c r="M317" s="1"/>
      <c r="N317" s="1"/>
      <c r="O317" s="1"/>
      <c r="P317" s="1"/>
      <c r="Q317" s="13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31"/>
      <c r="F318" s="131"/>
      <c r="G318" s="131"/>
      <c r="H318" s="1"/>
      <c r="I318" s="1"/>
      <c r="J318" s="1"/>
      <c r="K318" s="1"/>
      <c r="L318" s="1"/>
      <c r="M318" s="1"/>
      <c r="N318" s="1"/>
      <c r="O318" s="1"/>
      <c r="P318" s="1"/>
      <c r="Q318" s="13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31"/>
      <c r="F319" s="131"/>
      <c r="G319" s="131"/>
      <c r="H319" s="1"/>
      <c r="I319" s="1"/>
      <c r="J319" s="1"/>
      <c r="K319" s="1"/>
      <c r="L319" s="1"/>
      <c r="M319" s="1"/>
      <c r="N319" s="1"/>
      <c r="O319" s="1"/>
      <c r="P319" s="1"/>
      <c r="Q319" s="13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31"/>
      <c r="F320" s="131"/>
      <c r="G320" s="131"/>
      <c r="H320" s="1"/>
      <c r="I320" s="1"/>
      <c r="J320" s="1"/>
      <c r="K320" s="1"/>
      <c r="L320" s="1"/>
      <c r="M320" s="1"/>
      <c r="N320" s="1"/>
      <c r="O320" s="1"/>
      <c r="P320" s="1"/>
      <c r="Q320" s="13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31"/>
      <c r="F321" s="131"/>
      <c r="G321" s="131"/>
      <c r="H321" s="1"/>
      <c r="I321" s="1"/>
      <c r="J321" s="1"/>
      <c r="K321" s="1"/>
      <c r="L321" s="1"/>
      <c r="M321" s="1"/>
      <c r="N321" s="1"/>
      <c r="O321" s="1"/>
      <c r="P321" s="1"/>
      <c r="Q321" s="13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31"/>
      <c r="F322" s="131"/>
      <c r="G322" s="131"/>
      <c r="H322" s="1"/>
      <c r="I322" s="1"/>
      <c r="J322" s="1"/>
      <c r="K322" s="1"/>
      <c r="L322" s="1"/>
      <c r="M322" s="1"/>
      <c r="N322" s="1"/>
      <c r="O322" s="1"/>
      <c r="P322" s="1"/>
      <c r="Q322" s="13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31"/>
      <c r="F323" s="131"/>
      <c r="G323" s="131"/>
      <c r="H323" s="1"/>
      <c r="I323" s="1"/>
      <c r="J323" s="1"/>
      <c r="K323" s="1"/>
      <c r="L323" s="1"/>
      <c r="M323" s="1"/>
      <c r="N323" s="1"/>
      <c r="O323" s="1"/>
      <c r="P323" s="1"/>
      <c r="Q323" s="13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31"/>
      <c r="F324" s="131"/>
      <c r="G324" s="131"/>
      <c r="H324" s="1"/>
      <c r="I324" s="1"/>
      <c r="J324" s="1"/>
      <c r="K324" s="1"/>
      <c r="L324" s="1"/>
      <c r="M324" s="1"/>
      <c r="N324" s="1"/>
      <c r="O324" s="1"/>
      <c r="P324" s="1"/>
      <c r="Q324" s="13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31"/>
      <c r="F325" s="131"/>
      <c r="G325" s="131"/>
      <c r="H325" s="1"/>
      <c r="I325" s="1"/>
      <c r="J325" s="1"/>
      <c r="K325" s="1"/>
      <c r="L325" s="1"/>
      <c r="M325" s="1"/>
      <c r="N325" s="1"/>
      <c r="O325" s="1"/>
      <c r="P325" s="1"/>
      <c r="Q325" s="13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31"/>
      <c r="F326" s="131"/>
      <c r="G326" s="131"/>
      <c r="H326" s="1"/>
      <c r="I326" s="1"/>
      <c r="J326" s="1"/>
      <c r="K326" s="1"/>
      <c r="L326" s="1"/>
      <c r="M326" s="1"/>
      <c r="N326" s="1"/>
      <c r="O326" s="1"/>
      <c r="P326" s="1"/>
      <c r="Q326" s="13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31"/>
      <c r="F327" s="131"/>
      <c r="G327" s="131"/>
      <c r="H327" s="1"/>
      <c r="I327" s="1"/>
      <c r="J327" s="1"/>
      <c r="K327" s="1"/>
      <c r="L327" s="1"/>
      <c r="M327" s="1"/>
      <c r="N327" s="1"/>
      <c r="O327" s="1"/>
      <c r="P327" s="1"/>
      <c r="Q327" s="13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31"/>
      <c r="F328" s="131"/>
      <c r="G328" s="131"/>
      <c r="H328" s="1"/>
      <c r="I328" s="1"/>
      <c r="J328" s="1"/>
      <c r="K328" s="1"/>
      <c r="L328" s="1"/>
      <c r="M328" s="1"/>
      <c r="N328" s="1"/>
      <c r="O328" s="1"/>
      <c r="P328" s="1"/>
      <c r="Q328" s="13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31"/>
      <c r="F329" s="131"/>
      <c r="G329" s="131"/>
      <c r="H329" s="1"/>
      <c r="I329" s="1"/>
      <c r="J329" s="1"/>
      <c r="K329" s="1"/>
      <c r="L329" s="1"/>
      <c r="M329" s="1"/>
      <c r="N329" s="1"/>
      <c r="O329" s="1"/>
      <c r="P329" s="1"/>
      <c r="Q329" s="13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31"/>
      <c r="F330" s="131"/>
      <c r="G330" s="131"/>
      <c r="H330" s="1"/>
      <c r="I330" s="1"/>
      <c r="J330" s="1"/>
      <c r="K330" s="1"/>
      <c r="L330" s="1"/>
      <c r="M330" s="1"/>
      <c r="N330" s="1"/>
      <c r="O330" s="1"/>
      <c r="P330" s="1"/>
      <c r="Q330" s="13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31"/>
      <c r="F331" s="131"/>
      <c r="G331" s="131"/>
      <c r="H331" s="1"/>
      <c r="I331" s="1"/>
      <c r="J331" s="1"/>
      <c r="K331" s="1"/>
      <c r="L331" s="1"/>
      <c r="M331" s="1"/>
      <c r="N331" s="1"/>
      <c r="O331" s="1"/>
      <c r="P331" s="1"/>
      <c r="Q331" s="13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31"/>
      <c r="F332" s="131"/>
      <c r="G332" s="131"/>
      <c r="H332" s="1"/>
      <c r="I332" s="1"/>
      <c r="J332" s="1"/>
      <c r="K332" s="1"/>
      <c r="L332" s="1"/>
      <c r="M332" s="1"/>
      <c r="N332" s="1"/>
      <c r="O332" s="1"/>
      <c r="P332" s="1"/>
      <c r="Q332" s="13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31"/>
      <c r="F333" s="131"/>
      <c r="G333" s="131"/>
      <c r="H333" s="1"/>
      <c r="I333" s="1"/>
      <c r="J333" s="1"/>
      <c r="K333" s="1"/>
      <c r="L333" s="1"/>
      <c r="M333" s="1"/>
      <c r="N333" s="1"/>
      <c r="O333" s="1"/>
      <c r="P333" s="1"/>
      <c r="Q333" s="13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31"/>
      <c r="F334" s="131"/>
      <c r="G334" s="131"/>
      <c r="H334" s="1"/>
      <c r="I334" s="1"/>
      <c r="J334" s="1"/>
      <c r="K334" s="1"/>
      <c r="L334" s="1"/>
      <c r="M334" s="1"/>
      <c r="N334" s="1"/>
      <c r="O334" s="1"/>
      <c r="P334" s="1"/>
      <c r="Q334" s="13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31"/>
      <c r="F335" s="131"/>
      <c r="G335" s="131"/>
      <c r="H335" s="1"/>
      <c r="I335" s="1"/>
      <c r="J335" s="1"/>
      <c r="K335" s="1"/>
      <c r="L335" s="1"/>
      <c r="M335" s="1"/>
      <c r="N335" s="1"/>
      <c r="O335" s="1"/>
      <c r="P335" s="1"/>
      <c r="Q335" s="13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31"/>
      <c r="F336" s="131"/>
      <c r="G336" s="131"/>
      <c r="H336" s="1"/>
      <c r="I336" s="1"/>
      <c r="J336" s="1"/>
      <c r="K336" s="1"/>
      <c r="L336" s="1"/>
      <c r="M336" s="1"/>
      <c r="N336" s="1"/>
      <c r="O336" s="1"/>
      <c r="P336" s="1"/>
      <c r="Q336" s="13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31"/>
      <c r="F337" s="131"/>
      <c r="G337" s="131"/>
      <c r="H337" s="1"/>
      <c r="I337" s="1"/>
      <c r="J337" s="1"/>
      <c r="K337" s="1"/>
      <c r="L337" s="1"/>
      <c r="M337" s="1"/>
      <c r="N337" s="1"/>
      <c r="O337" s="1"/>
      <c r="P337" s="1"/>
      <c r="Q337" s="13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31"/>
      <c r="F338" s="131"/>
      <c r="G338" s="131"/>
      <c r="H338" s="1"/>
      <c r="I338" s="1"/>
      <c r="J338" s="1"/>
      <c r="K338" s="1"/>
      <c r="L338" s="1"/>
      <c r="M338" s="1"/>
      <c r="N338" s="1"/>
      <c r="O338" s="1"/>
      <c r="P338" s="1"/>
      <c r="Q338" s="13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31"/>
      <c r="F339" s="131"/>
      <c r="G339" s="131"/>
      <c r="H339" s="1"/>
      <c r="I339" s="1"/>
      <c r="J339" s="1"/>
      <c r="K339" s="1"/>
      <c r="L339" s="1"/>
      <c r="M339" s="1"/>
      <c r="N339" s="1"/>
      <c r="O339" s="1"/>
      <c r="P339" s="1"/>
      <c r="Q339" s="13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31"/>
      <c r="F340" s="131"/>
      <c r="G340" s="131"/>
      <c r="H340" s="1"/>
      <c r="I340" s="1"/>
      <c r="J340" s="1"/>
      <c r="K340" s="1"/>
      <c r="L340" s="1"/>
      <c r="M340" s="1"/>
      <c r="N340" s="1"/>
      <c r="O340" s="1"/>
      <c r="P340" s="1"/>
      <c r="Q340" s="13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31"/>
      <c r="F341" s="131"/>
      <c r="G341" s="131"/>
      <c r="H341" s="1"/>
      <c r="I341" s="1"/>
      <c r="J341" s="1"/>
      <c r="K341" s="1"/>
      <c r="L341" s="1"/>
      <c r="M341" s="1"/>
      <c r="N341" s="1"/>
      <c r="O341" s="1"/>
      <c r="P341" s="1"/>
      <c r="Q341" s="13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31"/>
      <c r="F342" s="131"/>
      <c r="G342" s="131"/>
      <c r="H342" s="1"/>
      <c r="I342" s="1"/>
      <c r="J342" s="1"/>
      <c r="K342" s="1"/>
      <c r="L342" s="1"/>
      <c r="M342" s="1"/>
      <c r="N342" s="1"/>
      <c r="O342" s="1"/>
      <c r="P342" s="1"/>
      <c r="Q342" s="13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31"/>
      <c r="F343" s="131"/>
      <c r="G343" s="131"/>
      <c r="H343" s="1"/>
      <c r="I343" s="1"/>
      <c r="J343" s="1"/>
      <c r="K343" s="1"/>
      <c r="L343" s="1"/>
      <c r="M343" s="1"/>
      <c r="N343" s="1"/>
      <c r="O343" s="1"/>
      <c r="P343" s="1"/>
      <c r="Q343" s="13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31"/>
      <c r="F344" s="131"/>
      <c r="G344" s="131"/>
      <c r="H344" s="1"/>
      <c r="I344" s="1"/>
      <c r="J344" s="1"/>
      <c r="K344" s="1"/>
      <c r="L344" s="1"/>
      <c r="M344" s="1"/>
      <c r="N344" s="1"/>
      <c r="O344" s="1"/>
      <c r="P344" s="1"/>
      <c r="Q344" s="13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31"/>
      <c r="F345" s="131"/>
      <c r="G345" s="131"/>
      <c r="H345" s="1"/>
      <c r="I345" s="1"/>
      <c r="J345" s="1"/>
      <c r="K345" s="1"/>
      <c r="L345" s="1"/>
      <c r="M345" s="1"/>
      <c r="N345" s="1"/>
      <c r="O345" s="1"/>
      <c r="P345" s="1"/>
      <c r="Q345" s="13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31"/>
      <c r="F346" s="131"/>
      <c r="G346" s="131"/>
      <c r="H346" s="1"/>
      <c r="I346" s="1"/>
      <c r="J346" s="1"/>
      <c r="K346" s="1"/>
      <c r="L346" s="1"/>
      <c r="M346" s="1"/>
      <c r="N346" s="1"/>
      <c r="O346" s="1"/>
      <c r="P346" s="1"/>
      <c r="Q346" s="13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31"/>
      <c r="F347" s="131"/>
      <c r="G347" s="131"/>
      <c r="H347" s="1"/>
      <c r="I347" s="1"/>
      <c r="J347" s="1"/>
      <c r="K347" s="1"/>
      <c r="L347" s="1"/>
      <c r="M347" s="1"/>
      <c r="N347" s="1"/>
      <c r="O347" s="1"/>
      <c r="P347" s="1"/>
      <c r="Q347" s="13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31"/>
      <c r="F348" s="131"/>
      <c r="G348" s="131"/>
      <c r="H348" s="1"/>
      <c r="I348" s="1"/>
      <c r="J348" s="1"/>
      <c r="K348" s="1"/>
      <c r="L348" s="1"/>
      <c r="M348" s="1"/>
      <c r="N348" s="1"/>
      <c r="O348" s="1"/>
      <c r="P348" s="1"/>
      <c r="Q348" s="13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31"/>
      <c r="F349" s="131"/>
      <c r="G349" s="131"/>
      <c r="H349" s="1"/>
      <c r="I349" s="1"/>
      <c r="J349" s="1"/>
      <c r="K349" s="1"/>
      <c r="L349" s="1"/>
      <c r="M349" s="1"/>
      <c r="N349" s="1"/>
      <c r="O349" s="1"/>
      <c r="P349" s="1"/>
      <c r="Q349" s="13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31"/>
      <c r="F350" s="131"/>
      <c r="G350" s="131"/>
      <c r="H350" s="1"/>
      <c r="I350" s="1"/>
      <c r="J350" s="1"/>
      <c r="K350" s="1"/>
      <c r="L350" s="1"/>
      <c r="M350" s="1"/>
      <c r="N350" s="1"/>
      <c r="O350" s="1"/>
      <c r="P350" s="1"/>
      <c r="Q350" s="13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31"/>
      <c r="F351" s="131"/>
      <c r="G351" s="131"/>
      <c r="H351" s="1"/>
      <c r="I351" s="1"/>
      <c r="J351" s="1"/>
      <c r="K351" s="1"/>
      <c r="L351" s="1"/>
      <c r="M351" s="1"/>
      <c r="N351" s="1"/>
      <c r="O351" s="1"/>
      <c r="P351" s="1"/>
      <c r="Q351" s="13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31"/>
      <c r="F352" s="131"/>
      <c r="G352" s="131"/>
      <c r="H352" s="1"/>
      <c r="I352" s="1"/>
      <c r="J352" s="1"/>
      <c r="K352" s="1"/>
      <c r="L352" s="1"/>
      <c r="M352" s="1"/>
      <c r="N352" s="1"/>
      <c r="O352" s="1"/>
      <c r="P352" s="1"/>
      <c r="Q352" s="13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31"/>
      <c r="F353" s="131"/>
      <c r="G353" s="131"/>
      <c r="H353" s="1"/>
      <c r="I353" s="1"/>
      <c r="J353" s="1"/>
      <c r="K353" s="1"/>
      <c r="L353" s="1"/>
      <c r="M353" s="1"/>
      <c r="N353" s="1"/>
      <c r="O353" s="1"/>
      <c r="P353" s="1"/>
      <c r="Q353" s="13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31"/>
      <c r="F354" s="131"/>
      <c r="G354" s="131"/>
      <c r="H354" s="1"/>
      <c r="I354" s="1"/>
      <c r="J354" s="1"/>
      <c r="K354" s="1"/>
      <c r="L354" s="1"/>
      <c r="M354" s="1"/>
      <c r="N354" s="1"/>
      <c r="O354" s="1"/>
      <c r="P354" s="1"/>
      <c r="Q354" s="13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31"/>
      <c r="F355" s="131"/>
      <c r="G355" s="131"/>
      <c r="H355" s="1"/>
      <c r="I355" s="1"/>
      <c r="J355" s="1"/>
      <c r="K355" s="1"/>
      <c r="L355" s="1"/>
      <c r="M355" s="1"/>
      <c r="N355" s="1"/>
      <c r="O355" s="1"/>
      <c r="P355" s="1"/>
      <c r="Q355" s="13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31"/>
      <c r="F356" s="131"/>
      <c r="G356" s="131"/>
      <c r="H356" s="1"/>
      <c r="I356" s="1"/>
      <c r="J356" s="1"/>
      <c r="K356" s="1"/>
      <c r="L356" s="1"/>
      <c r="M356" s="1"/>
      <c r="N356" s="1"/>
      <c r="O356" s="1"/>
      <c r="P356" s="1"/>
      <c r="Q356" s="13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31"/>
      <c r="F357" s="131"/>
      <c r="G357" s="131"/>
      <c r="H357" s="1"/>
      <c r="I357" s="1"/>
      <c r="J357" s="1"/>
      <c r="K357" s="1"/>
      <c r="L357" s="1"/>
      <c r="M357" s="1"/>
      <c r="N357" s="1"/>
      <c r="O357" s="1"/>
      <c r="P357" s="1"/>
      <c r="Q357" s="13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31"/>
      <c r="F358" s="131"/>
      <c r="G358" s="131"/>
      <c r="H358" s="1"/>
      <c r="I358" s="1"/>
      <c r="J358" s="1"/>
      <c r="K358" s="1"/>
      <c r="L358" s="1"/>
      <c r="M358" s="1"/>
      <c r="N358" s="1"/>
      <c r="O358" s="1"/>
      <c r="P358" s="1"/>
      <c r="Q358" s="13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31"/>
      <c r="F359" s="131"/>
      <c r="G359" s="131"/>
      <c r="H359" s="1"/>
      <c r="I359" s="1"/>
      <c r="J359" s="1"/>
      <c r="K359" s="1"/>
      <c r="L359" s="1"/>
      <c r="M359" s="1"/>
      <c r="N359" s="1"/>
      <c r="O359" s="1"/>
      <c r="P359" s="1"/>
      <c r="Q359" s="13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31"/>
      <c r="F360" s="131"/>
      <c r="G360" s="131"/>
      <c r="H360" s="1"/>
      <c r="I360" s="1"/>
      <c r="J360" s="1"/>
      <c r="K360" s="1"/>
      <c r="L360" s="1"/>
      <c r="M360" s="1"/>
      <c r="N360" s="1"/>
      <c r="O360" s="1"/>
      <c r="P360" s="1"/>
      <c r="Q360" s="13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31"/>
      <c r="F361" s="131"/>
      <c r="G361" s="131"/>
      <c r="H361" s="1"/>
      <c r="I361" s="1"/>
      <c r="J361" s="1"/>
      <c r="K361" s="1"/>
      <c r="L361" s="1"/>
      <c r="M361" s="1"/>
      <c r="N361" s="1"/>
      <c r="O361" s="1"/>
      <c r="P361" s="1"/>
      <c r="Q361" s="13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31"/>
      <c r="F362" s="131"/>
      <c r="G362" s="131"/>
      <c r="H362" s="1"/>
      <c r="I362" s="1"/>
      <c r="J362" s="1"/>
      <c r="K362" s="1"/>
      <c r="L362" s="1"/>
      <c r="M362" s="1"/>
      <c r="N362" s="1"/>
      <c r="O362" s="1"/>
      <c r="P362" s="1"/>
      <c r="Q362" s="13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31"/>
      <c r="F363" s="131"/>
      <c r="G363" s="131"/>
      <c r="H363" s="1"/>
      <c r="I363" s="1"/>
      <c r="J363" s="1"/>
      <c r="K363" s="1"/>
      <c r="L363" s="1"/>
      <c r="M363" s="1"/>
      <c r="N363" s="1"/>
      <c r="O363" s="1"/>
      <c r="P363" s="1"/>
      <c r="Q363" s="13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31"/>
      <c r="F364" s="131"/>
      <c r="G364" s="131"/>
      <c r="H364" s="1"/>
      <c r="I364" s="1"/>
      <c r="J364" s="1"/>
      <c r="K364" s="1"/>
      <c r="L364" s="1"/>
      <c r="M364" s="1"/>
      <c r="N364" s="1"/>
      <c r="O364" s="1"/>
      <c r="P364" s="1"/>
      <c r="Q364" s="13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31"/>
      <c r="F365" s="131"/>
      <c r="G365" s="131"/>
      <c r="H365" s="1"/>
      <c r="I365" s="1"/>
      <c r="J365" s="1"/>
      <c r="K365" s="1"/>
      <c r="L365" s="1"/>
      <c r="M365" s="1"/>
      <c r="N365" s="1"/>
      <c r="O365" s="1"/>
      <c r="P365" s="1"/>
      <c r="Q365" s="13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31"/>
      <c r="F366" s="131"/>
      <c r="G366" s="131"/>
      <c r="H366" s="1"/>
      <c r="I366" s="1"/>
      <c r="J366" s="1"/>
      <c r="K366" s="1"/>
      <c r="L366" s="1"/>
      <c r="M366" s="1"/>
      <c r="N366" s="1"/>
      <c r="O366" s="1"/>
      <c r="P366" s="1"/>
      <c r="Q366" s="13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31"/>
      <c r="F367" s="131"/>
      <c r="G367" s="131"/>
      <c r="H367" s="1"/>
      <c r="I367" s="1"/>
      <c r="J367" s="1"/>
      <c r="K367" s="1"/>
      <c r="L367" s="1"/>
      <c r="M367" s="1"/>
      <c r="N367" s="1"/>
      <c r="O367" s="1"/>
      <c r="P367" s="1"/>
      <c r="Q367" s="13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31"/>
      <c r="F368" s="131"/>
      <c r="G368" s="131"/>
      <c r="H368" s="1"/>
      <c r="I368" s="1"/>
      <c r="J368" s="1"/>
      <c r="K368" s="1"/>
      <c r="L368" s="1"/>
      <c r="M368" s="1"/>
      <c r="N368" s="1"/>
      <c r="O368" s="1"/>
      <c r="P368" s="1"/>
      <c r="Q368" s="13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31"/>
      <c r="F369" s="131"/>
      <c r="G369" s="131"/>
      <c r="H369" s="1"/>
      <c r="I369" s="1"/>
      <c r="J369" s="1"/>
      <c r="K369" s="1"/>
      <c r="L369" s="1"/>
      <c r="M369" s="1"/>
      <c r="N369" s="1"/>
      <c r="O369" s="1"/>
      <c r="P369" s="1"/>
      <c r="Q369" s="13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31"/>
      <c r="F370" s="131"/>
      <c r="G370" s="131"/>
      <c r="H370" s="1"/>
      <c r="I370" s="1"/>
      <c r="J370" s="1"/>
      <c r="K370" s="1"/>
      <c r="L370" s="1"/>
      <c r="M370" s="1"/>
      <c r="N370" s="1"/>
      <c r="O370" s="1"/>
      <c r="P370" s="1"/>
      <c r="Q370" s="13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31"/>
      <c r="F371" s="131"/>
      <c r="G371" s="131"/>
      <c r="H371" s="1"/>
      <c r="I371" s="1"/>
      <c r="J371" s="1"/>
      <c r="K371" s="1"/>
      <c r="L371" s="1"/>
      <c r="M371" s="1"/>
      <c r="N371" s="1"/>
      <c r="O371" s="1"/>
      <c r="P371" s="1"/>
      <c r="Q371" s="13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31"/>
      <c r="F372" s="131"/>
      <c r="G372" s="131"/>
      <c r="H372" s="1"/>
      <c r="I372" s="1"/>
      <c r="J372" s="1"/>
      <c r="K372" s="1"/>
      <c r="L372" s="1"/>
      <c r="M372" s="1"/>
      <c r="N372" s="1"/>
      <c r="O372" s="1"/>
      <c r="P372" s="1"/>
      <c r="Q372" s="13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31"/>
      <c r="F373" s="131"/>
      <c r="G373" s="131"/>
      <c r="H373" s="1"/>
      <c r="I373" s="1"/>
      <c r="J373" s="1"/>
      <c r="K373" s="1"/>
      <c r="L373" s="1"/>
      <c r="M373" s="1"/>
      <c r="N373" s="1"/>
      <c r="O373" s="1"/>
      <c r="P373" s="1"/>
      <c r="Q373" s="13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31"/>
      <c r="F374" s="131"/>
      <c r="G374" s="131"/>
      <c r="H374" s="1"/>
      <c r="I374" s="1"/>
      <c r="J374" s="1"/>
      <c r="K374" s="1"/>
      <c r="L374" s="1"/>
      <c r="M374" s="1"/>
      <c r="N374" s="1"/>
      <c r="O374" s="1"/>
      <c r="P374" s="1"/>
      <c r="Q374" s="13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31"/>
      <c r="F375" s="131"/>
      <c r="G375" s="131"/>
      <c r="H375" s="1"/>
      <c r="I375" s="1"/>
      <c r="J375" s="1"/>
      <c r="K375" s="1"/>
      <c r="L375" s="1"/>
      <c r="M375" s="1"/>
      <c r="N375" s="1"/>
      <c r="O375" s="1"/>
      <c r="P375" s="1"/>
      <c r="Q375" s="13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31"/>
      <c r="F376" s="131"/>
      <c r="G376" s="131"/>
      <c r="H376" s="1"/>
      <c r="I376" s="1"/>
      <c r="J376" s="1"/>
      <c r="K376" s="1"/>
      <c r="L376" s="1"/>
      <c r="M376" s="1"/>
      <c r="N376" s="1"/>
      <c r="O376" s="1"/>
      <c r="P376" s="1"/>
      <c r="Q376" s="13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31"/>
      <c r="F377" s="131"/>
      <c r="G377" s="131"/>
      <c r="H377" s="1"/>
      <c r="I377" s="1"/>
      <c r="J377" s="1"/>
      <c r="K377" s="1"/>
      <c r="L377" s="1"/>
      <c r="M377" s="1"/>
      <c r="N377" s="1"/>
      <c r="O377" s="1"/>
      <c r="P377" s="1"/>
      <c r="Q377" s="13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31"/>
      <c r="F378" s="131"/>
      <c r="G378" s="131"/>
      <c r="H378" s="1"/>
      <c r="I378" s="1"/>
      <c r="J378" s="1"/>
      <c r="K378" s="1"/>
      <c r="L378" s="1"/>
      <c r="M378" s="1"/>
      <c r="N378" s="1"/>
      <c r="O378" s="1"/>
      <c r="P378" s="1"/>
      <c r="Q378" s="13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31"/>
      <c r="F379" s="131"/>
      <c r="G379" s="131"/>
      <c r="H379" s="1"/>
      <c r="I379" s="1"/>
      <c r="J379" s="1"/>
      <c r="K379" s="1"/>
      <c r="L379" s="1"/>
      <c r="M379" s="1"/>
      <c r="N379" s="1"/>
      <c r="O379" s="1"/>
      <c r="P379" s="1"/>
      <c r="Q379" s="13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31"/>
      <c r="F380" s="131"/>
      <c r="G380" s="131"/>
      <c r="H380" s="1"/>
      <c r="I380" s="1"/>
      <c r="J380" s="1"/>
      <c r="K380" s="1"/>
      <c r="L380" s="1"/>
      <c r="M380" s="1"/>
      <c r="N380" s="1"/>
      <c r="O380" s="1"/>
      <c r="P380" s="1"/>
      <c r="Q380" s="13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31"/>
      <c r="F381" s="131"/>
      <c r="G381" s="131"/>
      <c r="H381" s="1"/>
      <c r="I381" s="1"/>
      <c r="J381" s="1"/>
      <c r="K381" s="1"/>
      <c r="L381" s="1"/>
      <c r="M381" s="1"/>
      <c r="N381" s="1"/>
      <c r="O381" s="1"/>
      <c r="P381" s="1"/>
      <c r="Q381" s="13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31"/>
      <c r="F382" s="131"/>
      <c r="G382" s="131"/>
      <c r="H382" s="1"/>
      <c r="I382" s="1"/>
      <c r="J382" s="1"/>
      <c r="K382" s="1"/>
      <c r="L382" s="1"/>
      <c r="M382" s="1"/>
      <c r="N382" s="1"/>
      <c r="O382" s="1"/>
      <c r="P382" s="1"/>
      <c r="Q382" s="13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31"/>
      <c r="F383" s="131"/>
      <c r="G383" s="131"/>
      <c r="H383" s="1"/>
      <c r="I383" s="1"/>
      <c r="J383" s="1"/>
      <c r="K383" s="1"/>
      <c r="L383" s="1"/>
      <c r="M383" s="1"/>
      <c r="N383" s="1"/>
      <c r="O383" s="1"/>
      <c r="P383" s="1"/>
      <c r="Q383" s="13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31"/>
      <c r="F384" s="131"/>
      <c r="G384" s="131"/>
      <c r="H384" s="1"/>
      <c r="I384" s="1"/>
      <c r="J384" s="1"/>
      <c r="K384" s="1"/>
      <c r="L384" s="1"/>
      <c r="M384" s="1"/>
      <c r="N384" s="1"/>
      <c r="O384" s="1"/>
      <c r="P384" s="1"/>
      <c r="Q384" s="13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31"/>
      <c r="F385" s="131"/>
      <c r="G385" s="131"/>
      <c r="H385" s="1"/>
      <c r="I385" s="1"/>
      <c r="J385" s="1"/>
      <c r="K385" s="1"/>
      <c r="L385" s="1"/>
      <c r="M385" s="1"/>
      <c r="N385" s="1"/>
      <c r="O385" s="1"/>
      <c r="P385" s="1"/>
      <c r="Q385" s="13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31"/>
      <c r="F386" s="131"/>
      <c r="G386" s="131"/>
      <c r="H386" s="1"/>
      <c r="I386" s="1"/>
      <c r="J386" s="1"/>
      <c r="K386" s="1"/>
      <c r="L386" s="1"/>
      <c r="M386" s="1"/>
      <c r="N386" s="1"/>
      <c r="O386" s="1"/>
      <c r="P386" s="1"/>
      <c r="Q386" s="13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31"/>
      <c r="F387" s="131"/>
      <c r="G387" s="131"/>
      <c r="H387" s="1"/>
      <c r="I387" s="1"/>
      <c r="J387" s="1"/>
      <c r="K387" s="1"/>
      <c r="L387" s="1"/>
      <c r="M387" s="1"/>
      <c r="N387" s="1"/>
      <c r="O387" s="1"/>
      <c r="P387" s="1"/>
      <c r="Q387" s="13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31"/>
      <c r="F388" s="131"/>
      <c r="G388" s="131"/>
      <c r="H388" s="1"/>
      <c r="I388" s="1"/>
      <c r="J388" s="1"/>
      <c r="K388" s="1"/>
      <c r="L388" s="1"/>
      <c r="M388" s="1"/>
      <c r="N388" s="1"/>
      <c r="O388" s="1"/>
      <c r="P388" s="1"/>
      <c r="Q388" s="13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31"/>
      <c r="F389" s="131"/>
      <c r="G389" s="131"/>
      <c r="H389" s="1"/>
      <c r="I389" s="1"/>
      <c r="J389" s="1"/>
      <c r="K389" s="1"/>
      <c r="L389" s="1"/>
      <c r="M389" s="1"/>
      <c r="N389" s="1"/>
      <c r="O389" s="1"/>
      <c r="P389" s="1"/>
      <c r="Q389" s="13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31"/>
      <c r="F390" s="131"/>
      <c r="G390" s="131"/>
      <c r="H390" s="1"/>
      <c r="I390" s="1"/>
      <c r="J390" s="1"/>
      <c r="K390" s="1"/>
      <c r="L390" s="1"/>
      <c r="M390" s="1"/>
      <c r="N390" s="1"/>
      <c r="O390" s="1"/>
      <c r="P390" s="1"/>
      <c r="Q390" s="13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31"/>
      <c r="F391" s="131"/>
      <c r="G391" s="131"/>
      <c r="H391" s="1"/>
      <c r="I391" s="1"/>
      <c r="J391" s="1"/>
      <c r="K391" s="1"/>
      <c r="L391" s="1"/>
      <c r="M391" s="1"/>
      <c r="N391" s="1"/>
      <c r="O391" s="1"/>
      <c r="P391" s="1"/>
      <c r="Q391" s="13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31"/>
      <c r="F392" s="131"/>
      <c r="G392" s="131"/>
      <c r="H392" s="1"/>
      <c r="I392" s="1"/>
      <c r="J392" s="1"/>
      <c r="K392" s="1"/>
      <c r="L392" s="1"/>
      <c r="M392" s="1"/>
      <c r="N392" s="1"/>
      <c r="O392" s="1"/>
      <c r="P392" s="1"/>
      <c r="Q392" s="13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31"/>
      <c r="F393" s="131"/>
      <c r="G393" s="131"/>
      <c r="H393" s="1"/>
      <c r="I393" s="1"/>
      <c r="J393" s="1"/>
      <c r="K393" s="1"/>
      <c r="L393" s="1"/>
      <c r="M393" s="1"/>
      <c r="N393" s="1"/>
      <c r="O393" s="1"/>
      <c r="P393" s="1"/>
      <c r="Q393" s="13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31"/>
      <c r="F394" s="131"/>
      <c r="G394" s="131"/>
      <c r="H394" s="1"/>
      <c r="I394" s="1"/>
      <c r="J394" s="1"/>
      <c r="K394" s="1"/>
      <c r="L394" s="1"/>
      <c r="M394" s="1"/>
      <c r="N394" s="1"/>
      <c r="O394" s="1"/>
      <c r="P394" s="1"/>
      <c r="Q394" s="13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31"/>
      <c r="F395" s="131"/>
      <c r="G395" s="131"/>
      <c r="H395" s="1"/>
      <c r="I395" s="1"/>
      <c r="J395" s="1"/>
      <c r="K395" s="1"/>
      <c r="L395" s="1"/>
      <c r="M395" s="1"/>
      <c r="N395" s="1"/>
      <c r="O395" s="1"/>
      <c r="P395" s="1"/>
      <c r="Q395" s="13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31"/>
      <c r="F396" s="131"/>
      <c r="G396" s="131"/>
      <c r="H396" s="1"/>
      <c r="I396" s="1"/>
      <c r="J396" s="1"/>
      <c r="K396" s="1"/>
      <c r="L396" s="1"/>
      <c r="M396" s="1"/>
      <c r="N396" s="1"/>
      <c r="O396" s="1"/>
      <c r="P396" s="1"/>
      <c r="Q396" s="13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31"/>
      <c r="F397" s="131"/>
      <c r="G397" s="131"/>
      <c r="H397" s="1"/>
      <c r="I397" s="1"/>
      <c r="J397" s="1"/>
      <c r="K397" s="1"/>
      <c r="L397" s="1"/>
      <c r="M397" s="1"/>
      <c r="N397" s="1"/>
      <c r="O397" s="1"/>
      <c r="P397" s="1"/>
      <c r="Q397" s="13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31"/>
      <c r="F398" s="131"/>
      <c r="G398" s="131"/>
      <c r="H398" s="1"/>
      <c r="I398" s="1"/>
      <c r="J398" s="1"/>
      <c r="K398" s="1"/>
      <c r="L398" s="1"/>
      <c r="M398" s="1"/>
      <c r="N398" s="1"/>
      <c r="O398" s="1"/>
      <c r="P398" s="1"/>
      <c r="Q398" s="13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31"/>
      <c r="F399" s="131"/>
      <c r="G399" s="131"/>
      <c r="H399" s="1"/>
      <c r="I399" s="1"/>
      <c r="J399" s="1"/>
      <c r="K399" s="1"/>
      <c r="L399" s="1"/>
      <c r="M399" s="1"/>
      <c r="N399" s="1"/>
      <c r="O399" s="1"/>
      <c r="P399" s="1"/>
      <c r="Q399" s="13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31"/>
      <c r="F400" s="131"/>
      <c r="G400" s="131"/>
      <c r="H400" s="1"/>
      <c r="I400" s="1"/>
      <c r="J400" s="1"/>
      <c r="K400" s="1"/>
      <c r="L400" s="1"/>
      <c r="M400" s="1"/>
      <c r="N400" s="1"/>
      <c r="O400" s="1"/>
      <c r="P400" s="1"/>
      <c r="Q400" s="13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31"/>
      <c r="F401" s="131"/>
      <c r="G401" s="131"/>
      <c r="H401" s="1"/>
      <c r="I401" s="1"/>
      <c r="J401" s="1"/>
      <c r="K401" s="1"/>
      <c r="L401" s="1"/>
      <c r="M401" s="1"/>
      <c r="N401" s="1"/>
      <c r="O401" s="1"/>
      <c r="P401" s="1"/>
      <c r="Q401" s="13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31"/>
      <c r="F402" s="131"/>
      <c r="G402" s="131"/>
      <c r="H402" s="1"/>
      <c r="I402" s="1"/>
      <c r="J402" s="1"/>
      <c r="K402" s="1"/>
      <c r="L402" s="1"/>
      <c r="M402" s="1"/>
      <c r="N402" s="1"/>
      <c r="O402" s="1"/>
      <c r="P402" s="1"/>
      <c r="Q402" s="13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31"/>
      <c r="F403" s="131"/>
      <c r="G403" s="131"/>
      <c r="H403" s="1"/>
      <c r="I403" s="1"/>
      <c r="J403" s="1"/>
      <c r="K403" s="1"/>
      <c r="L403" s="1"/>
      <c r="M403" s="1"/>
      <c r="N403" s="1"/>
      <c r="O403" s="1"/>
      <c r="P403" s="1"/>
      <c r="Q403" s="13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31"/>
      <c r="F404" s="131"/>
      <c r="G404" s="131"/>
      <c r="H404" s="1"/>
      <c r="I404" s="1"/>
      <c r="J404" s="1"/>
      <c r="K404" s="1"/>
      <c r="L404" s="1"/>
      <c r="M404" s="1"/>
      <c r="N404" s="1"/>
      <c r="O404" s="1"/>
      <c r="P404" s="1"/>
      <c r="Q404" s="13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31"/>
      <c r="F405" s="131"/>
      <c r="G405" s="131"/>
      <c r="H405" s="1"/>
      <c r="I405" s="1"/>
      <c r="J405" s="1"/>
      <c r="K405" s="1"/>
      <c r="L405" s="1"/>
      <c r="M405" s="1"/>
      <c r="N405" s="1"/>
      <c r="O405" s="1"/>
      <c r="P405" s="1"/>
      <c r="Q405" s="13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31"/>
      <c r="F406" s="131"/>
      <c r="G406" s="131"/>
      <c r="H406" s="1"/>
      <c r="I406" s="1"/>
      <c r="J406" s="1"/>
      <c r="K406" s="1"/>
      <c r="L406" s="1"/>
      <c r="M406" s="1"/>
      <c r="N406" s="1"/>
      <c r="O406" s="1"/>
      <c r="P406" s="1"/>
      <c r="Q406" s="13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31"/>
      <c r="F407" s="131"/>
      <c r="G407" s="131"/>
      <c r="H407" s="1"/>
      <c r="I407" s="1"/>
      <c r="J407" s="1"/>
      <c r="K407" s="1"/>
      <c r="L407" s="1"/>
      <c r="M407" s="1"/>
      <c r="N407" s="1"/>
      <c r="O407" s="1"/>
      <c r="P407" s="1"/>
      <c r="Q407" s="13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31"/>
      <c r="F408" s="131"/>
      <c r="G408" s="131"/>
      <c r="H408" s="1"/>
      <c r="I408" s="1"/>
      <c r="J408" s="1"/>
      <c r="K408" s="1"/>
      <c r="L408" s="1"/>
      <c r="M408" s="1"/>
      <c r="N408" s="1"/>
      <c r="O408" s="1"/>
      <c r="P408" s="1"/>
      <c r="Q408" s="13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31"/>
      <c r="F409" s="131"/>
      <c r="G409" s="131"/>
      <c r="H409" s="1"/>
      <c r="I409" s="1"/>
      <c r="J409" s="1"/>
      <c r="K409" s="1"/>
      <c r="L409" s="1"/>
      <c r="M409" s="1"/>
      <c r="N409" s="1"/>
      <c r="O409" s="1"/>
      <c r="P409" s="1"/>
      <c r="Q409" s="13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31"/>
      <c r="F410" s="131"/>
      <c r="G410" s="131"/>
      <c r="H410" s="1"/>
      <c r="I410" s="1"/>
      <c r="J410" s="1"/>
      <c r="K410" s="1"/>
      <c r="L410" s="1"/>
      <c r="M410" s="1"/>
      <c r="N410" s="1"/>
      <c r="O410" s="1"/>
      <c r="P410" s="1"/>
      <c r="Q410" s="13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31"/>
      <c r="F411" s="131"/>
      <c r="G411" s="131"/>
      <c r="H411" s="1"/>
      <c r="I411" s="1"/>
      <c r="J411" s="1"/>
      <c r="K411" s="1"/>
      <c r="L411" s="1"/>
      <c r="M411" s="1"/>
      <c r="N411" s="1"/>
      <c r="O411" s="1"/>
      <c r="P411" s="1"/>
      <c r="Q411" s="13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31"/>
      <c r="F412" s="131"/>
      <c r="G412" s="131"/>
      <c r="H412" s="1"/>
      <c r="I412" s="1"/>
      <c r="J412" s="1"/>
      <c r="K412" s="1"/>
      <c r="L412" s="1"/>
      <c r="M412" s="1"/>
      <c r="N412" s="1"/>
      <c r="O412" s="1"/>
      <c r="P412" s="1"/>
      <c r="Q412" s="13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31"/>
      <c r="F413" s="131"/>
      <c r="G413" s="131"/>
      <c r="H413" s="1"/>
      <c r="I413" s="1"/>
      <c r="J413" s="1"/>
      <c r="K413" s="1"/>
      <c r="L413" s="1"/>
      <c r="M413" s="1"/>
      <c r="N413" s="1"/>
      <c r="O413" s="1"/>
      <c r="P413" s="1"/>
      <c r="Q413" s="13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31"/>
      <c r="F414" s="131"/>
      <c r="G414" s="131"/>
      <c r="H414" s="1"/>
      <c r="I414" s="1"/>
      <c r="J414" s="1"/>
      <c r="K414" s="1"/>
      <c r="L414" s="1"/>
      <c r="M414" s="1"/>
      <c r="N414" s="1"/>
      <c r="O414" s="1"/>
      <c r="P414" s="1"/>
      <c r="Q414" s="13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31"/>
      <c r="F415" s="131"/>
      <c r="G415" s="131"/>
      <c r="H415" s="1"/>
      <c r="I415" s="1"/>
      <c r="J415" s="1"/>
      <c r="K415" s="1"/>
      <c r="L415" s="1"/>
      <c r="M415" s="1"/>
      <c r="N415" s="1"/>
      <c r="O415" s="1"/>
      <c r="P415" s="1"/>
      <c r="Q415" s="13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31"/>
      <c r="F416" s="131"/>
      <c r="G416" s="131"/>
      <c r="H416" s="1"/>
      <c r="I416" s="1"/>
      <c r="J416" s="1"/>
      <c r="K416" s="1"/>
      <c r="L416" s="1"/>
      <c r="M416" s="1"/>
      <c r="N416" s="1"/>
      <c r="O416" s="1"/>
      <c r="P416" s="1"/>
      <c r="Q416" s="13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31"/>
      <c r="F417" s="131"/>
      <c r="G417" s="131"/>
      <c r="H417" s="1"/>
      <c r="I417" s="1"/>
      <c r="J417" s="1"/>
      <c r="K417" s="1"/>
      <c r="L417" s="1"/>
      <c r="M417" s="1"/>
      <c r="N417" s="1"/>
      <c r="O417" s="1"/>
      <c r="P417" s="1"/>
      <c r="Q417" s="13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31"/>
      <c r="F418" s="131"/>
      <c r="G418" s="131"/>
      <c r="H418" s="1"/>
      <c r="I418" s="1"/>
      <c r="J418" s="1"/>
      <c r="K418" s="1"/>
      <c r="L418" s="1"/>
      <c r="M418" s="1"/>
      <c r="N418" s="1"/>
      <c r="O418" s="1"/>
      <c r="P418" s="1"/>
      <c r="Q418" s="13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31"/>
      <c r="F419" s="131"/>
      <c r="G419" s="131"/>
      <c r="H419" s="1"/>
      <c r="I419" s="1"/>
      <c r="J419" s="1"/>
      <c r="K419" s="1"/>
      <c r="L419" s="1"/>
      <c r="M419" s="1"/>
      <c r="N419" s="1"/>
      <c r="O419" s="1"/>
      <c r="P419" s="1"/>
      <c r="Q419" s="13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31"/>
      <c r="F420" s="131"/>
      <c r="G420" s="131"/>
      <c r="H420" s="1"/>
      <c r="I420" s="1"/>
      <c r="J420" s="1"/>
      <c r="K420" s="1"/>
      <c r="L420" s="1"/>
      <c r="M420" s="1"/>
      <c r="N420" s="1"/>
      <c r="O420" s="1"/>
      <c r="P420" s="1"/>
      <c r="Q420" s="13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31"/>
      <c r="F421" s="131"/>
      <c r="G421" s="131"/>
      <c r="H421" s="1"/>
      <c r="I421" s="1"/>
      <c r="J421" s="1"/>
      <c r="K421" s="1"/>
      <c r="L421" s="1"/>
      <c r="M421" s="1"/>
      <c r="N421" s="1"/>
      <c r="O421" s="1"/>
      <c r="P421" s="1"/>
      <c r="Q421" s="13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31"/>
      <c r="F422" s="131"/>
      <c r="G422" s="131"/>
      <c r="H422" s="1"/>
      <c r="I422" s="1"/>
      <c r="J422" s="1"/>
      <c r="K422" s="1"/>
      <c r="L422" s="1"/>
      <c r="M422" s="1"/>
      <c r="N422" s="1"/>
      <c r="O422" s="1"/>
      <c r="P422" s="1"/>
      <c r="Q422" s="13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31"/>
      <c r="F423" s="131"/>
      <c r="G423" s="131"/>
      <c r="H423" s="1"/>
      <c r="I423" s="1"/>
      <c r="J423" s="1"/>
      <c r="K423" s="1"/>
      <c r="L423" s="1"/>
      <c r="M423" s="1"/>
      <c r="N423" s="1"/>
      <c r="O423" s="1"/>
      <c r="P423" s="1"/>
      <c r="Q423" s="13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31"/>
      <c r="F424" s="131"/>
      <c r="G424" s="131"/>
      <c r="H424" s="1"/>
      <c r="I424" s="1"/>
      <c r="J424" s="1"/>
      <c r="K424" s="1"/>
      <c r="L424" s="1"/>
      <c r="M424" s="1"/>
      <c r="N424" s="1"/>
      <c r="O424" s="1"/>
      <c r="P424" s="1"/>
      <c r="Q424" s="13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31"/>
      <c r="F425" s="131"/>
      <c r="G425" s="131"/>
      <c r="H425" s="1"/>
      <c r="I425" s="1"/>
      <c r="J425" s="1"/>
      <c r="K425" s="1"/>
      <c r="L425" s="1"/>
      <c r="M425" s="1"/>
      <c r="N425" s="1"/>
      <c r="O425" s="1"/>
      <c r="P425" s="1"/>
      <c r="Q425" s="13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31"/>
      <c r="F426" s="131"/>
      <c r="G426" s="131"/>
      <c r="H426" s="1"/>
      <c r="I426" s="1"/>
      <c r="J426" s="1"/>
      <c r="K426" s="1"/>
      <c r="L426" s="1"/>
      <c r="M426" s="1"/>
      <c r="N426" s="1"/>
      <c r="O426" s="1"/>
      <c r="P426" s="1"/>
      <c r="Q426" s="13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31"/>
      <c r="F427" s="131"/>
      <c r="G427" s="131"/>
      <c r="H427" s="1"/>
      <c r="I427" s="1"/>
      <c r="J427" s="1"/>
      <c r="K427" s="1"/>
      <c r="L427" s="1"/>
      <c r="M427" s="1"/>
      <c r="N427" s="1"/>
      <c r="O427" s="1"/>
      <c r="P427" s="1"/>
      <c r="Q427" s="13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31"/>
      <c r="F428" s="131"/>
      <c r="G428" s="131"/>
      <c r="H428" s="1"/>
      <c r="I428" s="1"/>
      <c r="J428" s="1"/>
      <c r="K428" s="1"/>
      <c r="L428" s="1"/>
      <c r="M428" s="1"/>
      <c r="N428" s="1"/>
      <c r="O428" s="1"/>
      <c r="P428" s="1"/>
      <c r="Q428" s="13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31"/>
      <c r="F429" s="131"/>
      <c r="G429" s="131"/>
      <c r="H429" s="1"/>
      <c r="I429" s="1"/>
      <c r="J429" s="1"/>
      <c r="K429" s="1"/>
      <c r="L429" s="1"/>
      <c r="M429" s="1"/>
      <c r="N429" s="1"/>
      <c r="O429" s="1"/>
      <c r="P429" s="1"/>
      <c r="Q429" s="13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31"/>
      <c r="F430" s="131"/>
      <c r="G430" s="131"/>
      <c r="H430" s="1"/>
      <c r="I430" s="1"/>
      <c r="J430" s="1"/>
      <c r="K430" s="1"/>
      <c r="L430" s="1"/>
      <c r="M430" s="1"/>
      <c r="N430" s="1"/>
      <c r="O430" s="1"/>
      <c r="P430" s="1"/>
      <c r="Q430" s="13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31"/>
      <c r="F431" s="131"/>
      <c r="G431" s="131"/>
      <c r="H431" s="1"/>
      <c r="I431" s="1"/>
      <c r="J431" s="1"/>
      <c r="K431" s="1"/>
      <c r="L431" s="1"/>
      <c r="M431" s="1"/>
      <c r="N431" s="1"/>
      <c r="O431" s="1"/>
      <c r="P431" s="1"/>
      <c r="Q431" s="13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31"/>
      <c r="F432" s="131"/>
      <c r="G432" s="131"/>
      <c r="H432" s="1"/>
      <c r="I432" s="1"/>
      <c r="J432" s="1"/>
      <c r="K432" s="1"/>
      <c r="L432" s="1"/>
      <c r="M432" s="1"/>
      <c r="N432" s="1"/>
      <c r="O432" s="1"/>
      <c r="P432" s="1"/>
      <c r="Q432" s="13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31"/>
      <c r="F433" s="131"/>
      <c r="G433" s="131"/>
      <c r="H433" s="1"/>
      <c r="I433" s="1"/>
      <c r="J433" s="1"/>
      <c r="K433" s="1"/>
      <c r="L433" s="1"/>
      <c r="M433" s="1"/>
      <c r="N433" s="1"/>
      <c r="O433" s="1"/>
      <c r="P433" s="1"/>
      <c r="Q433" s="13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31"/>
      <c r="F434" s="131"/>
      <c r="G434" s="131"/>
      <c r="H434" s="1"/>
      <c r="I434" s="1"/>
      <c r="J434" s="1"/>
      <c r="K434" s="1"/>
      <c r="L434" s="1"/>
      <c r="M434" s="1"/>
      <c r="N434" s="1"/>
      <c r="O434" s="1"/>
      <c r="P434" s="1"/>
      <c r="Q434" s="13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31"/>
      <c r="F435" s="131"/>
      <c r="G435" s="131"/>
      <c r="H435" s="1"/>
      <c r="I435" s="1"/>
      <c r="J435" s="1"/>
      <c r="K435" s="1"/>
      <c r="L435" s="1"/>
      <c r="M435" s="1"/>
      <c r="N435" s="1"/>
      <c r="O435" s="1"/>
      <c r="P435" s="1"/>
      <c r="Q435" s="13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31"/>
      <c r="F436" s="131"/>
      <c r="G436" s="131"/>
      <c r="H436" s="1"/>
      <c r="I436" s="1"/>
      <c r="J436" s="1"/>
      <c r="K436" s="1"/>
      <c r="L436" s="1"/>
      <c r="M436" s="1"/>
      <c r="N436" s="1"/>
      <c r="O436" s="1"/>
      <c r="P436" s="1"/>
      <c r="Q436" s="13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31"/>
      <c r="F437" s="131"/>
      <c r="G437" s="131"/>
      <c r="H437" s="1"/>
      <c r="I437" s="1"/>
      <c r="J437" s="1"/>
      <c r="K437" s="1"/>
      <c r="L437" s="1"/>
      <c r="M437" s="1"/>
      <c r="N437" s="1"/>
      <c r="O437" s="1"/>
      <c r="P437" s="1"/>
      <c r="Q437" s="13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31"/>
      <c r="F438" s="131"/>
      <c r="G438" s="131"/>
      <c r="H438" s="1"/>
      <c r="I438" s="1"/>
      <c r="J438" s="1"/>
      <c r="K438" s="1"/>
      <c r="L438" s="1"/>
      <c r="M438" s="1"/>
      <c r="N438" s="1"/>
      <c r="O438" s="1"/>
      <c r="P438" s="1"/>
      <c r="Q438" s="13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31"/>
      <c r="F439" s="131"/>
      <c r="G439" s="131"/>
      <c r="H439" s="1"/>
      <c r="I439" s="1"/>
      <c r="J439" s="1"/>
      <c r="K439" s="1"/>
      <c r="L439" s="1"/>
      <c r="M439" s="1"/>
      <c r="N439" s="1"/>
      <c r="O439" s="1"/>
      <c r="P439" s="1"/>
      <c r="Q439" s="13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31"/>
      <c r="F440" s="131"/>
      <c r="G440" s="131"/>
      <c r="H440" s="1"/>
      <c r="I440" s="1"/>
      <c r="J440" s="1"/>
      <c r="K440" s="1"/>
      <c r="L440" s="1"/>
      <c r="M440" s="1"/>
      <c r="N440" s="1"/>
      <c r="O440" s="1"/>
      <c r="P440" s="1"/>
      <c r="Q440" s="13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31"/>
      <c r="F441" s="131"/>
      <c r="G441" s="131"/>
      <c r="H441" s="1"/>
      <c r="I441" s="1"/>
      <c r="J441" s="1"/>
      <c r="K441" s="1"/>
      <c r="L441" s="1"/>
      <c r="M441" s="1"/>
      <c r="N441" s="1"/>
      <c r="O441" s="1"/>
      <c r="P441" s="1"/>
      <c r="Q441" s="13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31"/>
      <c r="F442" s="131"/>
      <c r="G442" s="131"/>
      <c r="H442" s="1"/>
      <c r="I442" s="1"/>
      <c r="J442" s="1"/>
      <c r="K442" s="1"/>
      <c r="L442" s="1"/>
      <c r="M442" s="1"/>
      <c r="N442" s="1"/>
      <c r="O442" s="1"/>
      <c r="P442" s="1"/>
      <c r="Q442" s="13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31"/>
      <c r="F443" s="131"/>
      <c r="G443" s="131"/>
      <c r="H443" s="1"/>
      <c r="I443" s="1"/>
      <c r="J443" s="1"/>
      <c r="K443" s="1"/>
      <c r="L443" s="1"/>
      <c r="M443" s="1"/>
      <c r="N443" s="1"/>
      <c r="O443" s="1"/>
      <c r="P443" s="1"/>
      <c r="Q443" s="13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31"/>
      <c r="F444" s="131"/>
      <c r="G444" s="131"/>
      <c r="H444" s="1"/>
      <c r="I444" s="1"/>
      <c r="J444" s="1"/>
      <c r="K444" s="1"/>
      <c r="L444" s="1"/>
      <c r="M444" s="1"/>
      <c r="N444" s="1"/>
      <c r="O444" s="1"/>
      <c r="P444" s="1"/>
      <c r="Q444" s="13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31"/>
      <c r="F445" s="131"/>
      <c r="G445" s="131"/>
      <c r="H445" s="1"/>
      <c r="I445" s="1"/>
      <c r="J445" s="1"/>
      <c r="K445" s="1"/>
      <c r="L445" s="1"/>
      <c r="M445" s="1"/>
      <c r="N445" s="1"/>
      <c r="O445" s="1"/>
      <c r="P445" s="1"/>
      <c r="Q445" s="13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31"/>
      <c r="F446" s="131"/>
      <c r="G446" s="131"/>
      <c r="H446" s="1"/>
      <c r="I446" s="1"/>
      <c r="J446" s="1"/>
      <c r="K446" s="1"/>
      <c r="L446" s="1"/>
      <c r="M446" s="1"/>
      <c r="N446" s="1"/>
      <c r="O446" s="1"/>
      <c r="P446" s="1"/>
      <c r="Q446" s="13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31"/>
      <c r="F447" s="131"/>
      <c r="G447" s="131"/>
      <c r="H447" s="1"/>
      <c r="I447" s="1"/>
      <c r="J447" s="1"/>
      <c r="K447" s="1"/>
      <c r="L447" s="1"/>
      <c r="M447" s="1"/>
      <c r="N447" s="1"/>
      <c r="O447" s="1"/>
      <c r="P447" s="1"/>
      <c r="Q447" s="13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31"/>
      <c r="F448" s="131"/>
      <c r="G448" s="131"/>
      <c r="H448" s="1"/>
      <c r="I448" s="1"/>
      <c r="J448" s="1"/>
      <c r="K448" s="1"/>
      <c r="L448" s="1"/>
      <c r="M448" s="1"/>
      <c r="N448" s="1"/>
      <c r="O448" s="1"/>
      <c r="P448" s="1"/>
      <c r="Q448" s="13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31"/>
      <c r="F449" s="131"/>
      <c r="G449" s="131"/>
      <c r="H449" s="1"/>
      <c r="I449" s="1"/>
      <c r="J449" s="1"/>
      <c r="K449" s="1"/>
      <c r="L449" s="1"/>
      <c r="M449" s="1"/>
      <c r="N449" s="1"/>
      <c r="O449" s="1"/>
      <c r="P449" s="1"/>
      <c r="Q449" s="13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31"/>
      <c r="F450" s="131"/>
      <c r="G450" s="131"/>
      <c r="H450" s="1"/>
      <c r="I450" s="1"/>
      <c r="J450" s="1"/>
      <c r="K450" s="1"/>
      <c r="L450" s="1"/>
      <c r="M450" s="1"/>
      <c r="N450" s="1"/>
      <c r="O450" s="1"/>
      <c r="P450" s="1"/>
      <c r="Q450" s="13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31"/>
      <c r="F451" s="131"/>
      <c r="G451" s="131"/>
      <c r="H451" s="1"/>
      <c r="I451" s="1"/>
      <c r="J451" s="1"/>
      <c r="K451" s="1"/>
      <c r="L451" s="1"/>
      <c r="M451" s="1"/>
      <c r="N451" s="1"/>
      <c r="O451" s="1"/>
      <c r="P451" s="1"/>
      <c r="Q451" s="13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31"/>
      <c r="F452" s="131"/>
      <c r="G452" s="131"/>
      <c r="H452" s="1"/>
      <c r="I452" s="1"/>
      <c r="J452" s="1"/>
      <c r="K452" s="1"/>
      <c r="L452" s="1"/>
      <c r="M452" s="1"/>
      <c r="N452" s="1"/>
      <c r="O452" s="1"/>
      <c r="P452" s="1"/>
      <c r="Q452" s="13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31"/>
      <c r="F453" s="131"/>
      <c r="G453" s="131"/>
      <c r="H453" s="1"/>
      <c r="I453" s="1"/>
      <c r="J453" s="1"/>
      <c r="K453" s="1"/>
      <c r="L453" s="1"/>
      <c r="M453" s="1"/>
      <c r="N453" s="1"/>
      <c r="O453" s="1"/>
      <c r="P453" s="1"/>
      <c r="Q453" s="13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31"/>
      <c r="F454" s="131"/>
      <c r="G454" s="131"/>
      <c r="H454" s="1"/>
      <c r="I454" s="1"/>
      <c r="J454" s="1"/>
      <c r="K454" s="1"/>
      <c r="L454" s="1"/>
      <c r="M454" s="1"/>
      <c r="N454" s="1"/>
      <c r="O454" s="1"/>
      <c r="P454" s="1"/>
      <c r="Q454" s="13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31"/>
      <c r="F455" s="131"/>
      <c r="G455" s="131"/>
      <c r="H455" s="1"/>
      <c r="I455" s="1"/>
      <c r="J455" s="1"/>
      <c r="K455" s="1"/>
      <c r="L455" s="1"/>
      <c r="M455" s="1"/>
      <c r="N455" s="1"/>
      <c r="O455" s="1"/>
      <c r="P455" s="1"/>
      <c r="Q455" s="13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31"/>
      <c r="F456" s="131"/>
      <c r="G456" s="131"/>
      <c r="H456" s="1"/>
      <c r="I456" s="1"/>
      <c r="J456" s="1"/>
      <c r="K456" s="1"/>
      <c r="L456" s="1"/>
      <c r="M456" s="1"/>
      <c r="N456" s="1"/>
      <c r="O456" s="1"/>
      <c r="P456" s="1"/>
      <c r="Q456" s="13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31"/>
      <c r="F457" s="131"/>
      <c r="G457" s="131"/>
      <c r="H457" s="1"/>
      <c r="I457" s="1"/>
      <c r="J457" s="1"/>
      <c r="K457" s="1"/>
      <c r="L457" s="1"/>
      <c r="M457" s="1"/>
      <c r="N457" s="1"/>
      <c r="O457" s="1"/>
      <c r="P457" s="1"/>
      <c r="Q457" s="13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31"/>
      <c r="F458" s="131"/>
      <c r="G458" s="131"/>
      <c r="H458" s="1"/>
      <c r="I458" s="1"/>
      <c r="J458" s="1"/>
      <c r="K458" s="1"/>
      <c r="L458" s="1"/>
      <c r="M458" s="1"/>
      <c r="N458" s="1"/>
      <c r="O458" s="1"/>
      <c r="P458" s="1"/>
      <c r="Q458" s="13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31"/>
      <c r="F459" s="131"/>
      <c r="G459" s="131"/>
      <c r="H459" s="1"/>
      <c r="I459" s="1"/>
      <c r="J459" s="1"/>
      <c r="K459" s="1"/>
      <c r="L459" s="1"/>
      <c r="M459" s="1"/>
      <c r="N459" s="1"/>
      <c r="O459" s="1"/>
      <c r="P459" s="1"/>
      <c r="Q459" s="13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31"/>
      <c r="F460" s="131"/>
      <c r="G460" s="131"/>
      <c r="H460" s="1"/>
      <c r="I460" s="1"/>
      <c r="J460" s="1"/>
      <c r="K460" s="1"/>
      <c r="L460" s="1"/>
      <c r="M460" s="1"/>
      <c r="N460" s="1"/>
      <c r="O460" s="1"/>
      <c r="P460" s="1"/>
      <c r="Q460" s="13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31"/>
      <c r="F461" s="131"/>
      <c r="G461" s="131"/>
      <c r="H461" s="1"/>
      <c r="I461" s="1"/>
      <c r="J461" s="1"/>
      <c r="K461" s="1"/>
      <c r="L461" s="1"/>
      <c r="M461" s="1"/>
      <c r="N461" s="1"/>
      <c r="O461" s="1"/>
      <c r="P461" s="1"/>
      <c r="Q461" s="13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31"/>
      <c r="F462" s="131"/>
      <c r="G462" s="131"/>
      <c r="H462" s="1"/>
      <c r="I462" s="1"/>
      <c r="J462" s="1"/>
      <c r="K462" s="1"/>
      <c r="L462" s="1"/>
      <c r="M462" s="1"/>
      <c r="N462" s="1"/>
      <c r="O462" s="1"/>
      <c r="P462" s="1"/>
      <c r="Q462" s="13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31"/>
      <c r="F463" s="131"/>
      <c r="G463" s="131"/>
      <c r="H463" s="1"/>
      <c r="I463" s="1"/>
      <c r="J463" s="1"/>
      <c r="K463" s="1"/>
      <c r="L463" s="1"/>
      <c r="M463" s="1"/>
      <c r="N463" s="1"/>
      <c r="O463" s="1"/>
      <c r="P463" s="1"/>
      <c r="Q463" s="13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31"/>
      <c r="F464" s="131"/>
      <c r="G464" s="131"/>
      <c r="H464" s="1"/>
      <c r="I464" s="1"/>
      <c r="J464" s="1"/>
      <c r="K464" s="1"/>
      <c r="L464" s="1"/>
      <c r="M464" s="1"/>
      <c r="N464" s="1"/>
      <c r="O464" s="1"/>
      <c r="P464" s="1"/>
      <c r="Q464" s="13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31"/>
      <c r="F465" s="131"/>
      <c r="G465" s="131"/>
      <c r="H465" s="1"/>
      <c r="I465" s="1"/>
      <c r="J465" s="1"/>
      <c r="K465" s="1"/>
      <c r="L465" s="1"/>
      <c r="M465" s="1"/>
      <c r="N465" s="1"/>
      <c r="O465" s="1"/>
      <c r="P465" s="1"/>
      <c r="Q465" s="13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31"/>
      <c r="F466" s="131"/>
      <c r="G466" s="131"/>
      <c r="H466" s="1"/>
      <c r="I466" s="1"/>
      <c r="J466" s="1"/>
      <c r="K466" s="1"/>
      <c r="L466" s="1"/>
      <c r="M466" s="1"/>
      <c r="N466" s="1"/>
      <c r="O466" s="1"/>
      <c r="P466" s="1"/>
      <c r="Q466" s="13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31"/>
      <c r="F467" s="131"/>
      <c r="G467" s="131"/>
      <c r="H467" s="1"/>
      <c r="I467" s="1"/>
      <c r="J467" s="1"/>
      <c r="K467" s="1"/>
      <c r="L467" s="1"/>
      <c r="M467" s="1"/>
      <c r="N467" s="1"/>
      <c r="O467" s="1"/>
      <c r="P467" s="1"/>
      <c r="Q467" s="13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31"/>
      <c r="F468" s="131"/>
      <c r="G468" s="131"/>
      <c r="H468" s="1"/>
      <c r="I468" s="1"/>
      <c r="J468" s="1"/>
      <c r="K468" s="1"/>
      <c r="L468" s="1"/>
      <c r="M468" s="1"/>
      <c r="N468" s="1"/>
      <c r="O468" s="1"/>
      <c r="P468" s="1"/>
      <c r="Q468" s="13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31"/>
      <c r="F469" s="131"/>
      <c r="G469" s="131"/>
      <c r="H469" s="1"/>
      <c r="I469" s="1"/>
      <c r="J469" s="1"/>
      <c r="K469" s="1"/>
      <c r="L469" s="1"/>
      <c r="M469" s="1"/>
      <c r="N469" s="1"/>
      <c r="O469" s="1"/>
      <c r="P469" s="1"/>
      <c r="Q469" s="13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31"/>
      <c r="F470" s="131"/>
      <c r="G470" s="131"/>
      <c r="H470" s="1"/>
      <c r="I470" s="1"/>
      <c r="J470" s="1"/>
      <c r="K470" s="1"/>
      <c r="L470" s="1"/>
      <c r="M470" s="1"/>
      <c r="N470" s="1"/>
      <c r="O470" s="1"/>
      <c r="P470" s="1"/>
      <c r="Q470" s="13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31"/>
      <c r="F471" s="131"/>
      <c r="G471" s="131"/>
      <c r="H471" s="1"/>
      <c r="I471" s="1"/>
      <c r="J471" s="1"/>
      <c r="K471" s="1"/>
      <c r="L471" s="1"/>
      <c r="M471" s="1"/>
      <c r="N471" s="1"/>
      <c r="O471" s="1"/>
      <c r="P471" s="1"/>
      <c r="Q471" s="13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31"/>
      <c r="F472" s="131"/>
      <c r="G472" s="131"/>
      <c r="H472" s="1"/>
      <c r="I472" s="1"/>
      <c r="J472" s="1"/>
      <c r="K472" s="1"/>
      <c r="L472" s="1"/>
      <c r="M472" s="1"/>
      <c r="N472" s="1"/>
      <c r="O472" s="1"/>
      <c r="P472" s="1"/>
      <c r="Q472" s="13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31"/>
      <c r="F473" s="131"/>
      <c r="G473" s="131"/>
      <c r="H473" s="1"/>
      <c r="I473" s="1"/>
      <c r="J473" s="1"/>
      <c r="K473" s="1"/>
      <c r="L473" s="1"/>
      <c r="M473" s="1"/>
      <c r="N473" s="1"/>
      <c r="O473" s="1"/>
      <c r="P473" s="1"/>
      <c r="Q473" s="13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31"/>
      <c r="F474" s="131"/>
      <c r="G474" s="131"/>
      <c r="H474" s="1"/>
      <c r="I474" s="1"/>
      <c r="J474" s="1"/>
      <c r="K474" s="1"/>
      <c r="L474" s="1"/>
      <c r="M474" s="1"/>
      <c r="N474" s="1"/>
      <c r="O474" s="1"/>
      <c r="P474" s="1"/>
      <c r="Q474" s="13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31"/>
      <c r="F475" s="131"/>
      <c r="G475" s="131"/>
      <c r="H475" s="1"/>
      <c r="I475" s="1"/>
      <c r="J475" s="1"/>
      <c r="K475" s="1"/>
      <c r="L475" s="1"/>
      <c r="M475" s="1"/>
      <c r="N475" s="1"/>
      <c r="O475" s="1"/>
      <c r="P475" s="1"/>
      <c r="Q475" s="13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31"/>
      <c r="F476" s="131"/>
      <c r="G476" s="131"/>
      <c r="H476" s="1"/>
      <c r="I476" s="1"/>
      <c r="J476" s="1"/>
      <c r="K476" s="1"/>
      <c r="L476" s="1"/>
      <c r="M476" s="1"/>
      <c r="N476" s="1"/>
      <c r="O476" s="1"/>
      <c r="P476" s="1"/>
      <c r="Q476" s="13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31"/>
      <c r="F477" s="131"/>
      <c r="G477" s="131"/>
      <c r="H477" s="1"/>
      <c r="I477" s="1"/>
      <c r="J477" s="1"/>
      <c r="K477" s="1"/>
      <c r="L477" s="1"/>
      <c r="M477" s="1"/>
      <c r="N477" s="1"/>
      <c r="O477" s="1"/>
      <c r="P477" s="1"/>
      <c r="Q477" s="13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31"/>
      <c r="F478" s="131"/>
      <c r="G478" s="131"/>
      <c r="H478" s="1"/>
      <c r="I478" s="1"/>
      <c r="J478" s="1"/>
      <c r="K478" s="1"/>
      <c r="L478" s="1"/>
      <c r="M478" s="1"/>
      <c r="N478" s="1"/>
      <c r="O478" s="1"/>
      <c r="P478" s="1"/>
      <c r="Q478" s="13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31"/>
      <c r="F479" s="131"/>
      <c r="G479" s="131"/>
      <c r="H479" s="1"/>
      <c r="I479" s="1"/>
      <c r="J479" s="1"/>
      <c r="K479" s="1"/>
      <c r="L479" s="1"/>
      <c r="M479" s="1"/>
      <c r="N479" s="1"/>
      <c r="O479" s="1"/>
      <c r="P479" s="1"/>
      <c r="Q479" s="13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31"/>
      <c r="F480" s="131"/>
      <c r="G480" s="131"/>
      <c r="H480" s="1"/>
      <c r="I480" s="1"/>
      <c r="J480" s="1"/>
      <c r="K480" s="1"/>
      <c r="L480" s="1"/>
      <c r="M480" s="1"/>
      <c r="N480" s="1"/>
      <c r="O480" s="1"/>
      <c r="P480" s="1"/>
      <c r="Q480" s="13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31"/>
      <c r="F481" s="131"/>
      <c r="G481" s="131"/>
      <c r="H481" s="1"/>
      <c r="I481" s="1"/>
      <c r="J481" s="1"/>
      <c r="K481" s="1"/>
      <c r="L481" s="1"/>
      <c r="M481" s="1"/>
      <c r="N481" s="1"/>
      <c r="O481" s="1"/>
      <c r="P481" s="1"/>
      <c r="Q481" s="13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31"/>
      <c r="F482" s="131"/>
      <c r="G482" s="131"/>
      <c r="H482" s="1"/>
      <c r="I482" s="1"/>
      <c r="J482" s="1"/>
      <c r="K482" s="1"/>
      <c r="L482" s="1"/>
      <c r="M482" s="1"/>
      <c r="N482" s="1"/>
      <c r="O482" s="1"/>
      <c r="P482" s="1"/>
      <c r="Q482" s="13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31"/>
      <c r="F483" s="131"/>
      <c r="G483" s="131"/>
      <c r="H483" s="1"/>
      <c r="I483" s="1"/>
      <c r="J483" s="1"/>
      <c r="K483" s="1"/>
      <c r="L483" s="1"/>
      <c r="M483" s="1"/>
      <c r="N483" s="1"/>
      <c r="O483" s="1"/>
      <c r="P483" s="1"/>
      <c r="Q483" s="13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31"/>
      <c r="F484" s="131"/>
      <c r="G484" s="131"/>
      <c r="H484" s="1"/>
      <c r="I484" s="1"/>
      <c r="J484" s="1"/>
      <c r="K484" s="1"/>
      <c r="L484" s="1"/>
      <c r="M484" s="1"/>
      <c r="N484" s="1"/>
      <c r="O484" s="1"/>
      <c r="P484" s="1"/>
      <c r="Q484" s="13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31"/>
      <c r="F485" s="131"/>
      <c r="G485" s="131"/>
      <c r="H485" s="1"/>
      <c r="I485" s="1"/>
      <c r="J485" s="1"/>
      <c r="K485" s="1"/>
      <c r="L485" s="1"/>
      <c r="M485" s="1"/>
      <c r="N485" s="1"/>
      <c r="O485" s="1"/>
      <c r="P485" s="1"/>
      <c r="Q485" s="13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31"/>
      <c r="F486" s="131"/>
      <c r="G486" s="131"/>
      <c r="H486" s="1"/>
      <c r="I486" s="1"/>
      <c r="J486" s="1"/>
      <c r="K486" s="1"/>
      <c r="L486" s="1"/>
      <c r="M486" s="1"/>
      <c r="N486" s="1"/>
      <c r="O486" s="1"/>
      <c r="P486" s="1"/>
      <c r="Q486" s="13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31"/>
      <c r="F487" s="131"/>
      <c r="G487" s="131"/>
      <c r="H487" s="1"/>
      <c r="I487" s="1"/>
      <c r="J487" s="1"/>
      <c r="K487" s="1"/>
      <c r="L487" s="1"/>
      <c r="M487" s="1"/>
      <c r="N487" s="1"/>
      <c r="O487" s="1"/>
      <c r="P487" s="1"/>
      <c r="Q487" s="13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31"/>
      <c r="F488" s="131"/>
      <c r="G488" s="131"/>
      <c r="H488" s="1"/>
      <c r="I488" s="1"/>
      <c r="J488" s="1"/>
      <c r="K488" s="1"/>
      <c r="L488" s="1"/>
      <c r="M488" s="1"/>
      <c r="N488" s="1"/>
      <c r="O488" s="1"/>
      <c r="P488" s="1"/>
      <c r="Q488" s="13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31"/>
      <c r="F489" s="131"/>
      <c r="G489" s="131"/>
      <c r="H489" s="1"/>
      <c r="I489" s="1"/>
      <c r="J489" s="1"/>
      <c r="K489" s="1"/>
      <c r="L489" s="1"/>
      <c r="M489" s="1"/>
      <c r="N489" s="1"/>
      <c r="O489" s="1"/>
      <c r="P489" s="1"/>
      <c r="Q489" s="13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31"/>
      <c r="F490" s="131"/>
      <c r="G490" s="131"/>
      <c r="H490" s="1"/>
      <c r="I490" s="1"/>
      <c r="J490" s="1"/>
      <c r="K490" s="1"/>
      <c r="L490" s="1"/>
      <c r="M490" s="1"/>
      <c r="N490" s="1"/>
      <c r="O490" s="1"/>
      <c r="P490" s="1"/>
      <c r="Q490" s="13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31"/>
      <c r="F491" s="131"/>
      <c r="G491" s="131"/>
      <c r="H491" s="1"/>
      <c r="I491" s="1"/>
      <c r="J491" s="1"/>
      <c r="K491" s="1"/>
      <c r="L491" s="1"/>
      <c r="M491" s="1"/>
      <c r="N491" s="1"/>
      <c r="O491" s="1"/>
      <c r="P491" s="1"/>
      <c r="Q491" s="13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31"/>
      <c r="F492" s="131"/>
      <c r="G492" s="131"/>
      <c r="H492" s="1"/>
      <c r="I492" s="1"/>
      <c r="J492" s="1"/>
      <c r="K492" s="1"/>
      <c r="L492" s="1"/>
      <c r="M492" s="1"/>
      <c r="N492" s="1"/>
      <c r="O492" s="1"/>
      <c r="P492" s="1"/>
      <c r="Q492" s="13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31"/>
      <c r="F493" s="131"/>
      <c r="G493" s="131"/>
      <c r="H493" s="1"/>
      <c r="I493" s="1"/>
      <c r="J493" s="1"/>
      <c r="K493" s="1"/>
      <c r="L493" s="1"/>
      <c r="M493" s="1"/>
      <c r="N493" s="1"/>
      <c r="O493" s="1"/>
      <c r="P493" s="1"/>
      <c r="Q493" s="13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31"/>
      <c r="F494" s="131"/>
      <c r="G494" s="131"/>
      <c r="H494" s="1"/>
      <c r="I494" s="1"/>
      <c r="J494" s="1"/>
      <c r="K494" s="1"/>
      <c r="L494" s="1"/>
      <c r="M494" s="1"/>
      <c r="N494" s="1"/>
      <c r="O494" s="1"/>
      <c r="P494" s="1"/>
      <c r="Q494" s="13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31"/>
      <c r="F495" s="131"/>
      <c r="G495" s="131"/>
      <c r="H495" s="1"/>
      <c r="I495" s="1"/>
      <c r="J495" s="1"/>
      <c r="K495" s="1"/>
      <c r="L495" s="1"/>
      <c r="M495" s="1"/>
      <c r="N495" s="1"/>
      <c r="O495" s="1"/>
      <c r="P495" s="1"/>
      <c r="Q495" s="13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31"/>
      <c r="F496" s="131"/>
      <c r="G496" s="131"/>
      <c r="H496" s="1"/>
      <c r="I496" s="1"/>
      <c r="J496" s="1"/>
      <c r="K496" s="1"/>
      <c r="L496" s="1"/>
      <c r="M496" s="1"/>
      <c r="N496" s="1"/>
      <c r="O496" s="1"/>
      <c r="P496" s="1"/>
      <c r="Q496" s="13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31"/>
      <c r="F497" s="131"/>
      <c r="G497" s="131"/>
      <c r="H497" s="1"/>
      <c r="I497" s="1"/>
      <c r="J497" s="1"/>
      <c r="K497" s="1"/>
      <c r="L497" s="1"/>
      <c r="M497" s="1"/>
      <c r="N497" s="1"/>
      <c r="O497" s="1"/>
      <c r="P497" s="1"/>
      <c r="Q497" s="13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31"/>
      <c r="F498" s="131"/>
      <c r="G498" s="131"/>
      <c r="H498" s="1"/>
      <c r="I498" s="1"/>
      <c r="J498" s="1"/>
      <c r="K498" s="1"/>
      <c r="L498" s="1"/>
      <c r="M498" s="1"/>
      <c r="N498" s="1"/>
      <c r="O498" s="1"/>
      <c r="P498" s="1"/>
      <c r="Q498" s="13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31"/>
      <c r="F499" s="131"/>
      <c r="G499" s="131"/>
      <c r="H499" s="1"/>
      <c r="I499" s="1"/>
      <c r="J499" s="1"/>
      <c r="K499" s="1"/>
      <c r="L499" s="1"/>
      <c r="M499" s="1"/>
      <c r="N499" s="1"/>
      <c r="O499" s="1"/>
      <c r="P499" s="1"/>
      <c r="Q499" s="13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31"/>
      <c r="F500" s="131"/>
      <c r="G500" s="131"/>
      <c r="H500" s="1"/>
      <c r="I500" s="1"/>
      <c r="J500" s="1"/>
      <c r="K500" s="1"/>
      <c r="L500" s="1"/>
      <c r="M500" s="1"/>
      <c r="N500" s="1"/>
      <c r="O500" s="1"/>
      <c r="P500" s="1"/>
      <c r="Q500" s="13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31"/>
      <c r="F501" s="131"/>
      <c r="G501" s="131"/>
      <c r="H501" s="1"/>
      <c r="I501" s="1"/>
      <c r="J501" s="1"/>
      <c r="K501" s="1"/>
      <c r="L501" s="1"/>
      <c r="M501" s="1"/>
      <c r="N501" s="1"/>
      <c r="O501" s="1"/>
      <c r="P501" s="1"/>
      <c r="Q501" s="13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31"/>
      <c r="F502" s="131"/>
      <c r="G502" s="131"/>
      <c r="H502" s="1"/>
      <c r="I502" s="1"/>
      <c r="J502" s="1"/>
      <c r="K502" s="1"/>
      <c r="L502" s="1"/>
      <c r="M502" s="1"/>
      <c r="N502" s="1"/>
      <c r="O502" s="1"/>
      <c r="P502" s="1"/>
      <c r="Q502" s="13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31"/>
      <c r="F503" s="131"/>
      <c r="G503" s="131"/>
      <c r="H503" s="1"/>
      <c r="I503" s="1"/>
      <c r="J503" s="1"/>
      <c r="K503" s="1"/>
      <c r="L503" s="1"/>
      <c r="M503" s="1"/>
      <c r="N503" s="1"/>
      <c r="O503" s="1"/>
      <c r="P503" s="1"/>
      <c r="Q503" s="13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31"/>
      <c r="F504" s="131"/>
      <c r="G504" s="131"/>
      <c r="H504" s="1"/>
      <c r="I504" s="1"/>
      <c r="J504" s="1"/>
      <c r="K504" s="1"/>
      <c r="L504" s="1"/>
      <c r="M504" s="1"/>
      <c r="N504" s="1"/>
      <c r="O504" s="1"/>
      <c r="P504" s="1"/>
      <c r="Q504" s="13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31"/>
      <c r="F505" s="131"/>
      <c r="G505" s="131"/>
      <c r="H505" s="1"/>
      <c r="I505" s="1"/>
      <c r="J505" s="1"/>
      <c r="K505" s="1"/>
      <c r="L505" s="1"/>
      <c r="M505" s="1"/>
      <c r="N505" s="1"/>
      <c r="O505" s="1"/>
      <c r="P505" s="1"/>
      <c r="Q505" s="13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31"/>
      <c r="F506" s="131"/>
      <c r="G506" s="131"/>
      <c r="H506" s="1"/>
      <c r="I506" s="1"/>
      <c r="J506" s="1"/>
      <c r="K506" s="1"/>
      <c r="L506" s="1"/>
      <c r="M506" s="1"/>
      <c r="N506" s="1"/>
      <c r="O506" s="1"/>
      <c r="P506" s="1"/>
      <c r="Q506" s="13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31"/>
      <c r="F507" s="131"/>
      <c r="G507" s="131"/>
      <c r="H507" s="1"/>
      <c r="I507" s="1"/>
      <c r="J507" s="1"/>
      <c r="K507" s="1"/>
      <c r="L507" s="1"/>
      <c r="M507" s="1"/>
      <c r="N507" s="1"/>
      <c r="O507" s="1"/>
      <c r="P507" s="1"/>
      <c r="Q507" s="13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31"/>
      <c r="F508" s="131"/>
      <c r="G508" s="131"/>
      <c r="H508" s="1"/>
      <c r="I508" s="1"/>
      <c r="J508" s="1"/>
      <c r="K508" s="1"/>
      <c r="L508" s="1"/>
      <c r="M508" s="1"/>
      <c r="N508" s="1"/>
      <c r="O508" s="1"/>
      <c r="P508" s="1"/>
      <c r="Q508" s="13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31"/>
      <c r="F509" s="131"/>
      <c r="G509" s="131"/>
      <c r="H509" s="1"/>
      <c r="I509" s="1"/>
      <c r="J509" s="1"/>
      <c r="K509" s="1"/>
      <c r="L509" s="1"/>
      <c r="M509" s="1"/>
      <c r="N509" s="1"/>
      <c r="O509" s="1"/>
      <c r="P509" s="1"/>
      <c r="Q509" s="13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31"/>
      <c r="F510" s="131"/>
      <c r="G510" s="131"/>
      <c r="H510" s="1"/>
      <c r="I510" s="1"/>
      <c r="J510" s="1"/>
      <c r="K510" s="1"/>
      <c r="L510" s="1"/>
      <c r="M510" s="1"/>
      <c r="N510" s="1"/>
      <c r="O510" s="1"/>
      <c r="P510" s="1"/>
      <c r="Q510" s="13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31"/>
      <c r="F511" s="131"/>
      <c r="G511" s="131"/>
      <c r="H511" s="1"/>
      <c r="I511" s="1"/>
      <c r="J511" s="1"/>
      <c r="K511" s="1"/>
      <c r="L511" s="1"/>
      <c r="M511" s="1"/>
      <c r="N511" s="1"/>
      <c r="O511" s="1"/>
      <c r="P511" s="1"/>
      <c r="Q511" s="13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31"/>
      <c r="F512" s="131"/>
      <c r="G512" s="131"/>
      <c r="H512" s="1"/>
      <c r="I512" s="1"/>
      <c r="J512" s="1"/>
      <c r="K512" s="1"/>
      <c r="L512" s="1"/>
      <c r="M512" s="1"/>
      <c r="N512" s="1"/>
      <c r="O512" s="1"/>
      <c r="P512" s="1"/>
      <c r="Q512" s="13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31"/>
      <c r="F513" s="131"/>
      <c r="G513" s="131"/>
      <c r="H513" s="1"/>
      <c r="I513" s="1"/>
      <c r="J513" s="1"/>
      <c r="K513" s="1"/>
      <c r="L513" s="1"/>
      <c r="M513" s="1"/>
      <c r="N513" s="1"/>
      <c r="O513" s="1"/>
      <c r="P513" s="1"/>
      <c r="Q513" s="13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31"/>
      <c r="F514" s="131"/>
      <c r="G514" s="131"/>
      <c r="H514" s="1"/>
      <c r="I514" s="1"/>
      <c r="J514" s="1"/>
      <c r="K514" s="1"/>
      <c r="L514" s="1"/>
      <c r="M514" s="1"/>
      <c r="N514" s="1"/>
      <c r="O514" s="1"/>
      <c r="P514" s="1"/>
      <c r="Q514" s="13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31"/>
      <c r="F515" s="131"/>
      <c r="G515" s="131"/>
      <c r="H515" s="1"/>
      <c r="I515" s="1"/>
      <c r="J515" s="1"/>
      <c r="K515" s="1"/>
      <c r="L515" s="1"/>
      <c r="M515" s="1"/>
      <c r="N515" s="1"/>
      <c r="O515" s="1"/>
      <c r="P515" s="1"/>
      <c r="Q515" s="13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31"/>
      <c r="F516" s="131"/>
      <c r="G516" s="131"/>
      <c r="H516" s="1"/>
      <c r="I516" s="1"/>
      <c r="J516" s="1"/>
      <c r="K516" s="1"/>
      <c r="L516" s="1"/>
      <c r="M516" s="1"/>
      <c r="N516" s="1"/>
      <c r="O516" s="1"/>
      <c r="P516" s="1"/>
      <c r="Q516" s="13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31"/>
      <c r="F517" s="131"/>
      <c r="G517" s="131"/>
      <c r="H517" s="1"/>
      <c r="I517" s="1"/>
      <c r="J517" s="1"/>
      <c r="K517" s="1"/>
      <c r="L517" s="1"/>
      <c r="M517" s="1"/>
      <c r="N517" s="1"/>
      <c r="O517" s="1"/>
      <c r="P517" s="1"/>
      <c r="Q517" s="13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31"/>
      <c r="F518" s="131"/>
      <c r="G518" s="131"/>
      <c r="H518" s="1"/>
      <c r="I518" s="1"/>
      <c r="J518" s="1"/>
      <c r="K518" s="1"/>
      <c r="L518" s="1"/>
      <c r="M518" s="1"/>
      <c r="N518" s="1"/>
      <c r="O518" s="1"/>
      <c r="P518" s="1"/>
      <c r="Q518" s="13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31"/>
      <c r="F519" s="131"/>
      <c r="G519" s="131"/>
      <c r="H519" s="1"/>
      <c r="I519" s="1"/>
      <c r="J519" s="1"/>
      <c r="K519" s="1"/>
      <c r="L519" s="1"/>
      <c r="M519" s="1"/>
      <c r="N519" s="1"/>
      <c r="O519" s="1"/>
      <c r="P519" s="1"/>
      <c r="Q519" s="13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31"/>
      <c r="F520" s="131"/>
      <c r="G520" s="131"/>
      <c r="H520" s="1"/>
      <c r="I520" s="1"/>
      <c r="J520" s="1"/>
      <c r="K520" s="1"/>
      <c r="L520" s="1"/>
      <c r="M520" s="1"/>
      <c r="N520" s="1"/>
      <c r="O520" s="1"/>
      <c r="P520" s="1"/>
      <c r="Q520" s="13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31"/>
      <c r="F521" s="131"/>
      <c r="G521" s="131"/>
      <c r="H521" s="1"/>
      <c r="I521" s="1"/>
      <c r="J521" s="1"/>
      <c r="K521" s="1"/>
      <c r="L521" s="1"/>
      <c r="M521" s="1"/>
      <c r="N521" s="1"/>
      <c r="O521" s="1"/>
      <c r="P521" s="1"/>
      <c r="Q521" s="13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31"/>
      <c r="F522" s="131"/>
      <c r="G522" s="131"/>
      <c r="H522" s="1"/>
      <c r="I522" s="1"/>
      <c r="J522" s="1"/>
      <c r="K522" s="1"/>
      <c r="L522" s="1"/>
      <c r="M522" s="1"/>
      <c r="N522" s="1"/>
      <c r="O522" s="1"/>
      <c r="P522" s="1"/>
      <c r="Q522" s="13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31"/>
      <c r="F523" s="131"/>
      <c r="G523" s="131"/>
      <c r="H523" s="1"/>
      <c r="I523" s="1"/>
      <c r="J523" s="1"/>
      <c r="K523" s="1"/>
      <c r="L523" s="1"/>
      <c r="M523" s="1"/>
      <c r="N523" s="1"/>
      <c r="O523" s="1"/>
      <c r="P523" s="1"/>
      <c r="Q523" s="13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31"/>
      <c r="F524" s="131"/>
      <c r="G524" s="131"/>
      <c r="H524" s="1"/>
      <c r="I524" s="1"/>
      <c r="J524" s="1"/>
      <c r="K524" s="1"/>
      <c r="L524" s="1"/>
      <c r="M524" s="1"/>
      <c r="N524" s="1"/>
      <c r="O524" s="1"/>
      <c r="P524" s="1"/>
      <c r="Q524" s="13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31"/>
      <c r="F525" s="131"/>
      <c r="G525" s="131"/>
      <c r="H525" s="1"/>
      <c r="I525" s="1"/>
      <c r="J525" s="1"/>
      <c r="K525" s="1"/>
      <c r="L525" s="1"/>
      <c r="M525" s="1"/>
      <c r="N525" s="1"/>
      <c r="O525" s="1"/>
      <c r="P525" s="1"/>
      <c r="Q525" s="13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31"/>
      <c r="F526" s="131"/>
      <c r="G526" s="131"/>
      <c r="H526" s="1"/>
      <c r="I526" s="1"/>
      <c r="J526" s="1"/>
      <c r="K526" s="1"/>
      <c r="L526" s="1"/>
      <c r="M526" s="1"/>
      <c r="N526" s="1"/>
      <c r="O526" s="1"/>
      <c r="P526" s="1"/>
      <c r="Q526" s="13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31"/>
      <c r="F527" s="131"/>
      <c r="G527" s="131"/>
      <c r="H527" s="1"/>
      <c r="I527" s="1"/>
      <c r="J527" s="1"/>
      <c r="K527" s="1"/>
      <c r="L527" s="1"/>
      <c r="M527" s="1"/>
      <c r="N527" s="1"/>
      <c r="O527" s="1"/>
      <c r="P527" s="1"/>
      <c r="Q527" s="13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31"/>
      <c r="F528" s="131"/>
      <c r="G528" s="131"/>
      <c r="H528" s="1"/>
      <c r="I528" s="1"/>
      <c r="J528" s="1"/>
      <c r="K528" s="1"/>
      <c r="L528" s="1"/>
      <c r="M528" s="1"/>
      <c r="N528" s="1"/>
      <c r="O528" s="1"/>
      <c r="P528" s="1"/>
      <c r="Q528" s="13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31"/>
      <c r="F529" s="131"/>
      <c r="G529" s="131"/>
      <c r="H529" s="1"/>
      <c r="I529" s="1"/>
      <c r="J529" s="1"/>
      <c r="K529" s="1"/>
      <c r="L529" s="1"/>
      <c r="M529" s="1"/>
      <c r="N529" s="1"/>
      <c r="O529" s="1"/>
      <c r="P529" s="1"/>
      <c r="Q529" s="13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31"/>
      <c r="F530" s="131"/>
      <c r="G530" s="131"/>
      <c r="H530" s="1"/>
      <c r="I530" s="1"/>
      <c r="J530" s="1"/>
      <c r="K530" s="1"/>
      <c r="L530" s="1"/>
      <c r="M530" s="1"/>
      <c r="N530" s="1"/>
      <c r="O530" s="1"/>
      <c r="P530" s="1"/>
      <c r="Q530" s="13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31"/>
      <c r="F531" s="131"/>
      <c r="G531" s="131"/>
      <c r="H531" s="1"/>
      <c r="I531" s="1"/>
      <c r="J531" s="1"/>
      <c r="K531" s="1"/>
      <c r="L531" s="1"/>
      <c r="M531" s="1"/>
      <c r="N531" s="1"/>
      <c r="O531" s="1"/>
      <c r="P531" s="1"/>
      <c r="Q531" s="13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31"/>
      <c r="F532" s="131"/>
      <c r="G532" s="131"/>
      <c r="H532" s="1"/>
      <c r="I532" s="1"/>
      <c r="J532" s="1"/>
      <c r="K532" s="1"/>
      <c r="L532" s="1"/>
      <c r="M532" s="1"/>
      <c r="N532" s="1"/>
      <c r="O532" s="1"/>
      <c r="P532" s="1"/>
      <c r="Q532" s="13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31"/>
      <c r="F533" s="131"/>
      <c r="G533" s="131"/>
      <c r="H533" s="1"/>
      <c r="I533" s="1"/>
      <c r="J533" s="1"/>
      <c r="K533" s="1"/>
      <c r="L533" s="1"/>
      <c r="M533" s="1"/>
      <c r="N533" s="1"/>
      <c r="O533" s="1"/>
      <c r="P533" s="1"/>
      <c r="Q533" s="13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31"/>
      <c r="F534" s="131"/>
      <c r="G534" s="131"/>
      <c r="H534" s="1"/>
      <c r="I534" s="1"/>
      <c r="J534" s="1"/>
      <c r="K534" s="1"/>
      <c r="L534" s="1"/>
      <c r="M534" s="1"/>
      <c r="N534" s="1"/>
      <c r="O534" s="1"/>
      <c r="P534" s="1"/>
      <c r="Q534" s="13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31"/>
      <c r="F535" s="131"/>
      <c r="G535" s="131"/>
      <c r="H535" s="1"/>
      <c r="I535" s="1"/>
      <c r="J535" s="1"/>
      <c r="K535" s="1"/>
      <c r="L535" s="1"/>
      <c r="M535" s="1"/>
      <c r="N535" s="1"/>
      <c r="O535" s="1"/>
      <c r="P535" s="1"/>
      <c r="Q535" s="13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31"/>
      <c r="F536" s="131"/>
      <c r="G536" s="131"/>
      <c r="H536" s="1"/>
      <c r="I536" s="1"/>
      <c r="J536" s="1"/>
      <c r="K536" s="1"/>
      <c r="L536" s="1"/>
      <c r="M536" s="1"/>
      <c r="N536" s="1"/>
      <c r="O536" s="1"/>
      <c r="P536" s="1"/>
      <c r="Q536" s="13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31"/>
      <c r="F537" s="131"/>
      <c r="G537" s="131"/>
      <c r="H537" s="1"/>
      <c r="I537" s="1"/>
      <c r="J537" s="1"/>
      <c r="K537" s="1"/>
      <c r="L537" s="1"/>
      <c r="M537" s="1"/>
      <c r="N537" s="1"/>
      <c r="O537" s="1"/>
      <c r="P537" s="1"/>
      <c r="Q537" s="13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31"/>
      <c r="F538" s="131"/>
      <c r="G538" s="131"/>
      <c r="H538" s="1"/>
      <c r="I538" s="1"/>
      <c r="J538" s="1"/>
      <c r="K538" s="1"/>
      <c r="L538" s="1"/>
      <c r="M538" s="1"/>
      <c r="N538" s="1"/>
      <c r="O538" s="1"/>
      <c r="P538" s="1"/>
      <c r="Q538" s="13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31"/>
      <c r="F539" s="131"/>
      <c r="G539" s="131"/>
      <c r="H539" s="1"/>
      <c r="I539" s="1"/>
      <c r="J539" s="1"/>
      <c r="K539" s="1"/>
      <c r="L539" s="1"/>
      <c r="M539" s="1"/>
      <c r="N539" s="1"/>
      <c r="O539" s="1"/>
      <c r="P539" s="1"/>
      <c r="Q539" s="13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31"/>
      <c r="F540" s="131"/>
      <c r="G540" s="131"/>
      <c r="H540" s="1"/>
      <c r="I540" s="1"/>
      <c r="J540" s="1"/>
      <c r="K540" s="1"/>
      <c r="L540" s="1"/>
      <c r="M540" s="1"/>
      <c r="N540" s="1"/>
      <c r="O540" s="1"/>
      <c r="P540" s="1"/>
      <c r="Q540" s="13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31"/>
      <c r="F541" s="131"/>
      <c r="G541" s="131"/>
      <c r="H541" s="1"/>
      <c r="I541" s="1"/>
      <c r="J541" s="1"/>
      <c r="K541" s="1"/>
      <c r="L541" s="1"/>
      <c r="M541" s="1"/>
      <c r="N541" s="1"/>
      <c r="O541" s="1"/>
      <c r="P541" s="1"/>
      <c r="Q541" s="13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31"/>
      <c r="F542" s="131"/>
      <c r="G542" s="131"/>
      <c r="H542" s="1"/>
      <c r="I542" s="1"/>
      <c r="J542" s="1"/>
      <c r="K542" s="1"/>
      <c r="L542" s="1"/>
      <c r="M542" s="1"/>
      <c r="N542" s="1"/>
      <c r="O542" s="1"/>
      <c r="P542" s="1"/>
      <c r="Q542" s="13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31"/>
      <c r="F543" s="131"/>
      <c r="G543" s="131"/>
      <c r="H543" s="1"/>
      <c r="I543" s="1"/>
      <c r="J543" s="1"/>
      <c r="K543" s="1"/>
      <c r="L543" s="1"/>
      <c r="M543" s="1"/>
      <c r="N543" s="1"/>
      <c r="O543" s="1"/>
      <c r="P543" s="1"/>
      <c r="Q543" s="13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31"/>
      <c r="F544" s="131"/>
      <c r="G544" s="131"/>
      <c r="H544" s="1"/>
      <c r="I544" s="1"/>
      <c r="J544" s="1"/>
      <c r="K544" s="1"/>
      <c r="L544" s="1"/>
      <c r="M544" s="1"/>
      <c r="N544" s="1"/>
      <c r="O544" s="1"/>
      <c r="P544" s="1"/>
      <c r="Q544" s="13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31"/>
      <c r="F545" s="131"/>
      <c r="G545" s="131"/>
      <c r="H545" s="1"/>
      <c r="I545" s="1"/>
      <c r="J545" s="1"/>
      <c r="K545" s="1"/>
      <c r="L545" s="1"/>
      <c r="M545" s="1"/>
      <c r="N545" s="1"/>
      <c r="O545" s="1"/>
      <c r="P545" s="1"/>
      <c r="Q545" s="13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31"/>
      <c r="F546" s="131"/>
      <c r="G546" s="131"/>
      <c r="H546" s="1"/>
      <c r="I546" s="1"/>
      <c r="J546" s="1"/>
      <c r="K546" s="1"/>
      <c r="L546" s="1"/>
      <c r="M546" s="1"/>
      <c r="N546" s="1"/>
      <c r="O546" s="1"/>
      <c r="P546" s="1"/>
      <c r="Q546" s="13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31"/>
      <c r="F547" s="131"/>
      <c r="G547" s="131"/>
      <c r="H547" s="1"/>
      <c r="I547" s="1"/>
      <c r="J547" s="1"/>
      <c r="K547" s="1"/>
      <c r="L547" s="1"/>
      <c r="M547" s="1"/>
      <c r="N547" s="1"/>
      <c r="O547" s="1"/>
      <c r="P547" s="1"/>
      <c r="Q547" s="13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31"/>
      <c r="F548" s="131"/>
      <c r="G548" s="131"/>
      <c r="H548" s="1"/>
      <c r="I548" s="1"/>
      <c r="J548" s="1"/>
      <c r="K548" s="1"/>
      <c r="L548" s="1"/>
      <c r="M548" s="1"/>
      <c r="N548" s="1"/>
      <c r="O548" s="1"/>
      <c r="P548" s="1"/>
      <c r="Q548" s="13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31"/>
      <c r="F549" s="131"/>
      <c r="G549" s="131"/>
      <c r="H549" s="1"/>
      <c r="I549" s="1"/>
      <c r="J549" s="1"/>
      <c r="K549" s="1"/>
      <c r="L549" s="1"/>
      <c r="M549" s="1"/>
      <c r="N549" s="1"/>
      <c r="O549" s="1"/>
      <c r="P549" s="1"/>
      <c r="Q549" s="13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31"/>
      <c r="F550" s="131"/>
      <c r="G550" s="131"/>
      <c r="H550" s="1"/>
      <c r="I550" s="1"/>
      <c r="J550" s="1"/>
      <c r="K550" s="1"/>
      <c r="L550" s="1"/>
      <c r="M550" s="1"/>
      <c r="N550" s="1"/>
      <c r="O550" s="1"/>
      <c r="P550" s="1"/>
      <c r="Q550" s="13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31"/>
      <c r="F551" s="131"/>
      <c r="G551" s="131"/>
      <c r="H551" s="1"/>
      <c r="I551" s="1"/>
      <c r="J551" s="1"/>
      <c r="K551" s="1"/>
      <c r="L551" s="1"/>
      <c r="M551" s="1"/>
      <c r="N551" s="1"/>
      <c r="O551" s="1"/>
      <c r="P551" s="1"/>
      <c r="Q551" s="13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31"/>
      <c r="F552" s="131"/>
      <c r="G552" s="131"/>
      <c r="H552" s="1"/>
      <c r="I552" s="1"/>
      <c r="J552" s="1"/>
      <c r="K552" s="1"/>
      <c r="L552" s="1"/>
      <c r="M552" s="1"/>
      <c r="N552" s="1"/>
      <c r="O552" s="1"/>
      <c r="P552" s="1"/>
      <c r="Q552" s="13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31"/>
      <c r="F553" s="131"/>
      <c r="G553" s="131"/>
      <c r="H553" s="1"/>
      <c r="I553" s="1"/>
      <c r="J553" s="1"/>
      <c r="K553" s="1"/>
      <c r="L553" s="1"/>
      <c r="M553" s="1"/>
      <c r="N553" s="1"/>
      <c r="O553" s="1"/>
      <c r="P553" s="1"/>
      <c r="Q553" s="13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31"/>
      <c r="F554" s="131"/>
      <c r="G554" s="131"/>
      <c r="H554" s="1"/>
      <c r="I554" s="1"/>
      <c r="J554" s="1"/>
      <c r="K554" s="1"/>
      <c r="L554" s="1"/>
      <c r="M554" s="1"/>
      <c r="N554" s="1"/>
      <c r="O554" s="1"/>
      <c r="P554" s="1"/>
      <c r="Q554" s="13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31"/>
      <c r="F555" s="131"/>
      <c r="G555" s="131"/>
      <c r="H555" s="1"/>
      <c r="I555" s="1"/>
      <c r="J555" s="1"/>
      <c r="K555" s="1"/>
      <c r="L555" s="1"/>
      <c r="M555" s="1"/>
      <c r="N555" s="1"/>
      <c r="O555" s="1"/>
      <c r="P555" s="1"/>
      <c r="Q555" s="13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31"/>
      <c r="F556" s="131"/>
      <c r="G556" s="131"/>
      <c r="H556" s="1"/>
      <c r="I556" s="1"/>
      <c r="J556" s="1"/>
      <c r="K556" s="1"/>
      <c r="L556" s="1"/>
      <c r="M556" s="1"/>
      <c r="N556" s="1"/>
      <c r="O556" s="1"/>
      <c r="P556" s="1"/>
      <c r="Q556" s="13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31"/>
      <c r="F557" s="131"/>
      <c r="G557" s="131"/>
      <c r="H557" s="1"/>
      <c r="I557" s="1"/>
      <c r="J557" s="1"/>
      <c r="K557" s="1"/>
      <c r="L557" s="1"/>
      <c r="M557" s="1"/>
      <c r="N557" s="1"/>
      <c r="O557" s="1"/>
      <c r="P557" s="1"/>
      <c r="Q557" s="13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31"/>
      <c r="F558" s="131"/>
      <c r="G558" s="131"/>
      <c r="H558" s="1"/>
      <c r="I558" s="1"/>
      <c r="J558" s="1"/>
      <c r="K558" s="1"/>
      <c r="L558" s="1"/>
      <c r="M558" s="1"/>
      <c r="N558" s="1"/>
      <c r="O558" s="1"/>
      <c r="P558" s="1"/>
      <c r="Q558" s="13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31"/>
      <c r="F559" s="131"/>
      <c r="G559" s="131"/>
      <c r="H559" s="1"/>
      <c r="I559" s="1"/>
      <c r="J559" s="1"/>
      <c r="K559" s="1"/>
      <c r="L559" s="1"/>
      <c r="M559" s="1"/>
      <c r="N559" s="1"/>
      <c r="O559" s="1"/>
      <c r="P559" s="1"/>
      <c r="Q559" s="13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31"/>
      <c r="F560" s="131"/>
      <c r="G560" s="131"/>
      <c r="H560" s="1"/>
      <c r="I560" s="1"/>
      <c r="J560" s="1"/>
      <c r="K560" s="1"/>
      <c r="L560" s="1"/>
      <c r="M560" s="1"/>
      <c r="N560" s="1"/>
      <c r="O560" s="1"/>
      <c r="P560" s="1"/>
      <c r="Q560" s="13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31"/>
      <c r="F561" s="131"/>
      <c r="G561" s="131"/>
      <c r="H561" s="1"/>
      <c r="I561" s="1"/>
      <c r="J561" s="1"/>
      <c r="K561" s="1"/>
      <c r="L561" s="1"/>
      <c r="M561" s="1"/>
      <c r="N561" s="1"/>
      <c r="O561" s="1"/>
      <c r="P561" s="1"/>
      <c r="Q561" s="13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31"/>
      <c r="F562" s="131"/>
      <c r="G562" s="131"/>
      <c r="H562" s="1"/>
      <c r="I562" s="1"/>
      <c r="J562" s="1"/>
      <c r="K562" s="1"/>
      <c r="L562" s="1"/>
      <c r="M562" s="1"/>
      <c r="N562" s="1"/>
      <c r="O562" s="1"/>
      <c r="P562" s="1"/>
      <c r="Q562" s="13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31"/>
      <c r="F563" s="131"/>
      <c r="G563" s="131"/>
      <c r="H563" s="1"/>
      <c r="I563" s="1"/>
      <c r="J563" s="1"/>
      <c r="K563" s="1"/>
      <c r="L563" s="1"/>
      <c r="M563" s="1"/>
      <c r="N563" s="1"/>
      <c r="O563" s="1"/>
      <c r="P563" s="1"/>
      <c r="Q563" s="13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31"/>
      <c r="F564" s="131"/>
      <c r="G564" s="131"/>
      <c r="H564" s="1"/>
      <c r="I564" s="1"/>
      <c r="J564" s="1"/>
      <c r="K564" s="1"/>
      <c r="L564" s="1"/>
      <c r="M564" s="1"/>
      <c r="N564" s="1"/>
      <c r="O564" s="1"/>
      <c r="P564" s="1"/>
      <c r="Q564" s="13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31"/>
      <c r="F565" s="131"/>
      <c r="G565" s="131"/>
      <c r="H565" s="1"/>
      <c r="I565" s="1"/>
      <c r="J565" s="1"/>
      <c r="K565" s="1"/>
      <c r="L565" s="1"/>
      <c r="M565" s="1"/>
      <c r="N565" s="1"/>
      <c r="O565" s="1"/>
      <c r="P565" s="1"/>
      <c r="Q565" s="13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31"/>
      <c r="F566" s="131"/>
      <c r="G566" s="131"/>
      <c r="H566" s="1"/>
      <c r="I566" s="1"/>
      <c r="J566" s="1"/>
      <c r="K566" s="1"/>
      <c r="L566" s="1"/>
      <c r="M566" s="1"/>
      <c r="N566" s="1"/>
      <c r="O566" s="1"/>
      <c r="P566" s="1"/>
      <c r="Q566" s="13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31"/>
      <c r="F567" s="131"/>
      <c r="G567" s="131"/>
      <c r="H567" s="1"/>
      <c r="I567" s="1"/>
      <c r="J567" s="1"/>
      <c r="K567" s="1"/>
      <c r="L567" s="1"/>
      <c r="M567" s="1"/>
      <c r="N567" s="1"/>
      <c r="O567" s="1"/>
      <c r="P567" s="1"/>
      <c r="Q567" s="13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31"/>
      <c r="F568" s="131"/>
      <c r="G568" s="131"/>
      <c r="H568" s="1"/>
      <c r="I568" s="1"/>
      <c r="J568" s="1"/>
      <c r="K568" s="1"/>
      <c r="L568" s="1"/>
      <c r="M568" s="1"/>
      <c r="N568" s="1"/>
      <c r="O568" s="1"/>
      <c r="P568" s="1"/>
      <c r="Q568" s="13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31"/>
      <c r="F569" s="131"/>
      <c r="G569" s="131"/>
      <c r="H569" s="1"/>
      <c r="I569" s="1"/>
      <c r="J569" s="1"/>
      <c r="K569" s="1"/>
      <c r="L569" s="1"/>
      <c r="M569" s="1"/>
      <c r="N569" s="1"/>
      <c r="O569" s="1"/>
      <c r="P569" s="1"/>
      <c r="Q569" s="13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31"/>
      <c r="F570" s="131"/>
      <c r="G570" s="131"/>
      <c r="H570" s="1"/>
      <c r="I570" s="1"/>
      <c r="J570" s="1"/>
      <c r="K570" s="1"/>
      <c r="L570" s="1"/>
      <c r="M570" s="1"/>
      <c r="N570" s="1"/>
      <c r="O570" s="1"/>
      <c r="P570" s="1"/>
      <c r="Q570" s="13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31"/>
      <c r="F571" s="131"/>
      <c r="G571" s="131"/>
      <c r="H571" s="1"/>
      <c r="I571" s="1"/>
      <c r="J571" s="1"/>
      <c r="K571" s="1"/>
      <c r="L571" s="1"/>
      <c r="M571" s="1"/>
      <c r="N571" s="1"/>
      <c r="O571" s="1"/>
      <c r="P571" s="1"/>
      <c r="Q571" s="13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31"/>
      <c r="F572" s="131"/>
      <c r="G572" s="131"/>
      <c r="H572" s="1"/>
      <c r="I572" s="1"/>
      <c r="J572" s="1"/>
      <c r="K572" s="1"/>
      <c r="L572" s="1"/>
      <c r="M572" s="1"/>
      <c r="N572" s="1"/>
      <c r="O572" s="1"/>
      <c r="P572" s="1"/>
      <c r="Q572" s="13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31"/>
      <c r="F573" s="131"/>
      <c r="G573" s="131"/>
      <c r="H573" s="1"/>
      <c r="I573" s="1"/>
      <c r="J573" s="1"/>
      <c r="K573" s="1"/>
      <c r="L573" s="1"/>
      <c r="M573" s="1"/>
      <c r="N573" s="1"/>
      <c r="O573" s="1"/>
      <c r="P573" s="1"/>
      <c r="Q573" s="13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31"/>
      <c r="F574" s="131"/>
      <c r="G574" s="131"/>
      <c r="H574" s="1"/>
      <c r="I574" s="1"/>
      <c r="J574" s="1"/>
      <c r="K574" s="1"/>
      <c r="L574" s="1"/>
      <c r="M574" s="1"/>
      <c r="N574" s="1"/>
      <c r="O574" s="1"/>
      <c r="P574" s="1"/>
      <c r="Q574" s="13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31"/>
      <c r="F575" s="131"/>
      <c r="G575" s="131"/>
      <c r="H575" s="1"/>
      <c r="I575" s="1"/>
      <c r="J575" s="1"/>
      <c r="K575" s="1"/>
      <c r="L575" s="1"/>
      <c r="M575" s="1"/>
      <c r="N575" s="1"/>
      <c r="O575" s="1"/>
      <c r="P575" s="1"/>
      <c r="Q575" s="13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31"/>
      <c r="F576" s="131"/>
      <c r="G576" s="131"/>
      <c r="H576" s="1"/>
      <c r="I576" s="1"/>
      <c r="J576" s="1"/>
      <c r="K576" s="1"/>
      <c r="L576" s="1"/>
      <c r="M576" s="1"/>
      <c r="N576" s="1"/>
      <c r="O576" s="1"/>
      <c r="P576" s="1"/>
      <c r="Q576" s="13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31"/>
      <c r="F577" s="131"/>
      <c r="G577" s="131"/>
      <c r="H577" s="1"/>
      <c r="I577" s="1"/>
      <c r="J577" s="1"/>
      <c r="K577" s="1"/>
      <c r="L577" s="1"/>
      <c r="M577" s="1"/>
      <c r="N577" s="1"/>
      <c r="O577" s="1"/>
      <c r="P577" s="1"/>
      <c r="Q577" s="13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31"/>
      <c r="F578" s="131"/>
      <c r="G578" s="131"/>
      <c r="H578" s="1"/>
      <c r="I578" s="1"/>
      <c r="J578" s="1"/>
      <c r="K578" s="1"/>
      <c r="L578" s="1"/>
      <c r="M578" s="1"/>
      <c r="N578" s="1"/>
      <c r="O578" s="1"/>
      <c r="P578" s="1"/>
      <c r="Q578" s="13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31"/>
      <c r="F579" s="131"/>
      <c r="G579" s="131"/>
      <c r="H579" s="1"/>
      <c r="I579" s="1"/>
      <c r="J579" s="1"/>
      <c r="K579" s="1"/>
      <c r="L579" s="1"/>
      <c r="M579" s="1"/>
      <c r="N579" s="1"/>
      <c r="O579" s="1"/>
      <c r="P579" s="1"/>
      <c r="Q579" s="13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31"/>
      <c r="F580" s="131"/>
      <c r="G580" s="131"/>
      <c r="H580" s="1"/>
      <c r="I580" s="1"/>
      <c r="J580" s="1"/>
      <c r="K580" s="1"/>
      <c r="L580" s="1"/>
      <c r="M580" s="1"/>
      <c r="N580" s="1"/>
      <c r="O580" s="1"/>
      <c r="P580" s="1"/>
      <c r="Q580" s="13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31"/>
      <c r="F581" s="131"/>
      <c r="G581" s="131"/>
      <c r="H581" s="1"/>
      <c r="I581" s="1"/>
      <c r="J581" s="1"/>
      <c r="K581" s="1"/>
      <c r="L581" s="1"/>
      <c r="M581" s="1"/>
      <c r="N581" s="1"/>
      <c r="O581" s="1"/>
      <c r="P581" s="1"/>
      <c r="Q581" s="13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31"/>
      <c r="F582" s="131"/>
      <c r="G582" s="131"/>
      <c r="H582" s="1"/>
      <c r="I582" s="1"/>
      <c r="J582" s="1"/>
      <c r="K582" s="1"/>
      <c r="L582" s="1"/>
      <c r="M582" s="1"/>
      <c r="N582" s="1"/>
      <c r="O582" s="1"/>
      <c r="P582" s="1"/>
      <c r="Q582" s="13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31"/>
      <c r="F583" s="131"/>
      <c r="G583" s="131"/>
      <c r="H583" s="1"/>
      <c r="I583" s="1"/>
      <c r="J583" s="1"/>
      <c r="K583" s="1"/>
      <c r="L583" s="1"/>
      <c r="M583" s="1"/>
      <c r="N583" s="1"/>
      <c r="O583" s="1"/>
      <c r="P583" s="1"/>
      <c r="Q583" s="13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31"/>
      <c r="F584" s="131"/>
      <c r="G584" s="131"/>
      <c r="H584" s="1"/>
      <c r="I584" s="1"/>
      <c r="J584" s="1"/>
      <c r="K584" s="1"/>
      <c r="L584" s="1"/>
      <c r="M584" s="1"/>
      <c r="N584" s="1"/>
      <c r="O584" s="1"/>
      <c r="P584" s="1"/>
      <c r="Q584" s="13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31"/>
      <c r="F585" s="131"/>
      <c r="G585" s="131"/>
      <c r="H585" s="1"/>
      <c r="I585" s="1"/>
      <c r="J585" s="1"/>
      <c r="K585" s="1"/>
      <c r="L585" s="1"/>
      <c r="M585" s="1"/>
      <c r="N585" s="1"/>
      <c r="O585" s="1"/>
      <c r="P585" s="1"/>
      <c r="Q585" s="13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31"/>
      <c r="F586" s="131"/>
      <c r="G586" s="131"/>
      <c r="H586" s="1"/>
      <c r="I586" s="1"/>
      <c r="J586" s="1"/>
      <c r="K586" s="1"/>
      <c r="L586" s="1"/>
      <c r="M586" s="1"/>
      <c r="N586" s="1"/>
      <c r="O586" s="1"/>
      <c r="P586" s="1"/>
      <c r="Q586" s="13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31"/>
      <c r="F587" s="131"/>
      <c r="G587" s="131"/>
      <c r="H587" s="1"/>
      <c r="I587" s="1"/>
      <c r="J587" s="1"/>
      <c r="K587" s="1"/>
      <c r="L587" s="1"/>
      <c r="M587" s="1"/>
      <c r="N587" s="1"/>
      <c r="O587" s="1"/>
      <c r="P587" s="1"/>
      <c r="Q587" s="13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31"/>
      <c r="F588" s="131"/>
      <c r="G588" s="131"/>
      <c r="H588" s="1"/>
      <c r="I588" s="1"/>
      <c r="J588" s="1"/>
      <c r="K588" s="1"/>
      <c r="L588" s="1"/>
      <c r="M588" s="1"/>
      <c r="N588" s="1"/>
      <c r="O588" s="1"/>
      <c r="P588" s="1"/>
      <c r="Q588" s="13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31"/>
      <c r="F589" s="131"/>
      <c r="G589" s="131"/>
      <c r="H589" s="1"/>
      <c r="I589" s="1"/>
      <c r="J589" s="1"/>
      <c r="K589" s="1"/>
      <c r="L589" s="1"/>
      <c r="M589" s="1"/>
      <c r="N589" s="1"/>
      <c r="O589" s="1"/>
      <c r="P589" s="1"/>
      <c r="Q589" s="13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31"/>
      <c r="F590" s="131"/>
      <c r="G590" s="131"/>
      <c r="H590" s="1"/>
      <c r="I590" s="1"/>
      <c r="J590" s="1"/>
      <c r="K590" s="1"/>
      <c r="L590" s="1"/>
      <c r="M590" s="1"/>
      <c r="N590" s="1"/>
      <c r="O590" s="1"/>
      <c r="P590" s="1"/>
      <c r="Q590" s="13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31"/>
      <c r="F591" s="131"/>
      <c r="G591" s="131"/>
      <c r="H591" s="1"/>
      <c r="I591" s="1"/>
      <c r="J591" s="1"/>
      <c r="K591" s="1"/>
      <c r="L591" s="1"/>
      <c r="M591" s="1"/>
      <c r="N591" s="1"/>
      <c r="O591" s="1"/>
      <c r="P591" s="1"/>
      <c r="Q591" s="13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31"/>
      <c r="F592" s="131"/>
      <c r="G592" s="131"/>
      <c r="H592" s="1"/>
      <c r="I592" s="1"/>
      <c r="J592" s="1"/>
      <c r="K592" s="1"/>
      <c r="L592" s="1"/>
      <c r="M592" s="1"/>
      <c r="N592" s="1"/>
      <c r="O592" s="1"/>
      <c r="P592" s="1"/>
      <c r="Q592" s="13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31"/>
      <c r="F593" s="131"/>
      <c r="G593" s="131"/>
      <c r="H593" s="1"/>
      <c r="I593" s="1"/>
      <c r="J593" s="1"/>
      <c r="K593" s="1"/>
      <c r="L593" s="1"/>
      <c r="M593" s="1"/>
      <c r="N593" s="1"/>
      <c r="O593" s="1"/>
      <c r="P593" s="1"/>
      <c r="Q593" s="13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31"/>
      <c r="F594" s="131"/>
      <c r="G594" s="131"/>
      <c r="H594" s="1"/>
      <c r="I594" s="1"/>
      <c r="J594" s="1"/>
      <c r="K594" s="1"/>
      <c r="L594" s="1"/>
      <c r="M594" s="1"/>
      <c r="N594" s="1"/>
      <c r="O594" s="1"/>
      <c r="P594" s="1"/>
      <c r="Q594" s="13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31"/>
      <c r="F595" s="131"/>
      <c r="G595" s="131"/>
      <c r="H595" s="1"/>
      <c r="I595" s="1"/>
      <c r="J595" s="1"/>
      <c r="K595" s="1"/>
      <c r="L595" s="1"/>
      <c r="M595" s="1"/>
      <c r="N595" s="1"/>
      <c r="O595" s="1"/>
      <c r="P595" s="1"/>
      <c r="Q595" s="13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31"/>
      <c r="F596" s="131"/>
      <c r="G596" s="131"/>
      <c r="H596" s="1"/>
      <c r="I596" s="1"/>
      <c r="J596" s="1"/>
      <c r="K596" s="1"/>
      <c r="L596" s="1"/>
      <c r="M596" s="1"/>
      <c r="N596" s="1"/>
      <c r="O596" s="1"/>
      <c r="P596" s="1"/>
      <c r="Q596" s="13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31"/>
      <c r="F597" s="131"/>
      <c r="G597" s="131"/>
      <c r="H597" s="1"/>
      <c r="I597" s="1"/>
      <c r="J597" s="1"/>
      <c r="K597" s="1"/>
      <c r="L597" s="1"/>
      <c r="M597" s="1"/>
      <c r="N597" s="1"/>
      <c r="O597" s="1"/>
      <c r="P597" s="1"/>
      <c r="Q597" s="13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31"/>
      <c r="F598" s="131"/>
      <c r="G598" s="131"/>
      <c r="H598" s="1"/>
      <c r="I598" s="1"/>
      <c r="J598" s="1"/>
      <c r="K598" s="1"/>
      <c r="L598" s="1"/>
      <c r="M598" s="1"/>
      <c r="N598" s="1"/>
      <c r="O598" s="1"/>
      <c r="P598" s="1"/>
      <c r="Q598" s="13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31"/>
      <c r="F599" s="131"/>
      <c r="G599" s="131"/>
      <c r="H599" s="1"/>
      <c r="I599" s="1"/>
      <c r="J599" s="1"/>
      <c r="K599" s="1"/>
      <c r="L599" s="1"/>
      <c r="M599" s="1"/>
      <c r="N599" s="1"/>
      <c r="O599" s="1"/>
      <c r="P599" s="1"/>
      <c r="Q599" s="13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31"/>
      <c r="F600" s="131"/>
      <c r="G600" s="131"/>
      <c r="H600" s="1"/>
      <c r="I600" s="1"/>
      <c r="J600" s="1"/>
      <c r="K600" s="1"/>
      <c r="L600" s="1"/>
      <c r="M600" s="1"/>
      <c r="N600" s="1"/>
      <c r="O600" s="1"/>
      <c r="P600" s="1"/>
      <c r="Q600" s="13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31"/>
      <c r="F601" s="131"/>
      <c r="G601" s="131"/>
      <c r="H601" s="1"/>
      <c r="I601" s="1"/>
      <c r="J601" s="1"/>
      <c r="K601" s="1"/>
      <c r="L601" s="1"/>
      <c r="M601" s="1"/>
      <c r="N601" s="1"/>
      <c r="O601" s="1"/>
      <c r="P601" s="1"/>
      <c r="Q601" s="13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31"/>
      <c r="F602" s="131"/>
      <c r="G602" s="131"/>
      <c r="H602" s="1"/>
      <c r="I602" s="1"/>
      <c r="J602" s="1"/>
      <c r="K602" s="1"/>
      <c r="L602" s="1"/>
      <c r="M602" s="1"/>
      <c r="N602" s="1"/>
      <c r="O602" s="1"/>
      <c r="P602" s="1"/>
      <c r="Q602" s="13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31"/>
      <c r="F603" s="131"/>
      <c r="G603" s="131"/>
      <c r="H603" s="1"/>
      <c r="I603" s="1"/>
      <c r="J603" s="1"/>
      <c r="K603" s="1"/>
      <c r="L603" s="1"/>
      <c r="M603" s="1"/>
      <c r="N603" s="1"/>
      <c r="O603" s="1"/>
      <c r="P603" s="1"/>
      <c r="Q603" s="13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31"/>
      <c r="F604" s="131"/>
      <c r="G604" s="131"/>
      <c r="H604" s="1"/>
      <c r="I604" s="1"/>
      <c r="J604" s="1"/>
      <c r="K604" s="1"/>
      <c r="L604" s="1"/>
      <c r="M604" s="1"/>
      <c r="N604" s="1"/>
      <c r="O604" s="1"/>
      <c r="P604" s="1"/>
      <c r="Q604" s="13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31"/>
      <c r="F605" s="131"/>
      <c r="G605" s="131"/>
      <c r="H605" s="1"/>
      <c r="I605" s="1"/>
      <c r="J605" s="1"/>
      <c r="K605" s="1"/>
      <c r="L605" s="1"/>
      <c r="M605" s="1"/>
      <c r="N605" s="1"/>
      <c r="O605" s="1"/>
      <c r="P605" s="1"/>
      <c r="Q605" s="13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31"/>
      <c r="F606" s="131"/>
      <c r="G606" s="131"/>
      <c r="H606" s="1"/>
      <c r="I606" s="1"/>
      <c r="J606" s="1"/>
      <c r="K606" s="1"/>
      <c r="L606" s="1"/>
      <c r="M606" s="1"/>
      <c r="N606" s="1"/>
      <c r="O606" s="1"/>
      <c r="P606" s="1"/>
      <c r="Q606" s="13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31"/>
      <c r="F607" s="131"/>
      <c r="G607" s="131"/>
      <c r="H607" s="1"/>
      <c r="I607" s="1"/>
      <c r="J607" s="1"/>
      <c r="K607" s="1"/>
      <c r="L607" s="1"/>
      <c r="M607" s="1"/>
      <c r="N607" s="1"/>
      <c r="O607" s="1"/>
      <c r="P607" s="1"/>
      <c r="Q607" s="13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31"/>
      <c r="F608" s="131"/>
      <c r="G608" s="131"/>
      <c r="H608" s="1"/>
      <c r="I608" s="1"/>
      <c r="J608" s="1"/>
      <c r="K608" s="1"/>
      <c r="L608" s="1"/>
      <c r="M608" s="1"/>
      <c r="N608" s="1"/>
      <c r="O608" s="1"/>
      <c r="P608" s="1"/>
      <c r="Q608" s="13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31"/>
      <c r="F609" s="131"/>
      <c r="G609" s="131"/>
      <c r="H609" s="1"/>
      <c r="I609" s="1"/>
      <c r="J609" s="1"/>
      <c r="K609" s="1"/>
      <c r="L609" s="1"/>
      <c r="M609" s="1"/>
      <c r="N609" s="1"/>
      <c r="O609" s="1"/>
      <c r="P609" s="1"/>
      <c r="Q609" s="13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31"/>
      <c r="F610" s="131"/>
      <c r="G610" s="131"/>
      <c r="H610" s="1"/>
      <c r="I610" s="1"/>
      <c r="J610" s="1"/>
      <c r="K610" s="1"/>
      <c r="L610" s="1"/>
      <c r="M610" s="1"/>
      <c r="N610" s="1"/>
      <c r="O610" s="1"/>
      <c r="P610" s="1"/>
      <c r="Q610" s="13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31"/>
      <c r="F611" s="131"/>
      <c r="G611" s="131"/>
      <c r="H611" s="1"/>
      <c r="I611" s="1"/>
      <c r="J611" s="1"/>
      <c r="K611" s="1"/>
      <c r="L611" s="1"/>
      <c r="M611" s="1"/>
      <c r="N611" s="1"/>
      <c r="O611" s="1"/>
      <c r="P611" s="1"/>
      <c r="Q611" s="13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31"/>
      <c r="F612" s="131"/>
      <c r="G612" s="131"/>
      <c r="H612" s="1"/>
      <c r="I612" s="1"/>
      <c r="J612" s="1"/>
      <c r="K612" s="1"/>
      <c r="L612" s="1"/>
      <c r="M612" s="1"/>
      <c r="N612" s="1"/>
      <c r="O612" s="1"/>
      <c r="P612" s="1"/>
      <c r="Q612" s="13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31"/>
      <c r="F613" s="131"/>
      <c r="G613" s="131"/>
      <c r="H613" s="1"/>
      <c r="I613" s="1"/>
      <c r="J613" s="1"/>
      <c r="K613" s="1"/>
      <c r="L613" s="1"/>
      <c r="M613" s="1"/>
      <c r="N613" s="1"/>
      <c r="O613" s="1"/>
      <c r="P613" s="1"/>
      <c r="Q613" s="13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31"/>
      <c r="F614" s="131"/>
      <c r="G614" s="131"/>
      <c r="H614" s="1"/>
      <c r="I614" s="1"/>
      <c r="J614" s="1"/>
      <c r="K614" s="1"/>
      <c r="L614" s="1"/>
      <c r="M614" s="1"/>
      <c r="N614" s="1"/>
      <c r="O614" s="1"/>
      <c r="P614" s="1"/>
      <c r="Q614" s="13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31"/>
      <c r="F615" s="131"/>
      <c r="G615" s="131"/>
      <c r="H615" s="1"/>
      <c r="I615" s="1"/>
      <c r="J615" s="1"/>
      <c r="K615" s="1"/>
      <c r="L615" s="1"/>
      <c r="M615" s="1"/>
      <c r="N615" s="1"/>
      <c r="O615" s="1"/>
      <c r="P615" s="1"/>
      <c r="Q615" s="13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31"/>
      <c r="F616" s="131"/>
      <c r="G616" s="131"/>
      <c r="H616" s="1"/>
      <c r="I616" s="1"/>
      <c r="J616" s="1"/>
      <c r="K616" s="1"/>
      <c r="L616" s="1"/>
      <c r="M616" s="1"/>
      <c r="N616" s="1"/>
      <c r="O616" s="1"/>
      <c r="P616" s="1"/>
      <c r="Q616" s="13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31"/>
      <c r="F617" s="131"/>
      <c r="G617" s="131"/>
      <c r="H617" s="1"/>
      <c r="I617" s="1"/>
      <c r="J617" s="1"/>
      <c r="K617" s="1"/>
      <c r="L617" s="1"/>
      <c r="M617" s="1"/>
      <c r="N617" s="1"/>
      <c r="O617" s="1"/>
      <c r="P617" s="1"/>
      <c r="Q617" s="13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31"/>
      <c r="F618" s="131"/>
      <c r="G618" s="131"/>
      <c r="H618" s="1"/>
      <c r="I618" s="1"/>
      <c r="J618" s="1"/>
      <c r="K618" s="1"/>
      <c r="L618" s="1"/>
      <c r="M618" s="1"/>
      <c r="N618" s="1"/>
      <c r="O618" s="1"/>
      <c r="P618" s="1"/>
      <c r="Q618" s="13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31"/>
      <c r="F619" s="131"/>
      <c r="G619" s="131"/>
      <c r="H619" s="1"/>
      <c r="I619" s="1"/>
      <c r="J619" s="1"/>
      <c r="K619" s="1"/>
      <c r="L619" s="1"/>
      <c r="M619" s="1"/>
      <c r="N619" s="1"/>
      <c r="O619" s="1"/>
      <c r="P619" s="1"/>
      <c r="Q619" s="13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31"/>
      <c r="F620" s="131"/>
      <c r="G620" s="131"/>
      <c r="H620" s="1"/>
      <c r="I620" s="1"/>
      <c r="J620" s="1"/>
      <c r="K620" s="1"/>
      <c r="L620" s="1"/>
      <c r="M620" s="1"/>
      <c r="N620" s="1"/>
      <c r="O620" s="1"/>
      <c r="P620" s="1"/>
      <c r="Q620" s="13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31"/>
      <c r="F621" s="131"/>
      <c r="G621" s="131"/>
      <c r="H621" s="1"/>
      <c r="I621" s="1"/>
      <c r="J621" s="1"/>
      <c r="K621" s="1"/>
      <c r="L621" s="1"/>
      <c r="M621" s="1"/>
      <c r="N621" s="1"/>
      <c r="O621" s="1"/>
      <c r="P621" s="1"/>
      <c r="Q621" s="13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31"/>
      <c r="F622" s="131"/>
      <c r="G622" s="131"/>
      <c r="H622" s="1"/>
      <c r="I622" s="1"/>
      <c r="J622" s="1"/>
      <c r="K622" s="1"/>
      <c r="L622" s="1"/>
      <c r="M622" s="1"/>
      <c r="N622" s="1"/>
      <c r="O622" s="1"/>
      <c r="P622" s="1"/>
      <c r="Q622" s="13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31"/>
      <c r="F623" s="131"/>
      <c r="G623" s="131"/>
      <c r="H623" s="1"/>
      <c r="I623" s="1"/>
      <c r="J623" s="1"/>
      <c r="K623" s="1"/>
      <c r="L623" s="1"/>
      <c r="M623" s="1"/>
      <c r="N623" s="1"/>
      <c r="O623" s="1"/>
      <c r="P623" s="1"/>
      <c r="Q623" s="13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31"/>
      <c r="F624" s="131"/>
      <c r="G624" s="131"/>
      <c r="H624" s="1"/>
      <c r="I624" s="1"/>
      <c r="J624" s="1"/>
      <c r="K624" s="1"/>
      <c r="L624" s="1"/>
      <c r="M624" s="1"/>
      <c r="N624" s="1"/>
      <c r="O624" s="1"/>
      <c r="P624" s="1"/>
      <c r="Q624" s="13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31"/>
      <c r="F625" s="131"/>
      <c r="G625" s="131"/>
      <c r="H625" s="1"/>
      <c r="I625" s="1"/>
      <c r="J625" s="1"/>
      <c r="K625" s="1"/>
      <c r="L625" s="1"/>
      <c r="M625" s="1"/>
      <c r="N625" s="1"/>
      <c r="O625" s="1"/>
      <c r="P625" s="1"/>
      <c r="Q625" s="13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31"/>
      <c r="F626" s="131"/>
      <c r="G626" s="131"/>
      <c r="H626" s="1"/>
      <c r="I626" s="1"/>
      <c r="J626" s="1"/>
      <c r="K626" s="1"/>
      <c r="L626" s="1"/>
      <c r="M626" s="1"/>
      <c r="N626" s="1"/>
      <c r="O626" s="1"/>
      <c r="P626" s="1"/>
      <c r="Q626" s="13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31"/>
      <c r="F627" s="131"/>
      <c r="G627" s="131"/>
      <c r="H627" s="1"/>
      <c r="I627" s="1"/>
      <c r="J627" s="1"/>
      <c r="K627" s="1"/>
      <c r="L627" s="1"/>
      <c r="M627" s="1"/>
      <c r="N627" s="1"/>
      <c r="O627" s="1"/>
      <c r="P627" s="1"/>
      <c r="Q627" s="13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31"/>
      <c r="F628" s="131"/>
      <c r="G628" s="131"/>
      <c r="H628" s="1"/>
      <c r="I628" s="1"/>
      <c r="J628" s="1"/>
      <c r="K628" s="1"/>
      <c r="L628" s="1"/>
      <c r="M628" s="1"/>
      <c r="N628" s="1"/>
      <c r="O628" s="1"/>
      <c r="P628" s="1"/>
      <c r="Q628" s="13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31"/>
      <c r="F629" s="131"/>
      <c r="G629" s="131"/>
      <c r="H629" s="1"/>
      <c r="I629" s="1"/>
      <c r="J629" s="1"/>
      <c r="K629" s="1"/>
      <c r="L629" s="1"/>
      <c r="M629" s="1"/>
      <c r="N629" s="1"/>
      <c r="O629" s="1"/>
      <c r="P629" s="1"/>
      <c r="Q629" s="13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31"/>
      <c r="F630" s="131"/>
      <c r="G630" s="131"/>
      <c r="H630" s="1"/>
      <c r="I630" s="1"/>
      <c r="J630" s="1"/>
      <c r="K630" s="1"/>
      <c r="L630" s="1"/>
      <c r="M630" s="1"/>
      <c r="N630" s="1"/>
      <c r="O630" s="1"/>
      <c r="P630" s="1"/>
      <c r="Q630" s="13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31"/>
      <c r="F631" s="131"/>
      <c r="G631" s="131"/>
      <c r="H631" s="1"/>
      <c r="I631" s="1"/>
      <c r="J631" s="1"/>
      <c r="K631" s="1"/>
      <c r="L631" s="1"/>
      <c r="M631" s="1"/>
      <c r="N631" s="1"/>
      <c r="O631" s="1"/>
      <c r="P631" s="1"/>
      <c r="Q631" s="13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31"/>
      <c r="F632" s="131"/>
      <c r="G632" s="131"/>
      <c r="H632" s="1"/>
      <c r="I632" s="1"/>
      <c r="J632" s="1"/>
      <c r="K632" s="1"/>
      <c r="L632" s="1"/>
      <c r="M632" s="1"/>
      <c r="N632" s="1"/>
      <c r="O632" s="1"/>
      <c r="P632" s="1"/>
      <c r="Q632" s="13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31"/>
      <c r="F633" s="131"/>
      <c r="G633" s="131"/>
      <c r="H633" s="1"/>
      <c r="I633" s="1"/>
      <c r="J633" s="1"/>
      <c r="K633" s="1"/>
      <c r="L633" s="1"/>
      <c r="M633" s="1"/>
      <c r="N633" s="1"/>
      <c r="O633" s="1"/>
      <c r="P633" s="1"/>
      <c r="Q633" s="13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31"/>
      <c r="F634" s="131"/>
      <c r="G634" s="131"/>
      <c r="H634" s="1"/>
      <c r="I634" s="1"/>
      <c r="J634" s="1"/>
      <c r="K634" s="1"/>
      <c r="L634" s="1"/>
      <c r="M634" s="1"/>
      <c r="N634" s="1"/>
      <c r="O634" s="1"/>
      <c r="P634" s="1"/>
      <c r="Q634" s="13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31"/>
      <c r="F635" s="131"/>
      <c r="G635" s="131"/>
      <c r="H635" s="1"/>
      <c r="I635" s="1"/>
      <c r="J635" s="1"/>
      <c r="K635" s="1"/>
      <c r="L635" s="1"/>
      <c r="M635" s="1"/>
      <c r="N635" s="1"/>
      <c r="O635" s="1"/>
      <c r="P635" s="1"/>
      <c r="Q635" s="13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31"/>
      <c r="F636" s="131"/>
      <c r="G636" s="131"/>
      <c r="H636" s="1"/>
      <c r="I636" s="1"/>
      <c r="J636" s="1"/>
      <c r="K636" s="1"/>
      <c r="L636" s="1"/>
      <c r="M636" s="1"/>
      <c r="N636" s="1"/>
      <c r="O636" s="1"/>
      <c r="P636" s="1"/>
      <c r="Q636" s="13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31"/>
      <c r="F637" s="131"/>
      <c r="G637" s="131"/>
      <c r="H637" s="1"/>
      <c r="I637" s="1"/>
      <c r="J637" s="1"/>
      <c r="K637" s="1"/>
      <c r="L637" s="1"/>
      <c r="M637" s="1"/>
      <c r="N637" s="1"/>
      <c r="O637" s="1"/>
      <c r="P637" s="1"/>
      <c r="Q637" s="13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31"/>
      <c r="F638" s="131"/>
      <c r="G638" s="131"/>
      <c r="H638" s="1"/>
      <c r="I638" s="1"/>
      <c r="J638" s="1"/>
      <c r="K638" s="1"/>
      <c r="L638" s="1"/>
      <c r="M638" s="1"/>
      <c r="N638" s="1"/>
      <c r="O638" s="1"/>
      <c r="P638" s="1"/>
      <c r="Q638" s="13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31"/>
      <c r="F639" s="131"/>
      <c r="G639" s="131"/>
      <c r="H639" s="1"/>
      <c r="I639" s="1"/>
      <c r="J639" s="1"/>
      <c r="K639" s="1"/>
      <c r="L639" s="1"/>
      <c r="M639" s="1"/>
      <c r="N639" s="1"/>
      <c r="O639" s="1"/>
      <c r="P639" s="1"/>
      <c r="Q639" s="13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31"/>
      <c r="F640" s="131"/>
      <c r="G640" s="131"/>
      <c r="H640" s="1"/>
      <c r="I640" s="1"/>
      <c r="J640" s="1"/>
      <c r="K640" s="1"/>
      <c r="L640" s="1"/>
      <c r="M640" s="1"/>
      <c r="N640" s="1"/>
      <c r="O640" s="1"/>
      <c r="P640" s="1"/>
      <c r="Q640" s="13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31"/>
      <c r="F641" s="131"/>
      <c r="G641" s="131"/>
      <c r="H641" s="1"/>
      <c r="I641" s="1"/>
      <c r="J641" s="1"/>
      <c r="K641" s="1"/>
      <c r="L641" s="1"/>
      <c r="M641" s="1"/>
      <c r="N641" s="1"/>
      <c r="O641" s="1"/>
      <c r="P641" s="1"/>
      <c r="Q641" s="13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31"/>
      <c r="F642" s="131"/>
      <c r="G642" s="131"/>
      <c r="H642" s="1"/>
      <c r="I642" s="1"/>
      <c r="J642" s="1"/>
      <c r="K642" s="1"/>
      <c r="L642" s="1"/>
      <c r="M642" s="1"/>
      <c r="N642" s="1"/>
      <c r="O642" s="1"/>
      <c r="P642" s="1"/>
      <c r="Q642" s="13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31"/>
      <c r="F643" s="131"/>
      <c r="G643" s="131"/>
      <c r="H643" s="1"/>
      <c r="I643" s="1"/>
      <c r="J643" s="1"/>
      <c r="K643" s="1"/>
      <c r="L643" s="1"/>
      <c r="M643" s="1"/>
      <c r="N643" s="1"/>
      <c r="O643" s="1"/>
      <c r="P643" s="1"/>
      <c r="Q643" s="13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31"/>
      <c r="F644" s="131"/>
      <c r="G644" s="131"/>
      <c r="H644" s="1"/>
      <c r="I644" s="1"/>
      <c r="J644" s="1"/>
      <c r="K644" s="1"/>
      <c r="L644" s="1"/>
      <c r="M644" s="1"/>
      <c r="N644" s="1"/>
      <c r="O644" s="1"/>
      <c r="P644" s="1"/>
      <c r="Q644" s="13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31"/>
      <c r="F645" s="131"/>
      <c r="G645" s="131"/>
      <c r="H645" s="1"/>
      <c r="I645" s="1"/>
      <c r="J645" s="1"/>
      <c r="K645" s="1"/>
      <c r="L645" s="1"/>
      <c r="M645" s="1"/>
      <c r="N645" s="1"/>
      <c r="O645" s="1"/>
      <c r="P645" s="1"/>
      <c r="Q645" s="13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31"/>
      <c r="F646" s="131"/>
      <c r="G646" s="131"/>
      <c r="H646" s="1"/>
      <c r="I646" s="1"/>
      <c r="J646" s="1"/>
      <c r="K646" s="1"/>
      <c r="L646" s="1"/>
      <c r="M646" s="1"/>
      <c r="N646" s="1"/>
      <c r="O646" s="1"/>
      <c r="P646" s="1"/>
      <c r="Q646" s="13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31"/>
      <c r="F647" s="131"/>
      <c r="G647" s="131"/>
      <c r="H647" s="1"/>
      <c r="I647" s="1"/>
      <c r="J647" s="1"/>
      <c r="K647" s="1"/>
      <c r="L647" s="1"/>
      <c r="M647" s="1"/>
      <c r="N647" s="1"/>
      <c r="O647" s="1"/>
      <c r="P647" s="1"/>
      <c r="Q647" s="13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31"/>
      <c r="F648" s="131"/>
      <c r="G648" s="131"/>
      <c r="H648" s="1"/>
      <c r="I648" s="1"/>
      <c r="J648" s="1"/>
      <c r="K648" s="1"/>
      <c r="L648" s="1"/>
      <c r="M648" s="1"/>
      <c r="N648" s="1"/>
      <c r="O648" s="1"/>
      <c r="P648" s="1"/>
      <c r="Q648" s="13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31"/>
      <c r="F649" s="131"/>
      <c r="G649" s="131"/>
      <c r="H649" s="1"/>
      <c r="I649" s="1"/>
      <c r="J649" s="1"/>
      <c r="K649" s="1"/>
      <c r="L649" s="1"/>
      <c r="M649" s="1"/>
      <c r="N649" s="1"/>
      <c r="O649" s="1"/>
      <c r="P649" s="1"/>
      <c r="Q649" s="13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31"/>
      <c r="F650" s="131"/>
      <c r="G650" s="131"/>
      <c r="H650" s="1"/>
      <c r="I650" s="1"/>
      <c r="J650" s="1"/>
      <c r="K650" s="1"/>
      <c r="L650" s="1"/>
      <c r="M650" s="1"/>
      <c r="N650" s="1"/>
      <c r="O650" s="1"/>
      <c r="P650" s="1"/>
      <c r="Q650" s="13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31"/>
      <c r="F651" s="131"/>
      <c r="G651" s="131"/>
      <c r="H651" s="1"/>
      <c r="I651" s="1"/>
      <c r="J651" s="1"/>
      <c r="K651" s="1"/>
      <c r="L651" s="1"/>
      <c r="M651" s="1"/>
      <c r="N651" s="1"/>
      <c r="O651" s="1"/>
      <c r="P651" s="1"/>
      <c r="Q651" s="13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31"/>
      <c r="F652" s="131"/>
      <c r="G652" s="131"/>
      <c r="H652" s="1"/>
      <c r="I652" s="1"/>
      <c r="J652" s="1"/>
      <c r="K652" s="1"/>
      <c r="L652" s="1"/>
      <c r="M652" s="1"/>
      <c r="N652" s="1"/>
      <c r="O652" s="1"/>
      <c r="P652" s="1"/>
      <c r="Q652" s="13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31"/>
      <c r="F653" s="131"/>
      <c r="G653" s="131"/>
      <c r="H653" s="1"/>
      <c r="I653" s="1"/>
      <c r="J653" s="1"/>
      <c r="K653" s="1"/>
      <c r="L653" s="1"/>
      <c r="M653" s="1"/>
      <c r="N653" s="1"/>
      <c r="O653" s="1"/>
      <c r="P653" s="1"/>
      <c r="Q653" s="13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31"/>
      <c r="F654" s="131"/>
      <c r="G654" s="131"/>
      <c r="H654" s="1"/>
      <c r="I654" s="1"/>
      <c r="J654" s="1"/>
      <c r="K654" s="1"/>
      <c r="L654" s="1"/>
      <c r="M654" s="1"/>
      <c r="N654" s="1"/>
      <c r="O654" s="1"/>
      <c r="P654" s="1"/>
      <c r="Q654" s="13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31"/>
      <c r="F655" s="131"/>
      <c r="G655" s="131"/>
      <c r="H655" s="1"/>
      <c r="I655" s="1"/>
      <c r="J655" s="1"/>
      <c r="K655" s="1"/>
      <c r="L655" s="1"/>
      <c r="M655" s="1"/>
      <c r="N655" s="1"/>
      <c r="O655" s="1"/>
      <c r="P655" s="1"/>
      <c r="Q655" s="13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31"/>
      <c r="F656" s="131"/>
      <c r="G656" s="131"/>
      <c r="H656" s="1"/>
      <c r="I656" s="1"/>
      <c r="J656" s="1"/>
      <c r="K656" s="1"/>
      <c r="L656" s="1"/>
      <c r="M656" s="1"/>
      <c r="N656" s="1"/>
      <c r="O656" s="1"/>
      <c r="P656" s="1"/>
      <c r="Q656" s="13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31"/>
      <c r="F657" s="131"/>
      <c r="G657" s="131"/>
      <c r="H657" s="1"/>
      <c r="I657" s="1"/>
      <c r="J657" s="1"/>
      <c r="K657" s="1"/>
      <c r="L657" s="1"/>
      <c r="M657" s="1"/>
      <c r="N657" s="1"/>
      <c r="O657" s="1"/>
      <c r="P657" s="1"/>
      <c r="Q657" s="13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31"/>
      <c r="F658" s="131"/>
      <c r="G658" s="131"/>
      <c r="H658" s="1"/>
      <c r="I658" s="1"/>
      <c r="J658" s="1"/>
      <c r="K658" s="1"/>
      <c r="L658" s="1"/>
      <c r="M658" s="1"/>
      <c r="N658" s="1"/>
      <c r="O658" s="1"/>
      <c r="P658" s="1"/>
      <c r="Q658" s="13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31"/>
      <c r="F659" s="131"/>
      <c r="G659" s="131"/>
      <c r="H659" s="1"/>
      <c r="I659" s="1"/>
      <c r="J659" s="1"/>
      <c r="K659" s="1"/>
      <c r="L659" s="1"/>
      <c r="M659" s="1"/>
      <c r="N659" s="1"/>
      <c r="O659" s="1"/>
      <c r="P659" s="1"/>
      <c r="Q659" s="13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31"/>
      <c r="F660" s="131"/>
      <c r="G660" s="131"/>
      <c r="H660" s="1"/>
      <c r="I660" s="1"/>
      <c r="J660" s="1"/>
      <c r="K660" s="1"/>
      <c r="L660" s="1"/>
      <c r="M660" s="1"/>
      <c r="N660" s="1"/>
      <c r="O660" s="1"/>
      <c r="P660" s="1"/>
      <c r="Q660" s="13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31"/>
      <c r="F661" s="131"/>
      <c r="G661" s="131"/>
      <c r="H661" s="1"/>
      <c r="I661" s="1"/>
      <c r="J661" s="1"/>
      <c r="K661" s="1"/>
      <c r="L661" s="1"/>
      <c r="M661" s="1"/>
      <c r="N661" s="1"/>
      <c r="O661" s="1"/>
      <c r="P661" s="1"/>
      <c r="Q661" s="13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31"/>
      <c r="F662" s="131"/>
      <c r="G662" s="131"/>
      <c r="H662" s="1"/>
      <c r="I662" s="1"/>
      <c r="J662" s="1"/>
      <c r="K662" s="1"/>
      <c r="L662" s="1"/>
      <c r="M662" s="1"/>
      <c r="N662" s="1"/>
      <c r="O662" s="1"/>
      <c r="P662" s="1"/>
      <c r="Q662" s="13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31"/>
      <c r="F663" s="131"/>
      <c r="G663" s="131"/>
      <c r="H663" s="1"/>
      <c r="I663" s="1"/>
      <c r="J663" s="1"/>
      <c r="K663" s="1"/>
      <c r="L663" s="1"/>
      <c r="M663" s="1"/>
      <c r="N663" s="1"/>
      <c r="O663" s="1"/>
      <c r="P663" s="1"/>
      <c r="Q663" s="13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31"/>
      <c r="F664" s="131"/>
      <c r="G664" s="131"/>
      <c r="H664" s="1"/>
      <c r="I664" s="1"/>
      <c r="J664" s="1"/>
      <c r="K664" s="1"/>
      <c r="L664" s="1"/>
      <c r="M664" s="1"/>
      <c r="N664" s="1"/>
      <c r="O664" s="1"/>
      <c r="P664" s="1"/>
      <c r="Q664" s="13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31"/>
      <c r="F665" s="131"/>
      <c r="G665" s="131"/>
      <c r="H665" s="1"/>
      <c r="I665" s="1"/>
      <c r="J665" s="1"/>
      <c r="K665" s="1"/>
      <c r="L665" s="1"/>
      <c r="M665" s="1"/>
      <c r="N665" s="1"/>
      <c r="O665" s="1"/>
      <c r="P665" s="1"/>
      <c r="Q665" s="13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31"/>
      <c r="F666" s="131"/>
      <c r="G666" s="131"/>
      <c r="H666" s="1"/>
      <c r="I666" s="1"/>
      <c r="J666" s="1"/>
      <c r="K666" s="1"/>
      <c r="L666" s="1"/>
      <c r="M666" s="1"/>
      <c r="N666" s="1"/>
      <c r="O666" s="1"/>
      <c r="P666" s="1"/>
      <c r="Q666" s="13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31"/>
      <c r="F667" s="131"/>
      <c r="G667" s="131"/>
      <c r="H667" s="1"/>
      <c r="I667" s="1"/>
      <c r="J667" s="1"/>
      <c r="K667" s="1"/>
      <c r="L667" s="1"/>
      <c r="M667" s="1"/>
      <c r="N667" s="1"/>
      <c r="O667" s="1"/>
      <c r="P667" s="1"/>
      <c r="Q667" s="13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31"/>
      <c r="F668" s="131"/>
      <c r="G668" s="131"/>
      <c r="H668" s="1"/>
      <c r="I668" s="1"/>
      <c r="J668" s="1"/>
      <c r="K668" s="1"/>
      <c r="L668" s="1"/>
      <c r="M668" s="1"/>
      <c r="N668" s="1"/>
      <c r="O668" s="1"/>
      <c r="P668" s="1"/>
      <c r="Q668" s="13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31"/>
      <c r="F669" s="131"/>
      <c r="G669" s="131"/>
      <c r="H669" s="1"/>
      <c r="I669" s="1"/>
      <c r="J669" s="1"/>
      <c r="K669" s="1"/>
      <c r="L669" s="1"/>
      <c r="M669" s="1"/>
      <c r="N669" s="1"/>
      <c r="O669" s="1"/>
      <c r="P669" s="1"/>
      <c r="Q669" s="13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31"/>
      <c r="F670" s="131"/>
      <c r="G670" s="131"/>
      <c r="H670" s="1"/>
      <c r="I670" s="1"/>
      <c r="J670" s="1"/>
      <c r="K670" s="1"/>
      <c r="L670" s="1"/>
      <c r="M670" s="1"/>
      <c r="N670" s="1"/>
      <c r="O670" s="1"/>
      <c r="P670" s="1"/>
      <c r="Q670" s="13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31"/>
      <c r="F671" s="131"/>
      <c r="G671" s="131"/>
      <c r="H671" s="1"/>
      <c r="I671" s="1"/>
      <c r="J671" s="1"/>
      <c r="K671" s="1"/>
      <c r="L671" s="1"/>
      <c r="M671" s="1"/>
      <c r="N671" s="1"/>
      <c r="O671" s="1"/>
      <c r="P671" s="1"/>
      <c r="Q671" s="13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31"/>
      <c r="F672" s="131"/>
      <c r="G672" s="131"/>
      <c r="H672" s="1"/>
      <c r="I672" s="1"/>
      <c r="J672" s="1"/>
      <c r="K672" s="1"/>
      <c r="L672" s="1"/>
      <c r="M672" s="1"/>
      <c r="N672" s="1"/>
      <c r="O672" s="1"/>
      <c r="P672" s="1"/>
      <c r="Q672" s="13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31"/>
      <c r="F673" s="131"/>
      <c r="G673" s="131"/>
      <c r="H673" s="1"/>
      <c r="I673" s="1"/>
      <c r="J673" s="1"/>
      <c r="K673" s="1"/>
      <c r="L673" s="1"/>
      <c r="M673" s="1"/>
      <c r="N673" s="1"/>
      <c r="O673" s="1"/>
      <c r="P673" s="1"/>
      <c r="Q673" s="13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31"/>
      <c r="F674" s="131"/>
      <c r="G674" s="131"/>
      <c r="H674" s="1"/>
      <c r="I674" s="1"/>
      <c r="J674" s="1"/>
      <c r="K674" s="1"/>
      <c r="L674" s="1"/>
      <c r="M674" s="1"/>
      <c r="N674" s="1"/>
      <c r="O674" s="1"/>
      <c r="P674" s="1"/>
      <c r="Q674" s="13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31"/>
      <c r="F675" s="131"/>
      <c r="G675" s="131"/>
      <c r="H675" s="1"/>
      <c r="I675" s="1"/>
      <c r="J675" s="1"/>
      <c r="K675" s="1"/>
      <c r="L675" s="1"/>
      <c r="M675" s="1"/>
      <c r="N675" s="1"/>
      <c r="O675" s="1"/>
      <c r="P675" s="1"/>
      <c r="Q675" s="13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31"/>
      <c r="F676" s="131"/>
      <c r="G676" s="131"/>
      <c r="H676" s="1"/>
      <c r="I676" s="1"/>
      <c r="J676" s="1"/>
      <c r="K676" s="1"/>
      <c r="L676" s="1"/>
      <c r="M676" s="1"/>
      <c r="N676" s="1"/>
      <c r="O676" s="1"/>
      <c r="P676" s="1"/>
      <c r="Q676" s="13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31"/>
      <c r="F677" s="131"/>
      <c r="G677" s="131"/>
      <c r="H677" s="1"/>
      <c r="I677" s="1"/>
      <c r="J677" s="1"/>
      <c r="K677" s="1"/>
      <c r="L677" s="1"/>
      <c r="M677" s="1"/>
      <c r="N677" s="1"/>
      <c r="O677" s="1"/>
      <c r="P677" s="1"/>
      <c r="Q677" s="13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31"/>
      <c r="F678" s="131"/>
      <c r="G678" s="131"/>
      <c r="H678" s="1"/>
      <c r="I678" s="1"/>
      <c r="J678" s="1"/>
      <c r="K678" s="1"/>
      <c r="L678" s="1"/>
      <c r="M678" s="1"/>
      <c r="N678" s="1"/>
      <c r="O678" s="1"/>
      <c r="P678" s="1"/>
      <c r="Q678" s="13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31"/>
      <c r="F679" s="131"/>
      <c r="G679" s="131"/>
      <c r="H679" s="1"/>
      <c r="I679" s="1"/>
      <c r="J679" s="1"/>
      <c r="K679" s="1"/>
      <c r="L679" s="1"/>
      <c r="M679" s="1"/>
      <c r="N679" s="1"/>
      <c r="O679" s="1"/>
      <c r="P679" s="1"/>
      <c r="Q679" s="13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31"/>
      <c r="F680" s="131"/>
      <c r="G680" s="131"/>
      <c r="H680" s="1"/>
      <c r="I680" s="1"/>
      <c r="J680" s="1"/>
      <c r="K680" s="1"/>
      <c r="L680" s="1"/>
      <c r="M680" s="1"/>
      <c r="N680" s="1"/>
      <c r="O680" s="1"/>
      <c r="P680" s="1"/>
      <c r="Q680" s="13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31"/>
      <c r="F681" s="131"/>
      <c r="G681" s="131"/>
      <c r="H681" s="1"/>
      <c r="I681" s="1"/>
      <c r="J681" s="1"/>
      <c r="K681" s="1"/>
      <c r="L681" s="1"/>
      <c r="M681" s="1"/>
      <c r="N681" s="1"/>
      <c r="O681" s="1"/>
      <c r="P681" s="1"/>
      <c r="Q681" s="13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31"/>
      <c r="F682" s="131"/>
      <c r="G682" s="131"/>
      <c r="H682" s="1"/>
      <c r="I682" s="1"/>
      <c r="J682" s="1"/>
      <c r="K682" s="1"/>
      <c r="L682" s="1"/>
      <c r="M682" s="1"/>
      <c r="N682" s="1"/>
      <c r="O682" s="1"/>
      <c r="P682" s="1"/>
      <c r="Q682" s="13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31"/>
      <c r="F683" s="131"/>
      <c r="G683" s="131"/>
      <c r="H683" s="1"/>
      <c r="I683" s="1"/>
      <c r="J683" s="1"/>
      <c r="K683" s="1"/>
      <c r="L683" s="1"/>
      <c r="M683" s="1"/>
      <c r="N683" s="1"/>
      <c r="O683" s="1"/>
      <c r="P683" s="1"/>
      <c r="Q683" s="13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31"/>
      <c r="F684" s="131"/>
      <c r="G684" s="131"/>
      <c r="H684" s="1"/>
      <c r="I684" s="1"/>
      <c r="J684" s="1"/>
      <c r="K684" s="1"/>
      <c r="L684" s="1"/>
      <c r="M684" s="1"/>
      <c r="N684" s="1"/>
      <c r="O684" s="1"/>
      <c r="P684" s="1"/>
      <c r="Q684" s="13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31"/>
      <c r="F685" s="131"/>
      <c r="G685" s="131"/>
      <c r="H685" s="1"/>
      <c r="I685" s="1"/>
      <c r="J685" s="1"/>
      <c r="K685" s="1"/>
      <c r="L685" s="1"/>
      <c r="M685" s="1"/>
      <c r="N685" s="1"/>
      <c r="O685" s="1"/>
      <c r="P685" s="1"/>
      <c r="Q685" s="13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31"/>
      <c r="F686" s="131"/>
      <c r="G686" s="131"/>
      <c r="H686" s="1"/>
      <c r="I686" s="1"/>
      <c r="J686" s="1"/>
      <c r="K686" s="1"/>
      <c r="L686" s="1"/>
      <c r="M686" s="1"/>
      <c r="N686" s="1"/>
      <c r="O686" s="1"/>
      <c r="P686" s="1"/>
      <c r="Q686" s="13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31"/>
      <c r="F687" s="131"/>
      <c r="G687" s="131"/>
      <c r="H687" s="1"/>
      <c r="I687" s="1"/>
      <c r="J687" s="1"/>
      <c r="K687" s="1"/>
      <c r="L687" s="1"/>
      <c r="M687" s="1"/>
      <c r="N687" s="1"/>
      <c r="O687" s="1"/>
      <c r="P687" s="1"/>
      <c r="Q687" s="13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31"/>
      <c r="F688" s="131"/>
      <c r="G688" s="131"/>
      <c r="H688" s="1"/>
      <c r="I688" s="1"/>
      <c r="J688" s="1"/>
      <c r="K688" s="1"/>
      <c r="L688" s="1"/>
      <c r="M688" s="1"/>
      <c r="N688" s="1"/>
      <c r="O688" s="1"/>
      <c r="P688" s="1"/>
      <c r="Q688" s="13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31"/>
      <c r="F689" s="131"/>
      <c r="G689" s="131"/>
      <c r="H689" s="1"/>
      <c r="I689" s="1"/>
      <c r="J689" s="1"/>
      <c r="K689" s="1"/>
      <c r="L689" s="1"/>
      <c r="M689" s="1"/>
      <c r="N689" s="1"/>
      <c r="O689" s="1"/>
      <c r="P689" s="1"/>
      <c r="Q689" s="13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31"/>
      <c r="F690" s="131"/>
      <c r="G690" s="131"/>
      <c r="H690" s="1"/>
      <c r="I690" s="1"/>
      <c r="J690" s="1"/>
      <c r="K690" s="1"/>
      <c r="L690" s="1"/>
      <c r="M690" s="1"/>
      <c r="N690" s="1"/>
      <c r="O690" s="1"/>
      <c r="P690" s="1"/>
      <c r="Q690" s="13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31"/>
      <c r="F691" s="131"/>
      <c r="G691" s="131"/>
      <c r="H691" s="1"/>
      <c r="I691" s="1"/>
      <c r="J691" s="1"/>
      <c r="K691" s="1"/>
      <c r="L691" s="1"/>
      <c r="M691" s="1"/>
      <c r="N691" s="1"/>
      <c r="O691" s="1"/>
      <c r="P691" s="1"/>
      <c r="Q691" s="13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31"/>
      <c r="F692" s="131"/>
      <c r="G692" s="131"/>
      <c r="H692" s="1"/>
      <c r="I692" s="1"/>
      <c r="J692" s="1"/>
      <c r="K692" s="1"/>
      <c r="L692" s="1"/>
      <c r="M692" s="1"/>
      <c r="N692" s="1"/>
      <c r="O692" s="1"/>
      <c r="P692" s="1"/>
      <c r="Q692" s="13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31"/>
      <c r="F693" s="131"/>
      <c r="G693" s="131"/>
      <c r="H693" s="1"/>
      <c r="I693" s="1"/>
      <c r="J693" s="1"/>
      <c r="K693" s="1"/>
      <c r="L693" s="1"/>
      <c r="M693" s="1"/>
      <c r="N693" s="1"/>
      <c r="O693" s="1"/>
      <c r="P693" s="1"/>
      <c r="Q693" s="13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31"/>
      <c r="F694" s="131"/>
      <c r="G694" s="131"/>
      <c r="H694" s="1"/>
      <c r="I694" s="1"/>
      <c r="J694" s="1"/>
      <c r="K694" s="1"/>
      <c r="L694" s="1"/>
      <c r="M694" s="1"/>
      <c r="N694" s="1"/>
      <c r="O694" s="1"/>
      <c r="P694" s="1"/>
      <c r="Q694" s="13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31"/>
      <c r="F695" s="131"/>
      <c r="G695" s="131"/>
      <c r="H695" s="1"/>
      <c r="I695" s="1"/>
      <c r="J695" s="1"/>
      <c r="K695" s="1"/>
      <c r="L695" s="1"/>
      <c r="M695" s="1"/>
      <c r="N695" s="1"/>
      <c r="O695" s="1"/>
      <c r="P695" s="1"/>
      <c r="Q695" s="13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31"/>
      <c r="F696" s="131"/>
      <c r="G696" s="131"/>
      <c r="H696" s="1"/>
      <c r="I696" s="1"/>
      <c r="J696" s="1"/>
      <c r="K696" s="1"/>
      <c r="L696" s="1"/>
      <c r="M696" s="1"/>
      <c r="N696" s="1"/>
      <c r="O696" s="1"/>
      <c r="P696" s="1"/>
      <c r="Q696" s="13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31"/>
      <c r="F697" s="131"/>
      <c r="G697" s="131"/>
      <c r="H697" s="1"/>
      <c r="I697" s="1"/>
      <c r="J697" s="1"/>
      <c r="K697" s="1"/>
      <c r="L697" s="1"/>
      <c r="M697" s="1"/>
      <c r="N697" s="1"/>
      <c r="O697" s="1"/>
      <c r="P697" s="1"/>
      <c r="Q697" s="13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31"/>
      <c r="F698" s="131"/>
      <c r="G698" s="131"/>
      <c r="H698" s="1"/>
      <c r="I698" s="1"/>
      <c r="J698" s="1"/>
      <c r="K698" s="1"/>
      <c r="L698" s="1"/>
      <c r="M698" s="1"/>
      <c r="N698" s="1"/>
      <c r="O698" s="1"/>
      <c r="P698" s="1"/>
      <c r="Q698" s="13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31"/>
      <c r="F699" s="131"/>
      <c r="G699" s="131"/>
      <c r="H699" s="1"/>
      <c r="I699" s="1"/>
      <c r="J699" s="1"/>
      <c r="K699" s="1"/>
      <c r="L699" s="1"/>
      <c r="M699" s="1"/>
      <c r="N699" s="1"/>
      <c r="O699" s="1"/>
      <c r="P699" s="1"/>
      <c r="Q699" s="13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31"/>
      <c r="F700" s="131"/>
      <c r="G700" s="131"/>
      <c r="H700" s="1"/>
      <c r="I700" s="1"/>
      <c r="J700" s="1"/>
      <c r="K700" s="1"/>
      <c r="L700" s="1"/>
      <c r="M700" s="1"/>
      <c r="N700" s="1"/>
      <c r="O700" s="1"/>
      <c r="P700" s="1"/>
      <c r="Q700" s="13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31"/>
      <c r="F701" s="131"/>
      <c r="G701" s="131"/>
      <c r="H701" s="1"/>
      <c r="I701" s="1"/>
      <c r="J701" s="1"/>
      <c r="K701" s="1"/>
      <c r="L701" s="1"/>
      <c r="M701" s="1"/>
      <c r="N701" s="1"/>
      <c r="O701" s="1"/>
      <c r="P701" s="1"/>
      <c r="Q701" s="13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31"/>
      <c r="F702" s="131"/>
      <c r="G702" s="131"/>
      <c r="H702" s="1"/>
      <c r="I702" s="1"/>
      <c r="J702" s="1"/>
      <c r="K702" s="1"/>
      <c r="L702" s="1"/>
      <c r="M702" s="1"/>
      <c r="N702" s="1"/>
      <c r="O702" s="1"/>
      <c r="P702" s="1"/>
      <c r="Q702" s="13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31"/>
      <c r="F703" s="131"/>
      <c r="G703" s="131"/>
      <c r="H703" s="1"/>
      <c r="I703" s="1"/>
      <c r="J703" s="1"/>
      <c r="K703" s="1"/>
      <c r="L703" s="1"/>
      <c r="M703" s="1"/>
      <c r="N703" s="1"/>
      <c r="O703" s="1"/>
      <c r="P703" s="1"/>
      <c r="Q703" s="13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31"/>
      <c r="F704" s="131"/>
      <c r="G704" s="131"/>
      <c r="H704" s="1"/>
      <c r="I704" s="1"/>
      <c r="J704" s="1"/>
      <c r="K704" s="1"/>
      <c r="L704" s="1"/>
      <c r="M704" s="1"/>
      <c r="N704" s="1"/>
      <c r="O704" s="1"/>
      <c r="P704" s="1"/>
      <c r="Q704" s="13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31"/>
      <c r="F705" s="131"/>
      <c r="G705" s="131"/>
      <c r="H705" s="1"/>
      <c r="I705" s="1"/>
      <c r="J705" s="1"/>
      <c r="K705" s="1"/>
      <c r="L705" s="1"/>
      <c r="M705" s="1"/>
      <c r="N705" s="1"/>
      <c r="O705" s="1"/>
      <c r="P705" s="1"/>
      <c r="Q705" s="13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31"/>
      <c r="F706" s="131"/>
      <c r="G706" s="131"/>
      <c r="H706" s="1"/>
      <c r="I706" s="1"/>
      <c r="J706" s="1"/>
      <c r="K706" s="1"/>
      <c r="L706" s="1"/>
      <c r="M706" s="1"/>
      <c r="N706" s="1"/>
      <c r="O706" s="1"/>
      <c r="P706" s="1"/>
      <c r="Q706" s="13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31"/>
      <c r="F707" s="131"/>
      <c r="G707" s="131"/>
      <c r="H707" s="1"/>
      <c r="I707" s="1"/>
      <c r="J707" s="1"/>
      <c r="K707" s="1"/>
      <c r="L707" s="1"/>
      <c r="M707" s="1"/>
      <c r="N707" s="1"/>
      <c r="O707" s="1"/>
      <c r="P707" s="1"/>
      <c r="Q707" s="13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31"/>
      <c r="F708" s="131"/>
      <c r="G708" s="131"/>
      <c r="H708" s="1"/>
      <c r="I708" s="1"/>
      <c r="J708" s="1"/>
      <c r="K708" s="1"/>
      <c r="L708" s="1"/>
      <c r="M708" s="1"/>
      <c r="N708" s="1"/>
      <c r="O708" s="1"/>
      <c r="P708" s="1"/>
      <c r="Q708" s="13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31"/>
      <c r="F709" s="131"/>
      <c r="G709" s="131"/>
      <c r="H709" s="1"/>
      <c r="I709" s="1"/>
      <c r="J709" s="1"/>
      <c r="K709" s="1"/>
      <c r="L709" s="1"/>
      <c r="M709" s="1"/>
      <c r="N709" s="1"/>
      <c r="O709" s="1"/>
      <c r="P709" s="1"/>
      <c r="Q709" s="13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31"/>
      <c r="F710" s="131"/>
      <c r="G710" s="131"/>
      <c r="H710" s="1"/>
      <c r="I710" s="1"/>
      <c r="J710" s="1"/>
      <c r="K710" s="1"/>
      <c r="L710" s="1"/>
      <c r="M710" s="1"/>
      <c r="N710" s="1"/>
      <c r="O710" s="1"/>
      <c r="P710" s="1"/>
      <c r="Q710" s="13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31"/>
      <c r="F711" s="131"/>
      <c r="G711" s="131"/>
      <c r="H711" s="1"/>
      <c r="I711" s="1"/>
      <c r="J711" s="1"/>
      <c r="K711" s="1"/>
      <c r="L711" s="1"/>
      <c r="M711" s="1"/>
      <c r="N711" s="1"/>
      <c r="O711" s="1"/>
      <c r="P711" s="1"/>
      <c r="Q711" s="13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31"/>
      <c r="F712" s="131"/>
      <c r="G712" s="131"/>
      <c r="H712" s="1"/>
      <c r="I712" s="1"/>
      <c r="J712" s="1"/>
      <c r="K712" s="1"/>
      <c r="L712" s="1"/>
      <c r="M712" s="1"/>
      <c r="N712" s="1"/>
      <c r="O712" s="1"/>
      <c r="P712" s="1"/>
      <c r="Q712" s="13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31"/>
      <c r="F713" s="131"/>
      <c r="G713" s="131"/>
      <c r="H713" s="1"/>
      <c r="I713" s="1"/>
      <c r="J713" s="1"/>
      <c r="K713" s="1"/>
      <c r="L713" s="1"/>
      <c r="M713" s="1"/>
      <c r="N713" s="1"/>
      <c r="O713" s="1"/>
      <c r="P713" s="1"/>
      <c r="Q713" s="13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31"/>
      <c r="F714" s="131"/>
      <c r="G714" s="131"/>
      <c r="H714" s="1"/>
      <c r="I714" s="1"/>
      <c r="J714" s="1"/>
      <c r="K714" s="1"/>
      <c r="L714" s="1"/>
      <c r="M714" s="1"/>
      <c r="N714" s="1"/>
      <c r="O714" s="1"/>
      <c r="P714" s="1"/>
      <c r="Q714" s="13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31"/>
      <c r="F715" s="131"/>
      <c r="G715" s="131"/>
      <c r="H715" s="1"/>
      <c r="I715" s="1"/>
      <c r="J715" s="1"/>
      <c r="K715" s="1"/>
      <c r="L715" s="1"/>
      <c r="M715" s="1"/>
      <c r="N715" s="1"/>
      <c r="O715" s="1"/>
      <c r="P715" s="1"/>
      <c r="Q715" s="13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31"/>
      <c r="F716" s="131"/>
      <c r="G716" s="131"/>
      <c r="H716" s="1"/>
      <c r="I716" s="1"/>
      <c r="J716" s="1"/>
      <c r="K716" s="1"/>
      <c r="L716" s="1"/>
      <c r="M716" s="1"/>
      <c r="N716" s="1"/>
      <c r="O716" s="1"/>
      <c r="P716" s="1"/>
      <c r="Q716" s="13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31"/>
      <c r="F717" s="131"/>
      <c r="G717" s="131"/>
      <c r="H717" s="1"/>
      <c r="I717" s="1"/>
      <c r="J717" s="1"/>
      <c r="K717" s="1"/>
      <c r="L717" s="1"/>
      <c r="M717" s="1"/>
      <c r="N717" s="1"/>
      <c r="O717" s="1"/>
      <c r="P717" s="1"/>
      <c r="Q717" s="13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31"/>
      <c r="F718" s="131"/>
      <c r="G718" s="131"/>
      <c r="H718" s="1"/>
      <c r="I718" s="1"/>
      <c r="J718" s="1"/>
      <c r="K718" s="1"/>
      <c r="L718" s="1"/>
      <c r="M718" s="1"/>
      <c r="N718" s="1"/>
      <c r="O718" s="1"/>
      <c r="P718" s="1"/>
      <c r="Q718" s="13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31"/>
      <c r="F719" s="131"/>
      <c r="G719" s="131"/>
      <c r="H719" s="1"/>
      <c r="I719" s="1"/>
      <c r="J719" s="1"/>
      <c r="K719" s="1"/>
      <c r="L719" s="1"/>
      <c r="M719" s="1"/>
      <c r="N719" s="1"/>
      <c r="O719" s="1"/>
      <c r="P719" s="1"/>
      <c r="Q719" s="13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31"/>
      <c r="F720" s="131"/>
      <c r="G720" s="131"/>
      <c r="H720" s="1"/>
      <c r="I720" s="1"/>
      <c r="J720" s="1"/>
      <c r="K720" s="1"/>
      <c r="L720" s="1"/>
      <c r="M720" s="1"/>
      <c r="N720" s="1"/>
      <c r="O720" s="1"/>
      <c r="P720" s="1"/>
      <c r="Q720" s="13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31"/>
      <c r="F721" s="131"/>
      <c r="G721" s="131"/>
      <c r="H721" s="1"/>
      <c r="I721" s="1"/>
      <c r="J721" s="1"/>
      <c r="K721" s="1"/>
      <c r="L721" s="1"/>
      <c r="M721" s="1"/>
      <c r="N721" s="1"/>
      <c r="O721" s="1"/>
      <c r="P721" s="1"/>
      <c r="Q721" s="13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31"/>
      <c r="F722" s="131"/>
      <c r="G722" s="131"/>
      <c r="H722" s="1"/>
      <c r="I722" s="1"/>
      <c r="J722" s="1"/>
      <c r="K722" s="1"/>
      <c r="L722" s="1"/>
      <c r="M722" s="1"/>
      <c r="N722" s="1"/>
      <c r="O722" s="1"/>
      <c r="P722" s="1"/>
      <c r="Q722" s="13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31"/>
      <c r="F723" s="131"/>
      <c r="G723" s="131"/>
      <c r="H723" s="1"/>
      <c r="I723" s="1"/>
      <c r="J723" s="1"/>
      <c r="K723" s="1"/>
      <c r="L723" s="1"/>
      <c r="M723" s="1"/>
      <c r="N723" s="1"/>
      <c r="O723" s="1"/>
      <c r="P723" s="1"/>
      <c r="Q723" s="13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31"/>
      <c r="F724" s="131"/>
      <c r="G724" s="131"/>
      <c r="H724" s="1"/>
      <c r="I724" s="1"/>
      <c r="J724" s="1"/>
      <c r="K724" s="1"/>
      <c r="L724" s="1"/>
      <c r="M724" s="1"/>
      <c r="N724" s="1"/>
      <c r="O724" s="1"/>
      <c r="P724" s="1"/>
      <c r="Q724" s="13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31"/>
      <c r="F725" s="131"/>
      <c r="G725" s="131"/>
      <c r="H725" s="1"/>
      <c r="I725" s="1"/>
      <c r="J725" s="1"/>
      <c r="K725" s="1"/>
      <c r="L725" s="1"/>
      <c r="M725" s="1"/>
      <c r="N725" s="1"/>
      <c r="O725" s="1"/>
      <c r="P725" s="1"/>
      <c r="Q725" s="13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31"/>
      <c r="F726" s="131"/>
      <c r="G726" s="131"/>
      <c r="H726" s="1"/>
      <c r="I726" s="1"/>
      <c r="J726" s="1"/>
      <c r="K726" s="1"/>
      <c r="L726" s="1"/>
      <c r="M726" s="1"/>
      <c r="N726" s="1"/>
      <c r="O726" s="1"/>
      <c r="P726" s="1"/>
      <c r="Q726" s="13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31"/>
      <c r="F727" s="131"/>
      <c r="G727" s="131"/>
      <c r="H727" s="1"/>
      <c r="I727" s="1"/>
      <c r="J727" s="1"/>
      <c r="K727" s="1"/>
      <c r="L727" s="1"/>
      <c r="M727" s="1"/>
      <c r="N727" s="1"/>
      <c r="O727" s="1"/>
      <c r="P727" s="1"/>
      <c r="Q727" s="13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31"/>
      <c r="F728" s="131"/>
      <c r="G728" s="131"/>
      <c r="H728" s="1"/>
      <c r="I728" s="1"/>
      <c r="J728" s="1"/>
      <c r="K728" s="1"/>
      <c r="L728" s="1"/>
      <c r="M728" s="1"/>
      <c r="N728" s="1"/>
      <c r="O728" s="1"/>
      <c r="P728" s="1"/>
      <c r="Q728" s="13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31"/>
      <c r="F729" s="131"/>
      <c r="G729" s="131"/>
      <c r="H729" s="1"/>
      <c r="I729" s="1"/>
      <c r="J729" s="1"/>
      <c r="K729" s="1"/>
      <c r="L729" s="1"/>
      <c r="M729" s="1"/>
      <c r="N729" s="1"/>
      <c r="O729" s="1"/>
      <c r="P729" s="1"/>
      <c r="Q729" s="13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31"/>
      <c r="F730" s="131"/>
      <c r="G730" s="131"/>
      <c r="H730" s="1"/>
      <c r="I730" s="1"/>
      <c r="J730" s="1"/>
      <c r="K730" s="1"/>
      <c r="L730" s="1"/>
      <c r="M730" s="1"/>
      <c r="N730" s="1"/>
      <c r="O730" s="1"/>
      <c r="P730" s="1"/>
      <c r="Q730" s="13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31"/>
      <c r="F731" s="131"/>
      <c r="G731" s="131"/>
      <c r="H731" s="1"/>
      <c r="I731" s="1"/>
      <c r="J731" s="1"/>
      <c r="K731" s="1"/>
      <c r="L731" s="1"/>
      <c r="M731" s="1"/>
      <c r="N731" s="1"/>
      <c r="O731" s="1"/>
      <c r="P731" s="1"/>
      <c r="Q731" s="13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31"/>
      <c r="F732" s="131"/>
      <c r="G732" s="131"/>
      <c r="H732" s="1"/>
      <c r="I732" s="1"/>
      <c r="J732" s="1"/>
      <c r="K732" s="1"/>
      <c r="L732" s="1"/>
      <c r="M732" s="1"/>
      <c r="N732" s="1"/>
      <c r="O732" s="1"/>
      <c r="P732" s="1"/>
      <c r="Q732" s="13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31"/>
      <c r="F733" s="131"/>
      <c r="G733" s="131"/>
      <c r="H733" s="1"/>
      <c r="I733" s="1"/>
      <c r="J733" s="1"/>
      <c r="K733" s="1"/>
      <c r="L733" s="1"/>
      <c r="M733" s="1"/>
      <c r="N733" s="1"/>
      <c r="O733" s="1"/>
      <c r="P733" s="1"/>
      <c r="Q733" s="13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31"/>
      <c r="F734" s="131"/>
      <c r="G734" s="131"/>
      <c r="H734" s="1"/>
      <c r="I734" s="1"/>
      <c r="J734" s="1"/>
      <c r="K734" s="1"/>
      <c r="L734" s="1"/>
      <c r="M734" s="1"/>
      <c r="N734" s="1"/>
      <c r="O734" s="1"/>
      <c r="P734" s="1"/>
      <c r="Q734" s="13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31"/>
      <c r="F735" s="131"/>
      <c r="G735" s="131"/>
      <c r="H735" s="1"/>
      <c r="I735" s="1"/>
      <c r="J735" s="1"/>
      <c r="K735" s="1"/>
      <c r="L735" s="1"/>
      <c r="M735" s="1"/>
      <c r="N735" s="1"/>
      <c r="O735" s="1"/>
      <c r="P735" s="1"/>
      <c r="Q735" s="13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31"/>
      <c r="F736" s="131"/>
      <c r="G736" s="131"/>
      <c r="H736" s="1"/>
      <c r="I736" s="1"/>
      <c r="J736" s="1"/>
      <c r="K736" s="1"/>
      <c r="L736" s="1"/>
      <c r="M736" s="1"/>
      <c r="N736" s="1"/>
      <c r="O736" s="1"/>
      <c r="P736" s="1"/>
      <c r="Q736" s="13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31"/>
      <c r="F737" s="131"/>
      <c r="G737" s="131"/>
      <c r="H737" s="1"/>
      <c r="I737" s="1"/>
      <c r="J737" s="1"/>
      <c r="K737" s="1"/>
      <c r="L737" s="1"/>
      <c r="M737" s="1"/>
      <c r="N737" s="1"/>
      <c r="O737" s="1"/>
      <c r="P737" s="1"/>
      <c r="Q737" s="13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31"/>
      <c r="F738" s="131"/>
      <c r="G738" s="131"/>
      <c r="H738" s="1"/>
      <c r="I738" s="1"/>
      <c r="J738" s="1"/>
      <c r="K738" s="1"/>
      <c r="L738" s="1"/>
      <c r="M738" s="1"/>
      <c r="N738" s="1"/>
      <c r="O738" s="1"/>
      <c r="P738" s="1"/>
      <c r="Q738" s="13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31"/>
      <c r="F739" s="131"/>
      <c r="G739" s="131"/>
      <c r="H739" s="1"/>
      <c r="I739" s="1"/>
      <c r="J739" s="1"/>
      <c r="K739" s="1"/>
      <c r="L739" s="1"/>
      <c r="M739" s="1"/>
      <c r="N739" s="1"/>
      <c r="O739" s="1"/>
      <c r="P739" s="1"/>
      <c r="Q739" s="13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31"/>
      <c r="F740" s="131"/>
      <c r="G740" s="131"/>
      <c r="H740" s="1"/>
      <c r="I740" s="1"/>
      <c r="J740" s="1"/>
      <c r="K740" s="1"/>
      <c r="L740" s="1"/>
      <c r="M740" s="1"/>
      <c r="N740" s="1"/>
      <c r="O740" s="1"/>
      <c r="P740" s="1"/>
      <c r="Q740" s="13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31"/>
      <c r="F741" s="131"/>
      <c r="G741" s="131"/>
      <c r="H741" s="1"/>
      <c r="I741" s="1"/>
      <c r="J741" s="1"/>
      <c r="K741" s="1"/>
      <c r="L741" s="1"/>
      <c r="M741" s="1"/>
      <c r="N741" s="1"/>
      <c r="O741" s="1"/>
      <c r="P741" s="1"/>
      <c r="Q741" s="13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31"/>
      <c r="F742" s="131"/>
      <c r="G742" s="131"/>
      <c r="H742" s="1"/>
      <c r="I742" s="1"/>
      <c r="J742" s="1"/>
      <c r="K742" s="1"/>
      <c r="L742" s="1"/>
      <c r="M742" s="1"/>
      <c r="N742" s="1"/>
      <c r="O742" s="1"/>
      <c r="P742" s="1"/>
      <c r="Q742" s="13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31"/>
      <c r="F743" s="131"/>
      <c r="G743" s="131"/>
      <c r="H743" s="1"/>
      <c r="I743" s="1"/>
      <c r="J743" s="1"/>
      <c r="K743" s="1"/>
      <c r="L743" s="1"/>
      <c r="M743" s="1"/>
      <c r="N743" s="1"/>
      <c r="O743" s="1"/>
      <c r="P743" s="1"/>
      <c r="Q743" s="13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31"/>
      <c r="F744" s="131"/>
      <c r="G744" s="131"/>
      <c r="H744" s="1"/>
      <c r="I744" s="1"/>
      <c r="J744" s="1"/>
      <c r="K744" s="1"/>
      <c r="L744" s="1"/>
      <c r="M744" s="1"/>
      <c r="N744" s="1"/>
      <c r="O744" s="1"/>
      <c r="P744" s="1"/>
      <c r="Q744" s="13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31"/>
      <c r="F745" s="131"/>
      <c r="G745" s="131"/>
      <c r="H745" s="1"/>
      <c r="I745" s="1"/>
      <c r="J745" s="1"/>
      <c r="K745" s="1"/>
      <c r="L745" s="1"/>
      <c r="M745" s="1"/>
      <c r="N745" s="1"/>
      <c r="O745" s="1"/>
      <c r="P745" s="1"/>
      <c r="Q745" s="13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31"/>
      <c r="F746" s="131"/>
      <c r="G746" s="131"/>
      <c r="H746" s="1"/>
      <c r="I746" s="1"/>
      <c r="J746" s="1"/>
      <c r="K746" s="1"/>
      <c r="L746" s="1"/>
      <c r="M746" s="1"/>
      <c r="N746" s="1"/>
      <c r="O746" s="1"/>
      <c r="P746" s="1"/>
      <c r="Q746" s="13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31"/>
      <c r="F747" s="131"/>
      <c r="G747" s="131"/>
      <c r="H747" s="1"/>
      <c r="I747" s="1"/>
      <c r="J747" s="1"/>
      <c r="K747" s="1"/>
      <c r="L747" s="1"/>
      <c r="M747" s="1"/>
      <c r="N747" s="1"/>
      <c r="O747" s="1"/>
      <c r="P747" s="1"/>
      <c r="Q747" s="13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31"/>
      <c r="F748" s="131"/>
      <c r="G748" s="131"/>
      <c r="H748" s="1"/>
      <c r="I748" s="1"/>
      <c r="J748" s="1"/>
      <c r="K748" s="1"/>
      <c r="L748" s="1"/>
      <c r="M748" s="1"/>
      <c r="N748" s="1"/>
      <c r="O748" s="1"/>
      <c r="P748" s="1"/>
      <c r="Q748" s="13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31"/>
      <c r="F749" s="131"/>
      <c r="G749" s="131"/>
      <c r="H749" s="1"/>
      <c r="I749" s="1"/>
      <c r="J749" s="1"/>
      <c r="K749" s="1"/>
      <c r="L749" s="1"/>
      <c r="M749" s="1"/>
      <c r="N749" s="1"/>
      <c r="O749" s="1"/>
      <c r="P749" s="1"/>
      <c r="Q749" s="13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31"/>
      <c r="F750" s="131"/>
      <c r="G750" s="131"/>
      <c r="H750" s="1"/>
      <c r="I750" s="1"/>
      <c r="J750" s="1"/>
      <c r="K750" s="1"/>
      <c r="L750" s="1"/>
      <c r="M750" s="1"/>
      <c r="N750" s="1"/>
      <c r="O750" s="1"/>
      <c r="P750" s="1"/>
      <c r="Q750" s="13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31"/>
      <c r="F751" s="131"/>
      <c r="G751" s="131"/>
      <c r="H751" s="1"/>
      <c r="I751" s="1"/>
      <c r="J751" s="1"/>
      <c r="K751" s="1"/>
      <c r="L751" s="1"/>
      <c r="M751" s="1"/>
      <c r="N751" s="1"/>
      <c r="O751" s="1"/>
      <c r="P751" s="1"/>
      <c r="Q751" s="13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31"/>
      <c r="F752" s="131"/>
      <c r="G752" s="131"/>
      <c r="H752" s="1"/>
      <c r="I752" s="1"/>
      <c r="J752" s="1"/>
      <c r="K752" s="1"/>
      <c r="L752" s="1"/>
      <c r="M752" s="1"/>
      <c r="N752" s="1"/>
      <c r="O752" s="1"/>
      <c r="P752" s="1"/>
      <c r="Q752" s="13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31"/>
      <c r="F753" s="131"/>
      <c r="G753" s="131"/>
      <c r="H753" s="1"/>
      <c r="I753" s="1"/>
      <c r="J753" s="1"/>
      <c r="K753" s="1"/>
      <c r="L753" s="1"/>
      <c r="M753" s="1"/>
      <c r="N753" s="1"/>
      <c r="O753" s="1"/>
      <c r="P753" s="1"/>
      <c r="Q753" s="13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31"/>
      <c r="F754" s="131"/>
      <c r="G754" s="131"/>
      <c r="H754" s="1"/>
      <c r="I754" s="1"/>
      <c r="J754" s="1"/>
      <c r="K754" s="1"/>
      <c r="L754" s="1"/>
      <c r="M754" s="1"/>
      <c r="N754" s="1"/>
      <c r="O754" s="1"/>
      <c r="P754" s="1"/>
      <c r="Q754" s="13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31"/>
      <c r="F755" s="131"/>
      <c r="G755" s="131"/>
      <c r="H755" s="1"/>
      <c r="I755" s="1"/>
      <c r="J755" s="1"/>
      <c r="K755" s="1"/>
      <c r="L755" s="1"/>
      <c r="M755" s="1"/>
      <c r="N755" s="1"/>
      <c r="O755" s="1"/>
      <c r="P755" s="1"/>
      <c r="Q755" s="13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31"/>
      <c r="F756" s="131"/>
      <c r="G756" s="131"/>
      <c r="H756" s="1"/>
      <c r="I756" s="1"/>
      <c r="J756" s="1"/>
      <c r="K756" s="1"/>
      <c r="L756" s="1"/>
      <c r="M756" s="1"/>
      <c r="N756" s="1"/>
      <c r="O756" s="1"/>
      <c r="P756" s="1"/>
      <c r="Q756" s="13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31"/>
      <c r="F757" s="131"/>
      <c r="G757" s="131"/>
      <c r="H757" s="1"/>
      <c r="I757" s="1"/>
      <c r="J757" s="1"/>
      <c r="K757" s="1"/>
      <c r="L757" s="1"/>
      <c r="M757" s="1"/>
      <c r="N757" s="1"/>
      <c r="O757" s="1"/>
      <c r="P757" s="1"/>
      <c r="Q757" s="13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31"/>
      <c r="F758" s="131"/>
      <c r="G758" s="131"/>
      <c r="H758" s="1"/>
      <c r="I758" s="1"/>
      <c r="J758" s="1"/>
      <c r="K758" s="1"/>
      <c r="L758" s="1"/>
      <c r="M758" s="1"/>
      <c r="N758" s="1"/>
      <c r="O758" s="1"/>
      <c r="P758" s="1"/>
      <c r="Q758" s="13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31"/>
      <c r="F759" s="131"/>
      <c r="G759" s="131"/>
      <c r="H759" s="1"/>
      <c r="I759" s="1"/>
      <c r="J759" s="1"/>
      <c r="K759" s="1"/>
      <c r="L759" s="1"/>
      <c r="M759" s="1"/>
      <c r="N759" s="1"/>
      <c r="O759" s="1"/>
      <c r="P759" s="1"/>
      <c r="Q759" s="13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31"/>
      <c r="F760" s="131"/>
      <c r="G760" s="131"/>
      <c r="H760" s="1"/>
      <c r="I760" s="1"/>
      <c r="J760" s="1"/>
      <c r="K760" s="1"/>
      <c r="L760" s="1"/>
      <c r="M760" s="1"/>
      <c r="N760" s="1"/>
      <c r="O760" s="1"/>
      <c r="P760" s="1"/>
      <c r="Q760" s="13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31"/>
      <c r="F761" s="131"/>
      <c r="G761" s="131"/>
      <c r="H761" s="1"/>
      <c r="I761" s="1"/>
      <c r="J761" s="1"/>
      <c r="K761" s="1"/>
      <c r="L761" s="1"/>
      <c r="M761" s="1"/>
      <c r="N761" s="1"/>
      <c r="O761" s="1"/>
      <c r="P761" s="1"/>
      <c r="Q761" s="13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31"/>
      <c r="F762" s="131"/>
      <c r="G762" s="131"/>
      <c r="H762" s="1"/>
      <c r="I762" s="1"/>
      <c r="J762" s="1"/>
      <c r="K762" s="1"/>
      <c r="L762" s="1"/>
      <c r="M762" s="1"/>
      <c r="N762" s="1"/>
      <c r="O762" s="1"/>
      <c r="P762" s="1"/>
      <c r="Q762" s="13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31"/>
      <c r="F763" s="131"/>
      <c r="G763" s="131"/>
      <c r="H763" s="1"/>
      <c r="I763" s="1"/>
      <c r="J763" s="1"/>
      <c r="K763" s="1"/>
      <c r="L763" s="1"/>
      <c r="M763" s="1"/>
      <c r="N763" s="1"/>
      <c r="O763" s="1"/>
      <c r="P763" s="1"/>
      <c r="Q763" s="13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</sheetData>
  <mergeCells count="17">
    <mergeCell ref="L2:L3"/>
    <mergeCell ref="N2:N3"/>
    <mergeCell ref="R2:R3"/>
    <mergeCell ref="P5:P9"/>
    <mergeCell ref="Q5:Q9"/>
    <mergeCell ref="R5:R9"/>
    <mergeCell ref="D2:D3"/>
    <mergeCell ref="E4:E10"/>
    <mergeCell ref="F4:F10"/>
    <mergeCell ref="G4:G10"/>
    <mergeCell ref="J1:L1"/>
    <mergeCell ref="M1:O1"/>
    <mergeCell ref="B2:B3"/>
    <mergeCell ref="C2:C3"/>
    <mergeCell ref="H2:H3"/>
    <mergeCell ref="K2:K3"/>
    <mergeCell ref="O2:O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8.5"/>
    <col customWidth="1" min="3" max="3" width="11.25"/>
    <col customWidth="1" min="4" max="4" width="10.13"/>
    <col customWidth="1" min="5" max="5" width="19.25"/>
    <col customWidth="1" min="6" max="6" width="18.88"/>
    <col customWidth="1" min="7" max="7" width="19.25"/>
    <col customWidth="1" min="8" max="8" width="50.38"/>
    <col customWidth="1" min="9" max="10" width="14.25"/>
    <col customWidth="1" min="11" max="11" width="16.88"/>
    <col customWidth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19.75"/>
  </cols>
  <sheetData>
    <row r="1">
      <c r="A1" s="1"/>
      <c r="B1" s="3" t="s">
        <v>0</v>
      </c>
      <c r="C1" s="6" t="s">
        <v>1</v>
      </c>
      <c r="D1" s="2"/>
      <c r="E1" s="4"/>
      <c r="F1" s="4"/>
      <c r="G1" s="4"/>
      <c r="H1" s="9" t="s">
        <v>3</v>
      </c>
      <c r="I1" s="12" t="s">
        <v>4</v>
      </c>
      <c r="J1" s="8" t="s">
        <v>2</v>
      </c>
      <c r="K1" s="11"/>
      <c r="L1" s="13"/>
      <c r="M1" s="15" t="s">
        <v>5</v>
      </c>
      <c r="N1" s="11"/>
      <c r="O1" s="13"/>
      <c r="P1" s="17" t="s">
        <v>6</v>
      </c>
      <c r="Q1" s="19" t="s">
        <v>7</v>
      </c>
      <c r="R1" s="20" t="s">
        <v>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2"/>
      <c r="C2" s="23"/>
      <c r="D2" s="24" t="s">
        <v>9</v>
      </c>
      <c r="E2" s="25" t="s">
        <v>10</v>
      </c>
      <c r="F2" s="25" t="s">
        <v>11</v>
      </c>
      <c r="G2" s="25" t="s">
        <v>12</v>
      </c>
      <c r="H2" s="23"/>
      <c r="I2" s="26"/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26"/>
      <c r="Q2" s="26"/>
      <c r="R2" s="2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42"/>
      <c r="F3" s="42"/>
      <c r="G3" s="42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49" t="s">
        <v>25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28</v>
      </c>
      <c r="C4" s="53" t="s">
        <v>31</v>
      </c>
      <c r="D4" s="54" t="s">
        <v>32</v>
      </c>
      <c r="E4" s="55" t="s">
        <v>35</v>
      </c>
      <c r="F4" s="58" t="s">
        <v>38</v>
      </c>
      <c r="G4" s="60"/>
      <c r="H4" s="62" t="s">
        <v>43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23"/>
      <c r="F5" s="23"/>
      <c r="G5" s="60"/>
      <c r="H5" s="76" t="s">
        <v>58</v>
      </c>
      <c r="I5" s="85">
        <f>47000/1.07</f>
        <v>43925.23364</v>
      </c>
      <c r="J5" s="86"/>
      <c r="K5" s="87"/>
      <c r="L5" s="88"/>
      <c r="M5" s="90">
        <v>28000.0</v>
      </c>
      <c r="N5" s="94">
        <f>I5-M5</f>
        <v>15925.23364</v>
      </c>
      <c r="O5" s="96">
        <f>N5/I5</f>
        <v>0.3625531915</v>
      </c>
      <c r="P5" s="55" t="s">
        <v>76</v>
      </c>
      <c r="Q5" s="97">
        <v>46195.0</v>
      </c>
      <c r="R5" s="98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23"/>
      <c r="F6" s="23"/>
      <c r="G6" s="60"/>
      <c r="H6" s="76" t="s">
        <v>77</v>
      </c>
      <c r="I6" s="22"/>
      <c r="J6" s="86"/>
      <c r="K6" s="87"/>
      <c r="L6" s="88"/>
      <c r="M6" s="23"/>
      <c r="N6" s="23"/>
      <c r="O6" s="23"/>
      <c r="P6" s="23"/>
      <c r="Q6" s="23"/>
      <c r="R6" s="9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23"/>
      <c r="F7" s="23"/>
      <c r="G7" s="60"/>
      <c r="H7" s="76" t="s">
        <v>79</v>
      </c>
      <c r="I7" s="22"/>
      <c r="J7" s="86"/>
      <c r="K7" s="87"/>
      <c r="L7" s="88"/>
      <c r="M7" s="23"/>
      <c r="N7" s="23"/>
      <c r="O7" s="23"/>
      <c r="P7" s="23"/>
      <c r="Q7" s="23"/>
      <c r="R7" s="9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23"/>
      <c r="F8" s="23"/>
      <c r="G8" s="60"/>
      <c r="H8" s="76" t="s">
        <v>80</v>
      </c>
      <c r="I8" s="22"/>
      <c r="J8" s="86"/>
      <c r="K8" s="87"/>
      <c r="L8" s="88"/>
      <c r="M8" s="23"/>
      <c r="N8" s="23"/>
      <c r="O8" s="23"/>
      <c r="P8" s="23"/>
      <c r="Q8" s="23"/>
      <c r="R8" s="9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23"/>
      <c r="F9" s="23"/>
      <c r="G9" s="60"/>
      <c r="H9" s="76" t="s">
        <v>83</v>
      </c>
      <c r="I9" s="100"/>
      <c r="J9" s="86"/>
      <c r="K9" s="87"/>
      <c r="L9" s="88"/>
      <c r="M9" s="101"/>
      <c r="N9" s="101"/>
      <c r="O9" s="101"/>
      <c r="P9" s="23"/>
      <c r="Q9" s="23"/>
      <c r="R9" s="9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23"/>
      <c r="F10" s="23"/>
      <c r="G10" s="58" t="s">
        <v>84</v>
      </c>
      <c r="H10" s="62" t="s">
        <v>85</v>
      </c>
      <c r="I10" s="102"/>
      <c r="J10" s="86"/>
      <c r="K10" s="87"/>
      <c r="L10" s="74"/>
      <c r="M10" s="87"/>
      <c r="N10" s="86"/>
      <c r="O10" s="103"/>
      <c r="P10" s="23"/>
      <c r="Q10" s="23"/>
      <c r="R10" s="99" t="s">
        <v>78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23"/>
      <c r="F11" s="23"/>
      <c r="G11" s="23"/>
      <c r="H11" s="76" t="s">
        <v>88</v>
      </c>
      <c r="I11" s="84">
        <f>18000/1.07</f>
        <v>16822.42991</v>
      </c>
      <c r="J11" s="86">
        <v>5900.0</v>
      </c>
      <c r="K11" s="87">
        <f t="shared" ref="K11:K18" si="1">I11-J11</f>
        <v>10922.42991</v>
      </c>
      <c r="L11" s="88">
        <f t="shared" ref="L11:L18" si="2">K11/I11</f>
        <v>0.6492777778</v>
      </c>
      <c r="M11" s="86">
        <v>10000.0</v>
      </c>
      <c r="N11" s="87">
        <f t="shared" ref="N11:N18" si="3">I11-M11</f>
        <v>6822.429907</v>
      </c>
      <c r="O11" s="88">
        <f t="shared" ref="O11:O18" si="4">N11/I11</f>
        <v>0.4055555556</v>
      </c>
      <c r="P11" s="23"/>
      <c r="Q11" s="23"/>
      <c r="R11" s="2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23"/>
      <c r="F12" s="23"/>
      <c r="G12" s="23"/>
      <c r="H12" s="76" t="s">
        <v>93</v>
      </c>
      <c r="I12" s="84">
        <f>16000/1.07</f>
        <v>14953.27103</v>
      </c>
      <c r="J12" s="86">
        <v>6000.0</v>
      </c>
      <c r="K12" s="87">
        <f t="shared" si="1"/>
        <v>8953.271028</v>
      </c>
      <c r="L12" s="88">
        <f t="shared" si="2"/>
        <v>0.59875</v>
      </c>
      <c r="M12" s="86">
        <v>10000.0</v>
      </c>
      <c r="N12" s="87">
        <f t="shared" si="3"/>
        <v>4953.271028</v>
      </c>
      <c r="O12" s="88">
        <f t="shared" si="4"/>
        <v>0.33125</v>
      </c>
      <c r="P12" s="23"/>
      <c r="Q12" s="23"/>
      <c r="R12" s="2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23"/>
      <c r="F13" s="23"/>
      <c r="G13" s="23"/>
      <c r="H13" s="76" t="s">
        <v>94</v>
      </c>
      <c r="I13" s="84">
        <f>43200/1.07</f>
        <v>40373.83178</v>
      </c>
      <c r="J13" s="86">
        <v>29500.0</v>
      </c>
      <c r="K13" s="87">
        <f t="shared" si="1"/>
        <v>10873.83178</v>
      </c>
      <c r="L13" s="88">
        <f t="shared" si="2"/>
        <v>0.2693287037</v>
      </c>
      <c r="M13" s="86">
        <v>28000.0</v>
      </c>
      <c r="N13" s="87">
        <f t="shared" si="3"/>
        <v>12373.83178</v>
      </c>
      <c r="O13" s="88">
        <f t="shared" si="4"/>
        <v>0.3064814815</v>
      </c>
      <c r="P13" s="23"/>
      <c r="Q13" s="23"/>
      <c r="R13" s="22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23"/>
      <c r="F14" s="23"/>
      <c r="G14" s="23"/>
      <c r="H14" s="76" t="s">
        <v>96</v>
      </c>
      <c r="I14" s="84">
        <f>24200/1.07</f>
        <v>22616.82243</v>
      </c>
      <c r="J14" s="86">
        <v>9500.0</v>
      </c>
      <c r="K14" s="87">
        <f t="shared" si="1"/>
        <v>13116.82243</v>
      </c>
      <c r="L14" s="88">
        <f t="shared" si="2"/>
        <v>0.5799586777</v>
      </c>
      <c r="M14" s="86">
        <v>15000.0</v>
      </c>
      <c r="N14" s="87">
        <f t="shared" si="3"/>
        <v>7616.82243</v>
      </c>
      <c r="O14" s="88">
        <f t="shared" si="4"/>
        <v>0.3367768595</v>
      </c>
      <c r="P14" s="23"/>
      <c r="Q14" s="23"/>
      <c r="R14" s="22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23"/>
      <c r="F15" s="23"/>
      <c r="G15" s="23"/>
      <c r="H15" s="76" t="s">
        <v>97</v>
      </c>
      <c r="I15" s="84">
        <f>38400/1.07</f>
        <v>35887.85047</v>
      </c>
      <c r="J15" s="86">
        <v>20000.0</v>
      </c>
      <c r="K15" s="87">
        <f t="shared" si="1"/>
        <v>15887.85047</v>
      </c>
      <c r="L15" s="88">
        <f t="shared" si="2"/>
        <v>0.4427083333</v>
      </c>
      <c r="M15" s="86">
        <v>30000.0</v>
      </c>
      <c r="N15" s="87">
        <f t="shared" si="3"/>
        <v>5887.850467</v>
      </c>
      <c r="O15" s="88">
        <f t="shared" si="4"/>
        <v>0.1640625</v>
      </c>
      <c r="P15" s="23"/>
      <c r="Q15" s="23"/>
      <c r="R15" s="2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23"/>
      <c r="F16" s="23"/>
      <c r="G16" s="23"/>
      <c r="H16" s="76" t="s">
        <v>98</v>
      </c>
      <c r="I16" s="84">
        <f>9000/1.07</f>
        <v>8411.214953</v>
      </c>
      <c r="J16" s="86">
        <v>8500.0</v>
      </c>
      <c r="K16" s="87">
        <f t="shared" si="1"/>
        <v>-88.78504673</v>
      </c>
      <c r="L16" s="88">
        <f t="shared" si="2"/>
        <v>-0.01055555556</v>
      </c>
      <c r="M16" s="86">
        <v>5500.0</v>
      </c>
      <c r="N16" s="87">
        <f t="shared" si="3"/>
        <v>2911.214953</v>
      </c>
      <c r="O16" s="88">
        <f t="shared" si="4"/>
        <v>0.3461111111</v>
      </c>
      <c r="P16" s="23"/>
      <c r="Q16" s="23"/>
      <c r="R16" s="2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23"/>
      <c r="F17" s="23"/>
      <c r="G17" s="23"/>
      <c r="H17" s="76" t="s">
        <v>101</v>
      </c>
      <c r="I17" s="84">
        <f>3100/1.07</f>
        <v>2897.196262</v>
      </c>
      <c r="J17" s="86">
        <v>1500.0</v>
      </c>
      <c r="K17" s="87">
        <f t="shared" si="1"/>
        <v>1397.196262</v>
      </c>
      <c r="L17" s="88">
        <f t="shared" si="2"/>
        <v>0.4822580645</v>
      </c>
      <c r="M17" s="86">
        <v>2000.0</v>
      </c>
      <c r="N17" s="87">
        <f t="shared" si="3"/>
        <v>897.1962617</v>
      </c>
      <c r="O17" s="88">
        <f t="shared" si="4"/>
        <v>0.3096774194</v>
      </c>
      <c r="P17" s="23"/>
      <c r="Q17" s="23"/>
      <c r="R17" s="2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01"/>
      <c r="F18" s="101"/>
      <c r="G18" s="101"/>
      <c r="H18" s="76" t="s">
        <v>102</v>
      </c>
      <c r="I18" s="84">
        <v>0.0</v>
      </c>
      <c r="J18" s="86">
        <v>3756.08</v>
      </c>
      <c r="K18" s="87">
        <f t="shared" si="1"/>
        <v>-3756.08</v>
      </c>
      <c r="L18" s="88" t="str">
        <f t="shared" si="2"/>
        <v>#DIV/0!</v>
      </c>
      <c r="M18" s="86">
        <f>sum(M11:M17)*10%</f>
        <v>10050</v>
      </c>
      <c r="N18" s="87">
        <f t="shared" si="3"/>
        <v>-10050</v>
      </c>
      <c r="O18" s="88" t="str">
        <f t="shared" si="4"/>
        <v>#DIV/0!</v>
      </c>
      <c r="P18" s="101"/>
      <c r="Q18" s="101"/>
      <c r="R18" s="100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71"/>
      <c r="C19" s="73"/>
      <c r="D19" s="74"/>
      <c r="E19" s="59"/>
      <c r="F19" s="60"/>
      <c r="G19" s="60"/>
      <c r="H19" s="76"/>
      <c r="I19" s="84"/>
      <c r="J19" s="86"/>
      <c r="K19" s="87"/>
      <c r="L19" s="88"/>
      <c r="M19" s="86"/>
      <c r="N19" s="87"/>
      <c r="O19" s="88"/>
      <c r="P19" s="58"/>
      <c r="Q19" s="133"/>
      <c r="R19" s="9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1"/>
      <c r="C20" s="73"/>
      <c r="D20" s="74"/>
      <c r="E20" s="104"/>
      <c r="F20" s="104"/>
      <c r="G20" s="104"/>
      <c r="H20" s="109"/>
      <c r="I20" s="114"/>
      <c r="J20" s="87"/>
      <c r="K20" s="87"/>
      <c r="L20" s="74"/>
      <c r="M20" s="87"/>
      <c r="N20" s="86"/>
      <c r="O20" s="103"/>
      <c r="P20" s="59"/>
      <c r="Q20" s="105"/>
      <c r="R20" s="9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13" t="str">
        <f t="shared" ref="B21:C21" si="5">B4</f>
        <v>Origin Place Bangna</v>
      </c>
      <c r="C21" s="113" t="str">
        <f t="shared" si="5"/>
        <v>Room 532</v>
      </c>
      <c r="D21" s="115">
        <f>SUM(D4:D20)</f>
        <v>0</v>
      </c>
      <c r="E21" s="116"/>
      <c r="F21" s="116"/>
      <c r="G21" s="116"/>
      <c r="H21" s="117" t="s">
        <v>95</v>
      </c>
      <c r="I21" s="118">
        <f>SUM(I5:I19)</f>
        <v>185887.8505</v>
      </c>
      <c r="J21" s="118">
        <f>SUM(J4:J20)</f>
        <v>84656.08</v>
      </c>
      <c r="K21" s="118">
        <f>I21-J21</f>
        <v>101231.7705</v>
      </c>
      <c r="L21" s="119">
        <f>K21/I21</f>
        <v>0.5445851905</v>
      </c>
      <c r="M21" s="118">
        <f>SUM(M4:M20)</f>
        <v>138550</v>
      </c>
      <c r="N21" s="118">
        <f>I21-M21</f>
        <v>47337.85047</v>
      </c>
      <c r="O21" s="119">
        <f>N21/I21</f>
        <v>0.2546581197</v>
      </c>
      <c r="P21" s="120"/>
      <c r="Q21" s="121"/>
      <c r="R21" s="11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22"/>
      <c r="B22" s="123"/>
      <c r="C22" s="124"/>
      <c r="D22" s="124"/>
      <c r="E22" s="125"/>
      <c r="F22" s="125"/>
      <c r="G22" s="125"/>
      <c r="H22" s="126"/>
      <c r="I22" s="127"/>
      <c r="J22" s="127"/>
      <c r="K22" s="127"/>
      <c r="L22" s="128"/>
      <c r="M22" s="127"/>
      <c r="N22" s="127"/>
      <c r="O22" s="128"/>
      <c r="P22" s="125"/>
      <c r="Q22" s="125"/>
      <c r="R22" s="125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>
      <c r="A23" s="1"/>
      <c r="B23" s="1"/>
      <c r="C23" s="1"/>
      <c r="D23" s="1"/>
      <c r="E23" s="131"/>
      <c r="F23" s="131"/>
      <c r="G23" s="131"/>
      <c r="H23" s="1"/>
      <c r="I23" s="1"/>
      <c r="J23" s="1"/>
      <c r="K23" s="1"/>
      <c r="L23" s="1"/>
      <c r="M23" s="1"/>
      <c r="N23" s="1"/>
      <c r="O23" s="1"/>
      <c r="P23" s="1"/>
      <c r="Q23" s="1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31"/>
      <c r="F24" s="131"/>
      <c r="G24" s="131"/>
      <c r="H24" s="1"/>
      <c r="I24" s="132"/>
      <c r="J24" s="1"/>
      <c r="K24" s="1"/>
      <c r="L24" s="1"/>
      <c r="M24" s="1"/>
      <c r="N24" s="1"/>
      <c r="O24" s="1"/>
      <c r="P24" s="1"/>
      <c r="Q24" s="13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31"/>
      <c r="F25" s="131"/>
      <c r="G25" s="131"/>
      <c r="H25" s="1"/>
      <c r="I25" s="1"/>
      <c r="J25" s="1"/>
      <c r="K25" s="1"/>
      <c r="L25" s="1"/>
      <c r="M25" s="1"/>
      <c r="N25" s="1"/>
      <c r="O25" s="1"/>
      <c r="P25" s="1"/>
      <c r="Q25" s="13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31"/>
      <c r="F26" s="131"/>
      <c r="G26" s="131"/>
      <c r="H26" s="1"/>
      <c r="I26" s="1"/>
      <c r="J26" s="1"/>
      <c r="K26" s="1"/>
      <c r="L26" s="1"/>
      <c r="M26" s="1"/>
      <c r="N26" s="1"/>
      <c r="O26" s="1"/>
      <c r="P26" s="1"/>
      <c r="Q26" s="13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31"/>
      <c r="F27" s="131"/>
      <c r="G27" s="131"/>
      <c r="H27" s="1"/>
      <c r="I27" s="1"/>
      <c r="J27" s="1"/>
      <c r="K27" s="1"/>
      <c r="L27" s="1"/>
      <c r="M27" s="1"/>
      <c r="N27" s="1"/>
      <c r="O27" s="1"/>
      <c r="P27" s="1"/>
      <c r="Q27" s="13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"/>
      <c r="D28" s="1"/>
      <c r="E28" s="131"/>
      <c r="F28" s="131"/>
      <c r="G28" s="131"/>
      <c r="H28" s="1"/>
      <c r="I28" s="1"/>
      <c r="J28" s="1"/>
      <c r="K28" s="1"/>
      <c r="L28" s="1"/>
      <c r="M28" s="1"/>
      <c r="N28" s="1"/>
      <c r="O28" s="1"/>
      <c r="P28" s="1"/>
      <c r="Q28" s="13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31"/>
      <c r="F29" s="131"/>
      <c r="G29" s="131"/>
      <c r="H29" s="1"/>
      <c r="I29" s="1"/>
      <c r="J29" s="1"/>
      <c r="K29" s="1"/>
      <c r="L29" s="1"/>
      <c r="M29" s="1"/>
      <c r="N29" s="1"/>
      <c r="O29" s="1"/>
      <c r="P29" s="1"/>
      <c r="Q29" s="13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131"/>
      <c r="F30" s="131"/>
      <c r="G30" s="131"/>
      <c r="H30" s="1"/>
      <c r="I30" s="1"/>
      <c r="J30" s="1"/>
      <c r="K30" s="1"/>
      <c r="L30" s="1"/>
      <c r="M30" s="1"/>
      <c r="N30" s="1"/>
      <c r="O30" s="1"/>
      <c r="P30" s="1"/>
      <c r="Q30" s="13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31"/>
      <c r="F31" s="131"/>
      <c r="G31" s="131"/>
      <c r="H31" s="1"/>
      <c r="I31" s="1"/>
      <c r="J31" s="1"/>
      <c r="K31" s="1"/>
      <c r="L31" s="1"/>
      <c r="M31" s="1"/>
      <c r="N31" s="1"/>
      <c r="O31" s="1"/>
      <c r="P31" s="1"/>
      <c r="Q31" s="13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31"/>
      <c r="F32" s="131"/>
      <c r="G32" s="131"/>
      <c r="H32" s="1"/>
      <c r="I32" s="1"/>
      <c r="J32" s="1"/>
      <c r="K32" s="1"/>
      <c r="L32" s="1"/>
      <c r="M32" s="1"/>
      <c r="N32" s="1"/>
      <c r="O32" s="1"/>
      <c r="P32" s="1"/>
      <c r="Q32" s="13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31"/>
      <c r="F33" s="131"/>
      <c r="G33" s="131"/>
      <c r="H33" s="1"/>
      <c r="I33" s="1"/>
      <c r="J33" s="1"/>
      <c r="K33" s="1"/>
      <c r="L33" s="1"/>
      <c r="M33" s="1"/>
      <c r="N33" s="1"/>
      <c r="O33" s="1"/>
      <c r="P33" s="1"/>
      <c r="Q33" s="13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31"/>
      <c r="F34" s="131"/>
      <c r="G34" s="131"/>
      <c r="H34" s="1"/>
      <c r="I34" s="1"/>
      <c r="J34" s="1"/>
      <c r="K34" s="1"/>
      <c r="L34" s="1"/>
      <c r="M34" s="1"/>
      <c r="N34" s="1"/>
      <c r="O34" s="1"/>
      <c r="P34" s="1"/>
      <c r="Q34" s="13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31"/>
      <c r="F35" s="131"/>
      <c r="G35" s="131"/>
      <c r="H35" s="1"/>
      <c r="I35" s="1"/>
      <c r="J35" s="1"/>
      <c r="K35" s="1"/>
      <c r="L35" s="1"/>
      <c r="M35" s="1"/>
      <c r="N35" s="1"/>
      <c r="O35" s="1"/>
      <c r="P35" s="1"/>
      <c r="Q35" s="13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31"/>
      <c r="F36" s="131"/>
      <c r="G36" s="131"/>
      <c r="H36" s="1"/>
      <c r="I36" s="1"/>
      <c r="J36" s="1"/>
      <c r="K36" s="1"/>
      <c r="L36" s="1"/>
      <c r="M36" s="1"/>
      <c r="N36" s="1"/>
      <c r="O36" s="1"/>
      <c r="P36" s="1"/>
      <c r="Q36" s="13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31"/>
      <c r="F37" s="131"/>
      <c r="G37" s="131"/>
      <c r="H37" s="1"/>
      <c r="I37" s="1"/>
      <c r="J37" s="1"/>
      <c r="K37" s="1"/>
      <c r="L37" s="1"/>
      <c r="M37" s="1"/>
      <c r="N37" s="1"/>
      <c r="O37" s="1"/>
      <c r="P37" s="1"/>
      <c r="Q37" s="13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31"/>
      <c r="F38" s="131"/>
      <c r="G38" s="131"/>
      <c r="H38" s="1"/>
      <c r="I38" s="1"/>
      <c r="J38" s="1"/>
      <c r="K38" s="1"/>
      <c r="L38" s="1"/>
      <c r="M38" s="1"/>
      <c r="N38" s="1"/>
      <c r="O38" s="1"/>
      <c r="P38" s="1"/>
      <c r="Q38" s="13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31"/>
      <c r="F39" s="131"/>
      <c r="G39" s="131"/>
      <c r="H39" s="1"/>
      <c r="I39" s="1"/>
      <c r="J39" s="1"/>
      <c r="K39" s="1"/>
      <c r="L39" s="1"/>
      <c r="M39" s="1"/>
      <c r="N39" s="1"/>
      <c r="O39" s="1"/>
      <c r="P39" s="1"/>
      <c r="Q39" s="13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31"/>
      <c r="F40" s="131"/>
      <c r="G40" s="131"/>
      <c r="H40" s="1"/>
      <c r="I40" s="1"/>
      <c r="J40" s="1"/>
      <c r="K40" s="1"/>
      <c r="L40" s="1"/>
      <c r="M40" s="1"/>
      <c r="N40" s="1"/>
      <c r="O40" s="1"/>
      <c r="P40" s="1"/>
      <c r="Q40" s="13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31"/>
      <c r="F41" s="131"/>
      <c r="G41" s="131"/>
      <c r="H41" s="1"/>
      <c r="I41" s="1"/>
      <c r="J41" s="1"/>
      <c r="K41" s="1"/>
      <c r="L41" s="1"/>
      <c r="M41" s="1"/>
      <c r="N41" s="1"/>
      <c r="O41" s="1"/>
      <c r="P41" s="1"/>
      <c r="Q41" s="13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31"/>
      <c r="F42" s="131"/>
      <c r="G42" s="131"/>
      <c r="H42" s="1"/>
      <c r="I42" s="1"/>
      <c r="J42" s="1"/>
      <c r="K42" s="1"/>
      <c r="L42" s="1"/>
      <c r="M42" s="1"/>
      <c r="N42" s="1"/>
      <c r="O42" s="1"/>
      <c r="P42" s="1"/>
      <c r="Q42" s="13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31"/>
      <c r="F43" s="131"/>
      <c r="G43" s="131"/>
      <c r="H43" s="1"/>
      <c r="I43" s="1"/>
      <c r="J43" s="1"/>
      <c r="K43" s="1"/>
      <c r="L43" s="1"/>
      <c r="M43" s="1"/>
      <c r="N43" s="1"/>
      <c r="O43" s="1"/>
      <c r="P43" s="1"/>
      <c r="Q43" s="13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31"/>
      <c r="F44" s="131"/>
      <c r="G44" s="131"/>
      <c r="H44" s="1"/>
      <c r="I44" s="1"/>
      <c r="J44" s="1"/>
      <c r="K44" s="1"/>
      <c r="L44" s="1"/>
      <c r="M44" s="1"/>
      <c r="N44" s="1"/>
      <c r="O44" s="1"/>
      <c r="P44" s="1"/>
      <c r="Q44" s="13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31"/>
      <c r="F45" s="131"/>
      <c r="G45" s="131"/>
      <c r="H45" s="1"/>
      <c r="I45" s="1"/>
      <c r="J45" s="1"/>
      <c r="K45" s="1"/>
      <c r="L45" s="1"/>
      <c r="M45" s="1"/>
      <c r="N45" s="1"/>
      <c r="O45" s="1"/>
      <c r="P45" s="1"/>
      <c r="Q45" s="13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31"/>
      <c r="F46" s="131"/>
      <c r="G46" s="131"/>
      <c r="H46" s="1"/>
      <c r="I46" s="1"/>
      <c r="J46" s="1"/>
      <c r="K46" s="1"/>
      <c r="L46" s="1"/>
      <c r="M46" s="1"/>
      <c r="N46" s="1"/>
      <c r="O46" s="1"/>
      <c r="P46" s="1"/>
      <c r="Q46" s="13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31"/>
      <c r="F47" s="131"/>
      <c r="G47" s="131"/>
      <c r="H47" s="1"/>
      <c r="I47" s="1"/>
      <c r="J47" s="1"/>
      <c r="K47" s="1"/>
      <c r="L47" s="1"/>
      <c r="M47" s="1"/>
      <c r="N47" s="1"/>
      <c r="O47" s="1"/>
      <c r="P47" s="1"/>
      <c r="Q47" s="13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31"/>
      <c r="F48" s="131"/>
      <c r="G48" s="131"/>
      <c r="H48" s="1"/>
      <c r="I48" s="1"/>
      <c r="J48" s="1"/>
      <c r="K48" s="1"/>
      <c r="L48" s="1"/>
      <c r="M48" s="1"/>
      <c r="N48" s="1"/>
      <c r="O48" s="1"/>
      <c r="P48" s="1"/>
      <c r="Q48" s="13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31"/>
      <c r="F49" s="131"/>
      <c r="G49" s="131"/>
      <c r="H49" s="1"/>
      <c r="I49" s="1"/>
      <c r="J49" s="1"/>
      <c r="K49" s="1"/>
      <c r="L49" s="1"/>
      <c r="M49" s="1"/>
      <c r="N49" s="1"/>
      <c r="O49" s="1"/>
      <c r="P49" s="1"/>
      <c r="Q49" s="13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31"/>
      <c r="F50" s="131"/>
      <c r="G50" s="131"/>
      <c r="H50" s="1"/>
      <c r="I50" s="1"/>
      <c r="J50" s="1"/>
      <c r="K50" s="1"/>
      <c r="L50" s="1"/>
      <c r="M50" s="1"/>
      <c r="N50" s="1"/>
      <c r="O50" s="1"/>
      <c r="P50" s="1"/>
      <c r="Q50" s="13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31"/>
      <c r="F51" s="131"/>
      <c r="G51" s="131"/>
      <c r="H51" s="1"/>
      <c r="I51" s="1"/>
      <c r="J51" s="1"/>
      <c r="K51" s="1"/>
      <c r="L51" s="1"/>
      <c r="M51" s="1"/>
      <c r="N51" s="1"/>
      <c r="O51" s="1"/>
      <c r="P51" s="1"/>
      <c r="Q51" s="1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31"/>
      <c r="F52" s="131"/>
      <c r="G52" s="131"/>
      <c r="H52" s="1"/>
      <c r="I52" s="1"/>
      <c r="J52" s="1"/>
      <c r="K52" s="1"/>
      <c r="L52" s="1"/>
      <c r="M52" s="1"/>
      <c r="N52" s="1"/>
      <c r="O52" s="1"/>
      <c r="P52" s="1"/>
      <c r="Q52" s="13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31"/>
      <c r="F53" s="131"/>
      <c r="G53" s="131"/>
      <c r="H53" s="1"/>
      <c r="I53" s="1"/>
      <c r="J53" s="1"/>
      <c r="K53" s="1"/>
      <c r="L53" s="1"/>
      <c r="M53" s="1"/>
      <c r="N53" s="1"/>
      <c r="O53" s="1"/>
      <c r="P53" s="1"/>
      <c r="Q53" s="13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31"/>
      <c r="F54" s="131"/>
      <c r="G54" s="131"/>
      <c r="H54" s="1"/>
      <c r="I54" s="1"/>
      <c r="J54" s="1"/>
      <c r="K54" s="1"/>
      <c r="L54" s="1"/>
      <c r="M54" s="1"/>
      <c r="N54" s="1"/>
      <c r="O54" s="1"/>
      <c r="P54" s="1"/>
      <c r="Q54" s="13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31"/>
      <c r="F55" s="131"/>
      <c r="G55" s="131"/>
      <c r="H55" s="1"/>
      <c r="I55" s="1"/>
      <c r="J55" s="1"/>
      <c r="K55" s="1"/>
      <c r="L55" s="1"/>
      <c r="M55" s="1"/>
      <c r="N55" s="1"/>
      <c r="O55" s="1"/>
      <c r="P55" s="1"/>
      <c r="Q55" s="13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31"/>
      <c r="F56" s="131"/>
      <c r="G56" s="131"/>
      <c r="H56" s="1"/>
      <c r="I56" s="1"/>
      <c r="J56" s="1"/>
      <c r="K56" s="1"/>
      <c r="L56" s="1"/>
      <c r="M56" s="1"/>
      <c r="N56" s="1"/>
      <c r="O56" s="1"/>
      <c r="P56" s="1"/>
      <c r="Q56" s="13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31"/>
      <c r="F57" s="131"/>
      <c r="G57" s="131"/>
      <c r="H57" s="1"/>
      <c r="I57" s="1"/>
      <c r="J57" s="1"/>
      <c r="K57" s="1"/>
      <c r="L57" s="1"/>
      <c r="M57" s="1"/>
      <c r="N57" s="1"/>
      <c r="O57" s="1"/>
      <c r="P57" s="1"/>
      <c r="Q57" s="13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31"/>
      <c r="F58" s="131"/>
      <c r="G58" s="131"/>
      <c r="H58" s="1"/>
      <c r="I58" s="1"/>
      <c r="J58" s="1"/>
      <c r="K58" s="1"/>
      <c r="L58" s="1"/>
      <c r="M58" s="1"/>
      <c r="N58" s="1"/>
      <c r="O58" s="1"/>
      <c r="P58" s="1"/>
      <c r="Q58" s="13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31"/>
      <c r="F59" s="131"/>
      <c r="G59" s="131"/>
      <c r="H59" s="1"/>
      <c r="I59" s="1"/>
      <c r="J59" s="1"/>
      <c r="K59" s="1"/>
      <c r="L59" s="1"/>
      <c r="M59" s="1"/>
      <c r="N59" s="1"/>
      <c r="O59" s="1"/>
      <c r="P59" s="1"/>
      <c r="Q59" s="13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31"/>
      <c r="F60" s="131"/>
      <c r="G60" s="131"/>
      <c r="H60" s="1"/>
      <c r="I60" s="1"/>
      <c r="J60" s="1"/>
      <c r="K60" s="1"/>
      <c r="L60" s="1"/>
      <c r="M60" s="1"/>
      <c r="N60" s="1"/>
      <c r="O60" s="1"/>
      <c r="P60" s="1"/>
      <c r="Q60" s="13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31"/>
      <c r="F61" s="131"/>
      <c r="G61" s="131"/>
      <c r="H61" s="1"/>
      <c r="I61" s="1"/>
      <c r="J61" s="1"/>
      <c r="K61" s="1"/>
      <c r="L61" s="1"/>
      <c r="M61" s="1"/>
      <c r="N61" s="1"/>
      <c r="O61" s="1"/>
      <c r="P61" s="1"/>
      <c r="Q61" s="13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31"/>
      <c r="F62" s="131"/>
      <c r="G62" s="131"/>
      <c r="H62" s="1"/>
      <c r="I62" s="1"/>
      <c r="J62" s="1"/>
      <c r="K62" s="1"/>
      <c r="L62" s="1"/>
      <c r="M62" s="1"/>
      <c r="N62" s="1"/>
      <c r="O62" s="1"/>
      <c r="P62" s="1"/>
      <c r="Q62" s="13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31"/>
      <c r="F63" s="131"/>
      <c r="G63" s="131"/>
      <c r="H63" s="1"/>
      <c r="I63" s="1"/>
      <c r="J63" s="1"/>
      <c r="K63" s="1"/>
      <c r="L63" s="1"/>
      <c r="M63" s="1"/>
      <c r="N63" s="1"/>
      <c r="O63" s="1"/>
      <c r="P63" s="1"/>
      <c r="Q63" s="13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31"/>
      <c r="F64" s="131"/>
      <c r="G64" s="131"/>
      <c r="H64" s="1"/>
      <c r="I64" s="1"/>
      <c r="J64" s="1"/>
      <c r="K64" s="1"/>
      <c r="L64" s="1"/>
      <c r="M64" s="1"/>
      <c r="N64" s="1"/>
      <c r="O64" s="1"/>
      <c r="P64" s="1"/>
      <c r="Q64" s="13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31"/>
      <c r="F65" s="131"/>
      <c r="G65" s="131"/>
      <c r="H65" s="1"/>
      <c r="I65" s="1"/>
      <c r="J65" s="1"/>
      <c r="K65" s="1"/>
      <c r="L65" s="1"/>
      <c r="M65" s="1"/>
      <c r="N65" s="1"/>
      <c r="O65" s="1"/>
      <c r="P65" s="1"/>
      <c r="Q65" s="13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31"/>
      <c r="F66" s="131"/>
      <c r="G66" s="131"/>
      <c r="H66" s="1"/>
      <c r="I66" s="1"/>
      <c r="J66" s="1"/>
      <c r="K66" s="1"/>
      <c r="L66" s="1"/>
      <c r="M66" s="1"/>
      <c r="N66" s="1"/>
      <c r="O66" s="1"/>
      <c r="P66" s="1"/>
      <c r="Q66" s="13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31"/>
      <c r="F67" s="131"/>
      <c r="G67" s="131"/>
      <c r="H67" s="1"/>
      <c r="I67" s="1"/>
      <c r="J67" s="1"/>
      <c r="K67" s="1"/>
      <c r="L67" s="1"/>
      <c r="M67" s="1"/>
      <c r="N67" s="1"/>
      <c r="O67" s="1"/>
      <c r="P67" s="1"/>
      <c r="Q67" s="13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31"/>
      <c r="F68" s="131"/>
      <c r="G68" s="131"/>
      <c r="H68" s="1"/>
      <c r="I68" s="1"/>
      <c r="J68" s="1"/>
      <c r="K68" s="1"/>
      <c r="L68" s="1"/>
      <c r="M68" s="1"/>
      <c r="N68" s="1"/>
      <c r="O68" s="1"/>
      <c r="P68" s="1"/>
      <c r="Q68" s="13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31"/>
      <c r="F69" s="131"/>
      <c r="G69" s="131"/>
      <c r="H69" s="1"/>
      <c r="I69" s="1"/>
      <c r="J69" s="1"/>
      <c r="K69" s="1"/>
      <c r="L69" s="1"/>
      <c r="M69" s="1"/>
      <c r="N69" s="1"/>
      <c r="O69" s="1"/>
      <c r="P69" s="1"/>
      <c r="Q69" s="13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31"/>
      <c r="F70" s="131"/>
      <c r="G70" s="131"/>
      <c r="H70" s="1"/>
      <c r="I70" s="1"/>
      <c r="J70" s="1"/>
      <c r="K70" s="1"/>
      <c r="L70" s="1"/>
      <c r="M70" s="1"/>
      <c r="N70" s="1"/>
      <c r="O70" s="1"/>
      <c r="P70" s="1"/>
      <c r="Q70" s="13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31"/>
      <c r="F71" s="131"/>
      <c r="G71" s="131"/>
      <c r="H71" s="1"/>
      <c r="I71" s="1"/>
      <c r="J71" s="1"/>
      <c r="K71" s="1"/>
      <c r="L71" s="1"/>
      <c r="M71" s="1"/>
      <c r="N71" s="1"/>
      <c r="O71" s="1"/>
      <c r="P71" s="1"/>
      <c r="Q71" s="13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31"/>
      <c r="F72" s="131"/>
      <c r="G72" s="131"/>
      <c r="H72" s="1"/>
      <c r="I72" s="1"/>
      <c r="J72" s="1"/>
      <c r="K72" s="1"/>
      <c r="L72" s="1"/>
      <c r="M72" s="1"/>
      <c r="N72" s="1"/>
      <c r="O72" s="1"/>
      <c r="P72" s="1"/>
      <c r="Q72" s="13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31"/>
      <c r="F73" s="131"/>
      <c r="G73" s="131"/>
      <c r="H73" s="1"/>
      <c r="I73" s="1"/>
      <c r="J73" s="1"/>
      <c r="K73" s="1"/>
      <c r="L73" s="1"/>
      <c r="M73" s="1"/>
      <c r="N73" s="1"/>
      <c r="O73" s="1"/>
      <c r="P73" s="1"/>
      <c r="Q73" s="13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31"/>
      <c r="F74" s="131"/>
      <c r="G74" s="131"/>
      <c r="H74" s="1"/>
      <c r="I74" s="1"/>
      <c r="J74" s="1"/>
      <c r="K74" s="1"/>
      <c r="L74" s="1"/>
      <c r="M74" s="1"/>
      <c r="N74" s="1"/>
      <c r="O74" s="1"/>
      <c r="P74" s="1"/>
      <c r="Q74" s="13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31"/>
      <c r="F75" s="131"/>
      <c r="G75" s="131"/>
      <c r="H75" s="1"/>
      <c r="I75" s="1"/>
      <c r="J75" s="1"/>
      <c r="K75" s="1"/>
      <c r="L75" s="1"/>
      <c r="M75" s="1"/>
      <c r="N75" s="1"/>
      <c r="O75" s="1"/>
      <c r="P75" s="1"/>
      <c r="Q75" s="13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31"/>
      <c r="F76" s="131"/>
      <c r="G76" s="131"/>
      <c r="H76" s="1"/>
      <c r="I76" s="1"/>
      <c r="J76" s="1"/>
      <c r="K76" s="1"/>
      <c r="L76" s="1"/>
      <c r="M76" s="1"/>
      <c r="N76" s="1"/>
      <c r="O76" s="1"/>
      <c r="P76" s="1"/>
      <c r="Q76" s="13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31"/>
      <c r="F77" s="131"/>
      <c r="G77" s="131"/>
      <c r="H77" s="1"/>
      <c r="I77" s="1"/>
      <c r="J77" s="1"/>
      <c r="K77" s="1"/>
      <c r="L77" s="1"/>
      <c r="M77" s="1"/>
      <c r="N77" s="1"/>
      <c r="O77" s="1"/>
      <c r="P77" s="1"/>
      <c r="Q77" s="13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31"/>
      <c r="F78" s="131"/>
      <c r="G78" s="131"/>
      <c r="H78" s="1"/>
      <c r="I78" s="1"/>
      <c r="J78" s="1"/>
      <c r="K78" s="1"/>
      <c r="L78" s="1"/>
      <c r="M78" s="1"/>
      <c r="N78" s="1"/>
      <c r="O78" s="1"/>
      <c r="P78" s="1"/>
      <c r="Q78" s="13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31"/>
      <c r="F79" s="131"/>
      <c r="G79" s="131"/>
      <c r="H79" s="1"/>
      <c r="I79" s="1"/>
      <c r="J79" s="1"/>
      <c r="K79" s="1"/>
      <c r="L79" s="1"/>
      <c r="M79" s="1"/>
      <c r="N79" s="1"/>
      <c r="O79" s="1"/>
      <c r="P79" s="1"/>
      <c r="Q79" s="13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31"/>
      <c r="F80" s="131"/>
      <c r="G80" s="131"/>
      <c r="H80" s="1"/>
      <c r="I80" s="1"/>
      <c r="J80" s="1"/>
      <c r="K80" s="1"/>
      <c r="L80" s="1"/>
      <c r="M80" s="1"/>
      <c r="N80" s="1"/>
      <c r="O80" s="1"/>
      <c r="P80" s="1"/>
      <c r="Q80" s="13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31"/>
      <c r="F81" s="131"/>
      <c r="G81" s="131"/>
      <c r="H81" s="1"/>
      <c r="I81" s="1"/>
      <c r="J81" s="1"/>
      <c r="K81" s="1"/>
      <c r="L81" s="1"/>
      <c r="M81" s="1"/>
      <c r="N81" s="1"/>
      <c r="O81" s="1"/>
      <c r="P81" s="1"/>
      <c r="Q81" s="13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31"/>
      <c r="F82" s="131"/>
      <c r="G82" s="131"/>
      <c r="H82" s="1"/>
      <c r="I82" s="1"/>
      <c r="J82" s="1"/>
      <c r="K82" s="1"/>
      <c r="L82" s="1"/>
      <c r="M82" s="1"/>
      <c r="N82" s="1"/>
      <c r="O82" s="1"/>
      <c r="P82" s="1"/>
      <c r="Q82" s="13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31"/>
      <c r="F83" s="131"/>
      <c r="G83" s="131"/>
      <c r="H83" s="1"/>
      <c r="I83" s="1"/>
      <c r="J83" s="1"/>
      <c r="K83" s="1"/>
      <c r="L83" s="1"/>
      <c r="M83" s="1"/>
      <c r="N83" s="1"/>
      <c r="O83" s="1"/>
      <c r="P83" s="1"/>
      <c r="Q83" s="13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31"/>
      <c r="F84" s="131"/>
      <c r="G84" s="131"/>
      <c r="H84" s="1"/>
      <c r="I84" s="1"/>
      <c r="J84" s="1"/>
      <c r="K84" s="1"/>
      <c r="L84" s="1"/>
      <c r="M84" s="1"/>
      <c r="N84" s="1"/>
      <c r="O84" s="1"/>
      <c r="P84" s="1"/>
      <c r="Q84" s="13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31"/>
      <c r="F85" s="131"/>
      <c r="G85" s="131"/>
      <c r="H85" s="1"/>
      <c r="I85" s="1"/>
      <c r="J85" s="1"/>
      <c r="K85" s="1"/>
      <c r="L85" s="1"/>
      <c r="M85" s="1"/>
      <c r="N85" s="1"/>
      <c r="O85" s="1"/>
      <c r="P85" s="1"/>
      <c r="Q85" s="13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31"/>
      <c r="F86" s="131"/>
      <c r="G86" s="131"/>
      <c r="H86" s="1"/>
      <c r="I86" s="1"/>
      <c r="J86" s="1"/>
      <c r="K86" s="1"/>
      <c r="L86" s="1"/>
      <c r="M86" s="1"/>
      <c r="N86" s="1"/>
      <c r="O86" s="1"/>
      <c r="P86" s="1"/>
      <c r="Q86" s="13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31"/>
      <c r="F87" s="131"/>
      <c r="G87" s="131"/>
      <c r="H87" s="1"/>
      <c r="I87" s="1"/>
      <c r="J87" s="1"/>
      <c r="K87" s="1"/>
      <c r="L87" s="1"/>
      <c r="M87" s="1"/>
      <c r="N87" s="1"/>
      <c r="O87" s="1"/>
      <c r="P87" s="1"/>
      <c r="Q87" s="13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31"/>
      <c r="F88" s="131"/>
      <c r="G88" s="131"/>
      <c r="H88" s="1"/>
      <c r="I88" s="1"/>
      <c r="J88" s="1"/>
      <c r="K88" s="1"/>
      <c r="L88" s="1"/>
      <c r="M88" s="1"/>
      <c r="N88" s="1"/>
      <c r="O88" s="1"/>
      <c r="P88" s="1"/>
      <c r="Q88" s="13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31"/>
      <c r="F89" s="131"/>
      <c r="G89" s="131"/>
      <c r="H89" s="1"/>
      <c r="I89" s="1"/>
      <c r="J89" s="1"/>
      <c r="K89" s="1"/>
      <c r="L89" s="1"/>
      <c r="M89" s="1"/>
      <c r="N89" s="1"/>
      <c r="O89" s="1"/>
      <c r="P89" s="1"/>
      <c r="Q89" s="13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31"/>
      <c r="F90" s="131"/>
      <c r="G90" s="131"/>
      <c r="H90" s="1"/>
      <c r="I90" s="1"/>
      <c r="J90" s="1"/>
      <c r="K90" s="1"/>
      <c r="L90" s="1"/>
      <c r="M90" s="1"/>
      <c r="N90" s="1"/>
      <c r="O90" s="1"/>
      <c r="P90" s="1"/>
      <c r="Q90" s="13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31"/>
      <c r="F91" s="131"/>
      <c r="G91" s="131"/>
      <c r="H91" s="1"/>
      <c r="I91" s="1"/>
      <c r="J91" s="1"/>
      <c r="K91" s="1"/>
      <c r="L91" s="1"/>
      <c r="M91" s="1"/>
      <c r="N91" s="1"/>
      <c r="O91" s="1"/>
      <c r="P91" s="1"/>
      <c r="Q91" s="13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31"/>
      <c r="F92" s="131"/>
      <c r="G92" s="131"/>
      <c r="H92" s="1"/>
      <c r="I92" s="1"/>
      <c r="J92" s="1"/>
      <c r="K92" s="1"/>
      <c r="L92" s="1"/>
      <c r="M92" s="1"/>
      <c r="N92" s="1"/>
      <c r="O92" s="1"/>
      <c r="P92" s="1"/>
      <c r="Q92" s="13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31"/>
      <c r="F93" s="131"/>
      <c r="G93" s="131"/>
      <c r="H93" s="1"/>
      <c r="I93" s="1"/>
      <c r="J93" s="1"/>
      <c r="K93" s="1"/>
      <c r="L93" s="1"/>
      <c r="M93" s="1"/>
      <c r="N93" s="1"/>
      <c r="O93" s="1"/>
      <c r="P93" s="1"/>
      <c r="Q93" s="13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31"/>
      <c r="F94" s="131"/>
      <c r="G94" s="131"/>
      <c r="H94" s="1"/>
      <c r="I94" s="1"/>
      <c r="J94" s="1"/>
      <c r="K94" s="1"/>
      <c r="L94" s="1"/>
      <c r="M94" s="1"/>
      <c r="N94" s="1"/>
      <c r="O94" s="1"/>
      <c r="P94" s="1"/>
      <c r="Q94" s="13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31"/>
      <c r="F95" s="131"/>
      <c r="G95" s="131"/>
      <c r="H95" s="1"/>
      <c r="I95" s="1"/>
      <c r="J95" s="1"/>
      <c r="K95" s="1"/>
      <c r="L95" s="1"/>
      <c r="M95" s="1"/>
      <c r="N95" s="1"/>
      <c r="O95" s="1"/>
      <c r="P95" s="1"/>
      <c r="Q95" s="13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31"/>
      <c r="F96" s="131"/>
      <c r="G96" s="131"/>
      <c r="H96" s="1"/>
      <c r="I96" s="1"/>
      <c r="J96" s="1"/>
      <c r="K96" s="1"/>
      <c r="L96" s="1"/>
      <c r="M96" s="1"/>
      <c r="N96" s="1"/>
      <c r="O96" s="1"/>
      <c r="P96" s="1"/>
      <c r="Q96" s="13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31"/>
      <c r="F97" s="131"/>
      <c r="G97" s="131"/>
      <c r="H97" s="1"/>
      <c r="I97" s="1"/>
      <c r="J97" s="1"/>
      <c r="K97" s="1"/>
      <c r="L97" s="1"/>
      <c r="M97" s="1"/>
      <c r="N97" s="1"/>
      <c r="O97" s="1"/>
      <c r="P97" s="1"/>
      <c r="Q97" s="13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31"/>
      <c r="F98" s="131"/>
      <c r="G98" s="131"/>
      <c r="H98" s="1"/>
      <c r="I98" s="1"/>
      <c r="J98" s="1"/>
      <c r="K98" s="1"/>
      <c r="L98" s="1"/>
      <c r="M98" s="1"/>
      <c r="N98" s="1"/>
      <c r="O98" s="1"/>
      <c r="P98" s="1"/>
      <c r="Q98" s="13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31"/>
      <c r="F99" s="131"/>
      <c r="G99" s="131"/>
      <c r="H99" s="1"/>
      <c r="I99" s="1"/>
      <c r="J99" s="1"/>
      <c r="K99" s="1"/>
      <c r="L99" s="1"/>
      <c r="M99" s="1"/>
      <c r="N99" s="1"/>
      <c r="O99" s="1"/>
      <c r="P99" s="1"/>
      <c r="Q99" s="13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31"/>
      <c r="F100" s="131"/>
      <c r="G100" s="131"/>
      <c r="H100" s="1"/>
      <c r="I100" s="1"/>
      <c r="J100" s="1"/>
      <c r="K100" s="1"/>
      <c r="L100" s="1"/>
      <c r="M100" s="1"/>
      <c r="N100" s="1"/>
      <c r="O100" s="1"/>
      <c r="P100" s="1"/>
      <c r="Q100" s="13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31"/>
      <c r="F101" s="131"/>
      <c r="G101" s="131"/>
      <c r="H101" s="1"/>
      <c r="I101" s="1"/>
      <c r="J101" s="1"/>
      <c r="K101" s="1"/>
      <c r="L101" s="1"/>
      <c r="M101" s="1"/>
      <c r="N101" s="1"/>
      <c r="O101" s="1"/>
      <c r="P101" s="1"/>
      <c r="Q101" s="13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31"/>
      <c r="F102" s="131"/>
      <c r="G102" s="131"/>
      <c r="H102" s="1"/>
      <c r="I102" s="1"/>
      <c r="J102" s="1"/>
      <c r="K102" s="1"/>
      <c r="L102" s="1"/>
      <c r="M102" s="1"/>
      <c r="N102" s="1"/>
      <c r="O102" s="1"/>
      <c r="P102" s="1"/>
      <c r="Q102" s="13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31"/>
      <c r="F103" s="131"/>
      <c r="G103" s="131"/>
      <c r="H103" s="1"/>
      <c r="I103" s="1"/>
      <c r="J103" s="1"/>
      <c r="K103" s="1"/>
      <c r="L103" s="1"/>
      <c r="M103" s="1"/>
      <c r="N103" s="1"/>
      <c r="O103" s="1"/>
      <c r="P103" s="1"/>
      <c r="Q103" s="13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31"/>
      <c r="F104" s="131"/>
      <c r="G104" s="131"/>
      <c r="H104" s="1"/>
      <c r="I104" s="1"/>
      <c r="J104" s="1"/>
      <c r="K104" s="1"/>
      <c r="L104" s="1"/>
      <c r="M104" s="1"/>
      <c r="N104" s="1"/>
      <c r="O104" s="1"/>
      <c r="P104" s="1"/>
      <c r="Q104" s="13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31"/>
      <c r="F105" s="131"/>
      <c r="G105" s="131"/>
      <c r="H105" s="1"/>
      <c r="I105" s="1"/>
      <c r="J105" s="1"/>
      <c r="K105" s="1"/>
      <c r="L105" s="1"/>
      <c r="M105" s="1"/>
      <c r="N105" s="1"/>
      <c r="O105" s="1"/>
      <c r="P105" s="1"/>
      <c r="Q105" s="13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31"/>
      <c r="F106" s="131"/>
      <c r="G106" s="131"/>
      <c r="H106" s="1"/>
      <c r="I106" s="1"/>
      <c r="J106" s="1"/>
      <c r="K106" s="1"/>
      <c r="L106" s="1"/>
      <c r="M106" s="1"/>
      <c r="N106" s="1"/>
      <c r="O106" s="1"/>
      <c r="P106" s="1"/>
      <c r="Q106" s="13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31"/>
      <c r="F107" s="131"/>
      <c r="G107" s="131"/>
      <c r="H107" s="1"/>
      <c r="I107" s="1"/>
      <c r="J107" s="1"/>
      <c r="K107" s="1"/>
      <c r="L107" s="1"/>
      <c r="M107" s="1"/>
      <c r="N107" s="1"/>
      <c r="O107" s="1"/>
      <c r="P107" s="1"/>
      <c r="Q107" s="13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31"/>
      <c r="F108" s="131"/>
      <c r="G108" s="131"/>
      <c r="H108" s="1"/>
      <c r="I108" s="1"/>
      <c r="J108" s="1"/>
      <c r="K108" s="1"/>
      <c r="L108" s="1"/>
      <c r="M108" s="1"/>
      <c r="N108" s="1"/>
      <c r="O108" s="1"/>
      <c r="P108" s="1"/>
      <c r="Q108" s="13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31"/>
      <c r="F109" s="131"/>
      <c r="G109" s="131"/>
      <c r="H109" s="1"/>
      <c r="I109" s="1"/>
      <c r="J109" s="1"/>
      <c r="K109" s="1"/>
      <c r="L109" s="1"/>
      <c r="M109" s="1"/>
      <c r="N109" s="1"/>
      <c r="O109" s="1"/>
      <c r="P109" s="1"/>
      <c r="Q109" s="13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31"/>
      <c r="F110" s="131"/>
      <c r="G110" s="131"/>
      <c r="H110" s="1"/>
      <c r="I110" s="1"/>
      <c r="J110" s="1"/>
      <c r="K110" s="1"/>
      <c r="L110" s="1"/>
      <c r="M110" s="1"/>
      <c r="N110" s="1"/>
      <c r="O110" s="1"/>
      <c r="P110" s="1"/>
      <c r="Q110" s="13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31"/>
      <c r="F111" s="131"/>
      <c r="G111" s="131"/>
      <c r="H111" s="1"/>
      <c r="I111" s="1"/>
      <c r="J111" s="1"/>
      <c r="K111" s="1"/>
      <c r="L111" s="1"/>
      <c r="M111" s="1"/>
      <c r="N111" s="1"/>
      <c r="O111" s="1"/>
      <c r="P111" s="1"/>
      <c r="Q111" s="13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31"/>
      <c r="F112" s="131"/>
      <c r="G112" s="131"/>
      <c r="H112" s="1"/>
      <c r="I112" s="1"/>
      <c r="J112" s="1"/>
      <c r="K112" s="1"/>
      <c r="L112" s="1"/>
      <c r="M112" s="1"/>
      <c r="N112" s="1"/>
      <c r="O112" s="1"/>
      <c r="P112" s="1"/>
      <c r="Q112" s="13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31"/>
      <c r="F113" s="131"/>
      <c r="G113" s="131"/>
      <c r="H113" s="1"/>
      <c r="I113" s="1"/>
      <c r="J113" s="1"/>
      <c r="K113" s="1"/>
      <c r="L113" s="1"/>
      <c r="M113" s="1"/>
      <c r="N113" s="1"/>
      <c r="O113" s="1"/>
      <c r="P113" s="1"/>
      <c r="Q113" s="13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31"/>
      <c r="F114" s="131"/>
      <c r="G114" s="131"/>
      <c r="H114" s="1"/>
      <c r="I114" s="1"/>
      <c r="J114" s="1"/>
      <c r="K114" s="1"/>
      <c r="L114" s="1"/>
      <c r="M114" s="1"/>
      <c r="N114" s="1"/>
      <c r="O114" s="1"/>
      <c r="P114" s="1"/>
      <c r="Q114" s="13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31"/>
      <c r="F115" s="131"/>
      <c r="G115" s="131"/>
      <c r="H115" s="1"/>
      <c r="I115" s="1"/>
      <c r="J115" s="1"/>
      <c r="K115" s="1"/>
      <c r="L115" s="1"/>
      <c r="M115" s="1"/>
      <c r="N115" s="1"/>
      <c r="O115" s="1"/>
      <c r="P115" s="1"/>
      <c r="Q115" s="13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31"/>
      <c r="F116" s="131"/>
      <c r="G116" s="131"/>
      <c r="H116" s="1"/>
      <c r="I116" s="1"/>
      <c r="J116" s="1"/>
      <c r="K116" s="1"/>
      <c r="L116" s="1"/>
      <c r="M116" s="1"/>
      <c r="N116" s="1"/>
      <c r="O116" s="1"/>
      <c r="P116" s="1"/>
      <c r="Q116" s="13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31"/>
      <c r="F117" s="131"/>
      <c r="G117" s="131"/>
      <c r="H117" s="1"/>
      <c r="I117" s="1"/>
      <c r="J117" s="1"/>
      <c r="K117" s="1"/>
      <c r="L117" s="1"/>
      <c r="M117" s="1"/>
      <c r="N117" s="1"/>
      <c r="O117" s="1"/>
      <c r="P117" s="1"/>
      <c r="Q117" s="13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31"/>
      <c r="F118" s="131"/>
      <c r="G118" s="131"/>
      <c r="H118" s="1"/>
      <c r="I118" s="1"/>
      <c r="J118" s="1"/>
      <c r="K118" s="1"/>
      <c r="L118" s="1"/>
      <c r="M118" s="1"/>
      <c r="N118" s="1"/>
      <c r="O118" s="1"/>
      <c r="P118" s="1"/>
      <c r="Q118" s="13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31"/>
      <c r="F119" s="131"/>
      <c r="G119" s="131"/>
      <c r="H119" s="1"/>
      <c r="I119" s="1"/>
      <c r="J119" s="1"/>
      <c r="K119" s="1"/>
      <c r="L119" s="1"/>
      <c r="M119" s="1"/>
      <c r="N119" s="1"/>
      <c r="O119" s="1"/>
      <c r="P119" s="1"/>
      <c r="Q119" s="13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31"/>
      <c r="F120" s="131"/>
      <c r="G120" s="131"/>
      <c r="H120" s="1"/>
      <c r="I120" s="1"/>
      <c r="J120" s="1"/>
      <c r="K120" s="1"/>
      <c r="L120" s="1"/>
      <c r="M120" s="1"/>
      <c r="N120" s="1"/>
      <c r="O120" s="1"/>
      <c r="P120" s="1"/>
      <c r="Q120" s="13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31"/>
      <c r="F121" s="131"/>
      <c r="G121" s="131"/>
      <c r="H121" s="1"/>
      <c r="I121" s="1"/>
      <c r="J121" s="1"/>
      <c r="K121" s="1"/>
      <c r="L121" s="1"/>
      <c r="M121" s="1"/>
      <c r="N121" s="1"/>
      <c r="O121" s="1"/>
      <c r="P121" s="1"/>
      <c r="Q121" s="13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31"/>
      <c r="F122" s="131"/>
      <c r="G122" s="131"/>
      <c r="H122" s="1"/>
      <c r="I122" s="1"/>
      <c r="J122" s="1"/>
      <c r="K122" s="1"/>
      <c r="L122" s="1"/>
      <c r="M122" s="1"/>
      <c r="N122" s="1"/>
      <c r="O122" s="1"/>
      <c r="P122" s="1"/>
      <c r="Q122" s="13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31"/>
      <c r="F123" s="131"/>
      <c r="G123" s="131"/>
      <c r="H123" s="1"/>
      <c r="I123" s="1"/>
      <c r="J123" s="1"/>
      <c r="K123" s="1"/>
      <c r="L123" s="1"/>
      <c r="M123" s="1"/>
      <c r="N123" s="1"/>
      <c r="O123" s="1"/>
      <c r="P123" s="1"/>
      <c r="Q123" s="13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31"/>
      <c r="F124" s="131"/>
      <c r="G124" s="131"/>
      <c r="H124" s="1"/>
      <c r="I124" s="1"/>
      <c r="J124" s="1"/>
      <c r="K124" s="1"/>
      <c r="L124" s="1"/>
      <c r="M124" s="1"/>
      <c r="N124" s="1"/>
      <c r="O124" s="1"/>
      <c r="P124" s="1"/>
      <c r="Q124" s="13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31"/>
      <c r="F125" s="131"/>
      <c r="G125" s="131"/>
      <c r="H125" s="1"/>
      <c r="I125" s="1"/>
      <c r="J125" s="1"/>
      <c r="K125" s="1"/>
      <c r="L125" s="1"/>
      <c r="M125" s="1"/>
      <c r="N125" s="1"/>
      <c r="O125" s="1"/>
      <c r="P125" s="1"/>
      <c r="Q125" s="13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31"/>
      <c r="F126" s="131"/>
      <c r="G126" s="131"/>
      <c r="H126" s="1"/>
      <c r="I126" s="1"/>
      <c r="J126" s="1"/>
      <c r="K126" s="1"/>
      <c r="L126" s="1"/>
      <c r="M126" s="1"/>
      <c r="N126" s="1"/>
      <c r="O126" s="1"/>
      <c r="P126" s="1"/>
      <c r="Q126" s="13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31"/>
      <c r="F127" s="131"/>
      <c r="G127" s="131"/>
      <c r="H127" s="1"/>
      <c r="I127" s="1"/>
      <c r="J127" s="1"/>
      <c r="K127" s="1"/>
      <c r="L127" s="1"/>
      <c r="M127" s="1"/>
      <c r="N127" s="1"/>
      <c r="O127" s="1"/>
      <c r="P127" s="1"/>
      <c r="Q127" s="13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31"/>
      <c r="F128" s="131"/>
      <c r="G128" s="131"/>
      <c r="H128" s="1"/>
      <c r="I128" s="1"/>
      <c r="J128" s="1"/>
      <c r="K128" s="1"/>
      <c r="L128" s="1"/>
      <c r="M128" s="1"/>
      <c r="N128" s="1"/>
      <c r="O128" s="1"/>
      <c r="P128" s="1"/>
      <c r="Q128" s="13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31"/>
      <c r="F129" s="131"/>
      <c r="G129" s="131"/>
      <c r="H129" s="1"/>
      <c r="I129" s="1"/>
      <c r="J129" s="1"/>
      <c r="K129" s="1"/>
      <c r="L129" s="1"/>
      <c r="M129" s="1"/>
      <c r="N129" s="1"/>
      <c r="O129" s="1"/>
      <c r="P129" s="1"/>
      <c r="Q129" s="13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31"/>
      <c r="F130" s="131"/>
      <c r="G130" s="131"/>
      <c r="H130" s="1"/>
      <c r="I130" s="1"/>
      <c r="J130" s="1"/>
      <c r="K130" s="1"/>
      <c r="L130" s="1"/>
      <c r="M130" s="1"/>
      <c r="N130" s="1"/>
      <c r="O130" s="1"/>
      <c r="P130" s="1"/>
      <c r="Q130" s="13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31"/>
      <c r="F131" s="131"/>
      <c r="G131" s="131"/>
      <c r="H131" s="1"/>
      <c r="I131" s="1"/>
      <c r="J131" s="1"/>
      <c r="K131" s="1"/>
      <c r="L131" s="1"/>
      <c r="M131" s="1"/>
      <c r="N131" s="1"/>
      <c r="O131" s="1"/>
      <c r="P131" s="1"/>
      <c r="Q131" s="13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31"/>
      <c r="F132" s="131"/>
      <c r="G132" s="131"/>
      <c r="H132" s="1"/>
      <c r="I132" s="1"/>
      <c r="J132" s="1"/>
      <c r="K132" s="1"/>
      <c r="L132" s="1"/>
      <c r="M132" s="1"/>
      <c r="N132" s="1"/>
      <c r="O132" s="1"/>
      <c r="P132" s="1"/>
      <c r="Q132" s="13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31"/>
      <c r="F133" s="131"/>
      <c r="G133" s="131"/>
      <c r="H133" s="1"/>
      <c r="I133" s="1"/>
      <c r="J133" s="1"/>
      <c r="K133" s="1"/>
      <c r="L133" s="1"/>
      <c r="M133" s="1"/>
      <c r="N133" s="1"/>
      <c r="O133" s="1"/>
      <c r="P133" s="1"/>
      <c r="Q133" s="13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31"/>
      <c r="F134" s="131"/>
      <c r="G134" s="131"/>
      <c r="H134" s="1"/>
      <c r="I134" s="1"/>
      <c r="J134" s="1"/>
      <c r="K134" s="1"/>
      <c r="L134" s="1"/>
      <c r="M134" s="1"/>
      <c r="N134" s="1"/>
      <c r="O134" s="1"/>
      <c r="P134" s="1"/>
      <c r="Q134" s="13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31"/>
      <c r="F135" s="131"/>
      <c r="G135" s="131"/>
      <c r="H135" s="1"/>
      <c r="I135" s="1"/>
      <c r="J135" s="1"/>
      <c r="K135" s="1"/>
      <c r="L135" s="1"/>
      <c r="M135" s="1"/>
      <c r="N135" s="1"/>
      <c r="O135" s="1"/>
      <c r="P135" s="1"/>
      <c r="Q135" s="13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31"/>
      <c r="F136" s="131"/>
      <c r="G136" s="131"/>
      <c r="H136" s="1"/>
      <c r="I136" s="1"/>
      <c r="J136" s="1"/>
      <c r="K136" s="1"/>
      <c r="L136" s="1"/>
      <c r="M136" s="1"/>
      <c r="N136" s="1"/>
      <c r="O136" s="1"/>
      <c r="P136" s="1"/>
      <c r="Q136" s="13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31"/>
      <c r="F137" s="131"/>
      <c r="G137" s="131"/>
      <c r="H137" s="1"/>
      <c r="I137" s="1"/>
      <c r="J137" s="1"/>
      <c r="K137" s="1"/>
      <c r="L137" s="1"/>
      <c r="M137" s="1"/>
      <c r="N137" s="1"/>
      <c r="O137" s="1"/>
      <c r="P137" s="1"/>
      <c r="Q137" s="13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31"/>
      <c r="F138" s="131"/>
      <c r="G138" s="131"/>
      <c r="H138" s="1"/>
      <c r="I138" s="1"/>
      <c r="J138" s="1"/>
      <c r="K138" s="1"/>
      <c r="L138" s="1"/>
      <c r="M138" s="1"/>
      <c r="N138" s="1"/>
      <c r="O138" s="1"/>
      <c r="P138" s="1"/>
      <c r="Q138" s="13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31"/>
      <c r="F139" s="131"/>
      <c r="G139" s="131"/>
      <c r="H139" s="1"/>
      <c r="I139" s="1"/>
      <c r="J139" s="1"/>
      <c r="K139" s="1"/>
      <c r="L139" s="1"/>
      <c r="M139" s="1"/>
      <c r="N139" s="1"/>
      <c r="O139" s="1"/>
      <c r="P139" s="1"/>
      <c r="Q139" s="13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31"/>
      <c r="F140" s="131"/>
      <c r="G140" s="131"/>
      <c r="H140" s="1"/>
      <c r="I140" s="1"/>
      <c r="J140" s="1"/>
      <c r="K140" s="1"/>
      <c r="L140" s="1"/>
      <c r="M140" s="1"/>
      <c r="N140" s="1"/>
      <c r="O140" s="1"/>
      <c r="P140" s="1"/>
      <c r="Q140" s="13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31"/>
      <c r="F141" s="131"/>
      <c r="G141" s="131"/>
      <c r="H141" s="1"/>
      <c r="I141" s="1"/>
      <c r="J141" s="1"/>
      <c r="K141" s="1"/>
      <c r="L141" s="1"/>
      <c r="M141" s="1"/>
      <c r="N141" s="1"/>
      <c r="O141" s="1"/>
      <c r="P141" s="1"/>
      <c r="Q141" s="13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31"/>
      <c r="F142" s="131"/>
      <c r="G142" s="131"/>
      <c r="H142" s="1"/>
      <c r="I142" s="1"/>
      <c r="J142" s="1"/>
      <c r="K142" s="1"/>
      <c r="L142" s="1"/>
      <c r="M142" s="1"/>
      <c r="N142" s="1"/>
      <c r="O142" s="1"/>
      <c r="P142" s="1"/>
      <c r="Q142" s="13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31"/>
      <c r="F143" s="131"/>
      <c r="G143" s="131"/>
      <c r="H143" s="1"/>
      <c r="I143" s="1"/>
      <c r="J143" s="1"/>
      <c r="K143" s="1"/>
      <c r="L143" s="1"/>
      <c r="M143" s="1"/>
      <c r="N143" s="1"/>
      <c r="O143" s="1"/>
      <c r="P143" s="1"/>
      <c r="Q143" s="13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31"/>
      <c r="F144" s="131"/>
      <c r="G144" s="131"/>
      <c r="H144" s="1"/>
      <c r="I144" s="1"/>
      <c r="J144" s="1"/>
      <c r="K144" s="1"/>
      <c r="L144" s="1"/>
      <c r="M144" s="1"/>
      <c r="N144" s="1"/>
      <c r="O144" s="1"/>
      <c r="P144" s="1"/>
      <c r="Q144" s="13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31"/>
      <c r="F145" s="131"/>
      <c r="G145" s="131"/>
      <c r="H145" s="1"/>
      <c r="I145" s="1"/>
      <c r="J145" s="1"/>
      <c r="K145" s="1"/>
      <c r="L145" s="1"/>
      <c r="M145" s="1"/>
      <c r="N145" s="1"/>
      <c r="O145" s="1"/>
      <c r="P145" s="1"/>
      <c r="Q145" s="13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31"/>
      <c r="F146" s="131"/>
      <c r="G146" s="131"/>
      <c r="H146" s="1"/>
      <c r="I146" s="1"/>
      <c r="J146" s="1"/>
      <c r="K146" s="1"/>
      <c r="L146" s="1"/>
      <c r="M146" s="1"/>
      <c r="N146" s="1"/>
      <c r="O146" s="1"/>
      <c r="P146" s="1"/>
      <c r="Q146" s="13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31"/>
      <c r="F147" s="131"/>
      <c r="G147" s="131"/>
      <c r="H147" s="1"/>
      <c r="I147" s="1"/>
      <c r="J147" s="1"/>
      <c r="K147" s="1"/>
      <c r="L147" s="1"/>
      <c r="M147" s="1"/>
      <c r="N147" s="1"/>
      <c r="O147" s="1"/>
      <c r="P147" s="1"/>
      <c r="Q147" s="13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31"/>
      <c r="F148" s="131"/>
      <c r="G148" s="131"/>
      <c r="H148" s="1"/>
      <c r="I148" s="1"/>
      <c r="J148" s="1"/>
      <c r="K148" s="1"/>
      <c r="L148" s="1"/>
      <c r="M148" s="1"/>
      <c r="N148" s="1"/>
      <c r="O148" s="1"/>
      <c r="P148" s="1"/>
      <c r="Q148" s="13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31"/>
      <c r="F149" s="131"/>
      <c r="G149" s="131"/>
      <c r="H149" s="1"/>
      <c r="I149" s="1"/>
      <c r="J149" s="1"/>
      <c r="K149" s="1"/>
      <c r="L149" s="1"/>
      <c r="M149" s="1"/>
      <c r="N149" s="1"/>
      <c r="O149" s="1"/>
      <c r="P149" s="1"/>
      <c r="Q149" s="13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31"/>
      <c r="F150" s="131"/>
      <c r="G150" s="131"/>
      <c r="H150" s="1"/>
      <c r="I150" s="1"/>
      <c r="J150" s="1"/>
      <c r="K150" s="1"/>
      <c r="L150" s="1"/>
      <c r="M150" s="1"/>
      <c r="N150" s="1"/>
      <c r="O150" s="1"/>
      <c r="P150" s="1"/>
      <c r="Q150" s="13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31"/>
      <c r="F151" s="131"/>
      <c r="G151" s="131"/>
      <c r="H151" s="1"/>
      <c r="I151" s="1"/>
      <c r="J151" s="1"/>
      <c r="K151" s="1"/>
      <c r="L151" s="1"/>
      <c r="M151" s="1"/>
      <c r="N151" s="1"/>
      <c r="O151" s="1"/>
      <c r="P151" s="1"/>
      <c r="Q151" s="13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31"/>
      <c r="F152" s="131"/>
      <c r="G152" s="131"/>
      <c r="H152" s="1"/>
      <c r="I152" s="1"/>
      <c r="J152" s="1"/>
      <c r="K152" s="1"/>
      <c r="L152" s="1"/>
      <c r="M152" s="1"/>
      <c r="N152" s="1"/>
      <c r="O152" s="1"/>
      <c r="P152" s="1"/>
      <c r="Q152" s="13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31"/>
      <c r="F153" s="131"/>
      <c r="G153" s="131"/>
      <c r="H153" s="1"/>
      <c r="I153" s="1"/>
      <c r="J153" s="1"/>
      <c r="K153" s="1"/>
      <c r="L153" s="1"/>
      <c r="M153" s="1"/>
      <c r="N153" s="1"/>
      <c r="O153" s="1"/>
      <c r="P153" s="1"/>
      <c r="Q153" s="13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31"/>
      <c r="F154" s="131"/>
      <c r="G154" s="131"/>
      <c r="H154" s="1"/>
      <c r="I154" s="1"/>
      <c r="J154" s="1"/>
      <c r="K154" s="1"/>
      <c r="L154" s="1"/>
      <c r="M154" s="1"/>
      <c r="N154" s="1"/>
      <c r="O154" s="1"/>
      <c r="P154" s="1"/>
      <c r="Q154" s="13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31"/>
      <c r="F155" s="131"/>
      <c r="G155" s="131"/>
      <c r="H155" s="1"/>
      <c r="I155" s="1"/>
      <c r="J155" s="1"/>
      <c r="K155" s="1"/>
      <c r="L155" s="1"/>
      <c r="M155" s="1"/>
      <c r="N155" s="1"/>
      <c r="O155" s="1"/>
      <c r="P155" s="1"/>
      <c r="Q155" s="13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31"/>
      <c r="F156" s="131"/>
      <c r="G156" s="131"/>
      <c r="H156" s="1"/>
      <c r="I156" s="1"/>
      <c r="J156" s="1"/>
      <c r="K156" s="1"/>
      <c r="L156" s="1"/>
      <c r="M156" s="1"/>
      <c r="N156" s="1"/>
      <c r="O156" s="1"/>
      <c r="P156" s="1"/>
      <c r="Q156" s="13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31"/>
      <c r="F157" s="131"/>
      <c r="G157" s="131"/>
      <c r="H157" s="1"/>
      <c r="I157" s="1"/>
      <c r="J157" s="1"/>
      <c r="K157" s="1"/>
      <c r="L157" s="1"/>
      <c r="M157" s="1"/>
      <c r="N157" s="1"/>
      <c r="O157" s="1"/>
      <c r="P157" s="1"/>
      <c r="Q157" s="13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31"/>
      <c r="F158" s="131"/>
      <c r="G158" s="131"/>
      <c r="H158" s="1"/>
      <c r="I158" s="1"/>
      <c r="J158" s="1"/>
      <c r="K158" s="1"/>
      <c r="L158" s="1"/>
      <c r="M158" s="1"/>
      <c r="N158" s="1"/>
      <c r="O158" s="1"/>
      <c r="P158" s="1"/>
      <c r="Q158" s="13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31"/>
      <c r="F159" s="131"/>
      <c r="G159" s="131"/>
      <c r="H159" s="1"/>
      <c r="I159" s="1"/>
      <c r="J159" s="1"/>
      <c r="K159" s="1"/>
      <c r="L159" s="1"/>
      <c r="M159" s="1"/>
      <c r="N159" s="1"/>
      <c r="O159" s="1"/>
      <c r="P159" s="1"/>
      <c r="Q159" s="13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31"/>
      <c r="F160" s="131"/>
      <c r="G160" s="131"/>
      <c r="H160" s="1"/>
      <c r="I160" s="1"/>
      <c r="J160" s="1"/>
      <c r="K160" s="1"/>
      <c r="L160" s="1"/>
      <c r="M160" s="1"/>
      <c r="N160" s="1"/>
      <c r="O160" s="1"/>
      <c r="P160" s="1"/>
      <c r="Q160" s="13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31"/>
      <c r="F161" s="131"/>
      <c r="G161" s="131"/>
      <c r="H161" s="1"/>
      <c r="I161" s="1"/>
      <c r="J161" s="1"/>
      <c r="K161" s="1"/>
      <c r="L161" s="1"/>
      <c r="M161" s="1"/>
      <c r="N161" s="1"/>
      <c r="O161" s="1"/>
      <c r="P161" s="1"/>
      <c r="Q161" s="13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31"/>
      <c r="F162" s="131"/>
      <c r="G162" s="131"/>
      <c r="H162" s="1"/>
      <c r="I162" s="1"/>
      <c r="J162" s="1"/>
      <c r="K162" s="1"/>
      <c r="L162" s="1"/>
      <c r="M162" s="1"/>
      <c r="N162" s="1"/>
      <c r="O162" s="1"/>
      <c r="P162" s="1"/>
      <c r="Q162" s="13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31"/>
      <c r="F163" s="131"/>
      <c r="G163" s="131"/>
      <c r="H163" s="1"/>
      <c r="I163" s="1"/>
      <c r="J163" s="1"/>
      <c r="K163" s="1"/>
      <c r="L163" s="1"/>
      <c r="M163" s="1"/>
      <c r="N163" s="1"/>
      <c r="O163" s="1"/>
      <c r="P163" s="1"/>
      <c r="Q163" s="13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31"/>
      <c r="F164" s="131"/>
      <c r="G164" s="131"/>
      <c r="H164" s="1"/>
      <c r="I164" s="1"/>
      <c r="J164" s="1"/>
      <c r="K164" s="1"/>
      <c r="L164" s="1"/>
      <c r="M164" s="1"/>
      <c r="N164" s="1"/>
      <c r="O164" s="1"/>
      <c r="P164" s="1"/>
      <c r="Q164" s="13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31"/>
      <c r="F165" s="131"/>
      <c r="G165" s="131"/>
      <c r="H165" s="1"/>
      <c r="I165" s="1"/>
      <c r="J165" s="1"/>
      <c r="K165" s="1"/>
      <c r="L165" s="1"/>
      <c r="M165" s="1"/>
      <c r="N165" s="1"/>
      <c r="O165" s="1"/>
      <c r="P165" s="1"/>
      <c r="Q165" s="13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31"/>
      <c r="F166" s="131"/>
      <c r="G166" s="131"/>
      <c r="H166" s="1"/>
      <c r="I166" s="1"/>
      <c r="J166" s="1"/>
      <c r="K166" s="1"/>
      <c r="L166" s="1"/>
      <c r="M166" s="1"/>
      <c r="N166" s="1"/>
      <c r="O166" s="1"/>
      <c r="P166" s="1"/>
      <c r="Q166" s="13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31"/>
      <c r="F167" s="131"/>
      <c r="G167" s="131"/>
      <c r="H167" s="1"/>
      <c r="I167" s="1"/>
      <c r="J167" s="1"/>
      <c r="K167" s="1"/>
      <c r="L167" s="1"/>
      <c r="M167" s="1"/>
      <c r="N167" s="1"/>
      <c r="O167" s="1"/>
      <c r="P167" s="1"/>
      <c r="Q167" s="13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31"/>
      <c r="F168" s="131"/>
      <c r="G168" s="131"/>
      <c r="H168" s="1"/>
      <c r="I168" s="1"/>
      <c r="J168" s="1"/>
      <c r="K168" s="1"/>
      <c r="L168" s="1"/>
      <c r="M168" s="1"/>
      <c r="N168" s="1"/>
      <c r="O168" s="1"/>
      <c r="P168" s="1"/>
      <c r="Q168" s="13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31"/>
      <c r="F169" s="131"/>
      <c r="G169" s="131"/>
      <c r="H169" s="1"/>
      <c r="I169" s="1"/>
      <c r="J169" s="1"/>
      <c r="K169" s="1"/>
      <c r="L169" s="1"/>
      <c r="M169" s="1"/>
      <c r="N169" s="1"/>
      <c r="O169" s="1"/>
      <c r="P169" s="1"/>
      <c r="Q169" s="13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31"/>
      <c r="F170" s="131"/>
      <c r="G170" s="131"/>
      <c r="H170" s="1"/>
      <c r="I170" s="1"/>
      <c r="J170" s="1"/>
      <c r="K170" s="1"/>
      <c r="L170" s="1"/>
      <c r="M170" s="1"/>
      <c r="N170" s="1"/>
      <c r="O170" s="1"/>
      <c r="P170" s="1"/>
      <c r="Q170" s="13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31"/>
      <c r="F171" s="131"/>
      <c r="G171" s="131"/>
      <c r="H171" s="1"/>
      <c r="I171" s="1"/>
      <c r="J171" s="1"/>
      <c r="K171" s="1"/>
      <c r="L171" s="1"/>
      <c r="M171" s="1"/>
      <c r="N171" s="1"/>
      <c r="O171" s="1"/>
      <c r="P171" s="1"/>
      <c r="Q171" s="13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31"/>
      <c r="F172" s="131"/>
      <c r="G172" s="131"/>
      <c r="H172" s="1"/>
      <c r="I172" s="1"/>
      <c r="J172" s="1"/>
      <c r="K172" s="1"/>
      <c r="L172" s="1"/>
      <c r="M172" s="1"/>
      <c r="N172" s="1"/>
      <c r="O172" s="1"/>
      <c r="P172" s="1"/>
      <c r="Q172" s="13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31"/>
      <c r="F173" s="131"/>
      <c r="G173" s="131"/>
      <c r="H173" s="1"/>
      <c r="I173" s="1"/>
      <c r="J173" s="1"/>
      <c r="K173" s="1"/>
      <c r="L173" s="1"/>
      <c r="M173" s="1"/>
      <c r="N173" s="1"/>
      <c r="O173" s="1"/>
      <c r="P173" s="1"/>
      <c r="Q173" s="13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31"/>
      <c r="F174" s="131"/>
      <c r="G174" s="131"/>
      <c r="H174" s="1"/>
      <c r="I174" s="1"/>
      <c r="J174" s="1"/>
      <c r="K174" s="1"/>
      <c r="L174" s="1"/>
      <c r="M174" s="1"/>
      <c r="N174" s="1"/>
      <c r="O174" s="1"/>
      <c r="P174" s="1"/>
      <c r="Q174" s="13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31"/>
      <c r="F175" s="131"/>
      <c r="G175" s="131"/>
      <c r="H175" s="1"/>
      <c r="I175" s="1"/>
      <c r="J175" s="1"/>
      <c r="K175" s="1"/>
      <c r="L175" s="1"/>
      <c r="M175" s="1"/>
      <c r="N175" s="1"/>
      <c r="O175" s="1"/>
      <c r="P175" s="1"/>
      <c r="Q175" s="13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31"/>
      <c r="F176" s="131"/>
      <c r="G176" s="131"/>
      <c r="H176" s="1"/>
      <c r="I176" s="1"/>
      <c r="J176" s="1"/>
      <c r="K176" s="1"/>
      <c r="L176" s="1"/>
      <c r="M176" s="1"/>
      <c r="N176" s="1"/>
      <c r="O176" s="1"/>
      <c r="P176" s="1"/>
      <c r="Q176" s="13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31"/>
      <c r="F177" s="131"/>
      <c r="G177" s="131"/>
      <c r="H177" s="1"/>
      <c r="I177" s="1"/>
      <c r="J177" s="1"/>
      <c r="K177" s="1"/>
      <c r="L177" s="1"/>
      <c r="M177" s="1"/>
      <c r="N177" s="1"/>
      <c r="O177" s="1"/>
      <c r="P177" s="1"/>
      <c r="Q177" s="13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31"/>
      <c r="F178" s="131"/>
      <c r="G178" s="131"/>
      <c r="H178" s="1"/>
      <c r="I178" s="1"/>
      <c r="J178" s="1"/>
      <c r="K178" s="1"/>
      <c r="L178" s="1"/>
      <c r="M178" s="1"/>
      <c r="N178" s="1"/>
      <c r="O178" s="1"/>
      <c r="P178" s="1"/>
      <c r="Q178" s="13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31"/>
      <c r="F179" s="131"/>
      <c r="G179" s="131"/>
      <c r="H179" s="1"/>
      <c r="I179" s="1"/>
      <c r="J179" s="1"/>
      <c r="K179" s="1"/>
      <c r="L179" s="1"/>
      <c r="M179" s="1"/>
      <c r="N179" s="1"/>
      <c r="O179" s="1"/>
      <c r="P179" s="1"/>
      <c r="Q179" s="13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31"/>
      <c r="F180" s="131"/>
      <c r="G180" s="131"/>
      <c r="H180" s="1"/>
      <c r="I180" s="1"/>
      <c r="J180" s="1"/>
      <c r="K180" s="1"/>
      <c r="L180" s="1"/>
      <c r="M180" s="1"/>
      <c r="N180" s="1"/>
      <c r="O180" s="1"/>
      <c r="P180" s="1"/>
      <c r="Q180" s="13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31"/>
      <c r="F181" s="131"/>
      <c r="G181" s="131"/>
      <c r="H181" s="1"/>
      <c r="I181" s="1"/>
      <c r="J181" s="1"/>
      <c r="K181" s="1"/>
      <c r="L181" s="1"/>
      <c r="M181" s="1"/>
      <c r="N181" s="1"/>
      <c r="O181" s="1"/>
      <c r="P181" s="1"/>
      <c r="Q181" s="13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31"/>
      <c r="F182" s="131"/>
      <c r="G182" s="131"/>
      <c r="H182" s="1"/>
      <c r="I182" s="1"/>
      <c r="J182" s="1"/>
      <c r="K182" s="1"/>
      <c r="L182" s="1"/>
      <c r="M182" s="1"/>
      <c r="N182" s="1"/>
      <c r="O182" s="1"/>
      <c r="P182" s="1"/>
      <c r="Q182" s="13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31"/>
      <c r="F183" s="131"/>
      <c r="G183" s="131"/>
      <c r="H183" s="1"/>
      <c r="I183" s="1"/>
      <c r="J183" s="1"/>
      <c r="K183" s="1"/>
      <c r="L183" s="1"/>
      <c r="M183" s="1"/>
      <c r="N183" s="1"/>
      <c r="O183" s="1"/>
      <c r="P183" s="1"/>
      <c r="Q183" s="13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31"/>
      <c r="F184" s="131"/>
      <c r="G184" s="131"/>
      <c r="H184" s="1"/>
      <c r="I184" s="1"/>
      <c r="J184" s="1"/>
      <c r="K184" s="1"/>
      <c r="L184" s="1"/>
      <c r="M184" s="1"/>
      <c r="N184" s="1"/>
      <c r="O184" s="1"/>
      <c r="P184" s="1"/>
      <c r="Q184" s="13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31"/>
      <c r="F185" s="131"/>
      <c r="G185" s="131"/>
      <c r="H185" s="1"/>
      <c r="I185" s="1"/>
      <c r="J185" s="1"/>
      <c r="K185" s="1"/>
      <c r="L185" s="1"/>
      <c r="M185" s="1"/>
      <c r="N185" s="1"/>
      <c r="O185" s="1"/>
      <c r="P185" s="1"/>
      <c r="Q185" s="13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31"/>
      <c r="F186" s="131"/>
      <c r="G186" s="131"/>
      <c r="H186" s="1"/>
      <c r="I186" s="1"/>
      <c r="J186" s="1"/>
      <c r="K186" s="1"/>
      <c r="L186" s="1"/>
      <c r="M186" s="1"/>
      <c r="N186" s="1"/>
      <c r="O186" s="1"/>
      <c r="P186" s="1"/>
      <c r="Q186" s="13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31"/>
      <c r="F187" s="131"/>
      <c r="G187" s="131"/>
      <c r="H187" s="1"/>
      <c r="I187" s="1"/>
      <c r="J187" s="1"/>
      <c r="K187" s="1"/>
      <c r="L187" s="1"/>
      <c r="M187" s="1"/>
      <c r="N187" s="1"/>
      <c r="O187" s="1"/>
      <c r="P187" s="1"/>
      <c r="Q187" s="13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31"/>
      <c r="F188" s="131"/>
      <c r="G188" s="131"/>
      <c r="H188" s="1"/>
      <c r="I188" s="1"/>
      <c r="J188" s="1"/>
      <c r="K188" s="1"/>
      <c r="L188" s="1"/>
      <c r="M188" s="1"/>
      <c r="N188" s="1"/>
      <c r="O188" s="1"/>
      <c r="P188" s="1"/>
      <c r="Q188" s="13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31"/>
      <c r="F189" s="131"/>
      <c r="G189" s="131"/>
      <c r="H189" s="1"/>
      <c r="I189" s="1"/>
      <c r="J189" s="1"/>
      <c r="K189" s="1"/>
      <c r="L189" s="1"/>
      <c r="M189" s="1"/>
      <c r="N189" s="1"/>
      <c r="O189" s="1"/>
      <c r="P189" s="1"/>
      <c r="Q189" s="13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31"/>
      <c r="F190" s="131"/>
      <c r="G190" s="131"/>
      <c r="H190" s="1"/>
      <c r="I190" s="1"/>
      <c r="J190" s="1"/>
      <c r="K190" s="1"/>
      <c r="L190" s="1"/>
      <c r="M190" s="1"/>
      <c r="N190" s="1"/>
      <c r="O190" s="1"/>
      <c r="P190" s="1"/>
      <c r="Q190" s="13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31"/>
      <c r="F191" s="131"/>
      <c r="G191" s="131"/>
      <c r="H191" s="1"/>
      <c r="I191" s="1"/>
      <c r="J191" s="1"/>
      <c r="K191" s="1"/>
      <c r="L191" s="1"/>
      <c r="M191" s="1"/>
      <c r="N191" s="1"/>
      <c r="O191" s="1"/>
      <c r="P191" s="1"/>
      <c r="Q191" s="13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31"/>
      <c r="F192" s="131"/>
      <c r="G192" s="131"/>
      <c r="H192" s="1"/>
      <c r="I192" s="1"/>
      <c r="J192" s="1"/>
      <c r="K192" s="1"/>
      <c r="L192" s="1"/>
      <c r="M192" s="1"/>
      <c r="N192" s="1"/>
      <c r="O192" s="1"/>
      <c r="P192" s="1"/>
      <c r="Q192" s="13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31"/>
      <c r="F193" s="131"/>
      <c r="G193" s="131"/>
      <c r="H193" s="1"/>
      <c r="I193" s="1"/>
      <c r="J193" s="1"/>
      <c r="K193" s="1"/>
      <c r="L193" s="1"/>
      <c r="M193" s="1"/>
      <c r="N193" s="1"/>
      <c r="O193" s="1"/>
      <c r="P193" s="1"/>
      <c r="Q193" s="13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31"/>
      <c r="F194" s="131"/>
      <c r="G194" s="131"/>
      <c r="H194" s="1"/>
      <c r="I194" s="1"/>
      <c r="J194" s="1"/>
      <c r="K194" s="1"/>
      <c r="L194" s="1"/>
      <c r="M194" s="1"/>
      <c r="N194" s="1"/>
      <c r="O194" s="1"/>
      <c r="P194" s="1"/>
      <c r="Q194" s="13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31"/>
      <c r="F195" s="131"/>
      <c r="G195" s="131"/>
      <c r="H195" s="1"/>
      <c r="I195" s="1"/>
      <c r="J195" s="1"/>
      <c r="K195" s="1"/>
      <c r="L195" s="1"/>
      <c r="M195" s="1"/>
      <c r="N195" s="1"/>
      <c r="O195" s="1"/>
      <c r="P195" s="1"/>
      <c r="Q195" s="13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31"/>
      <c r="F196" s="131"/>
      <c r="G196" s="131"/>
      <c r="H196" s="1"/>
      <c r="I196" s="1"/>
      <c r="J196" s="1"/>
      <c r="K196" s="1"/>
      <c r="L196" s="1"/>
      <c r="M196" s="1"/>
      <c r="N196" s="1"/>
      <c r="O196" s="1"/>
      <c r="P196" s="1"/>
      <c r="Q196" s="13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31"/>
      <c r="F197" s="131"/>
      <c r="G197" s="131"/>
      <c r="H197" s="1"/>
      <c r="I197" s="1"/>
      <c r="J197" s="1"/>
      <c r="K197" s="1"/>
      <c r="L197" s="1"/>
      <c r="M197" s="1"/>
      <c r="N197" s="1"/>
      <c r="O197" s="1"/>
      <c r="P197" s="1"/>
      <c r="Q197" s="13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31"/>
      <c r="F198" s="131"/>
      <c r="G198" s="131"/>
      <c r="H198" s="1"/>
      <c r="I198" s="1"/>
      <c r="J198" s="1"/>
      <c r="K198" s="1"/>
      <c r="L198" s="1"/>
      <c r="M198" s="1"/>
      <c r="N198" s="1"/>
      <c r="O198" s="1"/>
      <c r="P198" s="1"/>
      <c r="Q198" s="13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31"/>
      <c r="F199" s="131"/>
      <c r="G199" s="131"/>
      <c r="H199" s="1"/>
      <c r="I199" s="1"/>
      <c r="J199" s="1"/>
      <c r="K199" s="1"/>
      <c r="L199" s="1"/>
      <c r="M199" s="1"/>
      <c r="N199" s="1"/>
      <c r="O199" s="1"/>
      <c r="P199" s="1"/>
      <c r="Q199" s="13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31"/>
      <c r="F200" s="131"/>
      <c r="G200" s="131"/>
      <c r="H200" s="1"/>
      <c r="I200" s="1"/>
      <c r="J200" s="1"/>
      <c r="K200" s="1"/>
      <c r="L200" s="1"/>
      <c r="M200" s="1"/>
      <c r="N200" s="1"/>
      <c r="O200" s="1"/>
      <c r="P200" s="1"/>
      <c r="Q200" s="13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31"/>
      <c r="F201" s="131"/>
      <c r="G201" s="131"/>
      <c r="H201" s="1"/>
      <c r="I201" s="1"/>
      <c r="J201" s="1"/>
      <c r="K201" s="1"/>
      <c r="L201" s="1"/>
      <c r="M201" s="1"/>
      <c r="N201" s="1"/>
      <c r="O201" s="1"/>
      <c r="P201" s="1"/>
      <c r="Q201" s="13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31"/>
      <c r="F202" s="131"/>
      <c r="G202" s="131"/>
      <c r="H202" s="1"/>
      <c r="I202" s="1"/>
      <c r="J202" s="1"/>
      <c r="K202" s="1"/>
      <c r="L202" s="1"/>
      <c r="M202" s="1"/>
      <c r="N202" s="1"/>
      <c r="O202" s="1"/>
      <c r="P202" s="1"/>
      <c r="Q202" s="13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31"/>
      <c r="F203" s="131"/>
      <c r="G203" s="131"/>
      <c r="H203" s="1"/>
      <c r="I203" s="1"/>
      <c r="J203" s="1"/>
      <c r="K203" s="1"/>
      <c r="L203" s="1"/>
      <c r="M203" s="1"/>
      <c r="N203" s="1"/>
      <c r="O203" s="1"/>
      <c r="P203" s="1"/>
      <c r="Q203" s="13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31"/>
      <c r="F204" s="131"/>
      <c r="G204" s="131"/>
      <c r="H204" s="1"/>
      <c r="I204" s="1"/>
      <c r="J204" s="1"/>
      <c r="K204" s="1"/>
      <c r="L204" s="1"/>
      <c r="M204" s="1"/>
      <c r="N204" s="1"/>
      <c r="O204" s="1"/>
      <c r="P204" s="1"/>
      <c r="Q204" s="13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31"/>
      <c r="F205" s="131"/>
      <c r="G205" s="131"/>
      <c r="H205" s="1"/>
      <c r="I205" s="1"/>
      <c r="J205" s="1"/>
      <c r="K205" s="1"/>
      <c r="L205" s="1"/>
      <c r="M205" s="1"/>
      <c r="N205" s="1"/>
      <c r="O205" s="1"/>
      <c r="P205" s="1"/>
      <c r="Q205" s="13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31"/>
      <c r="F206" s="131"/>
      <c r="G206" s="131"/>
      <c r="H206" s="1"/>
      <c r="I206" s="1"/>
      <c r="J206" s="1"/>
      <c r="K206" s="1"/>
      <c r="L206" s="1"/>
      <c r="M206" s="1"/>
      <c r="N206" s="1"/>
      <c r="O206" s="1"/>
      <c r="P206" s="1"/>
      <c r="Q206" s="13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31"/>
      <c r="F207" s="131"/>
      <c r="G207" s="131"/>
      <c r="H207" s="1"/>
      <c r="I207" s="1"/>
      <c r="J207" s="1"/>
      <c r="K207" s="1"/>
      <c r="L207" s="1"/>
      <c r="M207" s="1"/>
      <c r="N207" s="1"/>
      <c r="O207" s="1"/>
      <c r="P207" s="1"/>
      <c r="Q207" s="13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31"/>
      <c r="F208" s="131"/>
      <c r="G208" s="131"/>
      <c r="H208" s="1"/>
      <c r="I208" s="1"/>
      <c r="J208" s="1"/>
      <c r="K208" s="1"/>
      <c r="L208" s="1"/>
      <c r="M208" s="1"/>
      <c r="N208" s="1"/>
      <c r="O208" s="1"/>
      <c r="P208" s="1"/>
      <c r="Q208" s="13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31"/>
      <c r="F209" s="131"/>
      <c r="G209" s="131"/>
      <c r="H209" s="1"/>
      <c r="I209" s="1"/>
      <c r="J209" s="1"/>
      <c r="K209" s="1"/>
      <c r="L209" s="1"/>
      <c r="M209" s="1"/>
      <c r="N209" s="1"/>
      <c r="O209" s="1"/>
      <c r="P209" s="1"/>
      <c r="Q209" s="13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31"/>
      <c r="F210" s="131"/>
      <c r="G210" s="131"/>
      <c r="H210" s="1"/>
      <c r="I210" s="1"/>
      <c r="J210" s="1"/>
      <c r="K210" s="1"/>
      <c r="L210" s="1"/>
      <c r="M210" s="1"/>
      <c r="N210" s="1"/>
      <c r="O210" s="1"/>
      <c r="P210" s="1"/>
      <c r="Q210" s="13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31"/>
      <c r="F211" s="131"/>
      <c r="G211" s="131"/>
      <c r="H211" s="1"/>
      <c r="I211" s="1"/>
      <c r="J211" s="1"/>
      <c r="K211" s="1"/>
      <c r="L211" s="1"/>
      <c r="M211" s="1"/>
      <c r="N211" s="1"/>
      <c r="O211" s="1"/>
      <c r="P211" s="1"/>
      <c r="Q211" s="13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31"/>
      <c r="F212" s="131"/>
      <c r="G212" s="131"/>
      <c r="H212" s="1"/>
      <c r="I212" s="1"/>
      <c r="J212" s="1"/>
      <c r="K212" s="1"/>
      <c r="L212" s="1"/>
      <c r="M212" s="1"/>
      <c r="N212" s="1"/>
      <c r="O212" s="1"/>
      <c r="P212" s="1"/>
      <c r="Q212" s="13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31"/>
      <c r="F213" s="131"/>
      <c r="G213" s="131"/>
      <c r="H213" s="1"/>
      <c r="I213" s="1"/>
      <c r="J213" s="1"/>
      <c r="K213" s="1"/>
      <c r="L213" s="1"/>
      <c r="M213" s="1"/>
      <c r="N213" s="1"/>
      <c r="O213" s="1"/>
      <c r="P213" s="1"/>
      <c r="Q213" s="13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31"/>
      <c r="F214" s="131"/>
      <c r="G214" s="131"/>
      <c r="H214" s="1"/>
      <c r="I214" s="1"/>
      <c r="J214" s="1"/>
      <c r="K214" s="1"/>
      <c r="L214" s="1"/>
      <c r="M214" s="1"/>
      <c r="N214" s="1"/>
      <c r="O214" s="1"/>
      <c r="P214" s="1"/>
      <c r="Q214" s="13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31"/>
      <c r="F215" s="131"/>
      <c r="G215" s="131"/>
      <c r="H215" s="1"/>
      <c r="I215" s="1"/>
      <c r="J215" s="1"/>
      <c r="K215" s="1"/>
      <c r="L215" s="1"/>
      <c r="M215" s="1"/>
      <c r="N215" s="1"/>
      <c r="O215" s="1"/>
      <c r="P215" s="1"/>
      <c r="Q215" s="13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31"/>
      <c r="F216" s="131"/>
      <c r="G216" s="131"/>
      <c r="H216" s="1"/>
      <c r="I216" s="1"/>
      <c r="J216" s="1"/>
      <c r="K216" s="1"/>
      <c r="L216" s="1"/>
      <c r="M216" s="1"/>
      <c r="N216" s="1"/>
      <c r="O216" s="1"/>
      <c r="P216" s="1"/>
      <c r="Q216" s="13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31"/>
      <c r="F217" s="131"/>
      <c r="G217" s="131"/>
      <c r="H217" s="1"/>
      <c r="I217" s="1"/>
      <c r="J217" s="1"/>
      <c r="K217" s="1"/>
      <c r="L217" s="1"/>
      <c r="M217" s="1"/>
      <c r="N217" s="1"/>
      <c r="O217" s="1"/>
      <c r="P217" s="1"/>
      <c r="Q217" s="13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31"/>
      <c r="F218" s="131"/>
      <c r="G218" s="131"/>
      <c r="H218" s="1"/>
      <c r="I218" s="1"/>
      <c r="J218" s="1"/>
      <c r="K218" s="1"/>
      <c r="L218" s="1"/>
      <c r="M218" s="1"/>
      <c r="N218" s="1"/>
      <c r="O218" s="1"/>
      <c r="P218" s="1"/>
      <c r="Q218" s="13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31"/>
      <c r="F219" s="131"/>
      <c r="G219" s="131"/>
      <c r="H219" s="1"/>
      <c r="I219" s="1"/>
      <c r="J219" s="1"/>
      <c r="K219" s="1"/>
      <c r="L219" s="1"/>
      <c r="M219" s="1"/>
      <c r="N219" s="1"/>
      <c r="O219" s="1"/>
      <c r="P219" s="1"/>
      <c r="Q219" s="13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31"/>
      <c r="F220" s="131"/>
      <c r="G220" s="131"/>
      <c r="H220" s="1"/>
      <c r="I220" s="1"/>
      <c r="J220" s="1"/>
      <c r="K220" s="1"/>
      <c r="L220" s="1"/>
      <c r="M220" s="1"/>
      <c r="N220" s="1"/>
      <c r="O220" s="1"/>
      <c r="P220" s="1"/>
      <c r="Q220" s="13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31"/>
      <c r="F221" s="131"/>
      <c r="G221" s="131"/>
      <c r="H221" s="1"/>
      <c r="I221" s="1"/>
      <c r="J221" s="1"/>
      <c r="K221" s="1"/>
      <c r="L221" s="1"/>
      <c r="M221" s="1"/>
      <c r="N221" s="1"/>
      <c r="O221" s="1"/>
      <c r="P221" s="1"/>
      <c r="Q221" s="13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31"/>
      <c r="F222" s="131"/>
      <c r="G222" s="131"/>
      <c r="H222" s="1"/>
      <c r="I222" s="1"/>
      <c r="J222" s="1"/>
      <c r="K222" s="1"/>
      <c r="L222" s="1"/>
      <c r="M222" s="1"/>
      <c r="N222" s="1"/>
      <c r="O222" s="1"/>
      <c r="P222" s="1"/>
      <c r="Q222" s="13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31"/>
      <c r="F223" s="131"/>
      <c r="G223" s="131"/>
      <c r="H223" s="1"/>
      <c r="I223" s="1"/>
      <c r="J223" s="1"/>
      <c r="K223" s="1"/>
      <c r="L223" s="1"/>
      <c r="M223" s="1"/>
      <c r="N223" s="1"/>
      <c r="O223" s="1"/>
      <c r="P223" s="1"/>
      <c r="Q223" s="13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31"/>
      <c r="F224" s="131"/>
      <c r="G224" s="131"/>
      <c r="H224" s="1"/>
      <c r="I224" s="1"/>
      <c r="J224" s="1"/>
      <c r="K224" s="1"/>
      <c r="L224" s="1"/>
      <c r="M224" s="1"/>
      <c r="N224" s="1"/>
      <c r="O224" s="1"/>
      <c r="P224" s="1"/>
      <c r="Q224" s="13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31"/>
      <c r="F225" s="131"/>
      <c r="G225" s="131"/>
      <c r="H225" s="1"/>
      <c r="I225" s="1"/>
      <c r="J225" s="1"/>
      <c r="K225" s="1"/>
      <c r="L225" s="1"/>
      <c r="M225" s="1"/>
      <c r="N225" s="1"/>
      <c r="O225" s="1"/>
      <c r="P225" s="1"/>
      <c r="Q225" s="13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31"/>
      <c r="F226" s="131"/>
      <c r="G226" s="131"/>
      <c r="H226" s="1"/>
      <c r="I226" s="1"/>
      <c r="J226" s="1"/>
      <c r="K226" s="1"/>
      <c r="L226" s="1"/>
      <c r="M226" s="1"/>
      <c r="N226" s="1"/>
      <c r="O226" s="1"/>
      <c r="P226" s="1"/>
      <c r="Q226" s="13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31"/>
      <c r="F227" s="131"/>
      <c r="G227" s="131"/>
      <c r="H227" s="1"/>
      <c r="I227" s="1"/>
      <c r="J227" s="1"/>
      <c r="K227" s="1"/>
      <c r="L227" s="1"/>
      <c r="M227" s="1"/>
      <c r="N227" s="1"/>
      <c r="O227" s="1"/>
      <c r="P227" s="1"/>
      <c r="Q227" s="13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31"/>
      <c r="F228" s="131"/>
      <c r="G228" s="131"/>
      <c r="H228" s="1"/>
      <c r="I228" s="1"/>
      <c r="J228" s="1"/>
      <c r="K228" s="1"/>
      <c r="L228" s="1"/>
      <c r="M228" s="1"/>
      <c r="N228" s="1"/>
      <c r="O228" s="1"/>
      <c r="P228" s="1"/>
      <c r="Q228" s="13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31"/>
      <c r="F229" s="131"/>
      <c r="G229" s="131"/>
      <c r="H229" s="1"/>
      <c r="I229" s="1"/>
      <c r="J229" s="1"/>
      <c r="K229" s="1"/>
      <c r="L229" s="1"/>
      <c r="M229" s="1"/>
      <c r="N229" s="1"/>
      <c r="O229" s="1"/>
      <c r="P229" s="1"/>
      <c r="Q229" s="13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31"/>
      <c r="F230" s="131"/>
      <c r="G230" s="131"/>
      <c r="H230" s="1"/>
      <c r="I230" s="1"/>
      <c r="J230" s="1"/>
      <c r="K230" s="1"/>
      <c r="L230" s="1"/>
      <c r="M230" s="1"/>
      <c r="N230" s="1"/>
      <c r="O230" s="1"/>
      <c r="P230" s="1"/>
      <c r="Q230" s="13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31"/>
      <c r="F231" s="131"/>
      <c r="G231" s="131"/>
      <c r="H231" s="1"/>
      <c r="I231" s="1"/>
      <c r="J231" s="1"/>
      <c r="K231" s="1"/>
      <c r="L231" s="1"/>
      <c r="M231" s="1"/>
      <c r="N231" s="1"/>
      <c r="O231" s="1"/>
      <c r="P231" s="1"/>
      <c r="Q231" s="13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31"/>
      <c r="F232" s="131"/>
      <c r="G232" s="131"/>
      <c r="H232" s="1"/>
      <c r="I232" s="1"/>
      <c r="J232" s="1"/>
      <c r="K232" s="1"/>
      <c r="L232" s="1"/>
      <c r="M232" s="1"/>
      <c r="N232" s="1"/>
      <c r="O232" s="1"/>
      <c r="P232" s="1"/>
      <c r="Q232" s="13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31"/>
      <c r="F233" s="131"/>
      <c r="G233" s="131"/>
      <c r="H233" s="1"/>
      <c r="I233" s="1"/>
      <c r="J233" s="1"/>
      <c r="K233" s="1"/>
      <c r="L233" s="1"/>
      <c r="M233" s="1"/>
      <c r="N233" s="1"/>
      <c r="O233" s="1"/>
      <c r="P233" s="1"/>
      <c r="Q233" s="13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31"/>
      <c r="F234" s="131"/>
      <c r="G234" s="131"/>
      <c r="H234" s="1"/>
      <c r="I234" s="1"/>
      <c r="J234" s="1"/>
      <c r="K234" s="1"/>
      <c r="L234" s="1"/>
      <c r="M234" s="1"/>
      <c r="N234" s="1"/>
      <c r="O234" s="1"/>
      <c r="P234" s="1"/>
      <c r="Q234" s="13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31"/>
      <c r="F235" s="131"/>
      <c r="G235" s="131"/>
      <c r="H235" s="1"/>
      <c r="I235" s="1"/>
      <c r="J235" s="1"/>
      <c r="K235" s="1"/>
      <c r="L235" s="1"/>
      <c r="M235" s="1"/>
      <c r="N235" s="1"/>
      <c r="O235" s="1"/>
      <c r="P235" s="1"/>
      <c r="Q235" s="13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31"/>
      <c r="F236" s="131"/>
      <c r="G236" s="131"/>
      <c r="H236" s="1"/>
      <c r="I236" s="1"/>
      <c r="J236" s="1"/>
      <c r="K236" s="1"/>
      <c r="L236" s="1"/>
      <c r="M236" s="1"/>
      <c r="N236" s="1"/>
      <c r="O236" s="1"/>
      <c r="P236" s="1"/>
      <c r="Q236" s="13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31"/>
      <c r="F237" s="131"/>
      <c r="G237" s="131"/>
      <c r="H237" s="1"/>
      <c r="I237" s="1"/>
      <c r="J237" s="1"/>
      <c r="K237" s="1"/>
      <c r="L237" s="1"/>
      <c r="M237" s="1"/>
      <c r="N237" s="1"/>
      <c r="O237" s="1"/>
      <c r="P237" s="1"/>
      <c r="Q237" s="13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31"/>
      <c r="F238" s="131"/>
      <c r="G238" s="131"/>
      <c r="H238" s="1"/>
      <c r="I238" s="1"/>
      <c r="J238" s="1"/>
      <c r="K238" s="1"/>
      <c r="L238" s="1"/>
      <c r="M238" s="1"/>
      <c r="N238" s="1"/>
      <c r="O238" s="1"/>
      <c r="P238" s="1"/>
      <c r="Q238" s="13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31"/>
      <c r="F239" s="131"/>
      <c r="G239" s="131"/>
      <c r="H239" s="1"/>
      <c r="I239" s="1"/>
      <c r="J239" s="1"/>
      <c r="K239" s="1"/>
      <c r="L239" s="1"/>
      <c r="M239" s="1"/>
      <c r="N239" s="1"/>
      <c r="O239" s="1"/>
      <c r="P239" s="1"/>
      <c r="Q239" s="13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31"/>
      <c r="F240" s="131"/>
      <c r="G240" s="131"/>
      <c r="H240" s="1"/>
      <c r="I240" s="1"/>
      <c r="J240" s="1"/>
      <c r="K240" s="1"/>
      <c r="L240" s="1"/>
      <c r="M240" s="1"/>
      <c r="N240" s="1"/>
      <c r="O240" s="1"/>
      <c r="P240" s="1"/>
      <c r="Q240" s="13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31"/>
      <c r="F241" s="131"/>
      <c r="G241" s="131"/>
      <c r="H241" s="1"/>
      <c r="I241" s="1"/>
      <c r="J241" s="1"/>
      <c r="K241" s="1"/>
      <c r="L241" s="1"/>
      <c r="M241" s="1"/>
      <c r="N241" s="1"/>
      <c r="O241" s="1"/>
      <c r="P241" s="1"/>
      <c r="Q241" s="13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31"/>
      <c r="F242" s="131"/>
      <c r="G242" s="131"/>
      <c r="H242" s="1"/>
      <c r="I242" s="1"/>
      <c r="J242" s="1"/>
      <c r="K242" s="1"/>
      <c r="L242" s="1"/>
      <c r="M242" s="1"/>
      <c r="N242" s="1"/>
      <c r="O242" s="1"/>
      <c r="P242" s="1"/>
      <c r="Q242" s="13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31"/>
      <c r="F243" s="131"/>
      <c r="G243" s="131"/>
      <c r="H243" s="1"/>
      <c r="I243" s="1"/>
      <c r="J243" s="1"/>
      <c r="K243" s="1"/>
      <c r="L243" s="1"/>
      <c r="M243" s="1"/>
      <c r="N243" s="1"/>
      <c r="O243" s="1"/>
      <c r="P243" s="1"/>
      <c r="Q243" s="13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31"/>
      <c r="F244" s="131"/>
      <c r="G244" s="131"/>
      <c r="H244" s="1"/>
      <c r="I244" s="1"/>
      <c r="J244" s="1"/>
      <c r="K244" s="1"/>
      <c r="L244" s="1"/>
      <c r="M244" s="1"/>
      <c r="N244" s="1"/>
      <c r="O244" s="1"/>
      <c r="P244" s="1"/>
      <c r="Q244" s="13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31"/>
      <c r="F245" s="131"/>
      <c r="G245" s="131"/>
      <c r="H245" s="1"/>
      <c r="I245" s="1"/>
      <c r="J245" s="1"/>
      <c r="K245" s="1"/>
      <c r="L245" s="1"/>
      <c r="M245" s="1"/>
      <c r="N245" s="1"/>
      <c r="O245" s="1"/>
      <c r="P245" s="1"/>
      <c r="Q245" s="13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31"/>
      <c r="F246" s="131"/>
      <c r="G246" s="131"/>
      <c r="H246" s="1"/>
      <c r="I246" s="1"/>
      <c r="J246" s="1"/>
      <c r="K246" s="1"/>
      <c r="L246" s="1"/>
      <c r="M246" s="1"/>
      <c r="N246" s="1"/>
      <c r="O246" s="1"/>
      <c r="P246" s="1"/>
      <c r="Q246" s="13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31"/>
      <c r="F247" s="131"/>
      <c r="G247" s="131"/>
      <c r="H247" s="1"/>
      <c r="I247" s="1"/>
      <c r="J247" s="1"/>
      <c r="K247" s="1"/>
      <c r="L247" s="1"/>
      <c r="M247" s="1"/>
      <c r="N247" s="1"/>
      <c r="O247" s="1"/>
      <c r="P247" s="1"/>
      <c r="Q247" s="13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31"/>
      <c r="F248" s="131"/>
      <c r="G248" s="131"/>
      <c r="H248" s="1"/>
      <c r="I248" s="1"/>
      <c r="J248" s="1"/>
      <c r="K248" s="1"/>
      <c r="L248" s="1"/>
      <c r="M248" s="1"/>
      <c r="N248" s="1"/>
      <c r="O248" s="1"/>
      <c r="P248" s="1"/>
      <c r="Q248" s="13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31"/>
      <c r="F249" s="131"/>
      <c r="G249" s="131"/>
      <c r="H249" s="1"/>
      <c r="I249" s="1"/>
      <c r="J249" s="1"/>
      <c r="K249" s="1"/>
      <c r="L249" s="1"/>
      <c r="M249" s="1"/>
      <c r="N249" s="1"/>
      <c r="O249" s="1"/>
      <c r="P249" s="1"/>
      <c r="Q249" s="13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31"/>
      <c r="F250" s="131"/>
      <c r="G250" s="131"/>
      <c r="H250" s="1"/>
      <c r="I250" s="1"/>
      <c r="J250" s="1"/>
      <c r="K250" s="1"/>
      <c r="L250" s="1"/>
      <c r="M250" s="1"/>
      <c r="N250" s="1"/>
      <c r="O250" s="1"/>
      <c r="P250" s="1"/>
      <c r="Q250" s="13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31"/>
      <c r="F251" s="131"/>
      <c r="G251" s="131"/>
      <c r="H251" s="1"/>
      <c r="I251" s="1"/>
      <c r="J251" s="1"/>
      <c r="K251" s="1"/>
      <c r="L251" s="1"/>
      <c r="M251" s="1"/>
      <c r="N251" s="1"/>
      <c r="O251" s="1"/>
      <c r="P251" s="1"/>
      <c r="Q251" s="13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31"/>
      <c r="F252" s="131"/>
      <c r="G252" s="131"/>
      <c r="H252" s="1"/>
      <c r="I252" s="1"/>
      <c r="J252" s="1"/>
      <c r="K252" s="1"/>
      <c r="L252" s="1"/>
      <c r="M252" s="1"/>
      <c r="N252" s="1"/>
      <c r="O252" s="1"/>
      <c r="P252" s="1"/>
      <c r="Q252" s="13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31"/>
      <c r="F253" s="131"/>
      <c r="G253" s="131"/>
      <c r="H253" s="1"/>
      <c r="I253" s="1"/>
      <c r="J253" s="1"/>
      <c r="K253" s="1"/>
      <c r="L253" s="1"/>
      <c r="M253" s="1"/>
      <c r="N253" s="1"/>
      <c r="O253" s="1"/>
      <c r="P253" s="1"/>
      <c r="Q253" s="13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31"/>
      <c r="F254" s="131"/>
      <c r="G254" s="131"/>
      <c r="H254" s="1"/>
      <c r="I254" s="1"/>
      <c r="J254" s="1"/>
      <c r="K254" s="1"/>
      <c r="L254" s="1"/>
      <c r="M254" s="1"/>
      <c r="N254" s="1"/>
      <c r="O254" s="1"/>
      <c r="P254" s="1"/>
      <c r="Q254" s="13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31"/>
      <c r="F255" s="131"/>
      <c r="G255" s="131"/>
      <c r="H255" s="1"/>
      <c r="I255" s="1"/>
      <c r="J255" s="1"/>
      <c r="K255" s="1"/>
      <c r="L255" s="1"/>
      <c r="M255" s="1"/>
      <c r="N255" s="1"/>
      <c r="O255" s="1"/>
      <c r="P255" s="1"/>
      <c r="Q255" s="13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31"/>
      <c r="F256" s="131"/>
      <c r="G256" s="131"/>
      <c r="H256" s="1"/>
      <c r="I256" s="1"/>
      <c r="J256" s="1"/>
      <c r="K256" s="1"/>
      <c r="L256" s="1"/>
      <c r="M256" s="1"/>
      <c r="N256" s="1"/>
      <c r="O256" s="1"/>
      <c r="P256" s="1"/>
      <c r="Q256" s="13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31"/>
      <c r="F257" s="131"/>
      <c r="G257" s="131"/>
      <c r="H257" s="1"/>
      <c r="I257" s="1"/>
      <c r="J257" s="1"/>
      <c r="K257" s="1"/>
      <c r="L257" s="1"/>
      <c r="M257" s="1"/>
      <c r="N257" s="1"/>
      <c r="O257" s="1"/>
      <c r="P257" s="1"/>
      <c r="Q257" s="13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31"/>
      <c r="F258" s="131"/>
      <c r="G258" s="131"/>
      <c r="H258" s="1"/>
      <c r="I258" s="1"/>
      <c r="J258" s="1"/>
      <c r="K258" s="1"/>
      <c r="L258" s="1"/>
      <c r="M258" s="1"/>
      <c r="N258" s="1"/>
      <c r="O258" s="1"/>
      <c r="P258" s="1"/>
      <c r="Q258" s="13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31"/>
      <c r="F259" s="131"/>
      <c r="G259" s="131"/>
      <c r="H259" s="1"/>
      <c r="I259" s="1"/>
      <c r="J259" s="1"/>
      <c r="K259" s="1"/>
      <c r="L259" s="1"/>
      <c r="M259" s="1"/>
      <c r="N259" s="1"/>
      <c r="O259" s="1"/>
      <c r="P259" s="1"/>
      <c r="Q259" s="13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31"/>
      <c r="F260" s="131"/>
      <c r="G260" s="131"/>
      <c r="H260" s="1"/>
      <c r="I260" s="1"/>
      <c r="J260" s="1"/>
      <c r="K260" s="1"/>
      <c r="L260" s="1"/>
      <c r="M260" s="1"/>
      <c r="N260" s="1"/>
      <c r="O260" s="1"/>
      <c r="P260" s="1"/>
      <c r="Q260" s="13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31"/>
      <c r="F261" s="131"/>
      <c r="G261" s="131"/>
      <c r="H261" s="1"/>
      <c r="I261" s="1"/>
      <c r="J261" s="1"/>
      <c r="K261" s="1"/>
      <c r="L261" s="1"/>
      <c r="M261" s="1"/>
      <c r="N261" s="1"/>
      <c r="O261" s="1"/>
      <c r="P261" s="1"/>
      <c r="Q261" s="13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31"/>
      <c r="F262" s="131"/>
      <c r="G262" s="131"/>
      <c r="H262" s="1"/>
      <c r="I262" s="1"/>
      <c r="J262" s="1"/>
      <c r="K262" s="1"/>
      <c r="L262" s="1"/>
      <c r="M262" s="1"/>
      <c r="N262" s="1"/>
      <c r="O262" s="1"/>
      <c r="P262" s="1"/>
      <c r="Q262" s="13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31"/>
      <c r="F263" s="131"/>
      <c r="G263" s="131"/>
      <c r="H263" s="1"/>
      <c r="I263" s="1"/>
      <c r="J263" s="1"/>
      <c r="K263" s="1"/>
      <c r="L263" s="1"/>
      <c r="M263" s="1"/>
      <c r="N263" s="1"/>
      <c r="O263" s="1"/>
      <c r="P263" s="1"/>
      <c r="Q263" s="13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31"/>
      <c r="F264" s="131"/>
      <c r="G264" s="131"/>
      <c r="H264" s="1"/>
      <c r="I264" s="1"/>
      <c r="J264" s="1"/>
      <c r="K264" s="1"/>
      <c r="L264" s="1"/>
      <c r="M264" s="1"/>
      <c r="N264" s="1"/>
      <c r="O264" s="1"/>
      <c r="P264" s="1"/>
      <c r="Q264" s="13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31"/>
      <c r="F265" s="131"/>
      <c r="G265" s="131"/>
      <c r="H265" s="1"/>
      <c r="I265" s="1"/>
      <c r="J265" s="1"/>
      <c r="K265" s="1"/>
      <c r="L265" s="1"/>
      <c r="M265" s="1"/>
      <c r="N265" s="1"/>
      <c r="O265" s="1"/>
      <c r="P265" s="1"/>
      <c r="Q265" s="13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31"/>
      <c r="F266" s="131"/>
      <c r="G266" s="131"/>
      <c r="H266" s="1"/>
      <c r="I266" s="1"/>
      <c r="J266" s="1"/>
      <c r="K266" s="1"/>
      <c r="L266" s="1"/>
      <c r="M266" s="1"/>
      <c r="N266" s="1"/>
      <c r="O266" s="1"/>
      <c r="P266" s="1"/>
      <c r="Q266" s="13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31"/>
      <c r="F267" s="131"/>
      <c r="G267" s="131"/>
      <c r="H267" s="1"/>
      <c r="I267" s="1"/>
      <c r="J267" s="1"/>
      <c r="K267" s="1"/>
      <c r="L267" s="1"/>
      <c r="M267" s="1"/>
      <c r="N267" s="1"/>
      <c r="O267" s="1"/>
      <c r="P267" s="1"/>
      <c r="Q267" s="13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31"/>
      <c r="F268" s="131"/>
      <c r="G268" s="131"/>
      <c r="H268" s="1"/>
      <c r="I268" s="1"/>
      <c r="J268" s="1"/>
      <c r="K268" s="1"/>
      <c r="L268" s="1"/>
      <c r="M268" s="1"/>
      <c r="N268" s="1"/>
      <c r="O268" s="1"/>
      <c r="P268" s="1"/>
      <c r="Q268" s="13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31"/>
      <c r="F269" s="131"/>
      <c r="G269" s="131"/>
      <c r="H269" s="1"/>
      <c r="I269" s="1"/>
      <c r="J269" s="1"/>
      <c r="K269" s="1"/>
      <c r="L269" s="1"/>
      <c r="M269" s="1"/>
      <c r="N269" s="1"/>
      <c r="O269" s="1"/>
      <c r="P269" s="1"/>
      <c r="Q269" s="13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31"/>
      <c r="F270" s="131"/>
      <c r="G270" s="131"/>
      <c r="H270" s="1"/>
      <c r="I270" s="1"/>
      <c r="J270" s="1"/>
      <c r="K270" s="1"/>
      <c r="L270" s="1"/>
      <c r="M270" s="1"/>
      <c r="N270" s="1"/>
      <c r="O270" s="1"/>
      <c r="P270" s="1"/>
      <c r="Q270" s="13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31"/>
      <c r="F271" s="131"/>
      <c r="G271" s="131"/>
      <c r="H271" s="1"/>
      <c r="I271" s="1"/>
      <c r="J271" s="1"/>
      <c r="K271" s="1"/>
      <c r="L271" s="1"/>
      <c r="M271" s="1"/>
      <c r="N271" s="1"/>
      <c r="O271" s="1"/>
      <c r="P271" s="1"/>
      <c r="Q271" s="13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31"/>
      <c r="F272" s="131"/>
      <c r="G272" s="131"/>
      <c r="H272" s="1"/>
      <c r="I272" s="1"/>
      <c r="J272" s="1"/>
      <c r="K272" s="1"/>
      <c r="L272" s="1"/>
      <c r="M272" s="1"/>
      <c r="N272" s="1"/>
      <c r="O272" s="1"/>
      <c r="P272" s="1"/>
      <c r="Q272" s="13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31"/>
      <c r="F273" s="131"/>
      <c r="G273" s="131"/>
      <c r="H273" s="1"/>
      <c r="I273" s="1"/>
      <c r="J273" s="1"/>
      <c r="K273" s="1"/>
      <c r="L273" s="1"/>
      <c r="M273" s="1"/>
      <c r="N273" s="1"/>
      <c r="O273" s="1"/>
      <c r="P273" s="1"/>
      <c r="Q273" s="13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31"/>
      <c r="F274" s="131"/>
      <c r="G274" s="131"/>
      <c r="H274" s="1"/>
      <c r="I274" s="1"/>
      <c r="J274" s="1"/>
      <c r="K274" s="1"/>
      <c r="L274" s="1"/>
      <c r="M274" s="1"/>
      <c r="N274" s="1"/>
      <c r="O274" s="1"/>
      <c r="P274" s="1"/>
      <c r="Q274" s="13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31"/>
      <c r="F275" s="131"/>
      <c r="G275" s="131"/>
      <c r="H275" s="1"/>
      <c r="I275" s="1"/>
      <c r="J275" s="1"/>
      <c r="K275" s="1"/>
      <c r="L275" s="1"/>
      <c r="M275" s="1"/>
      <c r="N275" s="1"/>
      <c r="O275" s="1"/>
      <c r="P275" s="1"/>
      <c r="Q275" s="13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31"/>
      <c r="F276" s="131"/>
      <c r="G276" s="131"/>
      <c r="H276" s="1"/>
      <c r="I276" s="1"/>
      <c r="J276" s="1"/>
      <c r="K276" s="1"/>
      <c r="L276" s="1"/>
      <c r="M276" s="1"/>
      <c r="N276" s="1"/>
      <c r="O276" s="1"/>
      <c r="P276" s="1"/>
      <c r="Q276" s="13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31"/>
      <c r="F277" s="131"/>
      <c r="G277" s="131"/>
      <c r="H277" s="1"/>
      <c r="I277" s="1"/>
      <c r="J277" s="1"/>
      <c r="K277" s="1"/>
      <c r="L277" s="1"/>
      <c r="M277" s="1"/>
      <c r="N277" s="1"/>
      <c r="O277" s="1"/>
      <c r="P277" s="1"/>
      <c r="Q277" s="13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31"/>
      <c r="F278" s="131"/>
      <c r="G278" s="131"/>
      <c r="H278" s="1"/>
      <c r="I278" s="1"/>
      <c r="J278" s="1"/>
      <c r="K278" s="1"/>
      <c r="L278" s="1"/>
      <c r="M278" s="1"/>
      <c r="N278" s="1"/>
      <c r="O278" s="1"/>
      <c r="P278" s="1"/>
      <c r="Q278" s="13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31"/>
      <c r="F279" s="131"/>
      <c r="G279" s="131"/>
      <c r="H279" s="1"/>
      <c r="I279" s="1"/>
      <c r="J279" s="1"/>
      <c r="K279" s="1"/>
      <c r="L279" s="1"/>
      <c r="M279" s="1"/>
      <c r="N279" s="1"/>
      <c r="O279" s="1"/>
      <c r="P279" s="1"/>
      <c r="Q279" s="13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31"/>
      <c r="F280" s="131"/>
      <c r="G280" s="131"/>
      <c r="H280" s="1"/>
      <c r="I280" s="1"/>
      <c r="J280" s="1"/>
      <c r="K280" s="1"/>
      <c r="L280" s="1"/>
      <c r="M280" s="1"/>
      <c r="N280" s="1"/>
      <c r="O280" s="1"/>
      <c r="P280" s="1"/>
      <c r="Q280" s="13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31"/>
      <c r="F281" s="131"/>
      <c r="G281" s="131"/>
      <c r="H281" s="1"/>
      <c r="I281" s="1"/>
      <c r="J281" s="1"/>
      <c r="K281" s="1"/>
      <c r="L281" s="1"/>
      <c r="M281" s="1"/>
      <c r="N281" s="1"/>
      <c r="O281" s="1"/>
      <c r="P281" s="1"/>
      <c r="Q281" s="13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31"/>
      <c r="F282" s="131"/>
      <c r="G282" s="131"/>
      <c r="H282" s="1"/>
      <c r="I282" s="1"/>
      <c r="J282" s="1"/>
      <c r="K282" s="1"/>
      <c r="L282" s="1"/>
      <c r="M282" s="1"/>
      <c r="N282" s="1"/>
      <c r="O282" s="1"/>
      <c r="P282" s="1"/>
      <c r="Q282" s="13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31"/>
      <c r="F283" s="131"/>
      <c r="G283" s="131"/>
      <c r="H283" s="1"/>
      <c r="I283" s="1"/>
      <c r="J283" s="1"/>
      <c r="K283" s="1"/>
      <c r="L283" s="1"/>
      <c r="M283" s="1"/>
      <c r="N283" s="1"/>
      <c r="O283" s="1"/>
      <c r="P283" s="1"/>
      <c r="Q283" s="13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31"/>
      <c r="F284" s="131"/>
      <c r="G284" s="131"/>
      <c r="H284" s="1"/>
      <c r="I284" s="1"/>
      <c r="J284" s="1"/>
      <c r="K284" s="1"/>
      <c r="L284" s="1"/>
      <c r="M284" s="1"/>
      <c r="N284" s="1"/>
      <c r="O284" s="1"/>
      <c r="P284" s="1"/>
      <c r="Q284" s="13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31"/>
      <c r="F285" s="131"/>
      <c r="G285" s="131"/>
      <c r="H285" s="1"/>
      <c r="I285" s="1"/>
      <c r="J285" s="1"/>
      <c r="K285" s="1"/>
      <c r="L285" s="1"/>
      <c r="M285" s="1"/>
      <c r="N285" s="1"/>
      <c r="O285" s="1"/>
      <c r="P285" s="1"/>
      <c r="Q285" s="13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31"/>
      <c r="F286" s="131"/>
      <c r="G286" s="131"/>
      <c r="H286" s="1"/>
      <c r="I286" s="1"/>
      <c r="J286" s="1"/>
      <c r="K286" s="1"/>
      <c r="L286" s="1"/>
      <c r="M286" s="1"/>
      <c r="N286" s="1"/>
      <c r="O286" s="1"/>
      <c r="P286" s="1"/>
      <c r="Q286" s="13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31"/>
      <c r="F287" s="131"/>
      <c r="G287" s="131"/>
      <c r="H287" s="1"/>
      <c r="I287" s="1"/>
      <c r="J287" s="1"/>
      <c r="K287" s="1"/>
      <c r="L287" s="1"/>
      <c r="M287" s="1"/>
      <c r="N287" s="1"/>
      <c r="O287" s="1"/>
      <c r="P287" s="1"/>
      <c r="Q287" s="13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31"/>
      <c r="F288" s="131"/>
      <c r="G288" s="131"/>
      <c r="H288" s="1"/>
      <c r="I288" s="1"/>
      <c r="J288" s="1"/>
      <c r="K288" s="1"/>
      <c r="L288" s="1"/>
      <c r="M288" s="1"/>
      <c r="N288" s="1"/>
      <c r="O288" s="1"/>
      <c r="P288" s="1"/>
      <c r="Q288" s="13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31"/>
      <c r="F289" s="131"/>
      <c r="G289" s="131"/>
      <c r="H289" s="1"/>
      <c r="I289" s="1"/>
      <c r="J289" s="1"/>
      <c r="K289" s="1"/>
      <c r="L289" s="1"/>
      <c r="M289" s="1"/>
      <c r="N289" s="1"/>
      <c r="O289" s="1"/>
      <c r="P289" s="1"/>
      <c r="Q289" s="13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31"/>
      <c r="F290" s="131"/>
      <c r="G290" s="131"/>
      <c r="H290" s="1"/>
      <c r="I290" s="1"/>
      <c r="J290" s="1"/>
      <c r="K290" s="1"/>
      <c r="L290" s="1"/>
      <c r="M290" s="1"/>
      <c r="N290" s="1"/>
      <c r="O290" s="1"/>
      <c r="P290" s="1"/>
      <c r="Q290" s="13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31"/>
      <c r="F291" s="131"/>
      <c r="G291" s="131"/>
      <c r="H291" s="1"/>
      <c r="I291" s="1"/>
      <c r="J291" s="1"/>
      <c r="K291" s="1"/>
      <c r="L291" s="1"/>
      <c r="M291" s="1"/>
      <c r="N291" s="1"/>
      <c r="O291" s="1"/>
      <c r="P291" s="1"/>
      <c r="Q291" s="13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31"/>
      <c r="F292" s="131"/>
      <c r="G292" s="131"/>
      <c r="H292" s="1"/>
      <c r="I292" s="1"/>
      <c r="J292" s="1"/>
      <c r="K292" s="1"/>
      <c r="L292" s="1"/>
      <c r="M292" s="1"/>
      <c r="N292" s="1"/>
      <c r="O292" s="1"/>
      <c r="P292" s="1"/>
      <c r="Q292" s="13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31"/>
      <c r="F293" s="131"/>
      <c r="G293" s="131"/>
      <c r="H293" s="1"/>
      <c r="I293" s="1"/>
      <c r="J293" s="1"/>
      <c r="K293" s="1"/>
      <c r="L293" s="1"/>
      <c r="M293" s="1"/>
      <c r="N293" s="1"/>
      <c r="O293" s="1"/>
      <c r="P293" s="1"/>
      <c r="Q293" s="13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31"/>
      <c r="F294" s="131"/>
      <c r="G294" s="131"/>
      <c r="H294" s="1"/>
      <c r="I294" s="1"/>
      <c r="J294" s="1"/>
      <c r="K294" s="1"/>
      <c r="L294" s="1"/>
      <c r="M294" s="1"/>
      <c r="N294" s="1"/>
      <c r="O294" s="1"/>
      <c r="P294" s="1"/>
      <c r="Q294" s="13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31"/>
      <c r="F295" s="131"/>
      <c r="G295" s="131"/>
      <c r="H295" s="1"/>
      <c r="I295" s="1"/>
      <c r="J295" s="1"/>
      <c r="K295" s="1"/>
      <c r="L295" s="1"/>
      <c r="M295" s="1"/>
      <c r="N295" s="1"/>
      <c r="O295" s="1"/>
      <c r="P295" s="1"/>
      <c r="Q295" s="13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31"/>
      <c r="F296" s="131"/>
      <c r="G296" s="131"/>
      <c r="H296" s="1"/>
      <c r="I296" s="1"/>
      <c r="J296" s="1"/>
      <c r="K296" s="1"/>
      <c r="L296" s="1"/>
      <c r="M296" s="1"/>
      <c r="N296" s="1"/>
      <c r="O296" s="1"/>
      <c r="P296" s="1"/>
      <c r="Q296" s="13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31"/>
      <c r="F297" s="131"/>
      <c r="G297" s="131"/>
      <c r="H297" s="1"/>
      <c r="I297" s="1"/>
      <c r="J297" s="1"/>
      <c r="K297" s="1"/>
      <c r="L297" s="1"/>
      <c r="M297" s="1"/>
      <c r="N297" s="1"/>
      <c r="O297" s="1"/>
      <c r="P297" s="1"/>
      <c r="Q297" s="13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31"/>
      <c r="F298" s="131"/>
      <c r="G298" s="131"/>
      <c r="H298" s="1"/>
      <c r="I298" s="1"/>
      <c r="J298" s="1"/>
      <c r="K298" s="1"/>
      <c r="L298" s="1"/>
      <c r="M298" s="1"/>
      <c r="N298" s="1"/>
      <c r="O298" s="1"/>
      <c r="P298" s="1"/>
      <c r="Q298" s="13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31"/>
      <c r="F299" s="131"/>
      <c r="G299" s="131"/>
      <c r="H299" s="1"/>
      <c r="I299" s="1"/>
      <c r="J299" s="1"/>
      <c r="K299" s="1"/>
      <c r="L299" s="1"/>
      <c r="M299" s="1"/>
      <c r="N299" s="1"/>
      <c r="O299" s="1"/>
      <c r="P299" s="1"/>
      <c r="Q299" s="13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31"/>
      <c r="F300" s="131"/>
      <c r="G300" s="131"/>
      <c r="H300" s="1"/>
      <c r="I300" s="1"/>
      <c r="J300" s="1"/>
      <c r="K300" s="1"/>
      <c r="L300" s="1"/>
      <c r="M300" s="1"/>
      <c r="N300" s="1"/>
      <c r="O300" s="1"/>
      <c r="P300" s="1"/>
      <c r="Q300" s="13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31"/>
      <c r="F301" s="131"/>
      <c r="G301" s="131"/>
      <c r="H301" s="1"/>
      <c r="I301" s="1"/>
      <c r="J301" s="1"/>
      <c r="K301" s="1"/>
      <c r="L301" s="1"/>
      <c r="M301" s="1"/>
      <c r="N301" s="1"/>
      <c r="O301" s="1"/>
      <c r="P301" s="1"/>
      <c r="Q301" s="13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31"/>
      <c r="F302" s="131"/>
      <c r="G302" s="131"/>
      <c r="H302" s="1"/>
      <c r="I302" s="1"/>
      <c r="J302" s="1"/>
      <c r="K302" s="1"/>
      <c r="L302" s="1"/>
      <c r="M302" s="1"/>
      <c r="N302" s="1"/>
      <c r="O302" s="1"/>
      <c r="P302" s="1"/>
      <c r="Q302" s="13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31"/>
      <c r="F303" s="131"/>
      <c r="G303" s="131"/>
      <c r="H303" s="1"/>
      <c r="I303" s="1"/>
      <c r="J303" s="1"/>
      <c r="K303" s="1"/>
      <c r="L303" s="1"/>
      <c r="M303" s="1"/>
      <c r="N303" s="1"/>
      <c r="O303" s="1"/>
      <c r="P303" s="1"/>
      <c r="Q303" s="13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31"/>
      <c r="F304" s="131"/>
      <c r="G304" s="131"/>
      <c r="H304" s="1"/>
      <c r="I304" s="1"/>
      <c r="J304" s="1"/>
      <c r="K304" s="1"/>
      <c r="L304" s="1"/>
      <c r="M304" s="1"/>
      <c r="N304" s="1"/>
      <c r="O304" s="1"/>
      <c r="P304" s="1"/>
      <c r="Q304" s="13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31"/>
      <c r="F305" s="131"/>
      <c r="G305" s="131"/>
      <c r="H305" s="1"/>
      <c r="I305" s="1"/>
      <c r="J305" s="1"/>
      <c r="K305" s="1"/>
      <c r="L305" s="1"/>
      <c r="M305" s="1"/>
      <c r="N305" s="1"/>
      <c r="O305" s="1"/>
      <c r="P305" s="1"/>
      <c r="Q305" s="13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31"/>
      <c r="F306" s="131"/>
      <c r="G306" s="131"/>
      <c r="H306" s="1"/>
      <c r="I306" s="1"/>
      <c r="J306" s="1"/>
      <c r="K306" s="1"/>
      <c r="L306" s="1"/>
      <c r="M306" s="1"/>
      <c r="N306" s="1"/>
      <c r="O306" s="1"/>
      <c r="P306" s="1"/>
      <c r="Q306" s="13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31"/>
      <c r="F307" s="131"/>
      <c r="G307" s="131"/>
      <c r="H307" s="1"/>
      <c r="I307" s="1"/>
      <c r="J307" s="1"/>
      <c r="K307" s="1"/>
      <c r="L307" s="1"/>
      <c r="M307" s="1"/>
      <c r="N307" s="1"/>
      <c r="O307" s="1"/>
      <c r="P307" s="1"/>
      <c r="Q307" s="13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31"/>
      <c r="F308" s="131"/>
      <c r="G308" s="131"/>
      <c r="H308" s="1"/>
      <c r="I308" s="1"/>
      <c r="J308" s="1"/>
      <c r="K308" s="1"/>
      <c r="L308" s="1"/>
      <c r="M308" s="1"/>
      <c r="N308" s="1"/>
      <c r="O308" s="1"/>
      <c r="P308" s="1"/>
      <c r="Q308" s="13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31"/>
      <c r="F309" s="131"/>
      <c r="G309" s="131"/>
      <c r="H309" s="1"/>
      <c r="I309" s="1"/>
      <c r="J309" s="1"/>
      <c r="K309" s="1"/>
      <c r="L309" s="1"/>
      <c r="M309" s="1"/>
      <c r="N309" s="1"/>
      <c r="O309" s="1"/>
      <c r="P309" s="1"/>
      <c r="Q309" s="13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31"/>
      <c r="F310" s="131"/>
      <c r="G310" s="131"/>
      <c r="H310" s="1"/>
      <c r="I310" s="1"/>
      <c r="J310" s="1"/>
      <c r="K310" s="1"/>
      <c r="L310" s="1"/>
      <c r="M310" s="1"/>
      <c r="N310" s="1"/>
      <c r="O310" s="1"/>
      <c r="P310" s="1"/>
      <c r="Q310" s="13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31"/>
      <c r="F311" s="131"/>
      <c r="G311" s="131"/>
      <c r="H311" s="1"/>
      <c r="I311" s="1"/>
      <c r="J311" s="1"/>
      <c r="K311" s="1"/>
      <c r="L311" s="1"/>
      <c r="M311" s="1"/>
      <c r="N311" s="1"/>
      <c r="O311" s="1"/>
      <c r="P311" s="1"/>
      <c r="Q311" s="13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31"/>
      <c r="F312" s="131"/>
      <c r="G312" s="131"/>
      <c r="H312" s="1"/>
      <c r="I312" s="1"/>
      <c r="J312" s="1"/>
      <c r="K312" s="1"/>
      <c r="L312" s="1"/>
      <c r="M312" s="1"/>
      <c r="N312" s="1"/>
      <c r="O312" s="1"/>
      <c r="P312" s="1"/>
      <c r="Q312" s="13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31"/>
      <c r="F313" s="131"/>
      <c r="G313" s="131"/>
      <c r="H313" s="1"/>
      <c r="I313" s="1"/>
      <c r="J313" s="1"/>
      <c r="K313" s="1"/>
      <c r="L313" s="1"/>
      <c r="M313" s="1"/>
      <c r="N313" s="1"/>
      <c r="O313" s="1"/>
      <c r="P313" s="1"/>
      <c r="Q313" s="13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31"/>
      <c r="F314" s="131"/>
      <c r="G314" s="131"/>
      <c r="H314" s="1"/>
      <c r="I314" s="1"/>
      <c r="J314" s="1"/>
      <c r="K314" s="1"/>
      <c r="L314" s="1"/>
      <c r="M314" s="1"/>
      <c r="N314" s="1"/>
      <c r="O314" s="1"/>
      <c r="P314" s="1"/>
      <c r="Q314" s="13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31"/>
      <c r="F315" s="131"/>
      <c r="G315" s="131"/>
      <c r="H315" s="1"/>
      <c r="I315" s="1"/>
      <c r="J315" s="1"/>
      <c r="K315" s="1"/>
      <c r="L315" s="1"/>
      <c r="M315" s="1"/>
      <c r="N315" s="1"/>
      <c r="O315" s="1"/>
      <c r="P315" s="1"/>
      <c r="Q315" s="13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31"/>
      <c r="F316" s="131"/>
      <c r="G316" s="131"/>
      <c r="H316" s="1"/>
      <c r="I316" s="1"/>
      <c r="J316" s="1"/>
      <c r="K316" s="1"/>
      <c r="L316" s="1"/>
      <c r="M316" s="1"/>
      <c r="N316" s="1"/>
      <c r="O316" s="1"/>
      <c r="P316" s="1"/>
      <c r="Q316" s="13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31"/>
      <c r="F317" s="131"/>
      <c r="G317" s="131"/>
      <c r="H317" s="1"/>
      <c r="I317" s="1"/>
      <c r="J317" s="1"/>
      <c r="K317" s="1"/>
      <c r="L317" s="1"/>
      <c r="M317" s="1"/>
      <c r="N317" s="1"/>
      <c r="O317" s="1"/>
      <c r="P317" s="1"/>
      <c r="Q317" s="13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31"/>
      <c r="F318" s="131"/>
      <c r="G318" s="131"/>
      <c r="H318" s="1"/>
      <c r="I318" s="1"/>
      <c r="J318" s="1"/>
      <c r="K318" s="1"/>
      <c r="L318" s="1"/>
      <c r="M318" s="1"/>
      <c r="N318" s="1"/>
      <c r="O318" s="1"/>
      <c r="P318" s="1"/>
      <c r="Q318" s="13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31"/>
      <c r="F319" s="131"/>
      <c r="G319" s="131"/>
      <c r="H319" s="1"/>
      <c r="I319" s="1"/>
      <c r="J319" s="1"/>
      <c r="K319" s="1"/>
      <c r="L319" s="1"/>
      <c r="M319" s="1"/>
      <c r="N319" s="1"/>
      <c r="O319" s="1"/>
      <c r="P319" s="1"/>
      <c r="Q319" s="13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31"/>
      <c r="F320" s="131"/>
      <c r="G320" s="131"/>
      <c r="H320" s="1"/>
      <c r="I320" s="1"/>
      <c r="J320" s="1"/>
      <c r="K320" s="1"/>
      <c r="L320" s="1"/>
      <c r="M320" s="1"/>
      <c r="N320" s="1"/>
      <c r="O320" s="1"/>
      <c r="P320" s="1"/>
      <c r="Q320" s="13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31"/>
      <c r="F321" s="131"/>
      <c r="G321" s="131"/>
      <c r="H321" s="1"/>
      <c r="I321" s="1"/>
      <c r="J321" s="1"/>
      <c r="K321" s="1"/>
      <c r="L321" s="1"/>
      <c r="M321" s="1"/>
      <c r="N321" s="1"/>
      <c r="O321" s="1"/>
      <c r="P321" s="1"/>
      <c r="Q321" s="13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31"/>
      <c r="F322" s="131"/>
      <c r="G322" s="131"/>
      <c r="H322" s="1"/>
      <c r="I322" s="1"/>
      <c r="J322" s="1"/>
      <c r="K322" s="1"/>
      <c r="L322" s="1"/>
      <c r="M322" s="1"/>
      <c r="N322" s="1"/>
      <c r="O322" s="1"/>
      <c r="P322" s="1"/>
      <c r="Q322" s="13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31"/>
      <c r="F323" s="131"/>
      <c r="G323" s="131"/>
      <c r="H323" s="1"/>
      <c r="I323" s="1"/>
      <c r="J323" s="1"/>
      <c r="K323" s="1"/>
      <c r="L323" s="1"/>
      <c r="M323" s="1"/>
      <c r="N323" s="1"/>
      <c r="O323" s="1"/>
      <c r="P323" s="1"/>
      <c r="Q323" s="13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31"/>
      <c r="F324" s="131"/>
      <c r="G324" s="131"/>
      <c r="H324" s="1"/>
      <c r="I324" s="1"/>
      <c r="J324" s="1"/>
      <c r="K324" s="1"/>
      <c r="L324" s="1"/>
      <c r="M324" s="1"/>
      <c r="N324" s="1"/>
      <c r="O324" s="1"/>
      <c r="P324" s="1"/>
      <c r="Q324" s="13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31"/>
      <c r="F325" s="131"/>
      <c r="G325" s="131"/>
      <c r="H325" s="1"/>
      <c r="I325" s="1"/>
      <c r="J325" s="1"/>
      <c r="K325" s="1"/>
      <c r="L325" s="1"/>
      <c r="M325" s="1"/>
      <c r="N325" s="1"/>
      <c r="O325" s="1"/>
      <c r="P325" s="1"/>
      <c r="Q325" s="13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31"/>
      <c r="F326" s="131"/>
      <c r="G326" s="131"/>
      <c r="H326" s="1"/>
      <c r="I326" s="1"/>
      <c r="J326" s="1"/>
      <c r="K326" s="1"/>
      <c r="L326" s="1"/>
      <c r="M326" s="1"/>
      <c r="N326" s="1"/>
      <c r="O326" s="1"/>
      <c r="P326" s="1"/>
      <c r="Q326" s="13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31"/>
      <c r="F327" s="131"/>
      <c r="G327" s="131"/>
      <c r="H327" s="1"/>
      <c r="I327" s="1"/>
      <c r="J327" s="1"/>
      <c r="K327" s="1"/>
      <c r="L327" s="1"/>
      <c r="M327" s="1"/>
      <c r="N327" s="1"/>
      <c r="O327" s="1"/>
      <c r="P327" s="1"/>
      <c r="Q327" s="13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31"/>
      <c r="F328" s="131"/>
      <c r="G328" s="131"/>
      <c r="H328" s="1"/>
      <c r="I328" s="1"/>
      <c r="J328" s="1"/>
      <c r="K328" s="1"/>
      <c r="L328" s="1"/>
      <c r="M328" s="1"/>
      <c r="N328" s="1"/>
      <c r="O328" s="1"/>
      <c r="P328" s="1"/>
      <c r="Q328" s="13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31"/>
      <c r="F329" s="131"/>
      <c r="G329" s="131"/>
      <c r="H329" s="1"/>
      <c r="I329" s="1"/>
      <c r="J329" s="1"/>
      <c r="K329" s="1"/>
      <c r="L329" s="1"/>
      <c r="M329" s="1"/>
      <c r="N329" s="1"/>
      <c r="O329" s="1"/>
      <c r="P329" s="1"/>
      <c r="Q329" s="13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31"/>
      <c r="F330" s="131"/>
      <c r="G330" s="131"/>
      <c r="H330" s="1"/>
      <c r="I330" s="1"/>
      <c r="J330" s="1"/>
      <c r="K330" s="1"/>
      <c r="L330" s="1"/>
      <c r="M330" s="1"/>
      <c r="N330" s="1"/>
      <c r="O330" s="1"/>
      <c r="P330" s="1"/>
      <c r="Q330" s="13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31"/>
      <c r="F331" s="131"/>
      <c r="G331" s="131"/>
      <c r="H331" s="1"/>
      <c r="I331" s="1"/>
      <c r="J331" s="1"/>
      <c r="K331" s="1"/>
      <c r="L331" s="1"/>
      <c r="M331" s="1"/>
      <c r="N331" s="1"/>
      <c r="O331" s="1"/>
      <c r="P331" s="1"/>
      <c r="Q331" s="13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31"/>
      <c r="F332" s="131"/>
      <c r="G332" s="131"/>
      <c r="H332" s="1"/>
      <c r="I332" s="1"/>
      <c r="J332" s="1"/>
      <c r="K332" s="1"/>
      <c r="L332" s="1"/>
      <c r="M332" s="1"/>
      <c r="N332" s="1"/>
      <c r="O332" s="1"/>
      <c r="P332" s="1"/>
      <c r="Q332" s="13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31"/>
      <c r="F333" s="131"/>
      <c r="G333" s="131"/>
      <c r="H333" s="1"/>
      <c r="I333" s="1"/>
      <c r="J333" s="1"/>
      <c r="K333" s="1"/>
      <c r="L333" s="1"/>
      <c r="M333" s="1"/>
      <c r="N333" s="1"/>
      <c r="O333" s="1"/>
      <c r="P333" s="1"/>
      <c r="Q333" s="13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31"/>
      <c r="F334" s="131"/>
      <c r="G334" s="131"/>
      <c r="H334" s="1"/>
      <c r="I334" s="1"/>
      <c r="J334" s="1"/>
      <c r="K334" s="1"/>
      <c r="L334" s="1"/>
      <c r="M334" s="1"/>
      <c r="N334" s="1"/>
      <c r="O334" s="1"/>
      <c r="P334" s="1"/>
      <c r="Q334" s="13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31"/>
      <c r="F335" s="131"/>
      <c r="G335" s="131"/>
      <c r="H335" s="1"/>
      <c r="I335" s="1"/>
      <c r="J335" s="1"/>
      <c r="K335" s="1"/>
      <c r="L335" s="1"/>
      <c r="M335" s="1"/>
      <c r="N335" s="1"/>
      <c r="O335" s="1"/>
      <c r="P335" s="1"/>
      <c r="Q335" s="13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31"/>
      <c r="F336" s="131"/>
      <c r="G336" s="131"/>
      <c r="H336" s="1"/>
      <c r="I336" s="1"/>
      <c r="J336" s="1"/>
      <c r="K336" s="1"/>
      <c r="L336" s="1"/>
      <c r="M336" s="1"/>
      <c r="N336" s="1"/>
      <c r="O336" s="1"/>
      <c r="P336" s="1"/>
      <c r="Q336" s="13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31"/>
      <c r="F337" s="131"/>
      <c r="G337" s="131"/>
      <c r="H337" s="1"/>
      <c r="I337" s="1"/>
      <c r="J337" s="1"/>
      <c r="K337" s="1"/>
      <c r="L337" s="1"/>
      <c r="M337" s="1"/>
      <c r="N337" s="1"/>
      <c r="O337" s="1"/>
      <c r="P337" s="1"/>
      <c r="Q337" s="13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31"/>
      <c r="F338" s="131"/>
      <c r="G338" s="131"/>
      <c r="H338" s="1"/>
      <c r="I338" s="1"/>
      <c r="J338" s="1"/>
      <c r="K338" s="1"/>
      <c r="L338" s="1"/>
      <c r="M338" s="1"/>
      <c r="N338" s="1"/>
      <c r="O338" s="1"/>
      <c r="P338" s="1"/>
      <c r="Q338" s="13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31"/>
      <c r="F339" s="131"/>
      <c r="G339" s="131"/>
      <c r="H339" s="1"/>
      <c r="I339" s="1"/>
      <c r="J339" s="1"/>
      <c r="K339" s="1"/>
      <c r="L339" s="1"/>
      <c r="M339" s="1"/>
      <c r="N339" s="1"/>
      <c r="O339" s="1"/>
      <c r="P339" s="1"/>
      <c r="Q339" s="13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31"/>
      <c r="F340" s="131"/>
      <c r="G340" s="131"/>
      <c r="H340" s="1"/>
      <c r="I340" s="1"/>
      <c r="J340" s="1"/>
      <c r="K340" s="1"/>
      <c r="L340" s="1"/>
      <c r="M340" s="1"/>
      <c r="N340" s="1"/>
      <c r="O340" s="1"/>
      <c r="P340" s="1"/>
      <c r="Q340" s="13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31"/>
      <c r="F341" s="131"/>
      <c r="G341" s="131"/>
      <c r="H341" s="1"/>
      <c r="I341" s="1"/>
      <c r="J341" s="1"/>
      <c r="K341" s="1"/>
      <c r="L341" s="1"/>
      <c r="M341" s="1"/>
      <c r="N341" s="1"/>
      <c r="O341" s="1"/>
      <c r="P341" s="1"/>
      <c r="Q341" s="13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31"/>
      <c r="F342" s="131"/>
      <c r="G342" s="131"/>
      <c r="H342" s="1"/>
      <c r="I342" s="1"/>
      <c r="J342" s="1"/>
      <c r="K342" s="1"/>
      <c r="L342" s="1"/>
      <c r="M342" s="1"/>
      <c r="N342" s="1"/>
      <c r="O342" s="1"/>
      <c r="P342" s="1"/>
      <c r="Q342" s="13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31"/>
      <c r="F343" s="131"/>
      <c r="G343" s="131"/>
      <c r="H343" s="1"/>
      <c r="I343" s="1"/>
      <c r="J343" s="1"/>
      <c r="K343" s="1"/>
      <c r="L343" s="1"/>
      <c r="M343" s="1"/>
      <c r="N343" s="1"/>
      <c r="O343" s="1"/>
      <c r="P343" s="1"/>
      <c r="Q343" s="13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31"/>
      <c r="F344" s="131"/>
      <c r="G344" s="131"/>
      <c r="H344" s="1"/>
      <c r="I344" s="1"/>
      <c r="J344" s="1"/>
      <c r="K344" s="1"/>
      <c r="L344" s="1"/>
      <c r="M344" s="1"/>
      <c r="N344" s="1"/>
      <c r="O344" s="1"/>
      <c r="P344" s="1"/>
      <c r="Q344" s="13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31"/>
      <c r="F345" s="131"/>
      <c r="G345" s="131"/>
      <c r="H345" s="1"/>
      <c r="I345" s="1"/>
      <c r="J345" s="1"/>
      <c r="K345" s="1"/>
      <c r="L345" s="1"/>
      <c r="M345" s="1"/>
      <c r="N345" s="1"/>
      <c r="O345" s="1"/>
      <c r="P345" s="1"/>
      <c r="Q345" s="13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31"/>
      <c r="F346" s="131"/>
      <c r="G346" s="131"/>
      <c r="H346" s="1"/>
      <c r="I346" s="1"/>
      <c r="J346" s="1"/>
      <c r="K346" s="1"/>
      <c r="L346" s="1"/>
      <c r="M346" s="1"/>
      <c r="N346" s="1"/>
      <c r="O346" s="1"/>
      <c r="P346" s="1"/>
      <c r="Q346" s="13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31"/>
      <c r="F347" s="131"/>
      <c r="G347" s="131"/>
      <c r="H347" s="1"/>
      <c r="I347" s="1"/>
      <c r="J347" s="1"/>
      <c r="K347" s="1"/>
      <c r="L347" s="1"/>
      <c r="M347" s="1"/>
      <c r="N347" s="1"/>
      <c r="O347" s="1"/>
      <c r="P347" s="1"/>
      <c r="Q347" s="13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31"/>
      <c r="F348" s="131"/>
      <c r="G348" s="131"/>
      <c r="H348" s="1"/>
      <c r="I348" s="1"/>
      <c r="J348" s="1"/>
      <c r="K348" s="1"/>
      <c r="L348" s="1"/>
      <c r="M348" s="1"/>
      <c r="N348" s="1"/>
      <c r="O348" s="1"/>
      <c r="P348" s="1"/>
      <c r="Q348" s="13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31"/>
      <c r="F349" s="131"/>
      <c r="G349" s="131"/>
      <c r="H349" s="1"/>
      <c r="I349" s="1"/>
      <c r="J349" s="1"/>
      <c r="K349" s="1"/>
      <c r="L349" s="1"/>
      <c r="M349" s="1"/>
      <c r="N349" s="1"/>
      <c r="O349" s="1"/>
      <c r="P349" s="1"/>
      <c r="Q349" s="13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31"/>
      <c r="F350" s="131"/>
      <c r="G350" s="131"/>
      <c r="H350" s="1"/>
      <c r="I350" s="1"/>
      <c r="J350" s="1"/>
      <c r="K350" s="1"/>
      <c r="L350" s="1"/>
      <c r="M350" s="1"/>
      <c r="N350" s="1"/>
      <c r="O350" s="1"/>
      <c r="P350" s="1"/>
      <c r="Q350" s="13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31"/>
      <c r="F351" s="131"/>
      <c r="G351" s="131"/>
      <c r="H351" s="1"/>
      <c r="I351" s="1"/>
      <c r="J351" s="1"/>
      <c r="K351" s="1"/>
      <c r="L351" s="1"/>
      <c r="M351" s="1"/>
      <c r="N351" s="1"/>
      <c r="O351" s="1"/>
      <c r="P351" s="1"/>
      <c r="Q351" s="13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31"/>
      <c r="F352" s="131"/>
      <c r="G352" s="131"/>
      <c r="H352" s="1"/>
      <c r="I352" s="1"/>
      <c r="J352" s="1"/>
      <c r="K352" s="1"/>
      <c r="L352" s="1"/>
      <c r="M352" s="1"/>
      <c r="N352" s="1"/>
      <c r="O352" s="1"/>
      <c r="P352" s="1"/>
      <c r="Q352" s="13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31"/>
      <c r="F353" s="131"/>
      <c r="G353" s="131"/>
      <c r="H353" s="1"/>
      <c r="I353" s="1"/>
      <c r="J353" s="1"/>
      <c r="K353" s="1"/>
      <c r="L353" s="1"/>
      <c r="M353" s="1"/>
      <c r="N353" s="1"/>
      <c r="O353" s="1"/>
      <c r="P353" s="1"/>
      <c r="Q353" s="13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31"/>
      <c r="F354" s="131"/>
      <c r="G354" s="131"/>
      <c r="H354" s="1"/>
      <c r="I354" s="1"/>
      <c r="J354" s="1"/>
      <c r="K354" s="1"/>
      <c r="L354" s="1"/>
      <c r="M354" s="1"/>
      <c r="N354" s="1"/>
      <c r="O354" s="1"/>
      <c r="P354" s="1"/>
      <c r="Q354" s="13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31"/>
      <c r="F355" s="131"/>
      <c r="G355" s="131"/>
      <c r="H355" s="1"/>
      <c r="I355" s="1"/>
      <c r="J355" s="1"/>
      <c r="K355" s="1"/>
      <c r="L355" s="1"/>
      <c r="M355" s="1"/>
      <c r="N355" s="1"/>
      <c r="O355" s="1"/>
      <c r="P355" s="1"/>
      <c r="Q355" s="13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31"/>
      <c r="F356" s="131"/>
      <c r="G356" s="131"/>
      <c r="H356" s="1"/>
      <c r="I356" s="1"/>
      <c r="J356" s="1"/>
      <c r="K356" s="1"/>
      <c r="L356" s="1"/>
      <c r="M356" s="1"/>
      <c r="N356" s="1"/>
      <c r="O356" s="1"/>
      <c r="P356" s="1"/>
      <c r="Q356" s="13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31"/>
      <c r="F357" s="131"/>
      <c r="G357" s="131"/>
      <c r="H357" s="1"/>
      <c r="I357" s="1"/>
      <c r="J357" s="1"/>
      <c r="K357" s="1"/>
      <c r="L357" s="1"/>
      <c r="M357" s="1"/>
      <c r="N357" s="1"/>
      <c r="O357" s="1"/>
      <c r="P357" s="1"/>
      <c r="Q357" s="13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31"/>
      <c r="F358" s="131"/>
      <c r="G358" s="131"/>
      <c r="H358" s="1"/>
      <c r="I358" s="1"/>
      <c r="J358" s="1"/>
      <c r="K358" s="1"/>
      <c r="L358" s="1"/>
      <c r="M358" s="1"/>
      <c r="N358" s="1"/>
      <c r="O358" s="1"/>
      <c r="P358" s="1"/>
      <c r="Q358" s="13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31"/>
      <c r="F359" s="131"/>
      <c r="G359" s="131"/>
      <c r="H359" s="1"/>
      <c r="I359" s="1"/>
      <c r="J359" s="1"/>
      <c r="K359" s="1"/>
      <c r="L359" s="1"/>
      <c r="M359" s="1"/>
      <c r="N359" s="1"/>
      <c r="O359" s="1"/>
      <c r="P359" s="1"/>
      <c r="Q359" s="13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31"/>
      <c r="F360" s="131"/>
      <c r="G360" s="131"/>
      <c r="H360" s="1"/>
      <c r="I360" s="1"/>
      <c r="J360" s="1"/>
      <c r="K360" s="1"/>
      <c r="L360" s="1"/>
      <c r="M360" s="1"/>
      <c r="N360" s="1"/>
      <c r="O360" s="1"/>
      <c r="P360" s="1"/>
      <c r="Q360" s="13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31"/>
      <c r="F361" s="131"/>
      <c r="G361" s="131"/>
      <c r="H361" s="1"/>
      <c r="I361" s="1"/>
      <c r="J361" s="1"/>
      <c r="K361" s="1"/>
      <c r="L361" s="1"/>
      <c r="M361" s="1"/>
      <c r="N361" s="1"/>
      <c r="O361" s="1"/>
      <c r="P361" s="1"/>
      <c r="Q361" s="13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31"/>
      <c r="F362" s="131"/>
      <c r="G362" s="131"/>
      <c r="H362" s="1"/>
      <c r="I362" s="1"/>
      <c r="J362" s="1"/>
      <c r="K362" s="1"/>
      <c r="L362" s="1"/>
      <c r="M362" s="1"/>
      <c r="N362" s="1"/>
      <c r="O362" s="1"/>
      <c r="P362" s="1"/>
      <c r="Q362" s="13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31"/>
      <c r="F363" s="131"/>
      <c r="G363" s="131"/>
      <c r="H363" s="1"/>
      <c r="I363" s="1"/>
      <c r="J363" s="1"/>
      <c r="K363" s="1"/>
      <c r="L363" s="1"/>
      <c r="M363" s="1"/>
      <c r="N363" s="1"/>
      <c r="O363" s="1"/>
      <c r="P363" s="1"/>
      <c r="Q363" s="13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31"/>
      <c r="F364" s="131"/>
      <c r="G364" s="131"/>
      <c r="H364" s="1"/>
      <c r="I364" s="1"/>
      <c r="J364" s="1"/>
      <c r="K364" s="1"/>
      <c r="L364" s="1"/>
      <c r="M364" s="1"/>
      <c r="N364" s="1"/>
      <c r="O364" s="1"/>
      <c r="P364" s="1"/>
      <c r="Q364" s="13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31"/>
      <c r="F365" s="131"/>
      <c r="G365" s="131"/>
      <c r="H365" s="1"/>
      <c r="I365" s="1"/>
      <c r="J365" s="1"/>
      <c r="K365" s="1"/>
      <c r="L365" s="1"/>
      <c r="M365" s="1"/>
      <c r="N365" s="1"/>
      <c r="O365" s="1"/>
      <c r="P365" s="1"/>
      <c r="Q365" s="13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31"/>
      <c r="F366" s="131"/>
      <c r="G366" s="131"/>
      <c r="H366" s="1"/>
      <c r="I366" s="1"/>
      <c r="J366" s="1"/>
      <c r="K366" s="1"/>
      <c r="L366" s="1"/>
      <c r="M366" s="1"/>
      <c r="N366" s="1"/>
      <c r="O366" s="1"/>
      <c r="P366" s="1"/>
      <c r="Q366" s="13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31"/>
      <c r="F367" s="131"/>
      <c r="G367" s="131"/>
      <c r="H367" s="1"/>
      <c r="I367" s="1"/>
      <c r="J367" s="1"/>
      <c r="K367" s="1"/>
      <c r="L367" s="1"/>
      <c r="M367" s="1"/>
      <c r="N367" s="1"/>
      <c r="O367" s="1"/>
      <c r="P367" s="1"/>
      <c r="Q367" s="13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31"/>
      <c r="F368" s="131"/>
      <c r="G368" s="131"/>
      <c r="H368" s="1"/>
      <c r="I368" s="1"/>
      <c r="J368" s="1"/>
      <c r="K368" s="1"/>
      <c r="L368" s="1"/>
      <c r="M368" s="1"/>
      <c r="N368" s="1"/>
      <c r="O368" s="1"/>
      <c r="P368" s="1"/>
      <c r="Q368" s="13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31"/>
      <c r="F369" s="131"/>
      <c r="G369" s="131"/>
      <c r="H369" s="1"/>
      <c r="I369" s="1"/>
      <c r="J369" s="1"/>
      <c r="K369" s="1"/>
      <c r="L369" s="1"/>
      <c r="M369" s="1"/>
      <c r="N369" s="1"/>
      <c r="O369" s="1"/>
      <c r="P369" s="1"/>
      <c r="Q369" s="13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31"/>
      <c r="F370" s="131"/>
      <c r="G370" s="131"/>
      <c r="H370" s="1"/>
      <c r="I370" s="1"/>
      <c r="J370" s="1"/>
      <c r="K370" s="1"/>
      <c r="L370" s="1"/>
      <c r="M370" s="1"/>
      <c r="N370" s="1"/>
      <c r="O370" s="1"/>
      <c r="P370" s="1"/>
      <c r="Q370" s="13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31"/>
      <c r="F371" s="131"/>
      <c r="G371" s="131"/>
      <c r="H371" s="1"/>
      <c r="I371" s="1"/>
      <c r="J371" s="1"/>
      <c r="K371" s="1"/>
      <c r="L371" s="1"/>
      <c r="M371" s="1"/>
      <c r="N371" s="1"/>
      <c r="O371" s="1"/>
      <c r="P371" s="1"/>
      <c r="Q371" s="13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31"/>
      <c r="F372" s="131"/>
      <c r="G372" s="131"/>
      <c r="H372" s="1"/>
      <c r="I372" s="1"/>
      <c r="J372" s="1"/>
      <c r="K372" s="1"/>
      <c r="L372" s="1"/>
      <c r="M372" s="1"/>
      <c r="N372" s="1"/>
      <c r="O372" s="1"/>
      <c r="P372" s="1"/>
      <c r="Q372" s="13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31"/>
      <c r="F373" s="131"/>
      <c r="G373" s="131"/>
      <c r="H373" s="1"/>
      <c r="I373" s="1"/>
      <c r="J373" s="1"/>
      <c r="K373" s="1"/>
      <c r="L373" s="1"/>
      <c r="M373" s="1"/>
      <c r="N373" s="1"/>
      <c r="O373" s="1"/>
      <c r="P373" s="1"/>
      <c r="Q373" s="13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31"/>
      <c r="F374" s="131"/>
      <c r="G374" s="131"/>
      <c r="H374" s="1"/>
      <c r="I374" s="1"/>
      <c r="J374" s="1"/>
      <c r="K374" s="1"/>
      <c r="L374" s="1"/>
      <c r="M374" s="1"/>
      <c r="N374" s="1"/>
      <c r="O374" s="1"/>
      <c r="P374" s="1"/>
      <c r="Q374" s="13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31"/>
      <c r="F375" s="131"/>
      <c r="G375" s="131"/>
      <c r="H375" s="1"/>
      <c r="I375" s="1"/>
      <c r="J375" s="1"/>
      <c r="K375" s="1"/>
      <c r="L375" s="1"/>
      <c r="M375" s="1"/>
      <c r="N375" s="1"/>
      <c r="O375" s="1"/>
      <c r="P375" s="1"/>
      <c r="Q375" s="13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31"/>
      <c r="F376" s="131"/>
      <c r="G376" s="131"/>
      <c r="H376" s="1"/>
      <c r="I376" s="1"/>
      <c r="J376" s="1"/>
      <c r="K376" s="1"/>
      <c r="L376" s="1"/>
      <c r="M376" s="1"/>
      <c r="N376" s="1"/>
      <c r="O376" s="1"/>
      <c r="P376" s="1"/>
      <c r="Q376" s="13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31"/>
      <c r="F377" s="131"/>
      <c r="G377" s="131"/>
      <c r="H377" s="1"/>
      <c r="I377" s="1"/>
      <c r="J377" s="1"/>
      <c r="K377" s="1"/>
      <c r="L377" s="1"/>
      <c r="M377" s="1"/>
      <c r="N377" s="1"/>
      <c r="O377" s="1"/>
      <c r="P377" s="1"/>
      <c r="Q377" s="13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31"/>
      <c r="F378" s="131"/>
      <c r="G378" s="131"/>
      <c r="H378" s="1"/>
      <c r="I378" s="1"/>
      <c r="J378" s="1"/>
      <c r="K378" s="1"/>
      <c r="L378" s="1"/>
      <c r="M378" s="1"/>
      <c r="N378" s="1"/>
      <c r="O378" s="1"/>
      <c r="P378" s="1"/>
      <c r="Q378" s="13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31"/>
      <c r="F379" s="131"/>
      <c r="G379" s="131"/>
      <c r="H379" s="1"/>
      <c r="I379" s="1"/>
      <c r="J379" s="1"/>
      <c r="K379" s="1"/>
      <c r="L379" s="1"/>
      <c r="M379" s="1"/>
      <c r="N379" s="1"/>
      <c r="O379" s="1"/>
      <c r="P379" s="1"/>
      <c r="Q379" s="13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31"/>
      <c r="F380" s="131"/>
      <c r="G380" s="131"/>
      <c r="H380" s="1"/>
      <c r="I380" s="1"/>
      <c r="J380" s="1"/>
      <c r="K380" s="1"/>
      <c r="L380" s="1"/>
      <c r="M380" s="1"/>
      <c r="N380" s="1"/>
      <c r="O380" s="1"/>
      <c r="P380" s="1"/>
      <c r="Q380" s="13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31"/>
      <c r="F381" s="131"/>
      <c r="G381" s="131"/>
      <c r="H381" s="1"/>
      <c r="I381" s="1"/>
      <c r="J381" s="1"/>
      <c r="K381" s="1"/>
      <c r="L381" s="1"/>
      <c r="M381" s="1"/>
      <c r="N381" s="1"/>
      <c r="O381" s="1"/>
      <c r="P381" s="1"/>
      <c r="Q381" s="13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31"/>
      <c r="F382" s="131"/>
      <c r="G382" s="131"/>
      <c r="H382" s="1"/>
      <c r="I382" s="1"/>
      <c r="J382" s="1"/>
      <c r="K382" s="1"/>
      <c r="L382" s="1"/>
      <c r="M382" s="1"/>
      <c r="N382" s="1"/>
      <c r="O382" s="1"/>
      <c r="P382" s="1"/>
      <c r="Q382" s="13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31"/>
      <c r="F383" s="131"/>
      <c r="G383" s="131"/>
      <c r="H383" s="1"/>
      <c r="I383" s="1"/>
      <c r="J383" s="1"/>
      <c r="K383" s="1"/>
      <c r="L383" s="1"/>
      <c r="M383" s="1"/>
      <c r="N383" s="1"/>
      <c r="O383" s="1"/>
      <c r="P383" s="1"/>
      <c r="Q383" s="13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31"/>
      <c r="F384" s="131"/>
      <c r="G384" s="131"/>
      <c r="H384" s="1"/>
      <c r="I384" s="1"/>
      <c r="J384" s="1"/>
      <c r="K384" s="1"/>
      <c r="L384" s="1"/>
      <c r="M384" s="1"/>
      <c r="N384" s="1"/>
      <c r="O384" s="1"/>
      <c r="P384" s="1"/>
      <c r="Q384" s="13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31"/>
      <c r="F385" s="131"/>
      <c r="G385" s="131"/>
      <c r="H385" s="1"/>
      <c r="I385" s="1"/>
      <c r="J385" s="1"/>
      <c r="K385" s="1"/>
      <c r="L385" s="1"/>
      <c r="M385" s="1"/>
      <c r="N385" s="1"/>
      <c r="O385" s="1"/>
      <c r="P385" s="1"/>
      <c r="Q385" s="13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31"/>
      <c r="F386" s="131"/>
      <c r="G386" s="131"/>
      <c r="H386" s="1"/>
      <c r="I386" s="1"/>
      <c r="J386" s="1"/>
      <c r="K386" s="1"/>
      <c r="L386" s="1"/>
      <c r="M386" s="1"/>
      <c r="N386" s="1"/>
      <c r="O386" s="1"/>
      <c r="P386" s="1"/>
      <c r="Q386" s="13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31"/>
      <c r="F387" s="131"/>
      <c r="G387" s="131"/>
      <c r="H387" s="1"/>
      <c r="I387" s="1"/>
      <c r="J387" s="1"/>
      <c r="K387" s="1"/>
      <c r="L387" s="1"/>
      <c r="M387" s="1"/>
      <c r="N387" s="1"/>
      <c r="O387" s="1"/>
      <c r="P387" s="1"/>
      <c r="Q387" s="13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31"/>
      <c r="F388" s="131"/>
      <c r="G388" s="131"/>
      <c r="H388" s="1"/>
      <c r="I388" s="1"/>
      <c r="J388" s="1"/>
      <c r="K388" s="1"/>
      <c r="L388" s="1"/>
      <c r="M388" s="1"/>
      <c r="N388" s="1"/>
      <c r="O388" s="1"/>
      <c r="P388" s="1"/>
      <c r="Q388" s="13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31"/>
      <c r="F389" s="131"/>
      <c r="G389" s="131"/>
      <c r="H389" s="1"/>
      <c r="I389" s="1"/>
      <c r="J389" s="1"/>
      <c r="K389" s="1"/>
      <c r="L389" s="1"/>
      <c r="M389" s="1"/>
      <c r="N389" s="1"/>
      <c r="O389" s="1"/>
      <c r="P389" s="1"/>
      <c r="Q389" s="13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31"/>
      <c r="F390" s="131"/>
      <c r="G390" s="131"/>
      <c r="H390" s="1"/>
      <c r="I390" s="1"/>
      <c r="J390" s="1"/>
      <c r="K390" s="1"/>
      <c r="L390" s="1"/>
      <c r="M390" s="1"/>
      <c r="N390" s="1"/>
      <c r="O390" s="1"/>
      <c r="P390" s="1"/>
      <c r="Q390" s="13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31"/>
      <c r="F391" s="131"/>
      <c r="G391" s="131"/>
      <c r="H391" s="1"/>
      <c r="I391" s="1"/>
      <c r="J391" s="1"/>
      <c r="K391" s="1"/>
      <c r="L391" s="1"/>
      <c r="M391" s="1"/>
      <c r="N391" s="1"/>
      <c r="O391" s="1"/>
      <c r="P391" s="1"/>
      <c r="Q391" s="13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31"/>
      <c r="F392" s="131"/>
      <c r="G392" s="131"/>
      <c r="H392" s="1"/>
      <c r="I392" s="1"/>
      <c r="J392" s="1"/>
      <c r="K392" s="1"/>
      <c r="L392" s="1"/>
      <c r="M392" s="1"/>
      <c r="N392" s="1"/>
      <c r="O392" s="1"/>
      <c r="P392" s="1"/>
      <c r="Q392" s="13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31"/>
      <c r="F393" s="131"/>
      <c r="G393" s="131"/>
      <c r="H393" s="1"/>
      <c r="I393" s="1"/>
      <c r="J393" s="1"/>
      <c r="K393" s="1"/>
      <c r="L393" s="1"/>
      <c r="M393" s="1"/>
      <c r="N393" s="1"/>
      <c r="O393" s="1"/>
      <c r="P393" s="1"/>
      <c r="Q393" s="13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31"/>
      <c r="F394" s="131"/>
      <c r="G394" s="131"/>
      <c r="H394" s="1"/>
      <c r="I394" s="1"/>
      <c r="J394" s="1"/>
      <c r="K394" s="1"/>
      <c r="L394" s="1"/>
      <c r="M394" s="1"/>
      <c r="N394" s="1"/>
      <c r="O394" s="1"/>
      <c r="P394" s="1"/>
      <c r="Q394" s="13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31"/>
      <c r="F395" s="131"/>
      <c r="G395" s="131"/>
      <c r="H395" s="1"/>
      <c r="I395" s="1"/>
      <c r="J395" s="1"/>
      <c r="K395" s="1"/>
      <c r="L395" s="1"/>
      <c r="M395" s="1"/>
      <c r="N395" s="1"/>
      <c r="O395" s="1"/>
      <c r="P395" s="1"/>
      <c r="Q395" s="13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31"/>
      <c r="F396" s="131"/>
      <c r="G396" s="131"/>
      <c r="H396" s="1"/>
      <c r="I396" s="1"/>
      <c r="J396" s="1"/>
      <c r="K396" s="1"/>
      <c r="L396" s="1"/>
      <c r="M396" s="1"/>
      <c r="N396" s="1"/>
      <c r="O396" s="1"/>
      <c r="P396" s="1"/>
      <c r="Q396" s="13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31"/>
      <c r="F397" s="131"/>
      <c r="G397" s="131"/>
      <c r="H397" s="1"/>
      <c r="I397" s="1"/>
      <c r="J397" s="1"/>
      <c r="K397" s="1"/>
      <c r="L397" s="1"/>
      <c r="M397" s="1"/>
      <c r="N397" s="1"/>
      <c r="O397" s="1"/>
      <c r="P397" s="1"/>
      <c r="Q397" s="13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31"/>
      <c r="F398" s="131"/>
      <c r="G398" s="131"/>
      <c r="H398" s="1"/>
      <c r="I398" s="1"/>
      <c r="J398" s="1"/>
      <c r="K398" s="1"/>
      <c r="L398" s="1"/>
      <c r="M398" s="1"/>
      <c r="N398" s="1"/>
      <c r="O398" s="1"/>
      <c r="P398" s="1"/>
      <c r="Q398" s="13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31"/>
      <c r="F399" s="131"/>
      <c r="G399" s="131"/>
      <c r="H399" s="1"/>
      <c r="I399" s="1"/>
      <c r="J399" s="1"/>
      <c r="K399" s="1"/>
      <c r="L399" s="1"/>
      <c r="M399" s="1"/>
      <c r="N399" s="1"/>
      <c r="O399" s="1"/>
      <c r="P399" s="1"/>
      <c r="Q399" s="13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31"/>
      <c r="F400" s="131"/>
      <c r="G400" s="131"/>
      <c r="H400" s="1"/>
      <c r="I400" s="1"/>
      <c r="J400" s="1"/>
      <c r="K400" s="1"/>
      <c r="L400" s="1"/>
      <c r="M400" s="1"/>
      <c r="N400" s="1"/>
      <c r="O400" s="1"/>
      <c r="P400" s="1"/>
      <c r="Q400" s="13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31"/>
      <c r="F401" s="131"/>
      <c r="G401" s="131"/>
      <c r="H401" s="1"/>
      <c r="I401" s="1"/>
      <c r="J401" s="1"/>
      <c r="K401" s="1"/>
      <c r="L401" s="1"/>
      <c r="M401" s="1"/>
      <c r="N401" s="1"/>
      <c r="O401" s="1"/>
      <c r="P401" s="1"/>
      <c r="Q401" s="13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31"/>
      <c r="F402" s="131"/>
      <c r="G402" s="131"/>
      <c r="H402" s="1"/>
      <c r="I402" s="1"/>
      <c r="J402" s="1"/>
      <c r="K402" s="1"/>
      <c r="L402" s="1"/>
      <c r="M402" s="1"/>
      <c r="N402" s="1"/>
      <c r="O402" s="1"/>
      <c r="P402" s="1"/>
      <c r="Q402" s="13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31"/>
      <c r="F403" s="131"/>
      <c r="G403" s="131"/>
      <c r="H403" s="1"/>
      <c r="I403" s="1"/>
      <c r="J403" s="1"/>
      <c r="K403" s="1"/>
      <c r="L403" s="1"/>
      <c r="M403" s="1"/>
      <c r="N403" s="1"/>
      <c r="O403" s="1"/>
      <c r="P403" s="1"/>
      <c r="Q403" s="13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31"/>
      <c r="F404" s="131"/>
      <c r="G404" s="131"/>
      <c r="H404" s="1"/>
      <c r="I404" s="1"/>
      <c r="J404" s="1"/>
      <c r="K404" s="1"/>
      <c r="L404" s="1"/>
      <c r="M404" s="1"/>
      <c r="N404" s="1"/>
      <c r="O404" s="1"/>
      <c r="P404" s="1"/>
      <c r="Q404" s="13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31"/>
      <c r="F405" s="131"/>
      <c r="G405" s="131"/>
      <c r="H405" s="1"/>
      <c r="I405" s="1"/>
      <c r="J405" s="1"/>
      <c r="K405" s="1"/>
      <c r="L405" s="1"/>
      <c r="M405" s="1"/>
      <c r="N405" s="1"/>
      <c r="O405" s="1"/>
      <c r="P405" s="1"/>
      <c r="Q405" s="13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31"/>
      <c r="F406" s="131"/>
      <c r="G406" s="131"/>
      <c r="H406" s="1"/>
      <c r="I406" s="1"/>
      <c r="J406" s="1"/>
      <c r="K406" s="1"/>
      <c r="L406" s="1"/>
      <c r="M406" s="1"/>
      <c r="N406" s="1"/>
      <c r="O406" s="1"/>
      <c r="P406" s="1"/>
      <c r="Q406" s="13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31"/>
      <c r="F407" s="131"/>
      <c r="G407" s="131"/>
      <c r="H407" s="1"/>
      <c r="I407" s="1"/>
      <c r="J407" s="1"/>
      <c r="K407" s="1"/>
      <c r="L407" s="1"/>
      <c r="M407" s="1"/>
      <c r="N407" s="1"/>
      <c r="O407" s="1"/>
      <c r="P407" s="1"/>
      <c r="Q407" s="13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31"/>
      <c r="F408" s="131"/>
      <c r="G408" s="131"/>
      <c r="H408" s="1"/>
      <c r="I408" s="1"/>
      <c r="J408" s="1"/>
      <c r="K408" s="1"/>
      <c r="L408" s="1"/>
      <c r="M408" s="1"/>
      <c r="N408" s="1"/>
      <c r="O408" s="1"/>
      <c r="P408" s="1"/>
      <c r="Q408" s="13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31"/>
      <c r="F409" s="131"/>
      <c r="G409" s="131"/>
      <c r="H409" s="1"/>
      <c r="I409" s="1"/>
      <c r="J409" s="1"/>
      <c r="K409" s="1"/>
      <c r="L409" s="1"/>
      <c r="M409" s="1"/>
      <c r="N409" s="1"/>
      <c r="O409" s="1"/>
      <c r="P409" s="1"/>
      <c r="Q409" s="13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31"/>
      <c r="F410" s="131"/>
      <c r="G410" s="131"/>
      <c r="H410" s="1"/>
      <c r="I410" s="1"/>
      <c r="J410" s="1"/>
      <c r="K410" s="1"/>
      <c r="L410" s="1"/>
      <c r="M410" s="1"/>
      <c r="N410" s="1"/>
      <c r="O410" s="1"/>
      <c r="P410" s="1"/>
      <c r="Q410" s="13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31"/>
      <c r="F411" s="131"/>
      <c r="G411" s="131"/>
      <c r="H411" s="1"/>
      <c r="I411" s="1"/>
      <c r="J411" s="1"/>
      <c r="K411" s="1"/>
      <c r="L411" s="1"/>
      <c r="M411" s="1"/>
      <c r="N411" s="1"/>
      <c r="O411" s="1"/>
      <c r="P411" s="1"/>
      <c r="Q411" s="13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31"/>
      <c r="F412" s="131"/>
      <c r="G412" s="131"/>
      <c r="H412" s="1"/>
      <c r="I412" s="1"/>
      <c r="J412" s="1"/>
      <c r="K412" s="1"/>
      <c r="L412" s="1"/>
      <c r="M412" s="1"/>
      <c r="N412" s="1"/>
      <c r="O412" s="1"/>
      <c r="P412" s="1"/>
      <c r="Q412" s="13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31"/>
      <c r="F413" s="131"/>
      <c r="G413" s="131"/>
      <c r="H413" s="1"/>
      <c r="I413" s="1"/>
      <c r="J413" s="1"/>
      <c r="K413" s="1"/>
      <c r="L413" s="1"/>
      <c r="M413" s="1"/>
      <c r="N413" s="1"/>
      <c r="O413" s="1"/>
      <c r="P413" s="1"/>
      <c r="Q413" s="13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31"/>
      <c r="F414" s="131"/>
      <c r="G414" s="131"/>
      <c r="H414" s="1"/>
      <c r="I414" s="1"/>
      <c r="J414" s="1"/>
      <c r="K414" s="1"/>
      <c r="L414" s="1"/>
      <c r="M414" s="1"/>
      <c r="N414" s="1"/>
      <c r="O414" s="1"/>
      <c r="P414" s="1"/>
      <c r="Q414" s="13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31"/>
      <c r="F415" s="131"/>
      <c r="G415" s="131"/>
      <c r="H415" s="1"/>
      <c r="I415" s="1"/>
      <c r="J415" s="1"/>
      <c r="K415" s="1"/>
      <c r="L415" s="1"/>
      <c r="M415" s="1"/>
      <c r="N415" s="1"/>
      <c r="O415" s="1"/>
      <c r="P415" s="1"/>
      <c r="Q415" s="13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31"/>
      <c r="F416" s="131"/>
      <c r="G416" s="131"/>
      <c r="H416" s="1"/>
      <c r="I416" s="1"/>
      <c r="J416" s="1"/>
      <c r="K416" s="1"/>
      <c r="L416" s="1"/>
      <c r="M416" s="1"/>
      <c r="N416" s="1"/>
      <c r="O416" s="1"/>
      <c r="P416" s="1"/>
      <c r="Q416" s="13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31"/>
      <c r="F417" s="131"/>
      <c r="G417" s="131"/>
      <c r="H417" s="1"/>
      <c r="I417" s="1"/>
      <c r="J417" s="1"/>
      <c r="K417" s="1"/>
      <c r="L417" s="1"/>
      <c r="M417" s="1"/>
      <c r="N417" s="1"/>
      <c r="O417" s="1"/>
      <c r="P417" s="1"/>
      <c r="Q417" s="13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31"/>
      <c r="F418" s="131"/>
      <c r="G418" s="131"/>
      <c r="H418" s="1"/>
      <c r="I418" s="1"/>
      <c r="J418" s="1"/>
      <c r="K418" s="1"/>
      <c r="L418" s="1"/>
      <c r="M418" s="1"/>
      <c r="N418" s="1"/>
      <c r="O418" s="1"/>
      <c r="P418" s="1"/>
      <c r="Q418" s="13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31"/>
      <c r="F419" s="131"/>
      <c r="G419" s="131"/>
      <c r="H419" s="1"/>
      <c r="I419" s="1"/>
      <c r="J419" s="1"/>
      <c r="K419" s="1"/>
      <c r="L419" s="1"/>
      <c r="M419" s="1"/>
      <c r="N419" s="1"/>
      <c r="O419" s="1"/>
      <c r="P419" s="1"/>
      <c r="Q419" s="13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31"/>
      <c r="F420" s="131"/>
      <c r="G420" s="131"/>
      <c r="H420" s="1"/>
      <c r="I420" s="1"/>
      <c r="J420" s="1"/>
      <c r="K420" s="1"/>
      <c r="L420" s="1"/>
      <c r="M420" s="1"/>
      <c r="N420" s="1"/>
      <c r="O420" s="1"/>
      <c r="P420" s="1"/>
      <c r="Q420" s="13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31"/>
      <c r="F421" s="131"/>
      <c r="G421" s="131"/>
      <c r="H421" s="1"/>
      <c r="I421" s="1"/>
      <c r="J421" s="1"/>
      <c r="K421" s="1"/>
      <c r="L421" s="1"/>
      <c r="M421" s="1"/>
      <c r="N421" s="1"/>
      <c r="O421" s="1"/>
      <c r="P421" s="1"/>
      <c r="Q421" s="13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31"/>
      <c r="F422" s="131"/>
      <c r="G422" s="131"/>
      <c r="H422" s="1"/>
      <c r="I422" s="1"/>
      <c r="J422" s="1"/>
      <c r="K422" s="1"/>
      <c r="L422" s="1"/>
      <c r="M422" s="1"/>
      <c r="N422" s="1"/>
      <c r="O422" s="1"/>
      <c r="P422" s="1"/>
      <c r="Q422" s="13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31"/>
      <c r="F423" s="131"/>
      <c r="G423" s="131"/>
      <c r="H423" s="1"/>
      <c r="I423" s="1"/>
      <c r="J423" s="1"/>
      <c r="K423" s="1"/>
      <c r="L423" s="1"/>
      <c r="M423" s="1"/>
      <c r="N423" s="1"/>
      <c r="O423" s="1"/>
      <c r="P423" s="1"/>
      <c r="Q423" s="13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31"/>
      <c r="F424" s="131"/>
      <c r="G424" s="131"/>
      <c r="H424" s="1"/>
      <c r="I424" s="1"/>
      <c r="J424" s="1"/>
      <c r="K424" s="1"/>
      <c r="L424" s="1"/>
      <c r="M424" s="1"/>
      <c r="N424" s="1"/>
      <c r="O424" s="1"/>
      <c r="P424" s="1"/>
      <c r="Q424" s="13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31"/>
      <c r="F425" s="131"/>
      <c r="G425" s="131"/>
      <c r="H425" s="1"/>
      <c r="I425" s="1"/>
      <c r="J425" s="1"/>
      <c r="K425" s="1"/>
      <c r="L425" s="1"/>
      <c r="M425" s="1"/>
      <c r="N425" s="1"/>
      <c r="O425" s="1"/>
      <c r="P425" s="1"/>
      <c r="Q425" s="13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31"/>
      <c r="F426" s="131"/>
      <c r="G426" s="131"/>
      <c r="H426" s="1"/>
      <c r="I426" s="1"/>
      <c r="J426" s="1"/>
      <c r="K426" s="1"/>
      <c r="L426" s="1"/>
      <c r="M426" s="1"/>
      <c r="N426" s="1"/>
      <c r="O426" s="1"/>
      <c r="P426" s="1"/>
      <c r="Q426" s="13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31"/>
      <c r="F427" s="131"/>
      <c r="G427" s="131"/>
      <c r="H427" s="1"/>
      <c r="I427" s="1"/>
      <c r="J427" s="1"/>
      <c r="K427" s="1"/>
      <c r="L427" s="1"/>
      <c r="M427" s="1"/>
      <c r="N427" s="1"/>
      <c r="O427" s="1"/>
      <c r="P427" s="1"/>
      <c r="Q427" s="13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31"/>
      <c r="F428" s="131"/>
      <c r="G428" s="131"/>
      <c r="H428" s="1"/>
      <c r="I428" s="1"/>
      <c r="J428" s="1"/>
      <c r="K428" s="1"/>
      <c r="L428" s="1"/>
      <c r="M428" s="1"/>
      <c r="N428" s="1"/>
      <c r="O428" s="1"/>
      <c r="P428" s="1"/>
      <c r="Q428" s="13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31"/>
      <c r="F429" s="131"/>
      <c r="G429" s="131"/>
      <c r="H429" s="1"/>
      <c r="I429" s="1"/>
      <c r="J429" s="1"/>
      <c r="K429" s="1"/>
      <c r="L429" s="1"/>
      <c r="M429" s="1"/>
      <c r="N429" s="1"/>
      <c r="O429" s="1"/>
      <c r="P429" s="1"/>
      <c r="Q429" s="13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31"/>
      <c r="F430" s="131"/>
      <c r="G430" s="131"/>
      <c r="H430" s="1"/>
      <c r="I430" s="1"/>
      <c r="J430" s="1"/>
      <c r="K430" s="1"/>
      <c r="L430" s="1"/>
      <c r="M430" s="1"/>
      <c r="N430" s="1"/>
      <c r="O430" s="1"/>
      <c r="P430" s="1"/>
      <c r="Q430" s="13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31"/>
      <c r="F431" s="131"/>
      <c r="G431" s="131"/>
      <c r="H431" s="1"/>
      <c r="I431" s="1"/>
      <c r="J431" s="1"/>
      <c r="K431" s="1"/>
      <c r="L431" s="1"/>
      <c r="M431" s="1"/>
      <c r="N431" s="1"/>
      <c r="O431" s="1"/>
      <c r="P431" s="1"/>
      <c r="Q431" s="13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31"/>
      <c r="F432" s="131"/>
      <c r="G432" s="131"/>
      <c r="H432" s="1"/>
      <c r="I432" s="1"/>
      <c r="J432" s="1"/>
      <c r="K432" s="1"/>
      <c r="L432" s="1"/>
      <c r="M432" s="1"/>
      <c r="N432" s="1"/>
      <c r="O432" s="1"/>
      <c r="P432" s="1"/>
      <c r="Q432" s="13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31"/>
      <c r="F433" s="131"/>
      <c r="G433" s="131"/>
      <c r="H433" s="1"/>
      <c r="I433" s="1"/>
      <c r="J433" s="1"/>
      <c r="K433" s="1"/>
      <c r="L433" s="1"/>
      <c r="M433" s="1"/>
      <c r="N433" s="1"/>
      <c r="O433" s="1"/>
      <c r="P433" s="1"/>
      <c r="Q433" s="13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31"/>
      <c r="F434" s="131"/>
      <c r="G434" s="131"/>
      <c r="H434" s="1"/>
      <c r="I434" s="1"/>
      <c r="J434" s="1"/>
      <c r="K434" s="1"/>
      <c r="L434" s="1"/>
      <c r="M434" s="1"/>
      <c r="N434" s="1"/>
      <c r="O434" s="1"/>
      <c r="P434" s="1"/>
      <c r="Q434" s="13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31"/>
      <c r="F435" s="131"/>
      <c r="G435" s="131"/>
      <c r="H435" s="1"/>
      <c r="I435" s="1"/>
      <c r="J435" s="1"/>
      <c r="K435" s="1"/>
      <c r="L435" s="1"/>
      <c r="M435" s="1"/>
      <c r="N435" s="1"/>
      <c r="O435" s="1"/>
      <c r="P435" s="1"/>
      <c r="Q435" s="13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31"/>
      <c r="F436" s="131"/>
      <c r="G436" s="131"/>
      <c r="H436" s="1"/>
      <c r="I436" s="1"/>
      <c r="J436" s="1"/>
      <c r="K436" s="1"/>
      <c r="L436" s="1"/>
      <c r="M436" s="1"/>
      <c r="N436" s="1"/>
      <c r="O436" s="1"/>
      <c r="P436" s="1"/>
      <c r="Q436" s="13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31"/>
      <c r="F437" s="131"/>
      <c r="G437" s="131"/>
      <c r="H437" s="1"/>
      <c r="I437" s="1"/>
      <c r="J437" s="1"/>
      <c r="K437" s="1"/>
      <c r="L437" s="1"/>
      <c r="M437" s="1"/>
      <c r="N437" s="1"/>
      <c r="O437" s="1"/>
      <c r="P437" s="1"/>
      <c r="Q437" s="13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31"/>
      <c r="F438" s="131"/>
      <c r="G438" s="131"/>
      <c r="H438" s="1"/>
      <c r="I438" s="1"/>
      <c r="J438" s="1"/>
      <c r="K438" s="1"/>
      <c r="L438" s="1"/>
      <c r="M438" s="1"/>
      <c r="N438" s="1"/>
      <c r="O438" s="1"/>
      <c r="P438" s="1"/>
      <c r="Q438" s="13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31"/>
      <c r="F439" s="131"/>
      <c r="G439" s="131"/>
      <c r="H439" s="1"/>
      <c r="I439" s="1"/>
      <c r="J439" s="1"/>
      <c r="K439" s="1"/>
      <c r="L439" s="1"/>
      <c r="M439" s="1"/>
      <c r="N439" s="1"/>
      <c r="O439" s="1"/>
      <c r="P439" s="1"/>
      <c r="Q439" s="13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31"/>
      <c r="F440" s="131"/>
      <c r="G440" s="131"/>
      <c r="H440" s="1"/>
      <c r="I440" s="1"/>
      <c r="J440" s="1"/>
      <c r="K440" s="1"/>
      <c r="L440" s="1"/>
      <c r="M440" s="1"/>
      <c r="N440" s="1"/>
      <c r="O440" s="1"/>
      <c r="P440" s="1"/>
      <c r="Q440" s="13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31"/>
      <c r="F441" s="131"/>
      <c r="G441" s="131"/>
      <c r="H441" s="1"/>
      <c r="I441" s="1"/>
      <c r="J441" s="1"/>
      <c r="K441" s="1"/>
      <c r="L441" s="1"/>
      <c r="M441" s="1"/>
      <c r="N441" s="1"/>
      <c r="O441" s="1"/>
      <c r="P441" s="1"/>
      <c r="Q441" s="13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31"/>
      <c r="F442" s="131"/>
      <c r="G442" s="131"/>
      <c r="H442" s="1"/>
      <c r="I442" s="1"/>
      <c r="J442" s="1"/>
      <c r="K442" s="1"/>
      <c r="L442" s="1"/>
      <c r="M442" s="1"/>
      <c r="N442" s="1"/>
      <c r="O442" s="1"/>
      <c r="P442" s="1"/>
      <c r="Q442" s="13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31"/>
      <c r="F443" s="131"/>
      <c r="G443" s="131"/>
      <c r="H443" s="1"/>
      <c r="I443" s="1"/>
      <c r="J443" s="1"/>
      <c r="K443" s="1"/>
      <c r="L443" s="1"/>
      <c r="M443" s="1"/>
      <c r="N443" s="1"/>
      <c r="O443" s="1"/>
      <c r="P443" s="1"/>
      <c r="Q443" s="13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31"/>
      <c r="F444" s="131"/>
      <c r="G444" s="131"/>
      <c r="H444" s="1"/>
      <c r="I444" s="1"/>
      <c r="J444" s="1"/>
      <c r="K444" s="1"/>
      <c r="L444" s="1"/>
      <c r="M444" s="1"/>
      <c r="N444" s="1"/>
      <c r="O444" s="1"/>
      <c r="P444" s="1"/>
      <c r="Q444" s="13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31"/>
      <c r="F445" s="131"/>
      <c r="G445" s="131"/>
      <c r="H445" s="1"/>
      <c r="I445" s="1"/>
      <c r="J445" s="1"/>
      <c r="K445" s="1"/>
      <c r="L445" s="1"/>
      <c r="M445" s="1"/>
      <c r="N445" s="1"/>
      <c r="O445" s="1"/>
      <c r="P445" s="1"/>
      <c r="Q445" s="13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31"/>
      <c r="F446" s="131"/>
      <c r="G446" s="131"/>
      <c r="H446" s="1"/>
      <c r="I446" s="1"/>
      <c r="J446" s="1"/>
      <c r="K446" s="1"/>
      <c r="L446" s="1"/>
      <c r="M446" s="1"/>
      <c r="N446" s="1"/>
      <c r="O446" s="1"/>
      <c r="P446" s="1"/>
      <c r="Q446" s="13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31"/>
      <c r="F447" s="131"/>
      <c r="G447" s="131"/>
      <c r="H447" s="1"/>
      <c r="I447" s="1"/>
      <c r="J447" s="1"/>
      <c r="K447" s="1"/>
      <c r="L447" s="1"/>
      <c r="M447" s="1"/>
      <c r="N447" s="1"/>
      <c r="O447" s="1"/>
      <c r="P447" s="1"/>
      <c r="Q447" s="13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31"/>
      <c r="F448" s="131"/>
      <c r="G448" s="131"/>
      <c r="H448" s="1"/>
      <c r="I448" s="1"/>
      <c r="J448" s="1"/>
      <c r="K448" s="1"/>
      <c r="L448" s="1"/>
      <c r="M448" s="1"/>
      <c r="N448" s="1"/>
      <c r="O448" s="1"/>
      <c r="P448" s="1"/>
      <c r="Q448" s="13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31"/>
      <c r="F449" s="131"/>
      <c r="G449" s="131"/>
      <c r="H449" s="1"/>
      <c r="I449" s="1"/>
      <c r="J449" s="1"/>
      <c r="K449" s="1"/>
      <c r="L449" s="1"/>
      <c r="M449" s="1"/>
      <c r="N449" s="1"/>
      <c r="O449" s="1"/>
      <c r="P449" s="1"/>
      <c r="Q449" s="13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31"/>
      <c r="F450" s="131"/>
      <c r="G450" s="131"/>
      <c r="H450" s="1"/>
      <c r="I450" s="1"/>
      <c r="J450" s="1"/>
      <c r="K450" s="1"/>
      <c r="L450" s="1"/>
      <c r="M450" s="1"/>
      <c r="N450" s="1"/>
      <c r="O450" s="1"/>
      <c r="P450" s="1"/>
      <c r="Q450" s="13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31"/>
      <c r="F451" s="131"/>
      <c r="G451" s="131"/>
      <c r="H451" s="1"/>
      <c r="I451" s="1"/>
      <c r="J451" s="1"/>
      <c r="K451" s="1"/>
      <c r="L451" s="1"/>
      <c r="M451" s="1"/>
      <c r="N451" s="1"/>
      <c r="O451" s="1"/>
      <c r="P451" s="1"/>
      <c r="Q451" s="13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31"/>
      <c r="F452" s="131"/>
      <c r="G452" s="131"/>
      <c r="H452" s="1"/>
      <c r="I452" s="1"/>
      <c r="J452" s="1"/>
      <c r="K452" s="1"/>
      <c r="L452" s="1"/>
      <c r="M452" s="1"/>
      <c r="N452" s="1"/>
      <c r="O452" s="1"/>
      <c r="P452" s="1"/>
      <c r="Q452" s="13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31"/>
      <c r="F453" s="131"/>
      <c r="G453" s="131"/>
      <c r="H453" s="1"/>
      <c r="I453" s="1"/>
      <c r="J453" s="1"/>
      <c r="K453" s="1"/>
      <c r="L453" s="1"/>
      <c r="M453" s="1"/>
      <c r="N453" s="1"/>
      <c r="O453" s="1"/>
      <c r="P453" s="1"/>
      <c r="Q453" s="13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31"/>
      <c r="F454" s="131"/>
      <c r="G454" s="131"/>
      <c r="H454" s="1"/>
      <c r="I454" s="1"/>
      <c r="J454" s="1"/>
      <c r="K454" s="1"/>
      <c r="L454" s="1"/>
      <c r="M454" s="1"/>
      <c r="N454" s="1"/>
      <c r="O454" s="1"/>
      <c r="P454" s="1"/>
      <c r="Q454" s="13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31"/>
      <c r="F455" s="131"/>
      <c r="G455" s="131"/>
      <c r="H455" s="1"/>
      <c r="I455" s="1"/>
      <c r="J455" s="1"/>
      <c r="K455" s="1"/>
      <c r="L455" s="1"/>
      <c r="M455" s="1"/>
      <c r="N455" s="1"/>
      <c r="O455" s="1"/>
      <c r="P455" s="1"/>
      <c r="Q455" s="13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31"/>
      <c r="F456" s="131"/>
      <c r="G456" s="131"/>
      <c r="H456" s="1"/>
      <c r="I456" s="1"/>
      <c r="J456" s="1"/>
      <c r="K456" s="1"/>
      <c r="L456" s="1"/>
      <c r="M456" s="1"/>
      <c r="N456" s="1"/>
      <c r="O456" s="1"/>
      <c r="P456" s="1"/>
      <c r="Q456" s="13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31"/>
      <c r="F457" s="131"/>
      <c r="G457" s="131"/>
      <c r="H457" s="1"/>
      <c r="I457" s="1"/>
      <c r="J457" s="1"/>
      <c r="K457" s="1"/>
      <c r="L457" s="1"/>
      <c r="M457" s="1"/>
      <c r="N457" s="1"/>
      <c r="O457" s="1"/>
      <c r="P457" s="1"/>
      <c r="Q457" s="13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31"/>
      <c r="F458" s="131"/>
      <c r="G458" s="131"/>
      <c r="H458" s="1"/>
      <c r="I458" s="1"/>
      <c r="J458" s="1"/>
      <c r="K458" s="1"/>
      <c r="L458" s="1"/>
      <c r="M458" s="1"/>
      <c r="N458" s="1"/>
      <c r="O458" s="1"/>
      <c r="P458" s="1"/>
      <c r="Q458" s="13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31"/>
      <c r="F459" s="131"/>
      <c r="G459" s="131"/>
      <c r="H459" s="1"/>
      <c r="I459" s="1"/>
      <c r="J459" s="1"/>
      <c r="K459" s="1"/>
      <c r="L459" s="1"/>
      <c r="M459" s="1"/>
      <c r="N459" s="1"/>
      <c r="O459" s="1"/>
      <c r="P459" s="1"/>
      <c r="Q459" s="13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31"/>
      <c r="F460" s="131"/>
      <c r="G460" s="131"/>
      <c r="H460" s="1"/>
      <c r="I460" s="1"/>
      <c r="J460" s="1"/>
      <c r="K460" s="1"/>
      <c r="L460" s="1"/>
      <c r="M460" s="1"/>
      <c r="N460" s="1"/>
      <c r="O460" s="1"/>
      <c r="P460" s="1"/>
      <c r="Q460" s="13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31"/>
      <c r="F461" s="131"/>
      <c r="G461" s="131"/>
      <c r="H461" s="1"/>
      <c r="I461" s="1"/>
      <c r="J461" s="1"/>
      <c r="K461" s="1"/>
      <c r="L461" s="1"/>
      <c r="M461" s="1"/>
      <c r="N461" s="1"/>
      <c r="O461" s="1"/>
      <c r="P461" s="1"/>
      <c r="Q461" s="13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31"/>
      <c r="F462" s="131"/>
      <c r="G462" s="131"/>
      <c r="H462" s="1"/>
      <c r="I462" s="1"/>
      <c r="J462" s="1"/>
      <c r="K462" s="1"/>
      <c r="L462" s="1"/>
      <c r="M462" s="1"/>
      <c r="N462" s="1"/>
      <c r="O462" s="1"/>
      <c r="P462" s="1"/>
      <c r="Q462" s="13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31"/>
      <c r="F463" s="131"/>
      <c r="G463" s="131"/>
      <c r="H463" s="1"/>
      <c r="I463" s="1"/>
      <c r="J463" s="1"/>
      <c r="K463" s="1"/>
      <c r="L463" s="1"/>
      <c r="M463" s="1"/>
      <c r="N463" s="1"/>
      <c r="O463" s="1"/>
      <c r="P463" s="1"/>
      <c r="Q463" s="13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31"/>
      <c r="F464" s="131"/>
      <c r="G464" s="131"/>
      <c r="H464" s="1"/>
      <c r="I464" s="1"/>
      <c r="J464" s="1"/>
      <c r="K464" s="1"/>
      <c r="L464" s="1"/>
      <c r="M464" s="1"/>
      <c r="N464" s="1"/>
      <c r="O464" s="1"/>
      <c r="P464" s="1"/>
      <c r="Q464" s="13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31"/>
      <c r="F465" s="131"/>
      <c r="G465" s="131"/>
      <c r="H465" s="1"/>
      <c r="I465" s="1"/>
      <c r="J465" s="1"/>
      <c r="K465" s="1"/>
      <c r="L465" s="1"/>
      <c r="M465" s="1"/>
      <c r="N465" s="1"/>
      <c r="O465" s="1"/>
      <c r="P465" s="1"/>
      <c r="Q465" s="13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31"/>
      <c r="F466" s="131"/>
      <c r="G466" s="131"/>
      <c r="H466" s="1"/>
      <c r="I466" s="1"/>
      <c r="J466" s="1"/>
      <c r="K466" s="1"/>
      <c r="L466" s="1"/>
      <c r="M466" s="1"/>
      <c r="N466" s="1"/>
      <c r="O466" s="1"/>
      <c r="P466" s="1"/>
      <c r="Q466" s="13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31"/>
      <c r="F467" s="131"/>
      <c r="G467" s="131"/>
      <c r="H467" s="1"/>
      <c r="I467" s="1"/>
      <c r="J467" s="1"/>
      <c r="K467" s="1"/>
      <c r="L467" s="1"/>
      <c r="M467" s="1"/>
      <c r="N467" s="1"/>
      <c r="O467" s="1"/>
      <c r="P467" s="1"/>
      <c r="Q467" s="13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31"/>
      <c r="F468" s="131"/>
      <c r="G468" s="131"/>
      <c r="H468" s="1"/>
      <c r="I468" s="1"/>
      <c r="J468" s="1"/>
      <c r="K468" s="1"/>
      <c r="L468" s="1"/>
      <c r="M468" s="1"/>
      <c r="N468" s="1"/>
      <c r="O468" s="1"/>
      <c r="P468" s="1"/>
      <c r="Q468" s="13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31"/>
      <c r="F469" s="131"/>
      <c r="G469" s="131"/>
      <c r="H469" s="1"/>
      <c r="I469" s="1"/>
      <c r="J469" s="1"/>
      <c r="K469" s="1"/>
      <c r="L469" s="1"/>
      <c r="M469" s="1"/>
      <c r="N469" s="1"/>
      <c r="O469" s="1"/>
      <c r="P469" s="1"/>
      <c r="Q469" s="13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31"/>
      <c r="F470" s="131"/>
      <c r="G470" s="131"/>
      <c r="H470" s="1"/>
      <c r="I470" s="1"/>
      <c r="J470" s="1"/>
      <c r="K470" s="1"/>
      <c r="L470" s="1"/>
      <c r="M470" s="1"/>
      <c r="N470" s="1"/>
      <c r="O470" s="1"/>
      <c r="P470" s="1"/>
      <c r="Q470" s="13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31"/>
      <c r="F471" s="131"/>
      <c r="G471" s="131"/>
      <c r="H471" s="1"/>
      <c r="I471" s="1"/>
      <c r="J471" s="1"/>
      <c r="K471" s="1"/>
      <c r="L471" s="1"/>
      <c r="M471" s="1"/>
      <c r="N471" s="1"/>
      <c r="O471" s="1"/>
      <c r="P471" s="1"/>
      <c r="Q471" s="13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31"/>
      <c r="F472" s="131"/>
      <c r="G472" s="131"/>
      <c r="H472" s="1"/>
      <c r="I472" s="1"/>
      <c r="J472" s="1"/>
      <c r="K472" s="1"/>
      <c r="L472" s="1"/>
      <c r="M472" s="1"/>
      <c r="N472" s="1"/>
      <c r="O472" s="1"/>
      <c r="P472" s="1"/>
      <c r="Q472" s="13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31"/>
      <c r="F473" s="131"/>
      <c r="G473" s="131"/>
      <c r="H473" s="1"/>
      <c r="I473" s="1"/>
      <c r="J473" s="1"/>
      <c r="K473" s="1"/>
      <c r="L473" s="1"/>
      <c r="M473" s="1"/>
      <c r="N473" s="1"/>
      <c r="O473" s="1"/>
      <c r="P473" s="1"/>
      <c r="Q473" s="13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31"/>
      <c r="F474" s="131"/>
      <c r="G474" s="131"/>
      <c r="H474" s="1"/>
      <c r="I474" s="1"/>
      <c r="J474" s="1"/>
      <c r="K474" s="1"/>
      <c r="L474" s="1"/>
      <c r="M474" s="1"/>
      <c r="N474" s="1"/>
      <c r="O474" s="1"/>
      <c r="P474" s="1"/>
      <c r="Q474" s="13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31"/>
      <c r="F475" s="131"/>
      <c r="G475" s="131"/>
      <c r="H475" s="1"/>
      <c r="I475" s="1"/>
      <c r="J475" s="1"/>
      <c r="K475" s="1"/>
      <c r="L475" s="1"/>
      <c r="M475" s="1"/>
      <c r="N475" s="1"/>
      <c r="O475" s="1"/>
      <c r="P475" s="1"/>
      <c r="Q475" s="13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31"/>
      <c r="F476" s="131"/>
      <c r="G476" s="131"/>
      <c r="H476" s="1"/>
      <c r="I476" s="1"/>
      <c r="J476" s="1"/>
      <c r="K476" s="1"/>
      <c r="L476" s="1"/>
      <c r="M476" s="1"/>
      <c r="N476" s="1"/>
      <c r="O476" s="1"/>
      <c r="P476" s="1"/>
      <c r="Q476" s="13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31"/>
      <c r="F477" s="131"/>
      <c r="G477" s="131"/>
      <c r="H477" s="1"/>
      <c r="I477" s="1"/>
      <c r="J477" s="1"/>
      <c r="K477" s="1"/>
      <c r="L477" s="1"/>
      <c r="M477" s="1"/>
      <c r="N477" s="1"/>
      <c r="O477" s="1"/>
      <c r="P477" s="1"/>
      <c r="Q477" s="13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31"/>
      <c r="F478" s="131"/>
      <c r="G478" s="131"/>
      <c r="H478" s="1"/>
      <c r="I478" s="1"/>
      <c r="J478" s="1"/>
      <c r="K478" s="1"/>
      <c r="L478" s="1"/>
      <c r="M478" s="1"/>
      <c r="N478" s="1"/>
      <c r="O478" s="1"/>
      <c r="P478" s="1"/>
      <c r="Q478" s="13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31"/>
      <c r="F479" s="131"/>
      <c r="G479" s="131"/>
      <c r="H479" s="1"/>
      <c r="I479" s="1"/>
      <c r="J479" s="1"/>
      <c r="K479" s="1"/>
      <c r="L479" s="1"/>
      <c r="M479" s="1"/>
      <c r="N479" s="1"/>
      <c r="O479" s="1"/>
      <c r="P479" s="1"/>
      <c r="Q479" s="13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31"/>
      <c r="F480" s="131"/>
      <c r="G480" s="131"/>
      <c r="H480" s="1"/>
      <c r="I480" s="1"/>
      <c r="J480" s="1"/>
      <c r="K480" s="1"/>
      <c r="L480" s="1"/>
      <c r="M480" s="1"/>
      <c r="N480" s="1"/>
      <c r="O480" s="1"/>
      <c r="P480" s="1"/>
      <c r="Q480" s="13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31"/>
      <c r="F481" s="131"/>
      <c r="G481" s="131"/>
      <c r="H481" s="1"/>
      <c r="I481" s="1"/>
      <c r="J481" s="1"/>
      <c r="K481" s="1"/>
      <c r="L481" s="1"/>
      <c r="M481" s="1"/>
      <c r="N481" s="1"/>
      <c r="O481" s="1"/>
      <c r="P481" s="1"/>
      <c r="Q481" s="13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31"/>
      <c r="F482" s="131"/>
      <c r="G482" s="131"/>
      <c r="H482" s="1"/>
      <c r="I482" s="1"/>
      <c r="J482" s="1"/>
      <c r="K482" s="1"/>
      <c r="L482" s="1"/>
      <c r="M482" s="1"/>
      <c r="N482" s="1"/>
      <c r="O482" s="1"/>
      <c r="P482" s="1"/>
      <c r="Q482" s="13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31"/>
      <c r="F483" s="131"/>
      <c r="G483" s="131"/>
      <c r="H483" s="1"/>
      <c r="I483" s="1"/>
      <c r="J483" s="1"/>
      <c r="K483" s="1"/>
      <c r="L483" s="1"/>
      <c r="M483" s="1"/>
      <c r="N483" s="1"/>
      <c r="O483" s="1"/>
      <c r="P483" s="1"/>
      <c r="Q483" s="13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31"/>
      <c r="F484" s="131"/>
      <c r="G484" s="131"/>
      <c r="H484" s="1"/>
      <c r="I484" s="1"/>
      <c r="J484" s="1"/>
      <c r="K484" s="1"/>
      <c r="L484" s="1"/>
      <c r="M484" s="1"/>
      <c r="N484" s="1"/>
      <c r="O484" s="1"/>
      <c r="P484" s="1"/>
      <c r="Q484" s="13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31"/>
      <c r="F485" s="131"/>
      <c r="G485" s="131"/>
      <c r="H485" s="1"/>
      <c r="I485" s="1"/>
      <c r="J485" s="1"/>
      <c r="K485" s="1"/>
      <c r="L485" s="1"/>
      <c r="M485" s="1"/>
      <c r="N485" s="1"/>
      <c r="O485" s="1"/>
      <c r="P485" s="1"/>
      <c r="Q485" s="13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31"/>
      <c r="F486" s="131"/>
      <c r="G486" s="131"/>
      <c r="H486" s="1"/>
      <c r="I486" s="1"/>
      <c r="J486" s="1"/>
      <c r="K486" s="1"/>
      <c r="L486" s="1"/>
      <c r="M486" s="1"/>
      <c r="N486" s="1"/>
      <c r="O486" s="1"/>
      <c r="P486" s="1"/>
      <c r="Q486" s="13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31"/>
      <c r="F487" s="131"/>
      <c r="G487" s="131"/>
      <c r="H487" s="1"/>
      <c r="I487" s="1"/>
      <c r="J487" s="1"/>
      <c r="K487" s="1"/>
      <c r="L487" s="1"/>
      <c r="M487" s="1"/>
      <c r="N487" s="1"/>
      <c r="O487" s="1"/>
      <c r="P487" s="1"/>
      <c r="Q487" s="13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31"/>
      <c r="F488" s="131"/>
      <c r="G488" s="131"/>
      <c r="H488" s="1"/>
      <c r="I488" s="1"/>
      <c r="J488" s="1"/>
      <c r="K488" s="1"/>
      <c r="L488" s="1"/>
      <c r="M488" s="1"/>
      <c r="N488" s="1"/>
      <c r="O488" s="1"/>
      <c r="P488" s="1"/>
      <c r="Q488" s="13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31"/>
      <c r="F489" s="131"/>
      <c r="G489" s="131"/>
      <c r="H489" s="1"/>
      <c r="I489" s="1"/>
      <c r="J489" s="1"/>
      <c r="K489" s="1"/>
      <c r="L489" s="1"/>
      <c r="M489" s="1"/>
      <c r="N489" s="1"/>
      <c r="O489" s="1"/>
      <c r="P489" s="1"/>
      <c r="Q489" s="13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31"/>
      <c r="F490" s="131"/>
      <c r="G490" s="131"/>
      <c r="H490" s="1"/>
      <c r="I490" s="1"/>
      <c r="J490" s="1"/>
      <c r="K490" s="1"/>
      <c r="L490" s="1"/>
      <c r="M490" s="1"/>
      <c r="N490" s="1"/>
      <c r="O490" s="1"/>
      <c r="P490" s="1"/>
      <c r="Q490" s="13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31"/>
      <c r="F491" s="131"/>
      <c r="G491" s="131"/>
      <c r="H491" s="1"/>
      <c r="I491" s="1"/>
      <c r="J491" s="1"/>
      <c r="K491" s="1"/>
      <c r="L491" s="1"/>
      <c r="M491" s="1"/>
      <c r="N491" s="1"/>
      <c r="O491" s="1"/>
      <c r="P491" s="1"/>
      <c r="Q491" s="13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31"/>
      <c r="F492" s="131"/>
      <c r="G492" s="131"/>
      <c r="H492" s="1"/>
      <c r="I492" s="1"/>
      <c r="J492" s="1"/>
      <c r="K492" s="1"/>
      <c r="L492" s="1"/>
      <c r="M492" s="1"/>
      <c r="N492" s="1"/>
      <c r="O492" s="1"/>
      <c r="P492" s="1"/>
      <c r="Q492" s="13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31"/>
      <c r="F493" s="131"/>
      <c r="G493" s="131"/>
      <c r="H493" s="1"/>
      <c r="I493" s="1"/>
      <c r="J493" s="1"/>
      <c r="K493" s="1"/>
      <c r="L493" s="1"/>
      <c r="M493" s="1"/>
      <c r="N493" s="1"/>
      <c r="O493" s="1"/>
      <c r="P493" s="1"/>
      <c r="Q493" s="13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31"/>
      <c r="F494" s="131"/>
      <c r="G494" s="131"/>
      <c r="H494" s="1"/>
      <c r="I494" s="1"/>
      <c r="J494" s="1"/>
      <c r="K494" s="1"/>
      <c r="L494" s="1"/>
      <c r="M494" s="1"/>
      <c r="N494" s="1"/>
      <c r="O494" s="1"/>
      <c r="P494" s="1"/>
      <c r="Q494" s="13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31"/>
      <c r="F495" s="131"/>
      <c r="G495" s="131"/>
      <c r="H495" s="1"/>
      <c r="I495" s="1"/>
      <c r="J495" s="1"/>
      <c r="K495" s="1"/>
      <c r="L495" s="1"/>
      <c r="M495" s="1"/>
      <c r="N495" s="1"/>
      <c r="O495" s="1"/>
      <c r="P495" s="1"/>
      <c r="Q495" s="13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31"/>
      <c r="F496" s="131"/>
      <c r="G496" s="131"/>
      <c r="H496" s="1"/>
      <c r="I496" s="1"/>
      <c r="J496" s="1"/>
      <c r="K496" s="1"/>
      <c r="L496" s="1"/>
      <c r="M496" s="1"/>
      <c r="N496" s="1"/>
      <c r="O496" s="1"/>
      <c r="P496" s="1"/>
      <c r="Q496" s="13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31"/>
      <c r="F497" s="131"/>
      <c r="G497" s="131"/>
      <c r="H497" s="1"/>
      <c r="I497" s="1"/>
      <c r="J497" s="1"/>
      <c r="K497" s="1"/>
      <c r="L497" s="1"/>
      <c r="M497" s="1"/>
      <c r="N497" s="1"/>
      <c r="O497" s="1"/>
      <c r="P497" s="1"/>
      <c r="Q497" s="13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31"/>
      <c r="F498" s="131"/>
      <c r="G498" s="131"/>
      <c r="H498" s="1"/>
      <c r="I498" s="1"/>
      <c r="J498" s="1"/>
      <c r="K498" s="1"/>
      <c r="L498" s="1"/>
      <c r="M498" s="1"/>
      <c r="N498" s="1"/>
      <c r="O498" s="1"/>
      <c r="P498" s="1"/>
      <c r="Q498" s="13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31"/>
      <c r="F499" s="131"/>
      <c r="G499" s="131"/>
      <c r="H499" s="1"/>
      <c r="I499" s="1"/>
      <c r="J499" s="1"/>
      <c r="K499" s="1"/>
      <c r="L499" s="1"/>
      <c r="M499" s="1"/>
      <c r="N499" s="1"/>
      <c r="O499" s="1"/>
      <c r="P499" s="1"/>
      <c r="Q499" s="13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31"/>
      <c r="F500" s="131"/>
      <c r="G500" s="131"/>
      <c r="H500" s="1"/>
      <c r="I500" s="1"/>
      <c r="J500" s="1"/>
      <c r="K500" s="1"/>
      <c r="L500" s="1"/>
      <c r="M500" s="1"/>
      <c r="N500" s="1"/>
      <c r="O500" s="1"/>
      <c r="P500" s="1"/>
      <c r="Q500" s="13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31"/>
      <c r="F501" s="131"/>
      <c r="G501" s="131"/>
      <c r="H501" s="1"/>
      <c r="I501" s="1"/>
      <c r="J501" s="1"/>
      <c r="K501" s="1"/>
      <c r="L501" s="1"/>
      <c r="M501" s="1"/>
      <c r="N501" s="1"/>
      <c r="O501" s="1"/>
      <c r="P501" s="1"/>
      <c r="Q501" s="13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31"/>
      <c r="F502" s="131"/>
      <c r="G502" s="131"/>
      <c r="H502" s="1"/>
      <c r="I502" s="1"/>
      <c r="J502" s="1"/>
      <c r="K502" s="1"/>
      <c r="L502" s="1"/>
      <c r="M502" s="1"/>
      <c r="N502" s="1"/>
      <c r="O502" s="1"/>
      <c r="P502" s="1"/>
      <c r="Q502" s="13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31"/>
      <c r="F503" s="131"/>
      <c r="G503" s="131"/>
      <c r="H503" s="1"/>
      <c r="I503" s="1"/>
      <c r="J503" s="1"/>
      <c r="K503" s="1"/>
      <c r="L503" s="1"/>
      <c r="M503" s="1"/>
      <c r="N503" s="1"/>
      <c r="O503" s="1"/>
      <c r="P503" s="1"/>
      <c r="Q503" s="13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31"/>
      <c r="F504" s="131"/>
      <c r="G504" s="131"/>
      <c r="H504" s="1"/>
      <c r="I504" s="1"/>
      <c r="J504" s="1"/>
      <c r="K504" s="1"/>
      <c r="L504" s="1"/>
      <c r="M504" s="1"/>
      <c r="N504" s="1"/>
      <c r="O504" s="1"/>
      <c r="P504" s="1"/>
      <c r="Q504" s="13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31"/>
      <c r="F505" s="131"/>
      <c r="G505" s="131"/>
      <c r="H505" s="1"/>
      <c r="I505" s="1"/>
      <c r="J505" s="1"/>
      <c r="K505" s="1"/>
      <c r="L505" s="1"/>
      <c r="M505" s="1"/>
      <c r="N505" s="1"/>
      <c r="O505" s="1"/>
      <c r="P505" s="1"/>
      <c r="Q505" s="13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31"/>
      <c r="F506" s="131"/>
      <c r="G506" s="131"/>
      <c r="H506" s="1"/>
      <c r="I506" s="1"/>
      <c r="J506" s="1"/>
      <c r="K506" s="1"/>
      <c r="L506" s="1"/>
      <c r="M506" s="1"/>
      <c r="N506" s="1"/>
      <c r="O506" s="1"/>
      <c r="P506" s="1"/>
      <c r="Q506" s="13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31"/>
      <c r="F507" s="131"/>
      <c r="G507" s="131"/>
      <c r="H507" s="1"/>
      <c r="I507" s="1"/>
      <c r="J507" s="1"/>
      <c r="K507" s="1"/>
      <c r="L507" s="1"/>
      <c r="M507" s="1"/>
      <c r="N507" s="1"/>
      <c r="O507" s="1"/>
      <c r="P507" s="1"/>
      <c r="Q507" s="13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31"/>
      <c r="F508" s="131"/>
      <c r="G508" s="131"/>
      <c r="H508" s="1"/>
      <c r="I508" s="1"/>
      <c r="J508" s="1"/>
      <c r="K508" s="1"/>
      <c r="L508" s="1"/>
      <c r="M508" s="1"/>
      <c r="N508" s="1"/>
      <c r="O508" s="1"/>
      <c r="P508" s="1"/>
      <c r="Q508" s="13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31"/>
      <c r="F509" s="131"/>
      <c r="G509" s="131"/>
      <c r="H509" s="1"/>
      <c r="I509" s="1"/>
      <c r="J509" s="1"/>
      <c r="K509" s="1"/>
      <c r="L509" s="1"/>
      <c r="M509" s="1"/>
      <c r="N509" s="1"/>
      <c r="O509" s="1"/>
      <c r="P509" s="1"/>
      <c r="Q509" s="13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31"/>
      <c r="F510" s="131"/>
      <c r="G510" s="131"/>
      <c r="H510" s="1"/>
      <c r="I510" s="1"/>
      <c r="J510" s="1"/>
      <c r="K510" s="1"/>
      <c r="L510" s="1"/>
      <c r="M510" s="1"/>
      <c r="N510" s="1"/>
      <c r="O510" s="1"/>
      <c r="P510" s="1"/>
      <c r="Q510" s="13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31"/>
      <c r="F511" s="131"/>
      <c r="G511" s="131"/>
      <c r="H511" s="1"/>
      <c r="I511" s="1"/>
      <c r="J511" s="1"/>
      <c r="K511" s="1"/>
      <c r="L511" s="1"/>
      <c r="M511" s="1"/>
      <c r="N511" s="1"/>
      <c r="O511" s="1"/>
      <c r="P511" s="1"/>
      <c r="Q511" s="13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31"/>
      <c r="F512" s="131"/>
      <c r="G512" s="131"/>
      <c r="H512" s="1"/>
      <c r="I512" s="1"/>
      <c r="J512" s="1"/>
      <c r="K512" s="1"/>
      <c r="L512" s="1"/>
      <c r="M512" s="1"/>
      <c r="N512" s="1"/>
      <c r="O512" s="1"/>
      <c r="P512" s="1"/>
      <c r="Q512" s="13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31"/>
      <c r="F513" s="131"/>
      <c r="G513" s="131"/>
      <c r="H513" s="1"/>
      <c r="I513" s="1"/>
      <c r="J513" s="1"/>
      <c r="K513" s="1"/>
      <c r="L513" s="1"/>
      <c r="M513" s="1"/>
      <c r="N513" s="1"/>
      <c r="O513" s="1"/>
      <c r="P513" s="1"/>
      <c r="Q513" s="13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31"/>
      <c r="F514" s="131"/>
      <c r="G514" s="131"/>
      <c r="H514" s="1"/>
      <c r="I514" s="1"/>
      <c r="J514" s="1"/>
      <c r="K514" s="1"/>
      <c r="L514" s="1"/>
      <c r="M514" s="1"/>
      <c r="N514" s="1"/>
      <c r="O514" s="1"/>
      <c r="P514" s="1"/>
      <c r="Q514" s="13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31"/>
      <c r="F515" s="131"/>
      <c r="G515" s="131"/>
      <c r="H515" s="1"/>
      <c r="I515" s="1"/>
      <c r="J515" s="1"/>
      <c r="K515" s="1"/>
      <c r="L515" s="1"/>
      <c r="M515" s="1"/>
      <c r="N515" s="1"/>
      <c r="O515" s="1"/>
      <c r="P515" s="1"/>
      <c r="Q515" s="13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31"/>
      <c r="F516" s="131"/>
      <c r="G516" s="131"/>
      <c r="H516" s="1"/>
      <c r="I516" s="1"/>
      <c r="J516" s="1"/>
      <c r="K516" s="1"/>
      <c r="L516" s="1"/>
      <c r="M516" s="1"/>
      <c r="N516" s="1"/>
      <c r="O516" s="1"/>
      <c r="P516" s="1"/>
      <c r="Q516" s="13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31"/>
      <c r="F517" s="131"/>
      <c r="G517" s="131"/>
      <c r="H517" s="1"/>
      <c r="I517" s="1"/>
      <c r="J517" s="1"/>
      <c r="K517" s="1"/>
      <c r="L517" s="1"/>
      <c r="M517" s="1"/>
      <c r="N517" s="1"/>
      <c r="O517" s="1"/>
      <c r="P517" s="1"/>
      <c r="Q517" s="13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31"/>
      <c r="F518" s="131"/>
      <c r="G518" s="131"/>
      <c r="H518" s="1"/>
      <c r="I518" s="1"/>
      <c r="J518" s="1"/>
      <c r="K518" s="1"/>
      <c r="L518" s="1"/>
      <c r="M518" s="1"/>
      <c r="N518" s="1"/>
      <c r="O518" s="1"/>
      <c r="P518" s="1"/>
      <c r="Q518" s="13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31"/>
      <c r="F519" s="131"/>
      <c r="G519" s="131"/>
      <c r="H519" s="1"/>
      <c r="I519" s="1"/>
      <c r="J519" s="1"/>
      <c r="K519" s="1"/>
      <c r="L519" s="1"/>
      <c r="M519" s="1"/>
      <c r="N519" s="1"/>
      <c r="O519" s="1"/>
      <c r="P519" s="1"/>
      <c r="Q519" s="13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31"/>
      <c r="F520" s="131"/>
      <c r="G520" s="131"/>
      <c r="H520" s="1"/>
      <c r="I520" s="1"/>
      <c r="J520" s="1"/>
      <c r="K520" s="1"/>
      <c r="L520" s="1"/>
      <c r="M520" s="1"/>
      <c r="N520" s="1"/>
      <c r="O520" s="1"/>
      <c r="P520" s="1"/>
      <c r="Q520" s="13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31"/>
      <c r="F521" s="131"/>
      <c r="G521" s="131"/>
      <c r="H521" s="1"/>
      <c r="I521" s="1"/>
      <c r="J521" s="1"/>
      <c r="K521" s="1"/>
      <c r="L521" s="1"/>
      <c r="M521" s="1"/>
      <c r="N521" s="1"/>
      <c r="O521" s="1"/>
      <c r="P521" s="1"/>
      <c r="Q521" s="13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31"/>
      <c r="F522" s="131"/>
      <c r="G522" s="131"/>
      <c r="H522" s="1"/>
      <c r="I522" s="1"/>
      <c r="J522" s="1"/>
      <c r="K522" s="1"/>
      <c r="L522" s="1"/>
      <c r="M522" s="1"/>
      <c r="N522" s="1"/>
      <c r="O522" s="1"/>
      <c r="P522" s="1"/>
      <c r="Q522" s="13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31"/>
      <c r="F523" s="131"/>
      <c r="G523" s="131"/>
      <c r="H523" s="1"/>
      <c r="I523" s="1"/>
      <c r="J523" s="1"/>
      <c r="K523" s="1"/>
      <c r="L523" s="1"/>
      <c r="M523" s="1"/>
      <c r="N523" s="1"/>
      <c r="O523" s="1"/>
      <c r="P523" s="1"/>
      <c r="Q523" s="13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31"/>
      <c r="F524" s="131"/>
      <c r="G524" s="131"/>
      <c r="H524" s="1"/>
      <c r="I524" s="1"/>
      <c r="J524" s="1"/>
      <c r="K524" s="1"/>
      <c r="L524" s="1"/>
      <c r="M524" s="1"/>
      <c r="N524" s="1"/>
      <c r="O524" s="1"/>
      <c r="P524" s="1"/>
      <c r="Q524" s="13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31"/>
      <c r="F525" s="131"/>
      <c r="G525" s="131"/>
      <c r="H525" s="1"/>
      <c r="I525" s="1"/>
      <c r="J525" s="1"/>
      <c r="K525" s="1"/>
      <c r="L525" s="1"/>
      <c r="M525" s="1"/>
      <c r="N525" s="1"/>
      <c r="O525" s="1"/>
      <c r="P525" s="1"/>
      <c r="Q525" s="13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31"/>
      <c r="F526" s="131"/>
      <c r="G526" s="131"/>
      <c r="H526" s="1"/>
      <c r="I526" s="1"/>
      <c r="J526" s="1"/>
      <c r="K526" s="1"/>
      <c r="L526" s="1"/>
      <c r="M526" s="1"/>
      <c r="N526" s="1"/>
      <c r="O526" s="1"/>
      <c r="P526" s="1"/>
      <c r="Q526" s="13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31"/>
      <c r="F527" s="131"/>
      <c r="G527" s="131"/>
      <c r="H527" s="1"/>
      <c r="I527" s="1"/>
      <c r="J527" s="1"/>
      <c r="K527" s="1"/>
      <c r="L527" s="1"/>
      <c r="M527" s="1"/>
      <c r="N527" s="1"/>
      <c r="O527" s="1"/>
      <c r="P527" s="1"/>
      <c r="Q527" s="13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31"/>
      <c r="F528" s="131"/>
      <c r="G528" s="131"/>
      <c r="H528" s="1"/>
      <c r="I528" s="1"/>
      <c r="J528" s="1"/>
      <c r="K528" s="1"/>
      <c r="L528" s="1"/>
      <c r="M528" s="1"/>
      <c r="N528" s="1"/>
      <c r="O528" s="1"/>
      <c r="P528" s="1"/>
      <c r="Q528" s="13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31"/>
      <c r="F529" s="131"/>
      <c r="G529" s="131"/>
      <c r="H529" s="1"/>
      <c r="I529" s="1"/>
      <c r="J529" s="1"/>
      <c r="K529" s="1"/>
      <c r="L529" s="1"/>
      <c r="M529" s="1"/>
      <c r="N529" s="1"/>
      <c r="O529" s="1"/>
      <c r="P529" s="1"/>
      <c r="Q529" s="13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31"/>
      <c r="F530" s="131"/>
      <c r="G530" s="131"/>
      <c r="H530" s="1"/>
      <c r="I530" s="1"/>
      <c r="J530" s="1"/>
      <c r="K530" s="1"/>
      <c r="L530" s="1"/>
      <c r="M530" s="1"/>
      <c r="N530" s="1"/>
      <c r="O530" s="1"/>
      <c r="P530" s="1"/>
      <c r="Q530" s="13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31"/>
      <c r="F531" s="131"/>
      <c r="G531" s="131"/>
      <c r="H531" s="1"/>
      <c r="I531" s="1"/>
      <c r="J531" s="1"/>
      <c r="K531" s="1"/>
      <c r="L531" s="1"/>
      <c r="M531" s="1"/>
      <c r="N531" s="1"/>
      <c r="O531" s="1"/>
      <c r="P531" s="1"/>
      <c r="Q531" s="13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31"/>
      <c r="F532" s="131"/>
      <c r="G532" s="131"/>
      <c r="H532" s="1"/>
      <c r="I532" s="1"/>
      <c r="J532" s="1"/>
      <c r="K532" s="1"/>
      <c r="L532" s="1"/>
      <c r="M532" s="1"/>
      <c r="N532" s="1"/>
      <c r="O532" s="1"/>
      <c r="P532" s="1"/>
      <c r="Q532" s="13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31"/>
      <c r="F533" s="131"/>
      <c r="G533" s="131"/>
      <c r="H533" s="1"/>
      <c r="I533" s="1"/>
      <c r="J533" s="1"/>
      <c r="K533" s="1"/>
      <c r="L533" s="1"/>
      <c r="M533" s="1"/>
      <c r="N533" s="1"/>
      <c r="O533" s="1"/>
      <c r="P533" s="1"/>
      <c r="Q533" s="13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31"/>
      <c r="F534" s="131"/>
      <c r="G534" s="131"/>
      <c r="H534" s="1"/>
      <c r="I534" s="1"/>
      <c r="J534" s="1"/>
      <c r="K534" s="1"/>
      <c r="L534" s="1"/>
      <c r="M534" s="1"/>
      <c r="N534" s="1"/>
      <c r="O534" s="1"/>
      <c r="P534" s="1"/>
      <c r="Q534" s="13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31"/>
      <c r="F535" s="131"/>
      <c r="G535" s="131"/>
      <c r="H535" s="1"/>
      <c r="I535" s="1"/>
      <c r="J535" s="1"/>
      <c r="K535" s="1"/>
      <c r="L535" s="1"/>
      <c r="M535" s="1"/>
      <c r="N535" s="1"/>
      <c r="O535" s="1"/>
      <c r="P535" s="1"/>
      <c r="Q535" s="13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31"/>
      <c r="F536" s="131"/>
      <c r="G536" s="131"/>
      <c r="H536" s="1"/>
      <c r="I536" s="1"/>
      <c r="J536" s="1"/>
      <c r="K536" s="1"/>
      <c r="L536" s="1"/>
      <c r="M536" s="1"/>
      <c r="N536" s="1"/>
      <c r="O536" s="1"/>
      <c r="P536" s="1"/>
      <c r="Q536" s="13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31"/>
      <c r="F537" s="131"/>
      <c r="G537" s="131"/>
      <c r="H537" s="1"/>
      <c r="I537" s="1"/>
      <c r="J537" s="1"/>
      <c r="K537" s="1"/>
      <c r="L537" s="1"/>
      <c r="M537" s="1"/>
      <c r="N537" s="1"/>
      <c r="O537" s="1"/>
      <c r="P537" s="1"/>
      <c r="Q537" s="13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31"/>
      <c r="F538" s="131"/>
      <c r="G538" s="131"/>
      <c r="H538" s="1"/>
      <c r="I538" s="1"/>
      <c r="J538" s="1"/>
      <c r="K538" s="1"/>
      <c r="L538" s="1"/>
      <c r="M538" s="1"/>
      <c r="N538" s="1"/>
      <c r="O538" s="1"/>
      <c r="P538" s="1"/>
      <c r="Q538" s="13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31"/>
      <c r="F539" s="131"/>
      <c r="G539" s="131"/>
      <c r="H539" s="1"/>
      <c r="I539" s="1"/>
      <c r="J539" s="1"/>
      <c r="K539" s="1"/>
      <c r="L539" s="1"/>
      <c r="M539" s="1"/>
      <c r="N539" s="1"/>
      <c r="O539" s="1"/>
      <c r="P539" s="1"/>
      <c r="Q539" s="13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31"/>
      <c r="F540" s="131"/>
      <c r="G540" s="131"/>
      <c r="H540" s="1"/>
      <c r="I540" s="1"/>
      <c r="J540" s="1"/>
      <c r="K540" s="1"/>
      <c r="L540" s="1"/>
      <c r="M540" s="1"/>
      <c r="N540" s="1"/>
      <c r="O540" s="1"/>
      <c r="P540" s="1"/>
      <c r="Q540" s="13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31"/>
      <c r="F541" s="131"/>
      <c r="G541" s="131"/>
      <c r="H541" s="1"/>
      <c r="I541" s="1"/>
      <c r="J541" s="1"/>
      <c r="K541" s="1"/>
      <c r="L541" s="1"/>
      <c r="M541" s="1"/>
      <c r="N541" s="1"/>
      <c r="O541" s="1"/>
      <c r="P541" s="1"/>
      <c r="Q541" s="13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31"/>
      <c r="F542" s="131"/>
      <c r="G542" s="131"/>
      <c r="H542" s="1"/>
      <c r="I542" s="1"/>
      <c r="J542" s="1"/>
      <c r="K542" s="1"/>
      <c r="L542" s="1"/>
      <c r="M542" s="1"/>
      <c r="N542" s="1"/>
      <c r="O542" s="1"/>
      <c r="P542" s="1"/>
      <c r="Q542" s="13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31"/>
      <c r="F543" s="131"/>
      <c r="G543" s="131"/>
      <c r="H543" s="1"/>
      <c r="I543" s="1"/>
      <c r="J543" s="1"/>
      <c r="K543" s="1"/>
      <c r="L543" s="1"/>
      <c r="M543" s="1"/>
      <c r="N543" s="1"/>
      <c r="O543" s="1"/>
      <c r="P543" s="1"/>
      <c r="Q543" s="13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31"/>
      <c r="F544" s="131"/>
      <c r="G544" s="131"/>
      <c r="H544" s="1"/>
      <c r="I544" s="1"/>
      <c r="J544" s="1"/>
      <c r="K544" s="1"/>
      <c r="L544" s="1"/>
      <c r="M544" s="1"/>
      <c r="N544" s="1"/>
      <c r="O544" s="1"/>
      <c r="P544" s="1"/>
      <c r="Q544" s="13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31"/>
      <c r="F545" s="131"/>
      <c r="G545" s="131"/>
      <c r="H545" s="1"/>
      <c r="I545" s="1"/>
      <c r="J545" s="1"/>
      <c r="K545" s="1"/>
      <c r="L545" s="1"/>
      <c r="M545" s="1"/>
      <c r="N545" s="1"/>
      <c r="O545" s="1"/>
      <c r="P545" s="1"/>
      <c r="Q545" s="13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31"/>
      <c r="F546" s="131"/>
      <c r="G546" s="131"/>
      <c r="H546" s="1"/>
      <c r="I546" s="1"/>
      <c r="J546" s="1"/>
      <c r="K546" s="1"/>
      <c r="L546" s="1"/>
      <c r="M546" s="1"/>
      <c r="N546" s="1"/>
      <c r="O546" s="1"/>
      <c r="P546" s="1"/>
      <c r="Q546" s="13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31"/>
      <c r="F547" s="131"/>
      <c r="G547" s="131"/>
      <c r="H547" s="1"/>
      <c r="I547" s="1"/>
      <c r="J547" s="1"/>
      <c r="K547" s="1"/>
      <c r="L547" s="1"/>
      <c r="M547" s="1"/>
      <c r="N547" s="1"/>
      <c r="O547" s="1"/>
      <c r="P547" s="1"/>
      <c r="Q547" s="13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31"/>
      <c r="F548" s="131"/>
      <c r="G548" s="131"/>
      <c r="H548" s="1"/>
      <c r="I548" s="1"/>
      <c r="J548" s="1"/>
      <c r="K548" s="1"/>
      <c r="L548" s="1"/>
      <c r="M548" s="1"/>
      <c r="N548" s="1"/>
      <c r="O548" s="1"/>
      <c r="P548" s="1"/>
      <c r="Q548" s="13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31"/>
      <c r="F549" s="131"/>
      <c r="G549" s="131"/>
      <c r="H549" s="1"/>
      <c r="I549" s="1"/>
      <c r="J549" s="1"/>
      <c r="K549" s="1"/>
      <c r="L549" s="1"/>
      <c r="M549" s="1"/>
      <c r="N549" s="1"/>
      <c r="O549" s="1"/>
      <c r="P549" s="1"/>
      <c r="Q549" s="13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31"/>
      <c r="F550" s="131"/>
      <c r="G550" s="131"/>
      <c r="H550" s="1"/>
      <c r="I550" s="1"/>
      <c r="J550" s="1"/>
      <c r="K550" s="1"/>
      <c r="L550" s="1"/>
      <c r="M550" s="1"/>
      <c r="N550" s="1"/>
      <c r="O550" s="1"/>
      <c r="P550" s="1"/>
      <c r="Q550" s="13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31"/>
      <c r="F551" s="131"/>
      <c r="G551" s="131"/>
      <c r="H551" s="1"/>
      <c r="I551" s="1"/>
      <c r="J551" s="1"/>
      <c r="K551" s="1"/>
      <c r="L551" s="1"/>
      <c r="M551" s="1"/>
      <c r="N551" s="1"/>
      <c r="O551" s="1"/>
      <c r="P551" s="1"/>
      <c r="Q551" s="13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31"/>
      <c r="F552" s="131"/>
      <c r="G552" s="131"/>
      <c r="H552" s="1"/>
      <c r="I552" s="1"/>
      <c r="J552" s="1"/>
      <c r="K552" s="1"/>
      <c r="L552" s="1"/>
      <c r="M552" s="1"/>
      <c r="N552" s="1"/>
      <c r="O552" s="1"/>
      <c r="P552" s="1"/>
      <c r="Q552" s="13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31"/>
      <c r="F553" s="131"/>
      <c r="G553" s="131"/>
      <c r="H553" s="1"/>
      <c r="I553" s="1"/>
      <c r="J553" s="1"/>
      <c r="K553" s="1"/>
      <c r="L553" s="1"/>
      <c r="M553" s="1"/>
      <c r="N553" s="1"/>
      <c r="O553" s="1"/>
      <c r="P553" s="1"/>
      <c r="Q553" s="13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31"/>
      <c r="F554" s="131"/>
      <c r="G554" s="131"/>
      <c r="H554" s="1"/>
      <c r="I554" s="1"/>
      <c r="J554" s="1"/>
      <c r="K554" s="1"/>
      <c r="L554" s="1"/>
      <c r="M554" s="1"/>
      <c r="N554" s="1"/>
      <c r="O554" s="1"/>
      <c r="P554" s="1"/>
      <c r="Q554" s="13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31"/>
      <c r="F555" s="131"/>
      <c r="G555" s="131"/>
      <c r="H555" s="1"/>
      <c r="I555" s="1"/>
      <c r="J555" s="1"/>
      <c r="K555" s="1"/>
      <c r="L555" s="1"/>
      <c r="M555" s="1"/>
      <c r="N555" s="1"/>
      <c r="O555" s="1"/>
      <c r="P555" s="1"/>
      <c r="Q555" s="13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31"/>
      <c r="F556" s="131"/>
      <c r="G556" s="131"/>
      <c r="H556" s="1"/>
      <c r="I556" s="1"/>
      <c r="J556" s="1"/>
      <c r="K556" s="1"/>
      <c r="L556" s="1"/>
      <c r="M556" s="1"/>
      <c r="N556" s="1"/>
      <c r="O556" s="1"/>
      <c r="P556" s="1"/>
      <c r="Q556" s="13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31"/>
      <c r="F557" s="131"/>
      <c r="G557" s="131"/>
      <c r="H557" s="1"/>
      <c r="I557" s="1"/>
      <c r="J557" s="1"/>
      <c r="K557" s="1"/>
      <c r="L557" s="1"/>
      <c r="M557" s="1"/>
      <c r="N557" s="1"/>
      <c r="O557" s="1"/>
      <c r="P557" s="1"/>
      <c r="Q557" s="13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31"/>
      <c r="F558" s="131"/>
      <c r="G558" s="131"/>
      <c r="H558" s="1"/>
      <c r="I558" s="1"/>
      <c r="J558" s="1"/>
      <c r="K558" s="1"/>
      <c r="L558" s="1"/>
      <c r="M558" s="1"/>
      <c r="N558" s="1"/>
      <c r="O558" s="1"/>
      <c r="P558" s="1"/>
      <c r="Q558" s="13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31"/>
      <c r="F559" s="131"/>
      <c r="G559" s="131"/>
      <c r="H559" s="1"/>
      <c r="I559" s="1"/>
      <c r="J559" s="1"/>
      <c r="K559" s="1"/>
      <c r="L559" s="1"/>
      <c r="M559" s="1"/>
      <c r="N559" s="1"/>
      <c r="O559" s="1"/>
      <c r="P559" s="1"/>
      <c r="Q559" s="13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31"/>
      <c r="F560" s="131"/>
      <c r="G560" s="131"/>
      <c r="H560" s="1"/>
      <c r="I560" s="1"/>
      <c r="J560" s="1"/>
      <c r="K560" s="1"/>
      <c r="L560" s="1"/>
      <c r="M560" s="1"/>
      <c r="N560" s="1"/>
      <c r="O560" s="1"/>
      <c r="P560" s="1"/>
      <c r="Q560" s="13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31"/>
      <c r="F561" s="131"/>
      <c r="G561" s="131"/>
      <c r="H561" s="1"/>
      <c r="I561" s="1"/>
      <c r="J561" s="1"/>
      <c r="K561" s="1"/>
      <c r="L561" s="1"/>
      <c r="M561" s="1"/>
      <c r="N561" s="1"/>
      <c r="O561" s="1"/>
      <c r="P561" s="1"/>
      <c r="Q561" s="13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31"/>
      <c r="F562" s="131"/>
      <c r="G562" s="131"/>
      <c r="H562" s="1"/>
      <c r="I562" s="1"/>
      <c r="J562" s="1"/>
      <c r="K562" s="1"/>
      <c r="L562" s="1"/>
      <c r="M562" s="1"/>
      <c r="N562" s="1"/>
      <c r="O562" s="1"/>
      <c r="P562" s="1"/>
      <c r="Q562" s="13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31"/>
      <c r="F563" s="131"/>
      <c r="G563" s="131"/>
      <c r="H563" s="1"/>
      <c r="I563" s="1"/>
      <c r="J563" s="1"/>
      <c r="K563" s="1"/>
      <c r="L563" s="1"/>
      <c r="M563" s="1"/>
      <c r="N563" s="1"/>
      <c r="O563" s="1"/>
      <c r="P563" s="1"/>
      <c r="Q563" s="13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31"/>
      <c r="F564" s="131"/>
      <c r="G564" s="131"/>
      <c r="H564" s="1"/>
      <c r="I564" s="1"/>
      <c r="J564" s="1"/>
      <c r="K564" s="1"/>
      <c r="L564" s="1"/>
      <c r="M564" s="1"/>
      <c r="N564" s="1"/>
      <c r="O564" s="1"/>
      <c r="P564" s="1"/>
      <c r="Q564" s="13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31"/>
      <c r="F565" s="131"/>
      <c r="G565" s="131"/>
      <c r="H565" s="1"/>
      <c r="I565" s="1"/>
      <c r="J565" s="1"/>
      <c r="K565" s="1"/>
      <c r="L565" s="1"/>
      <c r="M565" s="1"/>
      <c r="N565" s="1"/>
      <c r="O565" s="1"/>
      <c r="P565" s="1"/>
      <c r="Q565" s="13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31"/>
      <c r="F566" s="131"/>
      <c r="G566" s="131"/>
      <c r="H566" s="1"/>
      <c r="I566" s="1"/>
      <c r="J566" s="1"/>
      <c r="K566" s="1"/>
      <c r="L566" s="1"/>
      <c r="M566" s="1"/>
      <c r="N566" s="1"/>
      <c r="O566" s="1"/>
      <c r="P566" s="1"/>
      <c r="Q566" s="13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31"/>
      <c r="F567" s="131"/>
      <c r="G567" s="131"/>
      <c r="H567" s="1"/>
      <c r="I567" s="1"/>
      <c r="J567" s="1"/>
      <c r="K567" s="1"/>
      <c r="L567" s="1"/>
      <c r="M567" s="1"/>
      <c r="N567" s="1"/>
      <c r="O567" s="1"/>
      <c r="P567" s="1"/>
      <c r="Q567" s="13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31"/>
      <c r="F568" s="131"/>
      <c r="G568" s="131"/>
      <c r="H568" s="1"/>
      <c r="I568" s="1"/>
      <c r="J568" s="1"/>
      <c r="K568" s="1"/>
      <c r="L568" s="1"/>
      <c r="M568" s="1"/>
      <c r="N568" s="1"/>
      <c r="O568" s="1"/>
      <c r="P568" s="1"/>
      <c r="Q568" s="13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31"/>
      <c r="F569" s="131"/>
      <c r="G569" s="131"/>
      <c r="H569" s="1"/>
      <c r="I569" s="1"/>
      <c r="J569" s="1"/>
      <c r="K569" s="1"/>
      <c r="L569" s="1"/>
      <c r="M569" s="1"/>
      <c r="N569" s="1"/>
      <c r="O569" s="1"/>
      <c r="P569" s="1"/>
      <c r="Q569" s="13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31"/>
      <c r="F570" s="131"/>
      <c r="G570" s="131"/>
      <c r="H570" s="1"/>
      <c r="I570" s="1"/>
      <c r="J570" s="1"/>
      <c r="K570" s="1"/>
      <c r="L570" s="1"/>
      <c r="M570" s="1"/>
      <c r="N570" s="1"/>
      <c r="O570" s="1"/>
      <c r="P570" s="1"/>
      <c r="Q570" s="13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31"/>
      <c r="F571" s="131"/>
      <c r="G571" s="131"/>
      <c r="H571" s="1"/>
      <c r="I571" s="1"/>
      <c r="J571" s="1"/>
      <c r="K571" s="1"/>
      <c r="L571" s="1"/>
      <c r="M571" s="1"/>
      <c r="N571" s="1"/>
      <c r="O571" s="1"/>
      <c r="P571" s="1"/>
      <c r="Q571" s="13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31"/>
      <c r="F572" s="131"/>
      <c r="G572" s="131"/>
      <c r="H572" s="1"/>
      <c r="I572" s="1"/>
      <c r="J572" s="1"/>
      <c r="K572" s="1"/>
      <c r="L572" s="1"/>
      <c r="M572" s="1"/>
      <c r="N572" s="1"/>
      <c r="O572" s="1"/>
      <c r="P572" s="1"/>
      <c r="Q572" s="13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31"/>
      <c r="F573" s="131"/>
      <c r="G573" s="131"/>
      <c r="H573" s="1"/>
      <c r="I573" s="1"/>
      <c r="J573" s="1"/>
      <c r="K573" s="1"/>
      <c r="L573" s="1"/>
      <c r="M573" s="1"/>
      <c r="N573" s="1"/>
      <c r="O573" s="1"/>
      <c r="P573" s="1"/>
      <c r="Q573" s="13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31"/>
      <c r="F574" s="131"/>
      <c r="G574" s="131"/>
      <c r="H574" s="1"/>
      <c r="I574" s="1"/>
      <c r="J574" s="1"/>
      <c r="K574" s="1"/>
      <c r="L574" s="1"/>
      <c r="M574" s="1"/>
      <c r="N574" s="1"/>
      <c r="O574" s="1"/>
      <c r="P574" s="1"/>
      <c r="Q574" s="13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31"/>
      <c r="F575" s="131"/>
      <c r="G575" s="131"/>
      <c r="H575" s="1"/>
      <c r="I575" s="1"/>
      <c r="J575" s="1"/>
      <c r="K575" s="1"/>
      <c r="L575" s="1"/>
      <c r="M575" s="1"/>
      <c r="N575" s="1"/>
      <c r="O575" s="1"/>
      <c r="P575" s="1"/>
      <c r="Q575" s="13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31"/>
      <c r="F576" s="131"/>
      <c r="G576" s="131"/>
      <c r="H576" s="1"/>
      <c r="I576" s="1"/>
      <c r="J576" s="1"/>
      <c r="K576" s="1"/>
      <c r="L576" s="1"/>
      <c r="M576" s="1"/>
      <c r="N576" s="1"/>
      <c r="O576" s="1"/>
      <c r="P576" s="1"/>
      <c r="Q576" s="13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31"/>
      <c r="F577" s="131"/>
      <c r="G577" s="131"/>
      <c r="H577" s="1"/>
      <c r="I577" s="1"/>
      <c r="J577" s="1"/>
      <c r="K577" s="1"/>
      <c r="L577" s="1"/>
      <c r="M577" s="1"/>
      <c r="N577" s="1"/>
      <c r="O577" s="1"/>
      <c r="P577" s="1"/>
      <c r="Q577" s="13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31"/>
      <c r="F578" s="131"/>
      <c r="G578" s="131"/>
      <c r="H578" s="1"/>
      <c r="I578" s="1"/>
      <c r="J578" s="1"/>
      <c r="K578" s="1"/>
      <c r="L578" s="1"/>
      <c r="M578" s="1"/>
      <c r="N578" s="1"/>
      <c r="O578" s="1"/>
      <c r="P578" s="1"/>
      <c r="Q578" s="13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31"/>
      <c r="F579" s="131"/>
      <c r="G579" s="131"/>
      <c r="H579" s="1"/>
      <c r="I579" s="1"/>
      <c r="J579" s="1"/>
      <c r="K579" s="1"/>
      <c r="L579" s="1"/>
      <c r="M579" s="1"/>
      <c r="N579" s="1"/>
      <c r="O579" s="1"/>
      <c r="P579" s="1"/>
      <c r="Q579" s="13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31"/>
      <c r="F580" s="131"/>
      <c r="G580" s="131"/>
      <c r="H580" s="1"/>
      <c r="I580" s="1"/>
      <c r="J580" s="1"/>
      <c r="K580" s="1"/>
      <c r="L580" s="1"/>
      <c r="M580" s="1"/>
      <c r="N580" s="1"/>
      <c r="O580" s="1"/>
      <c r="P580" s="1"/>
      <c r="Q580" s="13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31"/>
      <c r="F581" s="131"/>
      <c r="G581" s="131"/>
      <c r="H581" s="1"/>
      <c r="I581" s="1"/>
      <c r="J581" s="1"/>
      <c r="K581" s="1"/>
      <c r="L581" s="1"/>
      <c r="M581" s="1"/>
      <c r="N581" s="1"/>
      <c r="O581" s="1"/>
      <c r="P581" s="1"/>
      <c r="Q581" s="13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31"/>
      <c r="F582" s="131"/>
      <c r="G582" s="131"/>
      <c r="H582" s="1"/>
      <c r="I582" s="1"/>
      <c r="J582" s="1"/>
      <c r="K582" s="1"/>
      <c r="L582" s="1"/>
      <c r="M582" s="1"/>
      <c r="N582" s="1"/>
      <c r="O582" s="1"/>
      <c r="P582" s="1"/>
      <c r="Q582" s="13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31"/>
      <c r="F583" s="131"/>
      <c r="G583" s="131"/>
      <c r="H583" s="1"/>
      <c r="I583" s="1"/>
      <c r="J583" s="1"/>
      <c r="K583" s="1"/>
      <c r="L583" s="1"/>
      <c r="M583" s="1"/>
      <c r="N583" s="1"/>
      <c r="O583" s="1"/>
      <c r="P583" s="1"/>
      <c r="Q583" s="13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31"/>
      <c r="F584" s="131"/>
      <c r="G584" s="131"/>
      <c r="H584" s="1"/>
      <c r="I584" s="1"/>
      <c r="J584" s="1"/>
      <c r="K584" s="1"/>
      <c r="L584" s="1"/>
      <c r="M584" s="1"/>
      <c r="N584" s="1"/>
      <c r="O584" s="1"/>
      <c r="P584" s="1"/>
      <c r="Q584" s="13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31"/>
      <c r="F585" s="131"/>
      <c r="G585" s="131"/>
      <c r="H585" s="1"/>
      <c r="I585" s="1"/>
      <c r="J585" s="1"/>
      <c r="K585" s="1"/>
      <c r="L585" s="1"/>
      <c r="M585" s="1"/>
      <c r="N585" s="1"/>
      <c r="O585" s="1"/>
      <c r="P585" s="1"/>
      <c r="Q585" s="13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31"/>
      <c r="F586" s="131"/>
      <c r="G586" s="131"/>
      <c r="H586" s="1"/>
      <c r="I586" s="1"/>
      <c r="J586" s="1"/>
      <c r="K586" s="1"/>
      <c r="L586" s="1"/>
      <c r="M586" s="1"/>
      <c r="N586" s="1"/>
      <c r="O586" s="1"/>
      <c r="P586" s="1"/>
      <c r="Q586" s="13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31"/>
      <c r="F587" s="131"/>
      <c r="G587" s="131"/>
      <c r="H587" s="1"/>
      <c r="I587" s="1"/>
      <c r="J587" s="1"/>
      <c r="K587" s="1"/>
      <c r="L587" s="1"/>
      <c r="M587" s="1"/>
      <c r="N587" s="1"/>
      <c r="O587" s="1"/>
      <c r="P587" s="1"/>
      <c r="Q587" s="13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31"/>
      <c r="F588" s="131"/>
      <c r="G588" s="131"/>
      <c r="H588" s="1"/>
      <c r="I588" s="1"/>
      <c r="J588" s="1"/>
      <c r="K588" s="1"/>
      <c r="L588" s="1"/>
      <c r="M588" s="1"/>
      <c r="N588" s="1"/>
      <c r="O588" s="1"/>
      <c r="P588" s="1"/>
      <c r="Q588" s="13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31"/>
      <c r="F589" s="131"/>
      <c r="G589" s="131"/>
      <c r="H589" s="1"/>
      <c r="I589" s="1"/>
      <c r="J589" s="1"/>
      <c r="K589" s="1"/>
      <c r="L589" s="1"/>
      <c r="M589" s="1"/>
      <c r="N589" s="1"/>
      <c r="O589" s="1"/>
      <c r="P589" s="1"/>
      <c r="Q589" s="13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31"/>
      <c r="F590" s="131"/>
      <c r="G590" s="131"/>
      <c r="H590" s="1"/>
      <c r="I590" s="1"/>
      <c r="J590" s="1"/>
      <c r="K590" s="1"/>
      <c r="L590" s="1"/>
      <c r="M590" s="1"/>
      <c r="N590" s="1"/>
      <c r="O590" s="1"/>
      <c r="P590" s="1"/>
      <c r="Q590" s="13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31"/>
      <c r="F591" s="131"/>
      <c r="G591" s="131"/>
      <c r="H591" s="1"/>
      <c r="I591" s="1"/>
      <c r="J591" s="1"/>
      <c r="K591" s="1"/>
      <c r="L591" s="1"/>
      <c r="M591" s="1"/>
      <c r="N591" s="1"/>
      <c r="O591" s="1"/>
      <c r="P591" s="1"/>
      <c r="Q591" s="13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31"/>
      <c r="F592" s="131"/>
      <c r="G592" s="131"/>
      <c r="H592" s="1"/>
      <c r="I592" s="1"/>
      <c r="J592" s="1"/>
      <c r="K592" s="1"/>
      <c r="L592" s="1"/>
      <c r="M592" s="1"/>
      <c r="N592" s="1"/>
      <c r="O592" s="1"/>
      <c r="P592" s="1"/>
      <c r="Q592" s="13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31"/>
      <c r="F593" s="131"/>
      <c r="G593" s="131"/>
      <c r="H593" s="1"/>
      <c r="I593" s="1"/>
      <c r="J593" s="1"/>
      <c r="K593" s="1"/>
      <c r="L593" s="1"/>
      <c r="M593" s="1"/>
      <c r="N593" s="1"/>
      <c r="O593" s="1"/>
      <c r="P593" s="1"/>
      <c r="Q593" s="13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31"/>
      <c r="F594" s="131"/>
      <c r="G594" s="131"/>
      <c r="H594" s="1"/>
      <c r="I594" s="1"/>
      <c r="J594" s="1"/>
      <c r="K594" s="1"/>
      <c r="L594" s="1"/>
      <c r="M594" s="1"/>
      <c r="N594" s="1"/>
      <c r="O594" s="1"/>
      <c r="P594" s="1"/>
      <c r="Q594" s="13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31"/>
      <c r="F595" s="131"/>
      <c r="G595" s="131"/>
      <c r="H595" s="1"/>
      <c r="I595" s="1"/>
      <c r="J595" s="1"/>
      <c r="K595" s="1"/>
      <c r="L595" s="1"/>
      <c r="M595" s="1"/>
      <c r="N595" s="1"/>
      <c r="O595" s="1"/>
      <c r="P595" s="1"/>
      <c r="Q595" s="13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31"/>
      <c r="F596" s="131"/>
      <c r="G596" s="131"/>
      <c r="H596" s="1"/>
      <c r="I596" s="1"/>
      <c r="J596" s="1"/>
      <c r="K596" s="1"/>
      <c r="L596" s="1"/>
      <c r="M596" s="1"/>
      <c r="N596" s="1"/>
      <c r="O596" s="1"/>
      <c r="P596" s="1"/>
      <c r="Q596" s="13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31"/>
      <c r="F597" s="131"/>
      <c r="G597" s="131"/>
      <c r="H597" s="1"/>
      <c r="I597" s="1"/>
      <c r="J597" s="1"/>
      <c r="K597" s="1"/>
      <c r="L597" s="1"/>
      <c r="M597" s="1"/>
      <c r="N597" s="1"/>
      <c r="O597" s="1"/>
      <c r="P597" s="1"/>
      <c r="Q597" s="13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31"/>
      <c r="F598" s="131"/>
      <c r="G598" s="131"/>
      <c r="H598" s="1"/>
      <c r="I598" s="1"/>
      <c r="J598" s="1"/>
      <c r="K598" s="1"/>
      <c r="L598" s="1"/>
      <c r="M598" s="1"/>
      <c r="N598" s="1"/>
      <c r="O598" s="1"/>
      <c r="P598" s="1"/>
      <c r="Q598" s="13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31"/>
      <c r="F599" s="131"/>
      <c r="G599" s="131"/>
      <c r="H599" s="1"/>
      <c r="I599" s="1"/>
      <c r="J599" s="1"/>
      <c r="K599" s="1"/>
      <c r="L599" s="1"/>
      <c r="M599" s="1"/>
      <c r="N599" s="1"/>
      <c r="O599" s="1"/>
      <c r="P599" s="1"/>
      <c r="Q599" s="13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31"/>
      <c r="F600" s="131"/>
      <c r="G600" s="131"/>
      <c r="H600" s="1"/>
      <c r="I600" s="1"/>
      <c r="J600" s="1"/>
      <c r="K600" s="1"/>
      <c r="L600" s="1"/>
      <c r="M600" s="1"/>
      <c r="N600" s="1"/>
      <c r="O600" s="1"/>
      <c r="P600" s="1"/>
      <c r="Q600" s="13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31"/>
      <c r="F601" s="131"/>
      <c r="G601" s="131"/>
      <c r="H601" s="1"/>
      <c r="I601" s="1"/>
      <c r="J601" s="1"/>
      <c r="K601" s="1"/>
      <c r="L601" s="1"/>
      <c r="M601" s="1"/>
      <c r="N601" s="1"/>
      <c r="O601" s="1"/>
      <c r="P601" s="1"/>
      <c r="Q601" s="13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31"/>
      <c r="F602" s="131"/>
      <c r="G602" s="131"/>
      <c r="H602" s="1"/>
      <c r="I602" s="1"/>
      <c r="J602" s="1"/>
      <c r="K602" s="1"/>
      <c r="L602" s="1"/>
      <c r="M602" s="1"/>
      <c r="N602" s="1"/>
      <c r="O602" s="1"/>
      <c r="P602" s="1"/>
      <c r="Q602" s="13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31"/>
      <c r="F603" s="131"/>
      <c r="G603" s="131"/>
      <c r="H603" s="1"/>
      <c r="I603" s="1"/>
      <c r="J603" s="1"/>
      <c r="K603" s="1"/>
      <c r="L603" s="1"/>
      <c r="M603" s="1"/>
      <c r="N603" s="1"/>
      <c r="O603" s="1"/>
      <c r="P603" s="1"/>
      <c r="Q603" s="13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31"/>
      <c r="F604" s="131"/>
      <c r="G604" s="131"/>
      <c r="H604" s="1"/>
      <c r="I604" s="1"/>
      <c r="J604" s="1"/>
      <c r="K604" s="1"/>
      <c r="L604" s="1"/>
      <c r="M604" s="1"/>
      <c r="N604" s="1"/>
      <c r="O604" s="1"/>
      <c r="P604" s="1"/>
      <c r="Q604" s="13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31"/>
      <c r="F605" s="131"/>
      <c r="G605" s="131"/>
      <c r="H605" s="1"/>
      <c r="I605" s="1"/>
      <c r="J605" s="1"/>
      <c r="K605" s="1"/>
      <c r="L605" s="1"/>
      <c r="M605" s="1"/>
      <c r="N605" s="1"/>
      <c r="O605" s="1"/>
      <c r="P605" s="1"/>
      <c r="Q605" s="13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31"/>
      <c r="F606" s="131"/>
      <c r="G606" s="131"/>
      <c r="H606" s="1"/>
      <c r="I606" s="1"/>
      <c r="J606" s="1"/>
      <c r="K606" s="1"/>
      <c r="L606" s="1"/>
      <c r="M606" s="1"/>
      <c r="N606" s="1"/>
      <c r="O606" s="1"/>
      <c r="P606" s="1"/>
      <c r="Q606" s="13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31"/>
      <c r="F607" s="131"/>
      <c r="G607" s="131"/>
      <c r="H607" s="1"/>
      <c r="I607" s="1"/>
      <c r="J607" s="1"/>
      <c r="K607" s="1"/>
      <c r="L607" s="1"/>
      <c r="M607" s="1"/>
      <c r="N607" s="1"/>
      <c r="O607" s="1"/>
      <c r="P607" s="1"/>
      <c r="Q607" s="13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31"/>
      <c r="F608" s="131"/>
      <c r="G608" s="131"/>
      <c r="H608" s="1"/>
      <c r="I608" s="1"/>
      <c r="J608" s="1"/>
      <c r="K608" s="1"/>
      <c r="L608" s="1"/>
      <c r="M608" s="1"/>
      <c r="N608" s="1"/>
      <c r="O608" s="1"/>
      <c r="P608" s="1"/>
      <c r="Q608" s="13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31"/>
      <c r="F609" s="131"/>
      <c r="G609" s="131"/>
      <c r="H609" s="1"/>
      <c r="I609" s="1"/>
      <c r="J609" s="1"/>
      <c r="K609" s="1"/>
      <c r="L609" s="1"/>
      <c r="M609" s="1"/>
      <c r="N609" s="1"/>
      <c r="O609" s="1"/>
      <c r="P609" s="1"/>
      <c r="Q609" s="13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31"/>
      <c r="F610" s="131"/>
      <c r="G610" s="131"/>
      <c r="H610" s="1"/>
      <c r="I610" s="1"/>
      <c r="J610" s="1"/>
      <c r="K610" s="1"/>
      <c r="L610" s="1"/>
      <c r="M610" s="1"/>
      <c r="N610" s="1"/>
      <c r="O610" s="1"/>
      <c r="P610" s="1"/>
      <c r="Q610" s="13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31"/>
      <c r="F611" s="131"/>
      <c r="G611" s="131"/>
      <c r="H611" s="1"/>
      <c r="I611" s="1"/>
      <c r="J611" s="1"/>
      <c r="K611" s="1"/>
      <c r="L611" s="1"/>
      <c r="M611" s="1"/>
      <c r="N611" s="1"/>
      <c r="O611" s="1"/>
      <c r="P611" s="1"/>
      <c r="Q611" s="13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31"/>
      <c r="F612" s="131"/>
      <c r="G612" s="131"/>
      <c r="H612" s="1"/>
      <c r="I612" s="1"/>
      <c r="J612" s="1"/>
      <c r="K612" s="1"/>
      <c r="L612" s="1"/>
      <c r="M612" s="1"/>
      <c r="N612" s="1"/>
      <c r="O612" s="1"/>
      <c r="P612" s="1"/>
      <c r="Q612" s="13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31"/>
      <c r="F613" s="131"/>
      <c r="G613" s="131"/>
      <c r="H613" s="1"/>
      <c r="I613" s="1"/>
      <c r="J613" s="1"/>
      <c r="K613" s="1"/>
      <c r="L613" s="1"/>
      <c r="M613" s="1"/>
      <c r="N613" s="1"/>
      <c r="O613" s="1"/>
      <c r="P613" s="1"/>
      <c r="Q613" s="13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31"/>
      <c r="F614" s="131"/>
      <c r="G614" s="131"/>
      <c r="H614" s="1"/>
      <c r="I614" s="1"/>
      <c r="J614" s="1"/>
      <c r="K614" s="1"/>
      <c r="L614" s="1"/>
      <c r="M614" s="1"/>
      <c r="N614" s="1"/>
      <c r="O614" s="1"/>
      <c r="P614" s="1"/>
      <c r="Q614" s="13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31"/>
      <c r="F615" s="131"/>
      <c r="G615" s="131"/>
      <c r="H615" s="1"/>
      <c r="I615" s="1"/>
      <c r="J615" s="1"/>
      <c r="K615" s="1"/>
      <c r="L615" s="1"/>
      <c r="M615" s="1"/>
      <c r="N615" s="1"/>
      <c r="O615" s="1"/>
      <c r="P615" s="1"/>
      <c r="Q615" s="13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31"/>
      <c r="F616" s="131"/>
      <c r="G616" s="131"/>
      <c r="H616" s="1"/>
      <c r="I616" s="1"/>
      <c r="J616" s="1"/>
      <c r="K616" s="1"/>
      <c r="L616" s="1"/>
      <c r="M616" s="1"/>
      <c r="N616" s="1"/>
      <c r="O616" s="1"/>
      <c r="P616" s="1"/>
      <c r="Q616" s="13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31"/>
      <c r="F617" s="131"/>
      <c r="G617" s="131"/>
      <c r="H617" s="1"/>
      <c r="I617" s="1"/>
      <c r="J617" s="1"/>
      <c r="K617" s="1"/>
      <c r="L617" s="1"/>
      <c r="M617" s="1"/>
      <c r="N617" s="1"/>
      <c r="O617" s="1"/>
      <c r="P617" s="1"/>
      <c r="Q617" s="13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31"/>
      <c r="F618" s="131"/>
      <c r="G618" s="131"/>
      <c r="H618" s="1"/>
      <c r="I618" s="1"/>
      <c r="J618" s="1"/>
      <c r="K618" s="1"/>
      <c r="L618" s="1"/>
      <c r="M618" s="1"/>
      <c r="N618" s="1"/>
      <c r="O618" s="1"/>
      <c r="P618" s="1"/>
      <c r="Q618" s="13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31"/>
      <c r="F619" s="131"/>
      <c r="G619" s="131"/>
      <c r="H619" s="1"/>
      <c r="I619" s="1"/>
      <c r="J619" s="1"/>
      <c r="K619" s="1"/>
      <c r="L619" s="1"/>
      <c r="M619" s="1"/>
      <c r="N619" s="1"/>
      <c r="O619" s="1"/>
      <c r="P619" s="1"/>
      <c r="Q619" s="13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31"/>
      <c r="F620" s="131"/>
      <c r="G620" s="131"/>
      <c r="H620" s="1"/>
      <c r="I620" s="1"/>
      <c r="J620" s="1"/>
      <c r="K620" s="1"/>
      <c r="L620" s="1"/>
      <c r="M620" s="1"/>
      <c r="N620" s="1"/>
      <c r="O620" s="1"/>
      <c r="P620" s="1"/>
      <c r="Q620" s="13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31"/>
      <c r="F621" s="131"/>
      <c r="G621" s="131"/>
      <c r="H621" s="1"/>
      <c r="I621" s="1"/>
      <c r="J621" s="1"/>
      <c r="K621" s="1"/>
      <c r="L621" s="1"/>
      <c r="M621" s="1"/>
      <c r="N621" s="1"/>
      <c r="O621" s="1"/>
      <c r="P621" s="1"/>
      <c r="Q621" s="13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31"/>
      <c r="F622" s="131"/>
      <c r="G622" s="131"/>
      <c r="H622" s="1"/>
      <c r="I622" s="1"/>
      <c r="J622" s="1"/>
      <c r="K622" s="1"/>
      <c r="L622" s="1"/>
      <c r="M622" s="1"/>
      <c r="N622" s="1"/>
      <c r="O622" s="1"/>
      <c r="P622" s="1"/>
      <c r="Q622" s="13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31"/>
      <c r="F623" s="131"/>
      <c r="G623" s="131"/>
      <c r="H623" s="1"/>
      <c r="I623" s="1"/>
      <c r="J623" s="1"/>
      <c r="K623" s="1"/>
      <c r="L623" s="1"/>
      <c r="M623" s="1"/>
      <c r="N623" s="1"/>
      <c r="O623" s="1"/>
      <c r="P623" s="1"/>
      <c r="Q623" s="13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31"/>
      <c r="F624" s="131"/>
      <c r="G624" s="131"/>
      <c r="H624" s="1"/>
      <c r="I624" s="1"/>
      <c r="J624" s="1"/>
      <c r="K624" s="1"/>
      <c r="L624" s="1"/>
      <c r="M624" s="1"/>
      <c r="N624" s="1"/>
      <c r="O624" s="1"/>
      <c r="P624" s="1"/>
      <c r="Q624" s="13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31"/>
      <c r="F625" s="131"/>
      <c r="G625" s="131"/>
      <c r="H625" s="1"/>
      <c r="I625" s="1"/>
      <c r="J625" s="1"/>
      <c r="K625" s="1"/>
      <c r="L625" s="1"/>
      <c r="M625" s="1"/>
      <c r="N625" s="1"/>
      <c r="O625" s="1"/>
      <c r="P625" s="1"/>
      <c r="Q625" s="13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31"/>
      <c r="F626" s="131"/>
      <c r="G626" s="131"/>
      <c r="H626" s="1"/>
      <c r="I626" s="1"/>
      <c r="J626" s="1"/>
      <c r="K626" s="1"/>
      <c r="L626" s="1"/>
      <c r="M626" s="1"/>
      <c r="N626" s="1"/>
      <c r="O626" s="1"/>
      <c r="P626" s="1"/>
      <c r="Q626" s="13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31"/>
      <c r="F627" s="131"/>
      <c r="G627" s="131"/>
      <c r="H627" s="1"/>
      <c r="I627" s="1"/>
      <c r="J627" s="1"/>
      <c r="K627" s="1"/>
      <c r="L627" s="1"/>
      <c r="M627" s="1"/>
      <c r="N627" s="1"/>
      <c r="O627" s="1"/>
      <c r="P627" s="1"/>
      <c r="Q627" s="13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31"/>
      <c r="F628" s="131"/>
      <c r="G628" s="131"/>
      <c r="H628" s="1"/>
      <c r="I628" s="1"/>
      <c r="J628" s="1"/>
      <c r="K628" s="1"/>
      <c r="L628" s="1"/>
      <c r="M628" s="1"/>
      <c r="N628" s="1"/>
      <c r="O628" s="1"/>
      <c r="P628" s="1"/>
      <c r="Q628" s="13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31"/>
      <c r="F629" s="131"/>
      <c r="G629" s="131"/>
      <c r="H629" s="1"/>
      <c r="I629" s="1"/>
      <c r="J629" s="1"/>
      <c r="K629" s="1"/>
      <c r="L629" s="1"/>
      <c r="M629" s="1"/>
      <c r="N629" s="1"/>
      <c r="O629" s="1"/>
      <c r="P629" s="1"/>
      <c r="Q629" s="13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31"/>
      <c r="F630" s="131"/>
      <c r="G630" s="131"/>
      <c r="H630" s="1"/>
      <c r="I630" s="1"/>
      <c r="J630" s="1"/>
      <c r="K630" s="1"/>
      <c r="L630" s="1"/>
      <c r="M630" s="1"/>
      <c r="N630" s="1"/>
      <c r="O630" s="1"/>
      <c r="P630" s="1"/>
      <c r="Q630" s="13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31"/>
      <c r="F631" s="131"/>
      <c r="G631" s="131"/>
      <c r="H631" s="1"/>
      <c r="I631" s="1"/>
      <c r="J631" s="1"/>
      <c r="K631" s="1"/>
      <c r="L631" s="1"/>
      <c r="M631" s="1"/>
      <c r="N631" s="1"/>
      <c r="O631" s="1"/>
      <c r="P631" s="1"/>
      <c r="Q631" s="13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31"/>
      <c r="F632" s="131"/>
      <c r="G632" s="131"/>
      <c r="H632" s="1"/>
      <c r="I632" s="1"/>
      <c r="J632" s="1"/>
      <c r="K632" s="1"/>
      <c r="L632" s="1"/>
      <c r="M632" s="1"/>
      <c r="N632" s="1"/>
      <c r="O632" s="1"/>
      <c r="P632" s="1"/>
      <c r="Q632" s="13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31"/>
      <c r="F633" s="131"/>
      <c r="G633" s="131"/>
      <c r="H633" s="1"/>
      <c r="I633" s="1"/>
      <c r="J633" s="1"/>
      <c r="K633" s="1"/>
      <c r="L633" s="1"/>
      <c r="M633" s="1"/>
      <c r="N633" s="1"/>
      <c r="O633" s="1"/>
      <c r="P633" s="1"/>
      <c r="Q633" s="13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31"/>
      <c r="F634" s="131"/>
      <c r="G634" s="131"/>
      <c r="H634" s="1"/>
      <c r="I634" s="1"/>
      <c r="J634" s="1"/>
      <c r="K634" s="1"/>
      <c r="L634" s="1"/>
      <c r="M634" s="1"/>
      <c r="N634" s="1"/>
      <c r="O634" s="1"/>
      <c r="P634" s="1"/>
      <c r="Q634" s="13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31"/>
      <c r="F635" s="131"/>
      <c r="G635" s="131"/>
      <c r="H635" s="1"/>
      <c r="I635" s="1"/>
      <c r="J635" s="1"/>
      <c r="K635" s="1"/>
      <c r="L635" s="1"/>
      <c r="M635" s="1"/>
      <c r="N635" s="1"/>
      <c r="O635" s="1"/>
      <c r="P635" s="1"/>
      <c r="Q635" s="13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31"/>
      <c r="F636" s="131"/>
      <c r="G636" s="131"/>
      <c r="H636" s="1"/>
      <c r="I636" s="1"/>
      <c r="J636" s="1"/>
      <c r="K636" s="1"/>
      <c r="L636" s="1"/>
      <c r="M636" s="1"/>
      <c r="N636" s="1"/>
      <c r="O636" s="1"/>
      <c r="P636" s="1"/>
      <c r="Q636" s="13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31"/>
      <c r="F637" s="131"/>
      <c r="G637" s="131"/>
      <c r="H637" s="1"/>
      <c r="I637" s="1"/>
      <c r="J637" s="1"/>
      <c r="K637" s="1"/>
      <c r="L637" s="1"/>
      <c r="M637" s="1"/>
      <c r="N637" s="1"/>
      <c r="O637" s="1"/>
      <c r="P637" s="1"/>
      <c r="Q637" s="13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31"/>
      <c r="F638" s="131"/>
      <c r="G638" s="131"/>
      <c r="H638" s="1"/>
      <c r="I638" s="1"/>
      <c r="J638" s="1"/>
      <c r="K638" s="1"/>
      <c r="L638" s="1"/>
      <c r="M638" s="1"/>
      <c r="N638" s="1"/>
      <c r="O638" s="1"/>
      <c r="P638" s="1"/>
      <c r="Q638" s="13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31"/>
      <c r="F639" s="131"/>
      <c r="G639" s="131"/>
      <c r="H639" s="1"/>
      <c r="I639" s="1"/>
      <c r="J639" s="1"/>
      <c r="K639" s="1"/>
      <c r="L639" s="1"/>
      <c r="M639" s="1"/>
      <c r="N639" s="1"/>
      <c r="O639" s="1"/>
      <c r="P639" s="1"/>
      <c r="Q639" s="13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31"/>
      <c r="F640" s="131"/>
      <c r="G640" s="131"/>
      <c r="H640" s="1"/>
      <c r="I640" s="1"/>
      <c r="J640" s="1"/>
      <c r="K640" s="1"/>
      <c r="L640" s="1"/>
      <c r="M640" s="1"/>
      <c r="N640" s="1"/>
      <c r="O640" s="1"/>
      <c r="P640" s="1"/>
      <c r="Q640" s="13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31"/>
      <c r="F641" s="131"/>
      <c r="G641" s="131"/>
      <c r="H641" s="1"/>
      <c r="I641" s="1"/>
      <c r="J641" s="1"/>
      <c r="K641" s="1"/>
      <c r="L641" s="1"/>
      <c r="M641" s="1"/>
      <c r="N641" s="1"/>
      <c r="O641" s="1"/>
      <c r="P641" s="1"/>
      <c r="Q641" s="13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31"/>
      <c r="F642" s="131"/>
      <c r="G642" s="131"/>
      <c r="H642" s="1"/>
      <c r="I642" s="1"/>
      <c r="J642" s="1"/>
      <c r="K642" s="1"/>
      <c r="L642" s="1"/>
      <c r="M642" s="1"/>
      <c r="N642" s="1"/>
      <c r="O642" s="1"/>
      <c r="P642" s="1"/>
      <c r="Q642" s="13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31"/>
      <c r="F643" s="131"/>
      <c r="G643" s="131"/>
      <c r="H643" s="1"/>
      <c r="I643" s="1"/>
      <c r="J643" s="1"/>
      <c r="K643" s="1"/>
      <c r="L643" s="1"/>
      <c r="M643" s="1"/>
      <c r="N643" s="1"/>
      <c r="O643" s="1"/>
      <c r="P643" s="1"/>
      <c r="Q643" s="13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31"/>
      <c r="F644" s="131"/>
      <c r="G644" s="131"/>
      <c r="H644" s="1"/>
      <c r="I644" s="1"/>
      <c r="J644" s="1"/>
      <c r="K644" s="1"/>
      <c r="L644" s="1"/>
      <c r="M644" s="1"/>
      <c r="N644" s="1"/>
      <c r="O644" s="1"/>
      <c r="P644" s="1"/>
      <c r="Q644" s="13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31"/>
      <c r="F645" s="131"/>
      <c r="G645" s="131"/>
      <c r="H645" s="1"/>
      <c r="I645" s="1"/>
      <c r="J645" s="1"/>
      <c r="K645" s="1"/>
      <c r="L645" s="1"/>
      <c r="M645" s="1"/>
      <c r="N645" s="1"/>
      <c r="O645" s="1"/>
      <c r="P645" s="1"/>
      <c r="Q645" s="13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31"/>
      <c r="F646" s="131"/>
      <c r="G646" s="131"/>
      <c r="H646" s="1"/>
      <c r="I646" s="1"/>
      <c r="J646" s="1"/>
      <c r="K646" s="1"/>
      <c r="L646" s="1"/>
      <c r="M646" s="1"/>
      <c r="N646" s="1"/>
      <c r="O646" s="1"/>
      <c r="P646" s="1"/>
      <c r="Q646" s="13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31"/>
      <c r="F647" s="131"/>
      <c r="G647" s="131"/>
      <c r="H647" s="1"/>
      <c r="I647" s="1"/>
      <c r="J647" s="1"/>
      <c r="K647" s="1"/>
      <c r="L647" s="1"/>
      <c r="M647" s="1"/>
      <c r="N647" s="1"/>
      <c r="O647" s="1"/>
      <c r="P647" s="1"/>
      <c r="Q647" s="13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31"/>
      <c r="F648" s="131"/>
      <c r="G648" s="131"/>
      <c r="H648" s="1"/>
      <c r="I648" s="1"/>
      <c r="J648" s="1"/>
      <c r="K648" s="1"/>
      <c r="L648" s="1"/>
      <c r="M648" s="1"/>
      <c r="N648" s="1"/>
      <c r="O648" s="1"/>
      <c r="P648" s="1"/>
      <c r="Q648" s="13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31"/>
      <c r="F649" s="131"/>
      <c r="G649" s="131"/>
      <c r="H649" s="1"/>
      <c r="I649" s="1"/>
      <c r="J649" s="1"/>
      <c r="K649" s="1"/>
      <c r="L649" s="1"/>
      <c r="M649" s="1"/>
      <c r="N649" s="1"/>
      <c r="O649" s="1"/>
      <c r="P649" s="1"/>
      <c r="Q649" s="13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31"/>
      <c r="F650" s="131"/>
      <c r="G650" s="131"/>
      <c r="H650" s="1"/>
      <c r="I650" s="1"/>
      <c r="J650" s="1"/>
      <c r="K650" s="1"/>
      <c r="L650" s="1"/>
      <c r="M650" s="1"/>
      <c r="N650" s="1"/>
      <c r="O650" s="1"/>
      <c r="P650" s="1"/>
      <c r="Q650" s="13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31"/>
      <c r="F651" s="131"/>
      <c r="G651" s="131"/>
      <c r="H651" s="1"/>
      <c r="I651" s="1"/>
      <c r="J651" s="1"/>
      <c r="K651" s="1"/>
      <c r="L651" s="1"/>
      <c r="M651" s="1"/>
      <c r="N651" s="1"/>
      <c r="O651" s="1"/>
      <c r="P651" s="1"/>
      <c r="Q651" s="13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31"/>
      <c r="F652" s="131"/>
      <c r="G652" s="131"/>
      <c r="H652" s="1"/>
      <c r="I652" s="1"/>
      <c r="J652" s="1"/>
      <c r="K652" s="1"/>
      <c r="L652" s="1"/>
      <c r="M652" s="1"/>
      <c r="N652" s="1"/>
      <c r="O652" s="1"/>
      <c r="P652" s="1"/>
      <c r="Q652" s="13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31"/>
      <c r="F653" s="131"/>
      <c r="G653" s="131"/>
      <c r="H653" s="1"/>
      <c r="I653" s="1"/>
      <c r="J653" s="1"/>
      <c r="K653" s="1"/>
      <c r="L653" s="1"/>
      <c r="M653" s="1"/>
      <c r="N653" s="1"/>
      <c r="O653" s="1"/>
      <c r="P653" s="1"/>
      <c r="Q653" s="13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31"/>
      <c r="F654" s="131"/>
      <c r="G654" s="131"/>
      <c r="H654" s="1"/>
      <c r="I654" s="1"/>
      <c r="J654" s="1"/>
      <c r="K654" s="1"/>
      <c r="L654" s="1"/>
      <c r="M654" s="1"/>
      <c r="N654" s="1"/>
      <c r="O654" s="1"/>
      <c r="P654" s="1"/>
      <c r="Q654" s="13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31"/>
      <c r="F655" s="131"/>
      <c r="G655" s="131"/>
      <c r="H655" s="1"/>
      <c r="I655" s="1"/>
      <c r="J655" s="1"/>
      <c r="K655" s="1"/>
      <c r="L655" s="1"/>
      <c r="M655" s="1"/>
      <c r="N655" s="1"/>
      <c r="O655" s="1"/>
      <c r="P655" s="1"/>
      <c r="Q655" s="13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31"/>
      <c r="F656" s="131"/>
      <c r="G656" s="131"/>
      <c r="H656" s="1"/>
      <c r="I656" s="1"/>
      <c r="J656" s="1"/>
      <c r="K656" s="1"/>
      <c r="L656" s="1"/>
      <c r="M656" s="1"/>
      <c r="N656" s="1"/>
      <c r="O656" s="1"/>
      <c r="P656" s="1"/>
      <c r="Q656" s="13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31"/>
      <c r="F657" s="131"/>
      <c r="G657" s="131"/>
      <c r="H657" s="1"/>
      <c r="I657" s="1"/>
      <c r="J657" s="1"/>
      <c r="K657" s="1"/>
      <c r="L657" s="1"/>
      <c r="M657" s="1"/>
      <c r="N657" s="1"/>
      <c r="O657" s="1"/>
      <c r="P657" s="1"/>
      <c r="Q657" s="13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31"/>
      <c r="F658" s="131"/>
      <c r="G658" s="131"/>
      <c r="H658" s="1"/>
      <c r="I658" s="1"/>
      <c r="J658" s="1"/>
      <c r="K658" s="1"/>
      <c r="L658" s="1"/>
      <c r="M658" s="1"/>
      <c r="N658" s="1"/>
      <c r="O658" s="1"/>
      <c r="P658" s="1"/>
      <c r="Q658" s="13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31"/>
      <c r="F659" s="131"/>
      <c r="G659" s="131"/>
      <c r="H659" s="1"/>
      <c r="I659" s="1"/>
      <c r="J659" s="1"/>
      <c r="K659" s="1"/>
      <c r="L659" s="1"/>
      <c r="M659" s="1"/>
      <c r="N659" s="1"/>
      <c r="O659" s="1"/>
      <c r="P659" s="1"/>
      <c r="Q659" s="13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31"/>
      <c r="F660" s="131"/>
      <c r="G660" s="131"/>
      <c r="H660" s="1"/>
      <c r="I660" s="1"/>
      <c r="J660" s="1"/>
      <c r="K660" s="1"/>
      <c r="L660" s="1"/>
      <c r="M660" s="1"/>
      <c r="N660" s="1"/>
      <c r="O660" s="1"/>
      <c r="P660" s="1"/>
      <c r="Q660" s="13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31"/>
      <c r="F661" s="131"/>
      <c r="G661" s="131"/>
      <c r="H661" s="1"/>
      <c r="I661" s="1"/>
      <c r="J661" s="1"/>
      <c r="K661" s="1"/>
      <c r="L661" s="1"/>
      <c r="M661" s="1"/>
      <c r="N661" s="1"/>
      <c r="O661" s="1"/>
      <c r="P661" s="1"/>
      <c r="Q661" s="13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31"/>
      <c r="F662" s="131"/>
      <c r="G662" s="131"/>
      <c r="H662" s="1"/>
      <c r="I662" s="1"/>
      <c r="J662" s="1"/>
      <c r="K662" s="1"/>
      <c r="L662" s="1"/>
      <c r="M662" s="1"/>
      <c r="N662" s="1"/>
      <c r="O662" s="1"/>
      <c r="P662" s="1"/>
      <c r="Q662" s="13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31"/>
      <c r="F663" s="131"/>
      <c r="G663" s="131"/>
      <c r="H663" s="1"/>
      <c r="I663" s="1"/>
      <c r="J663" s="1"/>
      <c r="K663" s="1"/>
      <c r="L663" s="1"/>
      <c r="M663" s="1"/>
      <c r="N663" s="1"/>
      <c r="O663" s="1"/>
      <c r="P663" s="1"/>
      <c r="Q663" s="13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31"/>
      <c r="F664" s="131"/>
      <c r="G664" s="131"/>
      <c r="H664" s="1"/>
      <c r="I664" s="1"/>
      <c r="J664" s="1"/>
      <c r="K664" s="1"/>
      <c r="L664" s="1"/>
      <c r="M664" s="1"/>
      <c r="N664" s="1"/>
      <c r="O664" s="1"/>
      <c r="P664" s="1"/>
      <c r="Q664" s="13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31"/>
      <c r="F665" s="131"/>
      <c r="G665" s="131"/>
      <c r="H665" s="1"/>
      <c r="I665" s="1"/>
      <c r="J665" s="1"/>
      <c r="K665" s="1"/>
      <c r="L665" s="1"/>
      <c r="M665" s="1"/>
      <c r="N665" s="1"/>
      <c r="O665" s="1"/>
      <c r="P665" s="1"/>
      <c r="Q665" s="13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31"/>
      <c r="F666" s="131"/>
      <c r="G666" s="131"/>
      <c r="H666" s="1"/>
      <c r="I666" s="1"/>
      <c r="J666" s="1"/>
      <c r="K666" s="1"/>
      <c r="L666" s="1"/>
      <c r="M666" s="1"/>
      <c r="N666" s="1"/>
      <c r="O666" s="1"/>
      <c r="P666" s="1"/>
      <c r="Q666" s="13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31"/>
      <c r="F667" s="131"/>
      <c r="G667" s="131"/>
      <c r="H667" s="1"/>
      <c r="I667" s="1"/>
      <c r="J667" s="1"/>
      <c r="K667" s="1"/>
      <c r="L667" s="1"/>
      <c r="M667" s="1"/>
      <c r="N667" s="1"/>
      <c r="O667" s="1"/>
      <c r="P667" s="1"/>
      <c r="Q667" s="13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31"/>
      <c r="F668" s="131"/>
      <c r="G668" s="131"/>
      <c r="H668" s="1"/>
      <c r="I668" s="1"/>
      <c r="J668" s="1"/>
      <c r="K668" s="1"/>
      <c r="L668" s="1"/>
      <c r="M668" s="1"/>
      <c r="N668" s="1"/>
      <c r="O668" s="1"/>
      <c r="P668" s="1"/>
      <c r="Q668" s="13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31"/>
      <c r="F669" s="131"/>
      <c r="G669" s="131"/>
      <c r="H669" s="1"/>
      <c r="I669" s="1"/>
      <c r="J669" s="1"/>
      <c r="K669" s="1"/>
      <c r="L669" s="1"/>
      <c r="M669" s="1"/>
      <c r="N669" s="1"/>
      <c r="O669" s="1"/>
      <c r="P669" s="1"/>
      <c r="Q669" s="13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31"/>
      <c r="F670" s="131"/>
      <c r="G670" s="131"/>
      <c r="H670" s="1"/>
      <c r="I670" s="1"/>
      <c r="J670" s="1"/>
      <c r="K670" s="1"/>
      <c r="L670" s="1"/>
      <c r="M670" s="1"/>
      <c r="N670" s="1"/>
      <c r="O670" s="1"/>
      <c r="P670" s="1"/>
      <c r="Q670" s="13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31"/>
      <c r="F671" s="131"/>
      <c r="G671" s="131"/>
      <c r="H671" s="1"/>
      <c r="I671" s="1"/>
      <c r="J671" s="1"/>
      <c r="K671" s="1"/>
      <c r="L671" s="1"/>
      <c r="M671" s="1"/>
      <c r="N671" s="1"/>
      <c r="O671" s="1"/>
      <c r="P671" s="1"/>
      <c r="Q671" s="13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31"/>
      <c r="F672" s="131"/>
      <c r="G672" s="131"/>
      <c r="H672" s="1"/>
      <c r="I672" s="1"/>
      <c r="J672" s="1"/>
      <c r="K672" s="1"/>
      <c r="L672" s="1"/>
      <c r="M672" s="1"/>
      <c r="N672" s="1"/>
      <c r="O672" s="1"/>
      <c r="P672" s="1"/>
      <c r="Q672" s="13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31"/>
      <c r="F673" s="131"/>
      <c r="G673" s="131"/>
      <c r="H673" s="1"/>
      <c r="I673" s="1"/>
      <c r="J673" s="1"/>
      <c r="K673" s="1"/>
      <c r="L673" s="1"/>
      <c r="M673" s="1"/>
      <c r="N673" s="1"/>
      <c r="O673" s="1"/>
      <c r="P673" s="1"/>
      <c r="Q673" s="13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31"/>
      <c r="F674" s="131"/>
      <c r="G674" s="131"/>
      <c r="H674" s="1"/>
      <c r="I674" s="1"/>
      <c r="J674" s="1"/>
      <c r="K674" s="1"/>
      <c r="L674" s="1"/>
      <c r="M674" s="1"/>
      <c r="N674" s="1"/>
      <c r="O674" s="1"/>
      <c r="P674" s="1"/>
      <c r="Q674" s="13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31"/>
      <c r="F675" s="131"/>
      <c r="G675" s="131"/>
      <c r="H675" s="1"/>
      <c r="I675" s="1"/>
      <c r="J675" s="1"/>
      <c r="K675" s="1"/>
      <c r="L675" s="1"/>
      <c r="M675" s="1"/>
      <c r="N675" s="1"/>
      <c r="O675" s="1"/>
      <c r="P675" s="1"/>
      <c r="Q675" s="13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31"/>
      <c r="F676" s="131"/>
      <c r="G676" s="131"/>
      <c r="H676" s="1"/>
      <c r="I676" s="1"/>
      <c r="J676" s="1"/>
      <c r="K676" s="1"/>
      <c r="L676" s="1"/>
      <c r="M676" s="1"/>
      <c r="N676" s="1"/>
      <c r="O676" s="1"/>
      <c r="P676" s="1"/>
      <c r="Q676" s="13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31"/>
      <c r="F677" s="131"/>
      <c r="G677" s="131"/>
      <c r="H677" s="1"/>
      <c r="I677" s="1"/>
      <c r="J677" s="1"/>
      <c r="K677" s="1"/>
      <c r="L677" s="1"/>
      <c r="M677" s="1"/>
      <c r="N677" s="1"/>
      <c r="O677" s="1"/>
      <c r="P677" s="1"/>
      <c r="Q677" s="13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31"/>
      <c r="F678" s="131"/>
      <c r="G678" s="131"/>
      <c r="H678" s="1"/>
      <c r="I678" s="1"/>
      <c r="J678" s="1"/>
      <c r="K678" s="1"/>
      <c r="L678" s="1"/>
      <c r="M678" s="1"/>
      <c r="N678" s="1"/>
      <c r="O678" s="1"/>
      <c r="P678" s="1"/>
      <c r="Q678" s="13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31"/>
      <c r="F679" s="131"/>
      <c r="G679" s="131"/>
      <c r="H679" s="1"/>
      <c r="I679" s="1"/>
      <c r="J679" s="1"/>
      <c r="K679" s="1"/>
      <c r="L679" s="1"/>
      <c r="M679" s="1"/>
      <c r="N679" s="1"/>
      <c r="O679" s="1"/>
      <c r="P679" s="1"/>
      <c r="Q679" s="13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31"/>
      <c r="F680" s="131"/>
      <c r="G680" s="131"/>
      <c r="H680" s="1"/>
      <c r="I680" s="1"/>
      <c r="J680" s="1"/>
      <c r="K680" s="1"/>
      <c r="L680" s="1"/>
      <c r="M680" s="1"/>
      <c r="N680" s="1"/>
      <c r="O680" s="1"/>
      <c r="P680" s="1"/>
      <c r="Q680" s="13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31"/>
      <c r="F681" s="131"/>
      <c r="G681" s="131"/>
      <c r="H681" s="1"/>
      <c r="I681" s="1"/>
      <c r="J681" s="1"/>
      <c r="K681" s="1"/>
      <c r="L681" s="1"/>
      <c r="M681" s="1"/>
      <c r="N681" s="1"/>
      <c r="O681" s="1"/>
      <c r="P681" s="1"/>
      <c r="Q681" s="13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31"/>
      <c r="F682" s="131"/>
      <c r="G682" s="131"/>
      <c r="H682" s="1"/>
      <c r="I682" s="1"/>
      <c r="J682" s="1"/>
      <c r="K682" s="1"/>
      <c r="L682" s="1"/>
      <c r="M682" s="1"/>
      <c r="N682" s="1"/>
      <c r="O682" s="1"/>
      <c r="P682" s="1"/>
      <c r="Q682" s="13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31"/>
      <c r="F683" s="131"/>
      <c r="G683" s="131"/>
      <c r="H683" s="1"/>
      <c r="I683" s="1"/>
      <c r="J683" s="1"/>
      <c r="K683" s="1"/>
      <c r="L683" s="1"/>
      <c r="M683" s="1"/>
      <c r="N683" s="1"/>
      <c r="O683" s="1"/>
      <c r="P683" s="1"/>
      <c r="Q683" s="13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31"/>
      <c r="F684" s="131"/>
      <c r="G684" s="131"/>
      <c r="H684" s="1"/>
      <c r="I684" s="1"/>
      <c r="J684" s="1"/>
      <c r="K684" s="1"/>
      <c r="L684" s="1"/>
      <c r="M684" s="1"/>
      <c r="N684" s="1"/>
      <c r="O684" s="1"/>
      <c r="P684" s="1"/>
      <c r="Q684" s="13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31"/>
      <c r="F685" s="131"/>
      <c r="G685" s="131"/>
      <c r="H685" s="1"/>
      <c r="I685" s="1"/>
      <c r="J685" s="1"/>
      <c r="K685" s="1"/>
      <c r="L685" s="1"/>
      <c r="M685" s="1"/>
      <c r="N685" s="1"/>
      <c r="O685" s="1"/>
      <c r="P685" s="1"/>
      <c r="Q685" s="13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31"/>
      <c r="F686" s="131"/>
      <c r="G686" s="131"/>
      <c r="H686" s="1"/>
      <c r="I686" s="1"/>
      <c r="J686" s="1"/>
      <c r="K686" s="1"/>
      <c r="L686" s="1"/>
      <c r="M686" s="1"/>
      <c r="N686" s="1"/>
      <c r="O686" s="1"/>
      <c r="P686" s="1"/>
      <c r="Q686" s="13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31"/>
      <c r="F687" s="131"/>
      <c r="G687" s="131"/>
      <c r="H687" s="1"/>
      <c r="I687" s="1"/>
      <c r="J687" s="1"/>
      <c r="K687" s="1"/>
      <c r="L687" s="1"/>
      <c r="M687" s="1"/>
      <c r="N687" s="1"/>
      <c r="O687" s="1"/>
      <c r="P687" s="1"/>
      <c r="Q687" s="13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31"/>
      <c r="F688" s="131"/>
      <c r="G688" s="131"/>
      <c r="H688" s="1"/>
      <c r="I688" s="1"/>
      <c r="J688" s="1"/>
      <c r="K688" s="1"/>
      <c r="L688" s="1"/>
      <c r="M688" s="1"/>
      <c r="N688" s="1"/>
      <c r="O688" s="1"/>
      <c r="P688" s="1"/>
      <c r="Q688" s="13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31"/>
      <c r="F689" s="131"/>
      <c r="G689" s="131"/>
      <c r="H689" s="1"/>
      <c r="I689" s="1"/>
      <c r="J689" s="1"/>
      <c r="K689" s="1"/>
      <c r="L689" s="1"/>
      <c r="M689" s="1"/>
      <c r="N689" s="1"/>
      <c r="O689" s="1"/>
      <c r="P689" s="1"/>
      <c r="Q689" s="13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31"/>
      <c r="F690" s="131"/>
      <c r="G690" s="131"/>
      <c r="H690" s="1"/>
      <c r="I690" s="1"/>
      <c r="J690" s="1"/>
      <c r="K690" s="1"/>
      <c r="L690" s="1"/>
      <c r="M690" s="1"/>
      <c r="N690" s="1"/>
      <c r="O690" s="1"/>
      <c r="P690" s="1"/>
      <c r="Q690" s="13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31"/>
      <c r="F691" s="131"/>
      <c r="G691" s="131"/>
      <c r="H691" s="1"/>
      <c r="I691" s="1"/>
      <c r="J691" s="1"/>
      <c r="K691" s="1"/>
      <c r="L691" s="1"/>
      <c r="M691" s="1"/>
      <c r="N691" s="1"/>
      <c r="O691" s="1"/>
      <c r="P691" s="1"/>
      <c r="Q691" s="13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31"/>
      <c r="F692" s="131"/>
      <c r="G692" s="131"/>
      <c r="H692" s="1"/>
      <c r="I692" s="1"/>
      <c r="J692" s="1"/>
      <c r="K692" s="1"/>
      <c r="L692" s="1"/>
      <c r="M692" s="1"/>
      <c r="N692" s="1"/>
      <c r="O692" s="1"/>
      <c r="P692" s="1"/>
      <c r="Q692" s="13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31"/>
      <c r="F693" s="131"/>
      <c r="G693" s="131"/>
      <c r="H693" s="1"/>
      <c r="I693" s="1"/>
      <c r="J693" s="1"/>
      <c r="K693" s="1"/>
      <c r="L693" s="1"/>
      <c r="M693" s="1"/>
      <c r="N693" s="1"/>
      <c r="O693" s="1"/>
      <c r="P693" s="1"/>
      <c r="Q693" s="13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31"/>
      <c r="F694" s="131"/>
      <c r="G694" s="131"/>
      <c r="H694" s="1"/>
      <c r="I694" s="1"/>
      <c r="J694" s="1"/>
      <c r="K694" s="1"/>
      <c r="L694" s="1"/>
      <c r="M694" s="1"/>
      <c r="N694" s="1"/>
      <c r="O694" s="1"/>
      <c r="P694" s="1"/>
      <c r="Q694" s="13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31"/>
      <c r="F695" s="131"/>
      <c r="G695" s="131"/>
      <c r="H695" s="1"/>
      <c r="I695" s="1"/>
      <c r="J695" s="1"/>
      <c r="K695" s="1"/>
      <c r="L695" s="1"/>
      <c r="M695" s="1"/>
      <c r="N695" s="1"/>
      <c r="O695" s="1"/>
      <c r="P695" s="1"/>
      <c r="Q695" s="13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31"/>
      <c r="F696" s="131"/>
      <c r="G696" s="131"/>
      <c r="H696" s="1"/>
      <c r="I696" s="1"/>
      <c r="J696" s="1"/>
      <c r="K696" s="1"/>
      <c r="L696" s="1"/>
      <c r="M696" s="1"/>
      <c r="N696" s="1"/>
      <c r="O696" s="1"/>
      <c r="P696" s="1"/>
      <c r="Q696" s="13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31"/>
      <c r="F697" s="131"/>
      <c r="G697" s="131"/>
      <c r="H697" s="1"/>
      <c r="I697" s="1"/>
      <c r="J697" s="1"/>
      <c r="K697" s="1"/>
      <c r="L697" s="1"/>
      <c r="M697" s="1"/>
      <c r="N697" s="1"/>
      <c r="O697" s="1"/>
      <c r="P697" s="1"/>
      <c r="Q697" s="13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31"/>
      <c r="F698" s="131"/>
      <c r="G698" s="131"/>
      <c r="H698" s="1"/>
      <c r="I698" s="1"/>
      <c r="J698" s="1"/>
      <c r="K698" s="1"/>
      <c r="L698" s="1"/>
      <c r="M698" s="1"/>
      <c r="N698" s="1"/>
      <c r="O698" s="1"/>
      <c r="P698" s="1"/>
      <c r="Q698" s="13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31"/>
      <c r="F699" s="131"/>
      <c r="G699" s="131"/>
      <c r="H699" s="1"/>
      <c r="I699" s="1"/>
      <c r="J699" s="1"/>
      <c r="K699" s="1"/>
      <c r="L699" s="1"/>
      <c r="M699" s="1"/>
      <c r="N699" s="1"/>
      <c r="O699" s="1"/>
      <c r="P699" s="1"/>
      <c r="Q699" s="13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31"/>
      <c r="F700" s="131"/>
      <c r="G700" s="131"/>
      <c r="H700" s="1"/>
      <c r="I700" s="1"/>
      <c r="J700" s="1"/>
      <c r="K700" s="1"/>
      <c r="L700" s="1"/>
      <c r="M700" s="1"/>
      <c r="N700" s="1"/>
      <c r="O700" s="1"/>
      <c r="P700" s="1"/>
      <c r="Q700" s="13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31"/>
      <c r="F701" s="131"/>
      <c r="G701" s="131"/>
      <c r="H701" s="1"/>
      <c r="I701" s="1"/>
      <c r="J701" s="1"/>
      <c r="K701" s="1"/>
      <c r="L701" s="1"/>
      <c r="M701" s="1"/>
      <c r="N701" s="1"/>
      <c r="O701" s="1"/>
      <c r="P701" s="1"/>
      <c r="Q701" s="13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31"/>
      <c r="F702" s="131"/>
      <c r="G702" s="131"/>
      <c r="H702" s="1"/>
      <c r="I702" s="1"/>
      <c r="J702" s="1"/>
      <c r="K702" s="1"/>
      <c r="L702" s="1"/>
      <c r="M702" s="1"/>
      <c r="N702" s="1"/>
      <c r="O702" s="1"/>
      <c r="P702" s="1"/>
      <c r="Q702" s="13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31"/>
      <c r="F703" s="131"/>
      <c r="G703" s="131"/>
      <c r="H703" s="1"/>
      <c r="I703" s="1"/>
      <c r="J703" s="1"/>
      <c r="K703" s="1"/>
      <c r="L703" s="1"/>
      <c r="M703" s="1"/>
      <c r="N703" s="1"/>
      <c r="O703" s="1"/>
      <c r="P703" s="1"/>
      <c r="Q703" s="13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31"/>
      <c r="F704" s="131"/>
      <c r="G704" s="131"/>
      <c r="H704" s="1"/>
      <c r="I704" s="1"/>
      <c r="J704" s="1"/>
      <c r="K704" s="1"/>
      <c r="L704" s="1"/>
      <c r="M704" s="1"/>
      <c r="N704" s="1"/>
      <c r="O704" s="1"/>
      <c r="P704" s="1"/>
      <c r="Q704" s="13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31"/>
      <c r="F705" s="131"/>
      <c r="G705" s="131"/>
      <c r="H705" s="1"/>
      <c r="I705" s="1"/>
      <c r="J705" s="1"/>
      <c r="K705" s="1"/>
      <c r="L705" s="1"/>
      <c r="M705" s="1"/>
      <c r="N705" s="1"/>
      <c r="O705" s="1"/>
      <c r="P705" s="1"/>
      <c r="Q705" s="13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31"/>
      <c r="F706" s="131"/>
      <c r="G706" s="131"/>
      <c r="H706" s="1"/>
      <c r="I706" s="1"/>
      <c r="J706" s="1"/>
      <c r="K706" s="1"/>
      <c r="L706" s="1"/>
      <c r="M706" s="1"/>
      <c r="N706" s="1"/>
      <c r="O706" s="1"/>
      <c r="P706" s="1"/>
      <c r="Q706" s="13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31"/>
      <c r="F707" s="131"/>
      <c r="G707" s="131"/>
      <c r="H707" s="1"/>
      <c r="I707" s="1"/>
      <c r="J707" s="1"/>
      <c r="K707" s="1"/>
      <c r="L707" s="1"/>
      <c r="M707" s="1"/>
      <c r="N707" s="1"/>
      <c r="O707" s="1"/>
      <c r="P707" s="1"/>
      <c r="Q707" s="13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31"/>
      <c r="F708" s="131"/>
      <c r="G708" s="131"/>
      <c r="H708" s="1"/>
      <c r="I708" s="1"/>
      <c r="J708" s="1"/>
      <c r="K708" s="1"/>
      <c r="L708" s="1"/>
      <c r="M708" s="1"/>
      <c r="N708" s="1"/>
      <c r="O708" s="1"/>
      <c r="P708" s="1"/>
      <c r="Q708" s="13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31"/>
      <c r="F709" s="131"/>
      <c r="G709" s="131"/>
      <c r="H709" s="1"/>
      <c r="I709" s="1"/>
      <c r="J709" s="1"/>
      <c r="K709" s="1"/>
      <c r="L709" s="1"/>
      <c r="M709" s="1"/>
      <c r="N709" s="1"/>
      <c r="O709" s="1"/>
      <c r="P709" s="1"/>
      <c r="Q709" s="13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31"/>
      <c r="F710" s="131"/>
      <c r="G710" s="131"/>
      <c r="H710" s="1"/>
      <c r="I710" s="1"/>
      <c r="J710" s="1"/>
      <c r="K710" s="1"/>
      <c r="L710" s="1"/>
      <c r="M710" s="1"/>
      <c r="N710" s="1"/>
      <c r="O710" s="1"/>
      <c r="P710" s="1"/>
      <c r="Q710" s="13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31"/>
      <c r="F711" s="131"/>
      <c r="G711" s="131"/>
      <c r="H711" s="1"/>
      <c r="I711" s="1"/>
      <c r="J711" s="1"/>
      <c r="K711" s="1"/>
      <c r="L711" s="1"/>
      <c r="M711" s="1"/>
      <c r="N711" s="1"/>
      <c r="O711" s="1"/>
      <c r="P711" s="1"/>
      <c r="Q711" s="13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31"/>
      <c r="F712" s="131"/>
      <c r="G712" s="131"/>
      <c r="H712" s="1"/>
      <c r="I712" s="1"/>
      <c r="J712" s="1"/>
      <c r="K712" s="1"/>
      <c r="L712" s="1"/>
      <c r="M712" s="1"/>
      <c r="N712" s="1"/>
      <c r="O712" s="1"/>
      <c r="P712" s="1"/>
      <c r="Q712" s="13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31"/>
      <c r="F713" s="131"/>
      <c r="G713" s="131"/>
      <c r="H713" s="1"/>
      <c r="I713" s="1"/>
      <c r="J713" s="1"/>
      <c r="K713" s="1"/>
      <c r="L713" s="1"/>
      <c r="M713" s="1"/>
      <c r="N713" s="1"/>
      <c r="O713" s="1"/>
      <c r="P713" s="1"/>
      <c r="Q713" s="13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31"/>
      <c r="F714" s="131"/>
      <c r="G714" s="131"/>
      <c r="H714" s="1"/>
      <c r="I714" s="1"/>
      <c r="J714" s="1"/>
      <c r="K714" s="1"/>
      <c r="L714" s="1"/>
      <c r="M714" s="1"/>
      <c r="N714" s="1"/>
      <c r="O714" s="1"/>
      <c r="P714" s="1"/>
      <c r="Q714" s="13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31"/>
      <c r="F715" s="131"/>
      <c r="G715" s="131"/>
      <c r="H715" s="1"/>
      <c r="I715" s="1"/>
      <c r="J715" s="1"/>
      <c r="K715" s="1"/>
      <c r="L715" s="1"/>
      <c r="M715" s="1"/>
      <c r="N715" s="1"/>
      <c r="O715" s="1"/>
      <c r="P715" s="1"/>
      <c r="Q715" s="13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31"/>
      <c r="F716" s="131"/>
      <c r="G716" s="131"/>
      <c r="H716" s="1"/>
      <c r="I716" s="1"/>
      <c r="J716" s="1"/>
      <c r="K716" s="1"/>
      <c r="L716" s="1"/>
      <c r="M716" s="1"/>
      <c r="N716" s="1"/>
      <c r="O716" s="1"/>
      <c r="P716" s="1"/>
      <c r="Q716" s="13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31"/>
      <c r="F717" s="131"/>
      <c r="G717" s="131"/>
      <c r="H717" s="1"/>
      <c r="I717" s="1"/>
      <c r="J717" s="1"/>
      <c r="K717" s="1"/>
      <c r="L717" s="1"/>
      <c r="M717" s="1"/>
      <c r="N717" s="1"/>
      <c r="O717" s="1"/>
      <c r="P717" s="1"/>
      <c r="Q717" s="13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31"/>
      <c r="F718" s="131"/>
      <c r="G718" s="131"/>
      <c r="H718" s="1"/>
      <c r="I718" s="1"/>
      <c r="J718" s="1"/>
      <c r="K718" s="1"/>
      <c r="L718" s="1"/>
      <c r="M718" s="1"/>
      <c r="N718" s="1"/>
      <c r="O718" s="1"/>
      <c r="P718" s="1"/>
      <c r="Q718" s="13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31"/>
      <c r="F719" s="131"/>
      <c r="G719" s="131"/>
      <c r="H719" s="1"/>
      <c r="I719" s="1"/>
      <c r="J719" s="1"/>
      <c r="K719" s="1"/>
      <c r="L719" s="1"/>
      <c r="M719" s="1"/>
      <c r="N719" s="1"/>
      <c r="O719" s="1"/>
      <c r="P719" s="1"/>
      <c r="Q719" s="13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31"/>
      <c r="F720" s="131"/>
      <c r="G720" s="131"/>
      <c r="H720" s="1"/>
      <c r="I720" s="1"/>
      <c r="J720" s="1"/>
      <c r="K720" s="1"/>
      <c r="L720" s="1"/>
      <c r="M720" s="1"/>
      <c r="N720" s="1"/>
      <c r="O720" s="1"/>
      <c r="P720" s="1"/>
      <c r="Q720" s="13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31"/>
      <c r="F721" s="131"/>
      <c r="G721" s="131"/>
      <c r="H721" s="1"/>
      <c r="I721" s="1"/>
      <c r="J721" s="1"/>
      <c r="K721" s="1"/>
      <c r="L721" s="1"/>
      <c r="M721" s="1"/>
      <c r="N721" s="1"/>
      <c r="O721" s="1"/>
      <c r="P721" s="1"/>
      <c r="Q721" s="13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31"/>
      <c r="F722" s="131"/>
      <c r="G722" s="131"/>
      <c r="H722" s="1"/>
      <c r="I722" s="1"/>
      <c r="J722" s="1"/>
      <c r="K722" s="1"/>
      <c r="L722" s="1"/>
      <c r="M722" s="1"/>
      <c r="N722" s="1"/>
      <c r="O722" s="1"/>
      <c r="P722" s="1"/>
      <c r="Q722" s="13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31"/>
      <c r="F723" s="131"/>
      <c r="G723" s="131"/>
      <c r="H723" s="1"/>
      <c r="I723" s="1"/>
      <c r="J723" s="1"/>
      <c r="K723" s="1"/>
      <c r="L723" s="1"/>
      <c r="M723" s="1"/>
      <c r="N723" s="1"/>
      <c r="O723" s="1"/>
      <c r="P723" s="1"/>
      <c r="Q723" s="13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31"/>
      <c r="F724" s="131"/>
      <c r="G724" s="131"/>
      <c r="H724" s="1"/>
      <c r="I724" s="1"/>
      <c r="J724" s="1"/>
      <c r="K724" s="1"/>
      <c r="L724" s="1"/>
      <c r="M724" s="1"/>
      <c r="N724" s="1"/>
      <c r="O724" s="1"/>
      <c r="P724" s="1"/>
      <c r="Q724" s="13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31"/>
      <c r="F725" s="131"/>
      <c r="G725" s="131"/>
      <c r="H725" s="1"/>
      <c r="I725" s="1"/>
      <c r="J725" s="1"/>
      <c r="K725" s="1"/>
      <c r="L725" s="1"/>
      <c r="M725" s="1"/>
      <c r="N725" s="1"/>
      <c r="O725" s="1"/>
      <c r="P725" s="1"/>
      <c r="Q725" s="13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31"/>
      <c r="F726" s="131"/>
      <c r="G726" s="131"/>
      <c r="H726" s="1"/>
      <c r="I726" s="1"/>
      <c r="J726" s="1"/>
      <c r="K726" s="1"/>
      <c r="L726" s="1"/>
      <c r="M726" s="1"/>
      <c r="N726" s="1"/>
      <c r="O726" s="1"/>
      <c r="P726" s="1"/>
      <c r="Q726" s="13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31"/>
      <c r="F727" s="131"/>
      <c r="G727" s="131"/>
      <c r="H727" s="1"/>
      <c r="I727" s="1"/>
      <c r="J727" s="1"/>
      <c r="K727" s="1"/>
      <c r="L727" s="1"/>
      <c r="M727" s="1"/>
      <c r="N727" s="1"/>
      <c r="O727" s="1"/>
      <c r="P727" s="1"/>
      <c r="Q727" s="13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31"/>
      <c r="F728" s="131"/>
      <c r="G728" s="131"/>
      <c r="H728" s="1"/>
      <c r="I728" s="1"/>
      <c r="J728" s="1"/>
      <c r="K728" s="1"/>
      <c r="L728" s="1"/>
      <c r="M728" s="1"/>
      <c r="N728" s="1"/>
      <c r="O728" s="1"/>
      <c r="P728" s="1"/>
      <c r="Q728" s="13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31"/>
      <c r="F729" s="131"/>
      <c r="G729" s="131"/>
      <c r="H729" s="1"/>
      <c r="I729" s="1"/>
      <c r="J729" s="1"/>
      <c r="K729" s="1"/>
      <c r="L729" s="1"/>
      <c r="M729" s="1"/>
      <c r="N729" s="1"/>
      <c r="O729" s="1"/>
      <c r="P729" s="1"/>
      <c r="Q729" s="13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31"/>
      <c r="F730" s="131"/>
      <c r="G730" s="131"/>
      <c r="H730" s="1"/>
      <c r="I730" s="1"/>
      <c r="J730" s="1"/>
      <c r="K730" s="1"/>
      <c r="L730" s="1"/>
      <c r="M730" s="1"/>
      <c r="N730" s="1"/>
      <c r="O730" s="1"/>
      <c r="P730" s="1"/>
      <c r="Q730" s="13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31"/>
      <c r="F731" s="131"/>
      <c r="G731" s="131"/>
      <c r="H731" s="1"/>
      <c r="I731" s="1"/>
      <c r="J731" s="1"/>
      <c r="K731" s="1"/>
      <c r="L731" s="1"/>
      <c r="M731" s="1"/>
      <c r="N731" s="1"/>
      <c r="O731" s="1"/>
      <c r="P731" s="1"/>
      <c r="Q731" s="13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31"/>
      <c r="F732" s="131"/>
      <c r="G732" s="131"/>
      <c r="H732" s="1"/>
      <c r="I732" s="1"/>
      <c r="J732" s="1"/>
      <c r="K732" s="1"/>
      <c r="L732" s="1"/>
      <c r="M732" s="1"/>
      <c r="N732" s="1"/>
      <c r="O732" s="1"/>
      <c r="P732" s="1"/>
      <c r="Q732" s="13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31"/>
      <c r="F733" s="131"/>
      <c r="G733" s="131"/>
      <c r="H733" s="1"/>
      <c r="I733" s="1"/>
      <c r="J733" s="1"/>
      <c r="K733" s="1"/>
      <c r="L733" s="1"/>
      <c r="M733" s="1"/>
      <c r="N733" s="1"/>
      <c r="O733" s="1"/>
      <c r="P733" s="1"/>
      <c r="Q733" s="13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31"/>
      <c r="F734" s="131"/>
      <c r="G734" s="131"/>
      <c r="H734" s="1"/>
      <c r="I734" s="1"/>
      <c r="J734" s="1"/>
      <c r="K734" s="1"/>
      <c r="L734" s="1"/>
      <c r="M734" s="1"/>
      <c r="N734" s="1"/>
      <c r="O734" s="1"/>
      <c r="P734" s="1"/>
      <c r="Q734" s="13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31"/>
      <c r="F735" s="131"/>
      <c r="G735" s="131"/>
      <c r="H735" s="1"/>
      <c r="I735" s="1"/>
      <c r="J735" s="1"/>
      <c r="K735" s="1"/>
      <c r="L735" s="1"/>
      <c r="M735" s="1"/>
      <c r="N735" s="1"/>
      <c r="O735" s="1"/>
      <c r="P735" s="1"/>
      <c r="Q735" s="13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31"/>
      <c r="F736" s="131"/>
      <c r="G736" s="131"/>
      <c r="H736" s="1"/>
      <c r="I736" s="1"/>
      <c r="J736" s="1"/>
      <c r="K736" s="1"/>
      <c r="L736" s="1"/>
      <c r="M736" s="1"/>
      <c r="N736" s="1"/>
      <c r="O736" s="1"/>
      <c r="P736" s="1"/>
      <c r="Q736" s="13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31"/>
      <c r="F737" s="131"/>
      <c r="G737" s="131"/>
      <c r="H737" s="1"/>
      <c r="I737" s="1"/>
      <c r="J737" s="1"/>
      <c r="K737" s="1"/>
      <c r="L737" s="1"/>
      <c r="M737" s="1"/>
      <c r="N737" s="1"/>
      <c r="O737" s="1"/>
      <c r="P737" s="1"/>
      <c r="Q737" s="13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31"/>
      <c r="F738" s="131"/>
      <c r="G738" s="131"/>
      <c r="H738" s="1"/>
      <c r="I738" s="1"/>
      <c r="J738" s="1"/>
      <c r="K738" s="1"/>
      <c r="L738" s="1"/>
      <c r="M738" s="1"/>
      <c r="N738" s="1"/>
      <c r="O738" s="1"/>
      <c r="P738" s="1"/>
      <c r="Q738" s="13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31"/>
      <c r="F739" s="131"/>
      <c r="G739" s="131"/>
      <c r="H739" s="1"/>
      <c r="I739" s="1"/>
      <c r="J739" s="1"/>
      <c r="K739" s="1"/>
      <c r="L739" s="1"/>
      <c r="M739" s="1"/>
      <c r="N739" s="1"/>
      <c r="O739" s="1"/>
      <c r="P739" s="1"/>
      <c r="Q739" s="13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31"/>
      <c r="F740" s="131"/>
      <c r="G740" s="131"/>
      <c r="H740" s="1"/>
      <c r="I740" s="1"/>
      <c r="J740" s="1"/>
      <c r="K740" s="1"/>
      <c r="L740" s="1"/>
      <c r="M740" s="1"/>
      <c r="N740" s="1"/>
      <c r="O740" s="1"/>
      <c r="P740" s="1"/>
      <c r="Q740" s="13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31"/>
      <c r="F741" s="131"/>
      <c r="G741" s="131"/>
      <c r="H741" s="1"/>
      <c r="I741" s="1"/>
      <c r="J741" s="1"/>
      <c r="K741" s="1"/>
      <c r="L741" s="1"/>
      <c r="M741" s="1"/>
      <c r="N741" s="1"/>
      <c r="O741" s="1"/>
      <c r="P741" s="1"/>
      <c r="Q741" s="13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31"/>
      <c r="F742" s="131"/>
      <c r="G742" s="131"/>
      <c r="H742" s="1"/>
      <c r="I742" s="1"/>
      <c r="J742" s="1"/>
      <c r="K742" s="1"/>
      <c r="L742" s="1"/>
      <c r="M742" s="1"/>
      <c r="N742" s="1"/>
      <c r="O742" s="1"/>
      <c r="P742" s="1"/>
      <c r="Q742" s="13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31"/>
      <c r="F743" s="131"/>
      <c r="G743" s="131"/>
      <c r="H743" s="1"/>
      <c r="I743" s="1"/>
      <c r="J743" s="1"/>
      <c r="K743" s="1"/>
      <c r="L743" s="1"/>
      <c r="M743" s="1"/>
      <c r="N743" s="1"/>
      <c r="O743" s="1"/>
      <c r="P743" s="1"/>
      <c r="Q743" s="13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31"/>
      <c r="F744" s="131"/>
      <c r="G744" s="131"/>
      <c r="H744" s="1"/>
      <c r="I744" s="1"/>
      <c r="J744" s="1"/>
      <c r="K744" s="1"/>
      <c r="L744" s="1"/>
      <c r="M744" s="1"/>
      <c r="N744" s="1"/>
      <c r="O744" s="1"/>
      <c r="P744" s="1"/>
      <c r="Q744" s="13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31"/>
      <c r="F745" s="131"/>
      <c r="G745" s="131"/>
      <c r="H745" s="1"/>
      <c r="I745" s="1"/>
      <c r="J745" s="1"/>
      <c r="K745" s="1"/>
      <c r="L745" s="1"/>
      <c r="M745" s="1"/>
      <c r="N745" s="1"/>
      <c r="O745" s="1"/>
      <c r="P745" s="1"/>
      <c r="Q745" s="13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31"/>
      <c r="F746" s="131"/>
      <c r="G746" s="131"/>
      <c r="H746" s="1"/>
      <c r="I746" s="1"/>
      <c r="J746" s="1"/>
      <c r="K746" s="1"/>
      <c r="L746" s="1"/>
      <c r="M746" s="1"/>
      <c r="N746" s="1"/>
      <c r="O746" s="1"/>
      <c r="P746" s="1"/>
      <c r="Q746" s="13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31"/>
      <c r="F747" s="131"/>
      <c r="G747" s="131"/>
      <c r="H747" s="1"/>
      <c r="I747" s="1"/>
      <c r="J747" s="1"/>
      <c r="K747" s="1"/>
      <c r="L747" s="1"/>
      <c r="M747" s="1"/>
      <c r="N747" s="1"/>
      <c r="O747" s="1"/>
      <c r="P747" s="1"/>
      <c r="Q747" s="13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31"/>
      <c r="F748" s="131"/>
      <c r="G748" s="131"/>
      <c r="H748" s="1"/>
      <c r="I748" s="1"/>
      <c r="J748" s="1"/>
      <c r="K748" s="1"/>
      <c r="L748" s="1"/>
      <c r="M748" s="1"/>
      <c r="N748" s="1"/>
      <c r="O748" s="1"/>
      <c r="P748" s="1"/>
      <c r="Q748" s="13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31"/>
      <c r="F749" s="131"/>
      <c r="G749" s="131"/>
      <c r="H749" s="1"/>
      <c r="I749" s="1"/>
      <c r="J749" s="1"/>
      <c r="K749" s="1"/>
      <c r="L749" s="1"/>
      <c r="M749" s="1"/>
      <c r="N749" s="1"/>
      <c r="O749" s="1"/>
      <c r="P749" s="1"/>
      <c r="Q749" s="13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31"/>
      <c r="F750" s="131"/>
      <c r="G750" s="131"/>
      <c r="H750" s="1"/>
      <c r="I750" s="1"/>
      <c r="J750" s="1"/>
      <c r="K750" s="1"/>
      <c r="L750" s="1"/>
      <c r="M750" s="1"/>
      <c r="N750" s="1"/>
      <c r="O750" s="1"/>
      <c r="P750" s="1"/>
      <c r="Q750" s="13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31"/>
      <c r="F751" s="131"/>
      <c r="G751" s="131"/>
      <c r="H751" s="1"/>
      <c r="I751" s="1"/>
      <c r="J751" s="1"/>
      <c r="K751" s="1"/>
      <c r="L751" s="1"/>
      <c r="M751" s="1"/>
      <c r="N751" s="1"/>
      <c r="O751" s="1"/>
      <c r="P751" s="1"/>
      <c r="Q751" s="13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31"/>
      <c r="F752" s="131"/>
      <c r="G752" s="131"/>
      <c r="H752" s="1"/>
      <c r="I752" s="1"/>
      <c r="J752" s="1"/>
      <c r="K752" s="1"/>
      <c r="L752" s="1"/>
      <c r="M752" s="1"/>
      <c r="N752" s="1"/>
      <c r="O752" s="1"/>
      <c r="P752" s="1"/>
      <c r="Q752" s="13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31"/>
      <c r="F753" s="131"/>
      <c r="G753" s="131"/>
      <c r="H753" s="1"/>
      <c r="I753" s="1"/>
      <c r="J753" s="1"/>
      <c r="K753" s="1"/>
      <c r="L753" s="1"/>
      <c r="M753" s="1"/>
      <c r="N753" s="1"/>
      <c r="O753" s="1"/>
      <c r="P753" s="1"/>
      <c r="Q753" s="13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31"/>
      <c r="F754" s="131"/>
      <c r="G754" s="131"/>
      <c r="H754" s="1"/>
      <c r="I754" s="1"/>
      <c r="J754" s="1"/>
      <c r="K754" s="1"/>
      <c r="L754" s="1"/>
      <c r="M754" s="1"/>
      <c r="N754" s="1"/>
      <c r="O754" s="1"/>
      <c r="P754" s="1"/>
      <c r="Q754" s="13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31"/>
      <c r="F755" s="131"/>
      <c r="G755" s="131"/>
      <c r="H755" s="1"/>
      <c r="I755" s="1"/>
      <c r="J755" s="1"/>
      <c r="K755" s="1"/>
      <c r="L755" s="1"/>
      <c r="M755" s="1"/>
      <c r="N755" s="1"/>
      <c r="O755" s="1"/>
      <c r="P755" s="1"/>
      <c r="Q755" s="13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31"/>
      <c r="F756" s="131"/>
      <c r="G756" s="131"/>
      <c r="H756" s="1"/>
      <c r="I756" s="1"/>
      <c r="J756" s="1"/>
      <c r="K756" s="1"/>
      <c r="L756" s="1"/>
      <c r="M756" s="1"/>
      <c r="N756" s="1"/>
      <c r="O756" s="1"/>
      <c r="P756" s="1"/>
      <c r="Q756" s="13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31"/>
      <c r="F757" s="131"/>
      <c r="G757" s="131"/>
      <c r="H757" s="1"/>
      <c r="I757" s="1"/>
      <c r="J757" s="1"/>
      <c r="K757" s="1"/>
      <c r="L757" s="1"/>
      <c r="M757" s="1"/>
      <c r="N757" s="1"/>
      <c r="O757" s="1"/>
      <c r="P757" s="1"/>
      <c r="Q757" s="13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31"/>
      <c r="F758" s="131"/>
      <c r="G758" s="131"/>
      <c r="H758" s="1"/>
      <c r="I758" s="1"/>
      <c r="J758" s="1"/>
      <c r="K758" s="1"/>
      <c r="L758" s="1"/>
      <c r="M758" s="1"/>
      <c r="N758" s="1"/>
      <c r="O758" s="1"/>
      <c r="P758" s="1"/>
      <c r="Q758" s="13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31"/>
      <c r="F759" s="131"/>
      <c r="G759" s="131"/>
      <c r="H759" s="1"/>
      <c r="I759" s="1"/>
      <c r="J759" s="1"/>
      <c r="K759" s="1"/>
      <c r="L759" s="1"/>
      <c r="M759" s="1"/>
      <c r="N759" s="1"/>
      <c r="O759" s="1"/>
      <c r="P759" s="1"/>
      <c r="Q759" s="13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31"/>
      <c r="F760" s="131"/>
      <c r="G760" s="131"/>
      <c r="H760" s="1"/>
      <c r="I760" s="1"/>
      <c r="J760" s="1"/>
      <c r="K760" s="1"/>
      <c r="L760" s="1"/>
      <c r="M760" s="1"/>
      <c r="N760" s="1"/>
      <c r="O760" s="1"/>
      <c r="P760" s="1"/>
      <c r="Q760" s="13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31"/>
      <c r="F761" s="131"/>
      <c r="G761" s="131"/>
      <c r="H761" s="1"/>
      <c r="I761" s="1"/>
      <c r="J761" s="1"/>
      <c r="K761" s="1"/>
      <c r="L761" s="1"/>
      <c r="M761" s="1"/>
      <c r="N761" s="1"/>
      <c r="O761" s="1"/>
      <c r="P761" s="1"/>
      <c r="Q761" s="13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31"/>
      <c r="F762" s="131"/>
      <c r="G762" s="131"/>
      <c r="H762" s="1"/>
      <c r="I762" s="1"/>
      <c r="J762" s="1"/>
      <c r="K762" s="1"/>
      <c r="L762" s="1"/>
      <c r="M762" s="1"/>
      <c r="N762" s="1"/>
      <c r="O762" s="1"/>
      <c r="P762" s="1"/>
      <c r="Q762" s="13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31"/>
      <c r="F763" s="131"/>
      <c r="G763" s="131"/>
      <c r="H763" s="1"/>
      <c r="I763" s="1"/>
      <c r="J763" s="1"/>
      <c r="K763" s="1"/>
      <c r="L763" s="1"/>
      <c r="M763" s="1"/>
      <c r="N763" s="1"/>
      <c r="O763" s="1"/>
      <c r="P763" s="1"/>
      <c r="Q763" s="13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31"/>
      <c r="F764" s="131"/>
      <c r="G764" s="131"/>
      <c r="H764" s="1"/>
      <c r="I764" s="1"/>
      <c r="J764" s="1"/>
      <c r="K764" s="1"/>
      <c r="L764" s="1"/>
      <c r="M764" s="1"/>
      <c r="N764" s="1"/>
      <c r="O764" s="1"/>
      <c r="P764" s="1"/>
      <c r="Q764" s="13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31"/>
      <c r="F765" s="131"/>
      <c r="G765" s="131"/>
      <c r="H765" s="1"/>
      <c r="I765" s="1"/>
      <c r="J765" s="1"/>
      <c r="K765" s="1"/>
      <c r="L765" s="1"/>
      <c r="M765" s="1"/>
      <c r="N765" s="1"/>
      <c r="O765" s="1"/>
      <c r="P765" s="1"/>
      <c r="Q765" s="13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31"/>
      <c r="F766" s="131"/>
      <c r="G766" s="131"/>
      <c r="H766" s="1"/>
      <c r="I766" s="1"/>
      <c r="J766" s="1"/>
      <c r="K766" s="1"/>
      <c r="L766" s="1"/>
      <c r="M766" s="1"/>
      <c r="N766" s="1"/>
      <c r="O766" s="1"/>
      <c r="P766" s="1"/>
      <c r="Q766" s="13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31"/>
      <c r="F767" s="131"/>
      <c r="G767" s="131"/>
      <c r="H767" s="1"/>
      <c r="I767" s="1"/>
      <c r="J767" s="1"/>
      <c r="K767" s="1"/>
      <c r="L767" s="1"/>
      <c r="M767" s="1"/>
      <c r="N767" s="1"/>
      <c r="O767" s="1"/>
      <c r="P767" s="1"/>
      <c r="Q767" s="13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31"/>
      <c r="F768" s="131"/>
      <c r="G768" s="131"/>
      <c r="H768" s="1"/>
      <c r="I768" s="1"/>
      <c r="J768" s="1"/>
      <c r="K768" s="1"/>
      <c r="L768" s="1"/>
      <c r="M768" s="1"/>
      <c r="N768" s="1"/>
      <c r="O768" s="1"/>
      <c r="P768" s="1"/>
      <c r="Q768" s="13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31"/>
      <c r="F769" s="131"/>
      <c r="G769" s="131"/>
      <c r="H769" s="1"/>
      <c r="I769" s="1"/>
      <c r="J769" s="1"/>
      <c r="K769" s="1"/>
      <c r="L769" s="1"/>
      <c r="M769" s="1"/>
      <c r="N769" s="1"/>
      <c r="O769" s="1"/>
      <c r="P769" s="1"/>
      <c r="Q769" s="13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31"/>
      <c r="F770" s="131"/>
      <c r="G770" s="131"/>
      <c r="H770" s="1"/>
      <c r="I770" s="1"/>
      <c r="J770" s="1"/>
      <c r="K770" s="1"/>
      <c r="L770" s="1"/>
      <c r="M770" s="1"/>
      <c r="N770" s="1"/>
      <c r="O770" s="1"/>
      <c r="P770" s="1"/>
      <c r="Q770" s="13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31"/>
      <c r="F771" s="131"/>
      <c r="G771" s="131"/>
      <c r="H771" s="1"/>
      <c r="I771" s="1"/>
      <c r="J771" s="1"/>
      <c r="K771" s="1"/>
      <c r="L771" s="1"/>
      <c r="M771" s="1"/>
      <c r="N771" s="1"/>
      <c r="O771" s="1"/>
      <c r="P771" s="1"/>
      <c r="Q771" s="13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31"/>
      <c r="F772" s="131"/>
      <c r="G772" s="131"/>
      <c r="H772" s="1"/>
      <c r="I772" s="1"/>
      <c r="J772" s="1"/>
      <c r="K772" s="1"/>
      <c r="L772" s="1"/>
      <c r="M772" s="1"/>
      <c r="N772" s="1"/>
      <c r="O772" s="1"/>
      <c r="P772" s="1"/>
      <c r="Q772" s="13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31"/>
      <c r="F773" s="131"/>
      <c r="G773" s="131"/>
      <c r="H773" s="1"/>
      <c r="I773" s="1"/>
      <c r="J773" s="1"/>
      <c r="K773" s="1"/>
      <c r="L773" s="1"/>
      <c r="M773" s="1"/>
      <c r="N773" s="1"/>
      <c r="O773" s="1"/>
      <c r="P773" s="1"/>
      <c r="Q773" s="13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31"/>
      <c r="F774" s="131"/>
      <c r="G774" s="131"/>
      <c r="H774" s="1"/>
      <c r="I774" s="1"/>
      <c r="J774" s="1"/>
      <c r="K774" s="1"/>
      <c r="L774" s="1"/>
      <c r="M774" s="1"/>
      <c r="N774" s="1"/>
      <c r="O774" s="1"/>
      <c r="P774" s="1"/>
      <c r="Q774" s="13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31"/>
      <c r="F775" s="131"/>
      <c r="G775" s="131"/>
      <c r="H775" s="1"/>
      <c r="I775" s="1"/>
      <c r="J775" s="1"/>
      <c r="K775" s="1"/>
      <c r="L775" s="1"/>
      <c r="M775" s="1"/>
      <c r="N775" s="1"/>
      <c r="O775" s="1"/>
      <c r="P775" s="1"/>
      <c r="Q775" s="13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31"/>
      <c r="F776" s="131"/>
      <c r="G776" s="131"/>
      <c r="H776" s="1"/>
      <c r="I776" s="1"/>
      <c r="J776" s="1"/>
      <c r="K776" s="1"/>
      <c r="L776" s="1"/>
      <c r="M776" s="1"/>
      <c r="N776" s="1"/>
      <c r="O776" s="1"/>
      <c r="P776" s="1"/>
      <c r="Q776" s="13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31"/>
      <c r="F777" s="131"/>
      <c r="G777" s="131"/>
      <c r="H777" s="1"/>
      <c r="I777" s="1"/>
      <c r="J777" s="1"/>
      <c r="K777" s="1"/>
      <c r="L777" s="1"/>
      <c r="M777" s="1"/>
      <c r="N777" s="1"/>
      <c r="O777" s="1"/>
      <c r="P777" s="1"/>
      <c r="Q777" s="13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</sheetData>
  <mergeCells count="24">
    <mergeCell ref="Q1:Q2"/>
    <mergeCell ref="R1:R3"/>
    <mergeCell ref="J1:L1"/>
    <mergeCell ref="K2:K3"/>
    <mergeCell ref="L2:L3"/>
    <mergeCell ref="E4:E18"/>
    <mergeCell ref="F4:F18"/>
    <mergeCell ref="I5:I9"/>
    <mergeCell ref="M5:M9"/>
    <mergeCell ref="G10:G18"/>
    <mergeCell ref="N2:N3"/>
    <mergeCell ref="O2:O3"/>
    <mergeCell ref="N5:N9"/>
    <mergeCell ref="O5:O9"/>
    <mergeCell ref="P5:P18"/>
    <mergeCell ref="Q5:Q18"/>
    <mergeCell ref="R10:R18"/>
    <mergeCell ref="B1:B3"/>
    <mergeCell ref="C1:C3"/>
    <mergeCell ref="H1:H3"/>
    <mergeCell ref="I1:I2"/>
    <mergeCell ref="M1:O1"/>
    <mergeCell ref="P1:P2"/>
    <mergeCell ref="D2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4.0"/>
    <col customWidth="1" min="3" max="3" width="12.5"/>
    <col customWidth="1" min="4" max="4" width="8.75"/>
    <col customWidth="1" min="5" max="5" width="19.25"/>
    <col customWidth="1" min="6" max="6" width="18.88"/>
    <col customWidth="1" min="7" max="7" width="19.25"/>
    <col customWidth="1" min="8" max="8" width="54.25"/>
    <col customWidth="1" min="9" max="10" width="14.25"/>
    <col customWidth="1" min="11" max="11" width="16.88"/>
    <col customWidth="1" min="12" max="12" width="9.25"/>
    <col customWidth="1" min="13" max="13" width="14.25"/>
    <col customWidth="1" min="14" max="14" width="16.88"/>
    <col customWidth="1" min="15" max="15" width="10.0"/>
    <col customWidth="1" min="16" max="16" width="21.63"/>
    <col customWidth="1" min="17" max="17" width="12.13"/>
    <col customWidth="1" min="18" max="18" width="35.0"/>
  </cols>
  <sheetData>
    <row r="1">
      <c r="A1" s="1"/>
      <c r="B1" s="3" t="s">
        <v>0</v>
      </c>
      <c r="C1" s="6" t="s">
        <v>1</v>
      </c>
      <c r="D1" s="24" t="s">
        <v>9</v>
      </c>
      <c r="E1" s="4"/>
      <c r="F1" s="4"/>
      <c r="G1" s="4"/>
      <c r="H1" s="9" t="s">
        <v>3</v>
      </c>
      <c r="I1" s="12" t="s">
        <v>4</v>
      </c>
      <c r="J1" s="8" t="s">
        <v>2</v>
      </c>
      <c r="K1" s="11"/>
      <c r="L1" s="13"/>
      <c r="M1" s="15" t="s">
        <v>5</v>
      </c>
      <c r="N1" s="11"/>
      <c r="O1" s="13"/>
      <c r="P1" s="17" t="s">
        <v>6</v>
      </c>
      <c r="Q1" s="19" t="s">
        <v>7</v>
      </c>
      <c r="R1" s="180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2"/>
      <c r="C2" s="23"/>
      <c r="D2" s="23"/>
      <c r="E2" s="25" t="s">
        <v>10</v>
      </c>
      <c r="F2" s="25" t="s">
        <v>11</v>
      </c>
      <c r="G2" s="25" t="s">
        <v>12</v>
      </c>
      <c r="H2" s="23"/>
      <c r="I2" s="26"/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26"/>
      <c r="Q2" s="26"/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42"/>
      <c r="F3" s="42"/>
      <c r="G3" s="42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49" t="s">
        <v>110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111</v>
      </c>
      <c r="C4" s="53" t="s">
        <v>112</v>
      </c>
      <c r="D4" s="56"/>
      <c r="E4" s="59"/>
      <c r="F4" s="59"/>
      <c r="G4" s="59"/>
      <c r="H4" s="62"/>
      <c r="I4" s="63">
        <f t="shared" ref="I4:J4" si="1">SUM(I5:I18)</f>
        <v>26000</v>
      </c>
      <c r="J4" s="63">
        <f t="shared" si="1"/>
        <v>14000</v>
      </c>
      <c r="K4" s="118">
        <f>SUM(K6:K18)</f>
        <v>12000</v>
      </c>
      <c r="L4" s="119">
        <f>K4/I4</f>
        <v>0.4615384615</v>
      </c>
      <c r="M4" s="63">
        <f>SUM(M5:M18)</f>
        <v>17000</v>
      </c>
      <c r="N4" s="118">
        <f>I4-M4</f>
        <v>9000</v>
      </c>
      <c r="O4" s="119">
        <f>N4/I4</f>
        <v>0.3461538462</v>
      </c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182"/>
      <c r="F5" s="182"/>
      <c r="G5" s="182"/>
      <c r="H5" s="183"/>
      <c r="I5" s="84"/>
      <c r="J5" s="86"/>
      <c r="K5" s="87"/>
      <c r="L5" s="88"/>
      <c r="M5" s="86"/>
      <c r="N5" s="87"/>
      <c r="O5" s="88"/>
      <c r="P5" s="129"/>
      <c r="Q5" s="130"/>
      <c r="R5" s="184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59"/>
      <c r="F6" s="59"/>
      <c r="G6" s="59"/>
      <c r="H6" s="62" t="s">
        <v>43</v>
      </c>
      <c r="I6" s="63"/>
      <c r="J6" s="65"/>
      <c r="K6" s="63"/>
      <c r="L6" s="67"/>
      <c r="M6" s="65"/>
      <c r="N6" s="63"/>
      <c r="O6" s="67"/>
      <c r="P6" s="59"/>
      <c r="Q6" s="59"/>
      <c r="R6" s="184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182" t="s">
        <v>117</v>
      </c>
      <c r="F7" s="182" t="s">
        <v>118</v>
      </c>
      <c r="G7" s="182" t="s">
        <v>119</v>
      </c>
      <c r="H7" s="183" t="s">
        <v>120</v>
      </c>
      <c r="I7" s="84">
        <f>26000</f>
        <v>26000</v>
      </c>
      <c r="J7" s="86">
        <v>14000.0</v>
      </c>
      <c r="K7" s="87">
        <f>I7-J7</f>
        <v>12000</v>
      </c>
      <c r="L7" s="88">
        <f>K7/I7</f>
        <v>0.4615384615</v>
      </c>
      <c r="M7" s="86">
        <v>17000.0</v>
      </c>
      <c r="N7" s="87">
        <f>I7-M7</f>
        <v>9000</v>
      </c>
      <c r="O7" s="88">
        <f>N7/I7</f>
        <v>0.3461538462</v>
      </c>
      <c r="P7" s="129" t="s">
        <v>76</v>
      </c>
      <c r="Q7" s="130">
        <v>46203.0</v>
      </c>
      <c r="R7" s="186" t="s">
        <v>82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104"/>
      <c r="F8" s="104"/>
      <c r="G8" s="104"/>
      <c r="H8" s="109"/>
      <c r="I8" s="114"/>
      <c r="J8" s="87"/>
      <c r="K8" s="87"/>
      <c r="L8" s="74"/>
      <c r="M8" s="87"/>
      <c r="N8" s="86"/>
      <c r="O8" s="103"/>
      <c r="P8" s="59"/>
      <c r="Q8" s="105"/>
      <c r="R8" s="18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104"/>
      <c r="F9" s="104"/>
      <c r="G9" s="104"/>
      <c r="H9" s="109"/>
      <c r="I9" s="114"/>
      <c r="J9" s="87"/>
      <c r="K9" s="87"/>
      <c r="L9" s="74"/>
      <c r="M9" s="87"/>
      <c r="N9" s="86"/>
      <c r="O9" s="103"/>
      <c r="P9" s="59"/>
      <c r="Q9" s="105"/>
      <c r="R9" s="18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4"/>
      <c r="F10" s="104"/>
      <c r="G10" s="104"/>
      <c r="H10" s="109"/>
      <c r="I10" s="114"/>
      <c r="J10" s="87"/>
      <c r="K10" s="87"/>
      <c r="L10" s="74"/>
      <c r="M10" s="87"/>
      <c r="N10" s="86"/>
      <c r="O10" s="103"/>
      <c r="P10" s="59"/>
      <c r="Q10" s="105"/>
      <c r="R10" s="18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04"/>
      <c r="F11" s="104"/>
      <c r="G11" s="104"/>
      <c r="H11" s="109"/>
      <c r="I11" s="114"/>
      <c r="J11" s="87"/>
      <c r="K11" s="87"/>
      <c r="L11" s="74"/>
      <c r="M11" s="87"/>
      <c r="N11" s="86"/>
      <c r="O11" s="103"/>
      <c r="P11" s="59"/>
      <c r="Q11" s="105"/>
      <c r="R11" s="18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04"/>
      <c r="F12" s="104"/>
      <c r="G12" s="104"/>
      <c r="H12" s="109"/>
      <c r="I12" s="114"/>
      <c r="J12" s="87"/>
      <c r="K12" s="87"/>
      <c r="L12" s="74"/>
      <c r="M12" s="87"/>
      <c r="N12" s="86"/>
      <c r="O12" s="103"/>
      <c r="P12" s="59"/>
      <c r="Q12" s="105"/>
      <c r="R12" s="18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04"/>
      <c r="F13" s="104"/>
      <c r="G13" s="104"/>
      <c r="H13" s="109"/>
      <c r="I13" s="114"/>
      <c r="J13" s="87"/>
      <c r="K13" s="87"/>
      <c r="L13" s="74"/>
      <c r="M13" s="87"/>
      <c r="N13" s="86"/>
      <c r="O13" s="103"/>
      <c r="P13" s="59"/>
      <c r="Q13" s="105"/>
      <c r="R13" s="18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04"/>
      <c r="F14" s="104"/>
      <c r="G14" s="104"/>
      <c r="H14" s="109"/>
      <c r="I14" s="114"/>
      <c r="J14" s="87"/>
      <c r="K14" s="87"/>
      <c r="L14" s="74"/>
      <c r="M14" s="87"/>
      <c r="N14" s="86"/>
      <c r="O14" s="103"/>
      <c r="P14" s="59"/>
      <c r="Q14" s="105"/>
      <c r="R14" s="18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04"/>
      <c r="F15" s="104"/>
      <c r="G15" s="104"/>
      <c r="H15" s="109"/>
      <c r="I15" s="114"/>
      <c r="J15" s="87"/>
      <c r="K15" s="87"/>
      <c r="L15" s="74"/>
      <c r="M15" s="87"/>
      <c r="N15" s="86"/>
      <c r="O15" s="103"/>
      <c r="P15" s="59"/>
      <c r="Q15" s="105"/>
      <c r="R15" s="18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04"/>
      <c r="F16" s="104"/>
      <c r="G16" s="104"/>
      <c r="H16" s="109"/>
      <c r="I16" s="114"/>
      <c r="J16" s="87"/>
      <c r="K16" s="87"/>
      <c r="L16" s="74"/>
      <c r="M16" s="87"/>
      <c r="N16" s="86"/>
      <c r="O16" s="103"/>
      <c r="P16" s="59"/>
      <c r="Q16" s="105"/>
      <c r="R16" s="18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104"/>
      <c r="F17" s="104"/>
      <c r="G17" s="104"/>
      <c r="H17" s="109"/>
      <c r="I17" s="114"/>
      <c r="J17" s="87"/>
      <c r="K17" s="87"/>
      <c r="L17" s="74"/>
      <c r="M17" s="87"/>
      <c r="N17" s="86"/>
      <c r="O17" s="103"/>
      <c r="P17" s="59"/>
      <c r="Q17" s="105"/>
      <c r="R17" s="18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04"/>
      <c r="F18" s="104"/>
      <c r="G18" s="104"/>
      <c r="H18" s="109"/>
      <c r="I18" s="114"/>
      <c r="J18" s="87"/>
      <c r="K18" s="87"/>
      <c r="L18" s="74"/>
      <c r="M18" s="87"/>
      <c r="N18" s="86"/>
      <c r="O18" s="103"/>
      <c r="P18" s="59"/>
      <c r="Q18" s="105"/>
      <c r="R18" s="18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13" t="str">
        <f t="shared" ref="B19:C19" si="2">B4</f>
        <v>Origin Play Bangkhunnon</v>
      </c>
      <c r="C19" s="113" t="str">
        <f t="shared" si="2"/>
        <v>Room 1809</v>
      </c>
      <c r="D19" s="115">
        <f>SUM(D4:D18)</f>
        <v>0</v>
      </c>
      <c r="E19" s="116"/>
      <c r="F19" s="116"/>
      <c r="G19" s="116"/>
      <c r="H19" s="113" t="s">
        <v>95</v>
      </c>
      <c r="I19" s="118">
        <f t="shared" ref="I19:K19" si="3">SUM(I6:I18)</f>
        <v>26000</v>
      </c>
      <c r="J19" s="118">
        <f t="shared" si="3"/>
        <v>14000</v>
      </c>
      <c r="K19" s="118">
        <f t="shared" si="3"/>
        <v>12000</v>
      </c>
      <c r="L19" s="119">
        <f>K19/I19</f>
        <v>0.4615384615</v>
      </c>
      <c r="M19" s="118">
        <f>SUM(M6:M18)</f>
        <v>17000</v>
      </c>
      <c r="N19" s="118">
        <f>I19-M19</f>
        <v>9000</v>
      </c>
      <c r="O19" s="119">
        <f>N19/I19</f>
        <v>0.3461538462</v>
      </c>
      <c r="P19" s="120"/>
      <c r="Q19" s="121"/>
      <c r="R19" s="12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22"/>
      <c r="B20" s="123"/>
      <c r="C20" s="124"/>
      <c r="D20" s="124"/>
      <c r="E20" s="125"/>
      <c r="F20" s="125"/>
      <c r="G20" s="125"/>
      <c r="H20" s="126"/>
      <c r="I20" s="127"/>
      <c r="J20" s="127"/>
      <c r="K20" s="127"/>
      <c r="L20" s="128"/>
      <c r="M20" s="127"/>
      <c r="N20" s="127"/>
      <c r="O20" s="128"/>
      <c r="P20" s="125"/>
      <c r="Q20" s="125"/>
      <c r="R20" s="125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</row>
    <row r="21">
      <c r="A21" s="1"/>
      <c r="B21" s="51" t="s">
        <v>111</v>
      </c>
      <c r="C21" s="53" t="s">
        <v>130</v>
      </c>
      <c r="D21" s="56"/>
      <c r="E21" s="59"/>
      <c r="F21" s="59"/>
      <c r="G21" s="59"/>
      <c r="H21" s="62" t="s">
        <v>43</v>
      </c>
      <c r="I21" s="63"/>
      <c r="J21" s="65"/>
      <c r="K21" s="63"/>
      <c r="L21" s="67"/>
      <c r="M21" s="65"/>
      <c r="N21" s="63"/>
      <c r="O21" s="67"/>
      <c r="P21" s="59"/>
      <c r="Q21" s="59"/>
      <c r="R21" s="5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1"/>
      <c r="C22" s="73"/>
      <c r="D22" s="74"/>
      <c r="E22" s="78" t="s">
        <v>131</v>
      </c>
      <c r="F22" s="78" t="s">
        <v>132</v>
      </c>
      <c r="G22" s="99" t="s">
        <v>133</v>
      </c>
      <c r="H22" s="76" t="s">
        <v>134</v>
      </c>
      <c r="I22" s="84">
        <f t="shared" ref="I22:I23" si="4">14200/1.07</f>
        <v>13271.02804</v>
      </c>
      <c r="J22" s="86">
        <v>5500.0</v>
      </c>
      <c r="K22" s="87">
        <f t="shared" ref="K22:K25" si="5">I22-J22</f>
        <v>7771.028037</v>
      </c>
      <c r="L22" s="88">
        <f t="shared" ref="L22:L25" si="6">K22/I22</f>
        <v>0.5855633803</v>
      </c>
      <c r="M22" s="86"/>
      <c r="N22" s="87"/>
      <c r="O22" s="88"/>
      <c r="P22" s="55" t="s">
        <v>76</v>
      </c>
      <c r="Q22" s="97">
        <v>46199.0</v>
      </c>
      <c r="R22" s="187" t="s">
        <v>82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71"/>
      <c r="C23" s="73"/>
      <c r="D23" s="74"/>
      <c r="E23" s="23"/>
      <c r="F23" s="23"/>
      <c r="G23" s="22"/>
      <c r="H23" s="76" t="s">
        <v>138</v>
      </c>
      <c r="I23" s="84">
        <f t="shared" si="4"/>
        <v>13271.02804</v>
      </c>
      <c r="J23" s="86">
        <v>5200.0</v>
      </c>
      <c r="K23" s="87">
        <f t="shared" si="5"/>
        <v>8071.028037</v>
      </c>
      <c r="L23" s="88">
        <f t="shared" si="6"/>
        <v>0.6081690141</v>
      </c>
      <c r="M23" s="86"/>
      <c r="N23" s="87"/>
      <c r="O23" s="88"/>
      <c r="P23" s="23"/>
      <c r="Q23" s="23"/>
      <c r="R23" s="2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71"/>
      <c r="C24" s="73"/>
      <c r="D24" s="74"/>
      <c r="E24" s="23"/>
      <c r="F24" s="23"/>
      <c r="G24" s="22"/>
      <c r="H24" s="76" t="s">
        <v>139</v>
      </c>
      <c r="I24" s="84">
        <f>12200/1.07</f>
        <v>11401.86916</v>
      </c>
      <c r="J24" s="86">
        <v>4800.0</v>
      </c>
      <c r="K24" s="87">
        <f t="shared" si="5"/>
        <v>6601.869159</v>
      </c>
      <c r="L24" s="88">
        <f t="shared" si="6"/>
        <v>0.5790163934</v>
      </c>
      <c r="M24" s="86"/>
      <c r="N24" s="87"/>
      <c r="O24" s="88"/>
      <c r="P24" s="23"/>
      <c r="Q24" s="23"/>
      <c r="R24" s="2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71"/>
      <c r="C25" s="73"/>
      <c r="D25" s="74"/>
      <c r="E25" s="23"/>
      <c r="F25" s="23"/>
      <c r="G25" s="100"/>
      <c r="H25" s="76" t="s">
        <v>143</v>
      </c>
      <c r="I25" s="84">
        <v>0.0</v>
      </c>
      <c r="J25" s="86">
        <v>1500.0</v>
      </c>
      <c r="K25" s="87">
        <f t="shared" si="5"/>
        <v>-1500</v>
      </c>
      <c r="L25" s="88" t="str">
        <f t="shared" si="6"/>
        <v>#DIV/0!</v>
      </c>
      <c r="M25" s="86"/>
      <c r="N25" s="87"/>
      <c r="O25" s="88"/>
      <c r="P25" s="23"/>
      <c r="Q25" s="23"/>
      <c r="R25" s="100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71"/>
      <c r="C26" s="73"/>
      <c r="D26" s="74"/>
      <c r="E26" s="23"/>
      <c r="F26" s="23"/>
      <c r="G26" s="98"/>
      <c r="H26" s="62" t="s">
        <v>135</v>
      </c>
      <c r="I26" s="84"/>
      <c r="J26" s="87"/>
      <c r="K26" s="87"/>
      <c r="L26" s="74"/>
      <c r="M26" s="86"/>
      <c r="N26" s="87"/>
      <c r="O26" s="88"/>
      <c r="P26" s="23"/>
      <c r="Q26" s="23"/>
      <c r="R26" s="18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1"/>
      <c r="C27" s="73"/>
      <c r="D27" s="74"/>
      <c r="E27" s="23"/>
      <c r="F27" s="23"/>
      <c r="G27" s="189" t="s">
        <v>145</v>
      </c>
      <c r="H27" s="76" t="s">
        <v>146</v>
      </c>
      <c r="I27" s="84">
        <f>27800/1.07</f>
        <v>25981.30841</v>
      </c>
      <c r="J27" s="86">
        <v>7125.0</v>
      </c>
      <c r="K27" s="87">
        <f t="shared" ref="K27:K28" si="7">I27-J27</f>
        <v>18856.30841</v>
      </c>
      <c r="L27" s="88">
        <f t="shared" ref="L27:L28" si="8">K27/I27</f>
        <v>0.7257643885</v>
      </c>
      <c r="M27" s="86"/>
      <c r="N27" s="87"/>
      <c r="O27" s="88"/>
      <c r="P27" s="23"/>
      <c r="Q27" s="23"/>
      <c r="R27" s="186" t="s">
        <v>140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1"/>
      <c r="C28" s="73"/>
      <c r="D28" s="74"/>
      <c r="E28" s="23"/>
      <c r="F28" s="23"/>
      <c r="G28" s="189" t="s">
        <v>147</v>
      </c>
      <c r="H28" s="76" t="s">
        <v>143</v>
      </c>
      <c r="I28" s="84">
        <v>0.0</v>
      </c>
      <c r="J28" s="86">
        <v>3800.0</v>
      </c>
      <c r="K28" s="87">
        <f t="shared" si="7"/>
        <v>-3800</v>
      </c>
      <c r="L28" s="88" t="str">
        <f t="shared" si="8"/>
        <v>#DIV/0!</v>
      </c>
      <c r="M28" s="86"/>
      <c r="N28" s="87"/>
      <c r="O28" s="88"/>
      <c r="P28" s="23"/>
      <c r="Q28" s="23"/>
      <c r="R28" s="186" t="s">
        <v>144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1"/>
      <c r="C29" s="73"/>
      <c r="D29" s="74"/>
      <c r="E29" s="23"/>
      <c r="F29" s="23"/>
      <c r="G29" s="98"/>
      <c r="H29" s="62" t="s">
        <v>148</v>
      </c>
      <c r="I29" s="114"/>
      <c r="J29" s="87"/>
      <c r="K29" s="87"/>
      <c r="L29" s="74"/>
      <c r="M29" s="87"/>
      <c r="N29" s="86"/>
      <c r="O29" s="103"/>
      <c r="P29" s="23"/>
      <c r="Q29" s="23"/>
      <c r="R29" s="18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1"/>
      <c r="C30" s="73"/>
      <c r="D30" s="74"/>
      <c r="E30" s="101"/>
      <c r="F30" s="101"/>
      <c r="G30" s="189" t="s">
        <v>149</v>
      </c>
      <c r="H30" s="76" t="s">
        <v>150</v>
      </c>
      <c r="I30" s="84">
        <f>159400/1.07</f>
        <v>148971.9626</v>
      </c>
      <c r="J30" s="86">
        <v>86915.88</v>
      </c>
      <c r="K30" s="87">
        <f>I30-J30</f>
        <v>62056.08262</v>
      </c>
      <c r="L30" s="88">
        <f>K30/I30</f>
        <v>0.4165621606</v>
      </c>
      <c r="M30" s="86"/>
      <c r="N30" s="87"/>
      <c r="O30" s="88"/>
      <c r="P30" s="101"/>
      <c r="Q30" s="101"/>
      <c r="R30" s="186" t="s">
        <v>151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1"/>
      <c r="C31" s="73"/>
      <c r="D31" s="74"/>
      <c r="E31" s="104"/>
      <c r="F31" s="104"/>
      <c r="G31" s="104"/>
      <c r="H31" s="62" t="s">
        <v>92</v>
      </c>
      <c r="I31" s="102">
        <f>-45560/1.07</f>
        <v>-42579.43925</v>
      </c>
      <c r="J31" s="87"/>
      <c r="K31" s="87"/>
      <c r="L31" s="74"/>
      <c r="M31" s="87"/>
      <c r="N31" s="86"/>
      <c r="O31" s="103"/>
      <c r="P31" s="59"/>
      <c r="Q31" s="105"/>
      <c r="R31" s="184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1"/>
      <c r="C32" s="73"/>
      <c r="D32" s="74"/>
      <c r="E32" s="104"/>
      <c r="F32" s="104"/>
      <c r="G32" s="104"/>
      <c r="H32" s="109"/>
      <c r="I32" s="102">
        <f>-3000/1.07</f>
        <v>-2803.738318</v>
      </c>
      <c r="J32" s="87"/>
      <c r="K32" s="87"/>
      <c r="L32" s="74"/>
      <c r="M32" s="87"/>
      <c r="N32" s="86"/>
      <c r="O32" s="103"/>
      <c r="P32" s="59"/>
      <c r="Q32" s="105"/>
      <c r="R32" s="18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1"/>
      <c r="C33" s="73"/>
      <c r="D33" s="74"/>
      <c r="E33" s="104"/>
      <c r="F33" s="104"/>
      <c r="G33" s="104"/>
      <c r="H33" s="109"/>
      <c r="I33" s="114"/>
      <c r="J33" s="87"/>
      <c r="K33" s="87"/>
      <c r="L33" s="74"/>
      <c r="M33" s="87"/>
      <c r="N33" s="86"/>
      <c r="O33" s="103"/>
      <c r="P33" s="59"/>
      <c r="Q33" s="105"/>
      <c r="R33" s="184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13" t="str">
        <f t="shared" ref="B34:C34" si="9">B21</f>
        <v>Origin Play Bangkhunnon</v>
      </c>
      <c r="C34" s="113" t="str">
        <f t="shared" si="9"/>
        <v>Room 901</v>
      </c>
      <c r="D34" s="115">
        <f>SUM(D21:D33)</f>
        <v>0</v>
      </c>
      <c r="E34" s="116"/>
      <c r="F34" s="116"/>
      <c r="G34" s="116"/>
      <c r="H34" s="113" t="s">
        <v>95</v>
      </c>
      <c r="I34" s="118">
        <f t="shared" ref="I34:J34" si="10">SUM(I21:I33)</f>
        <v>167514.0187</v>
      </c>
      <c r="J34" s="118">
        <f t="shared" si="10"/>
        <v>114840.88</v>
      </c>
      <c r="K34" s="118">
        <f>I34-J34</f>
        <v>52673.13869</v>
      </c>
      <c r="L34" s="119">
        <f>K34/I34</f>
        <v>0.314440183</v>
      </c>
      <c r="M34" s="118">
        <f>SUM(M21:M33)</f>
        <v>0</v>
      </c>
      <c r="N34" s="118">
        <f>I34-M34</f>
        <v>167514.0187</v>
      </c>
      <c r="O34" s="119">
        <f>N34/I34</f>
        <v>1</v>
      </c>
      <c r="P34" s="120"/>
      <c r="Q34" s="121"/>
      <c r="R34" s="12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22"/>
      <c r="B35" s="123"/>
      <c r="C35" s="124"/>
      <c r="D35" s="124"/>
      <c r="E35" s="125"/>
      <c r="F35" s="125"/>
      <c r="G35" s="125"/>
      <c r="H35" s="126"/>
      <c r="I35" s="127"/>
      <c r="J35" s="127"/>
      <c r="K35" s="127"/>
      <c r="L35" s="128"/>
      <c r="M35" s="127"/>
      <c r="N35" s="127"/>
      <c r="O35" s="128"/>
      <c r="P35" s="125"/>
      <c r="Q35" s="125"/>
      <c r="R35" s="125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</row>
    <row r="36">
      <c r="A36" s="1"/>
      <c r="B36" s="51" t="s">
        <v>111</v>
      </c>
      <c r="C36" s="53" t="s">
        <v>156</v>
      </c>
      <c r="D36" s="56"/>
      <c r="E36" s="59"/>
      <c r="F36" s="59"/>
      <c r="G36" s="59"/>
      <c r="H36" s="62" t="s">
        <v>158</v>
      </c>
      <c r="I36" s="63"/>
      <c r="J36" s="65"/>
      <c r="K36" s="63"/>
      <c r="L36" s="67"/>
      <c r="M36" s="65"/>
      <c r="N36" s="63"/>
      <c r="O36" s="67"/>
      <c r="P36" s="59"/>
      <c r="Q36" s="59"/>
      <c r="R36" s="59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1"/>
      <c r="C37" s="73"/>
      <c r="D37" s="74"/>
      <c r="E37" s="55" t="s">
        <v>161</v>
      </c>
      <c r="F37" s="55" t="s">
        <v>162</v>
      </c>
      <c r="G37" s="189" t="s">
        <v>163</v>
      </c>
      <c r="H37" s="76" t="s">
        <v>164</v>
      </c>
      <c r="I37" s="84">
        <f>2000/1.07</f>
        <v>1869.158879</v>
      </c>
      <c r="J37" s="86">
        <v>1178.88</v>
      </c>
      <c r="K37" s="87">
        <f>I37-J37</f>
        <v>690.2788785</v>
      </c>
      <c r="L37" s="88">
        <f>K37/I37</f>
        <v>0.3692992</v>
      </c>
      <c r="M37" s="86">
        <v>1166.0</v>
      </c>
      <c r="N37" s="87">
        <f>I37-M37</f>
        <v>703.1588785</v>
      </c>
      <c r="O37" s="88">
        <f>N37/I37</f>
        <v>0.37619</v>
      </c>
      <c r="P37" s="55" t="s">
        <v>76</v>
      </c>
      <c r="Q37" s="97">
        <v>46223.0</v>
      </c>
      <c r="R37" s="186" t="s">
        <v>166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1"/>
      <c r="C38" s="73"/>
      <c r="D38" s="74"/>
      <c r="E38" s="23"/>
      <c r="F38" s="23"/>
      <c r="G38" s="98"/>
      <c r="H38" s="62" t="s">
        <v>167</v>
      </c>
      <c r="I38" s="84"/>
      <c r="J38" s="87"/>
      <c r="K38" s="87"/>
      <c r="L38" s="74"/>
      <c r="M38" s="86"/>
      <c r="N38" s="87"/>
      <c r="O38" s="88"/>
      <c r="P38" s="23"/>
      <c r="Q38" s="23"/>
      <c r="R38" s="18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1"/>
      <c r="C39" s="73"/>
      <c r="D39" s="74"/>
      <c r="E39" s="101"/>
      <c r="F39" s="101"/>
      <c r="G39" s="189" t="s">
        <v>169</v>
      </c>
      <c r="H39" s="76" t="s">
        <v>170</v>
      </c>
      <c r="I39" s="84">
        <f>3500/1.07</f>
        <v>3271.028037</v>
      </c>
      <c r="J39" s="86">
        <v>2200.0</v>
      </c>
      <c r="K39" s="87">
        <f>I39-J39</f>
        <v>1071.028037</v>
      </c>
      <c r="L39" s="88">
        <f>K39/I39</f>
        <v>0.3274285714</v>
      </c>
      <c r="M39" s="86">
        <v>2200.0</v>
      </c>
      <c r="N39" s="87">
        <f>I39-M39</f>
        <v>1071.028037</v>
      </c>
      <c r="O39" s="88">
        <f>N39/I39</f>
        <v>0.3274285714</v>
      </c>
      <c r="P39" s="101"/>
      <c r="Q39" s="101"/>
      <c r="R39" s="186" t="s">
        <v>172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1"/>
      <c r="C40" s="73"/>
      <c r="D40" s="74"/>
      <c r="E40" s="104"/>
      <c r="F40" s="104"/>
      <c r="G40" s="104"/>
      <c r="H40" s="109"/>
      <c r="I40" s="114"/>
      <c r="J40" s="87"/>
      <c r="K40" s="87"/>
      <c r="L40" s="74"/>
      <c r="M40" s="87"/>
      <c r="N40" s="86"/>
      <c r="O40" s="103"/>
      <c r="P40" s="59"/>
      <c r="Q40" s="105"/>
      <c r="R40" s="18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13" t="str">
        <f t="shared" ref="B41:C41" si="11">B36</f>
        <v>Origin Play Bangkhunnon</v>
      </c>
      <c r="C41" s="113" t="str">
        <f t="shared" si="11"/>
        <v>Room 2324</v>
      </c>
      <c r="D41" s="115">
        <f>SUM(D36:D40)</f>
        <v>0</v>
      </c>
      <c r="E41" s="116"/>
      <c r="F41" s="116"/>
      <c r="G41" s="116"/>
      <c r="H41" s="113" t="s">
        <v>95</v>
      </c>
      <c r="I41" s="118">
        <f t="shared" ref="I41:J41" si="12">SUM(I36:I40)</f>
        <v>5140.186916</v>
      </c>
      <c r="J41" s="118">
        <f t="shared" si="12"/>
        <v>3378.88</v>
      </c>
      <c r="K41" s="118">
        <f>I41-J41</f>
        <v>1761.306916</v>
      </c>
      <c r="L41" s="119">
        <f>K41/I41</f>
        <v>0.3426542545</v>
      </c>
      <c r="M41" s="118">
        <f>SUM(M36:M40)</f>
        <v>3366</v>
      </c>
      <c r="N41" s="118">
        <f>I41-M41</f>
        <v>1774.186916</v>
      </c>
      <c r="O41" s="119">
        <f>N41/I41</f>
        <v>0.34516</v>
      </c>
      <c r="P41" s="120"/>
      <c r="Q41" s="121"/>
      <c r="R41" s="12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22"/>
      <c r="B42" s="123"/>
      <c r="C42" s="124"/>
      <c r="D42" s="124"/>
      <c r="E42" s="125"/>
      <c r="F42" s="125"/>
      <c r="G42" s="125"/>
      <c r="H42" s="126"/>
      <c r="I42" s="127"/>
      <c r="J42" s="127"/>
      <c r="K42" s="127"/>
      <c r="L42" s="128"/>
      <c r="M42" s="127"/>
      <c r="N42" s="127"/>
      <c r="O42" s="128"/>
      <c r="P42" s="125"/>
      <c r="Q42" s="125"/>
      <c r="R42" s="125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</row>
    <row r="43">
      <c r="A43" s="1"/>
      <c r="B43" s="51" t="s">
        <v>111</v>
      </c>
      <c r="C43" s="53" t="s">
        <v>175</v>
      </c>
      <c r="D43" s="56"/>
      <c r="E43" s="55" t="s">
        <v>176</v>
      </c>
      <c r="F43" s="55" t="s">
        <v>177</v>
      </c>
      <c r="G43" s="191"/>
      <c r="H43" s="62" t="s">
        <v>43</v>
      </c>
      <c r="I43" s="63"/>
      <c r="J43" s="65"/>
      <c r="K43" s="63"/>
      <c r="L43" s="67"/>
      <c r="M43" s="65"/>
      <c r="N43" s="63"/>
      <c r="O43" s="67"/>
      <c r="P43" s="59"/>
      <c r="Q43" s="59"/>
      <c r="R43" s="59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1"/>
      <c r="C44" s="73"/>
      <c r="D44" s="74"/>
      <c r="E44" s="23"/>
      <c r="F44" s="23"/>
      <c r="G44" s="23"/>
      <c r="H44" s="76" t="s">
        <v>178</v>
      </c>
      <c r="I44" s="84">
        <f>13500/1.07</f>
        <v>12616.82243</v>
      </c>
      <c r="J44" s="86"/>
      <c r="K44" s="87"/>
      <c r="L44" s="88"/>
      <c r="M44" s="86">
        <v>5750.0</v>
      </c>
      <c r="N44" s="87">
        <f t="shared" ref="N44:N47" si="13">I44-M44</f>
        <v>6866.82243</v>
      </c>
      <c r="O44" s="88">
        <f t="shared" ref="O44:O47" si="14">N44/I44</f>
        <v>0.5442592593</v>
      </c>
      <c r="P44" s="55" t="s">
        <v>76</v>
      </c>
      <c r="Q44" s="97">
        <v>46223.0</v>
      </c>
      <c r="R44" s="187" t="s">
        <v>82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1"/>
      <c r="C45" s="73"/>
      <c r="D45" s="74"/>
      <c r="E45" s="23"/>
      <c r="F45" s="23"/>
      <c r="G45" s="23"/>
      <c r="H45" s="76" t="s">
        <v>179</v>
      </c>
      <c r="I45" s="84">
        <f t="shared" ref="I45:I46" si="15">12200/1.07</f>
        <v>11401.86916</v>
      </c>
      <c r="J45" s="86"/>
      <c r="K45" s="87"/>
      <c r="L45" s="88"/>
      <c r="M45" s="86">
        <v>5175.0</v>
      </c>
      <c r="N45" s="87">
        <f t="shared" si="13"/>
        <v>6226.869159</v>
      </c>
      <c r="O45" s="88">
        <f t="shared" si="14"/>
        <v>0.5461270492</v>
      </c>
      <c r="P45" s="23"/>
      <c r="Q45" s="23"/>
      <c r="R45" s="2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1"/>
      <c r="C46" s="73"/>
      <c r="D46" s="74"/>
      <c r="E46" s="23"/>
      <c r="F46" s="23"/>
      <c r="G46" s="23"/>
      <c r="H46" s="76" t="s">
        <v>180</v>
      </c>
      <c r="I46" s="84">
        <f t="shared" si="15"/>
        <v>11401.86916</v>
      </c>
      <c r="J46" s="86"/>
      <c r="K46" s="87"/>
      <c r="L46" s="88"/>
      <c r="M46" s="86">
        <v>5175.0</v>
      </c>
      <c r="N46" s="87">
        <f t="shared" si="13"/>
        <v>6226.869159</v>
      </c>
      <c r="O46" s="88">
        <f t="shared" si="14"/>
        <v>0.5461270492</v>
      </c>
      <c r="P46" s="23"/>
      <c r="Q46" s="23"/>
      <c r="R46" s="2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1"/>
      <c r="C47" s="73"/>
      <c r="D47" s="74"/>
      <c r="E47" s="23"/>
      <c r="F47" s="23"/>
      <c r="G47" s="101"/>
      <c r="H47" s="76" t="s">
        <v>143</v>
      </c>
      <c r="I47" s="84">
        <v>0.0</v>
      </c>
      <c r="J47" s="86"/>
      <c r="K47" s="87"/>
      <c r="L47" s="88"/>
      <c r="M47" s="86">
        <v>1500.0</v>
      </c>
      <c r="N47" s="87">
        <f t="shared" si="13"/>
        <v>-1500</v>
      </c>
      <c r="O47" s="88" t="str">
        <f t="shared" si="14"/>
        <v>#DIV/0!</v>
      </c>
      <c r="P47" s="23"/>
      <c r="Q47" s="23"/>
      <c r="R47" s="100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1"/>
      <c r="C48" s="73"/>
      <c r="D48" s="74"/>
      <c r="E48" s="23"/>
      <c r="F48" s="23"/>
      <c r="G48" s="78" t="s">
        <v>181</v>
      </c>
      <c r="H48" s="62" t="s">
        <v>148</v>
      </c>
      <c r="I48" s="114"/>
      <c r="J48" s="87"/>
      <c r="K48" s="87"/>
      <c r="L48" s="74"/>
      <c r="M48" s="87"/>
      <c r="N48" s="86"/>
      <c r="O48" s="103"/>
      <c r="P48" s="23"/>
      <c r="Q48" s="23"/>
      <c r="R48" s="187" t="s">
        <v>182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1"/>
      <c r="C49" s="73"/>
      <c r="D49" s="74"/>
      <c r="E49" s="23"/>
      <c r="F49" s="23"/>
      <c r="G49" s="23"/>
      <c r="H49" s="76" t="s">
        <v>183</v>
      </c>
      <c r="I49" s="84">
        <f>48000/1.07</f>
        <v>44859.81308</v>
      </c>
      <c r="J49" s="87">
        <v>25000.0</v>
      </c>
      <c r="K49" s="87">
        <f t="shared" ref="K49:K50" si="16">I49-J49</f>
        <v>19859.81308</v>
      </c>
      <c r="L49" s="88">
        <f t="shared" ref="L49:L50" si="17">K49/I49</f>
        <v>0.4427083333</v>
      </c>
      <c r="M49" s="86">
        <v>31240.0</v>
      </c>
      <c r="N49" s="87">
        <f t="shared" ref="N49:N50" si="18">I49-M49</f>
        <v>13619.81308</v>
      </c>
      <c r="O49" s="88">
        <f t="shared" ref="O49:O50" si="19">N49/I49</f>
        <v>0.3036083333</v>
      </c>
      <c r="P49" s="23"/>
      <c r="Q49" s="23"/>
      <c r="R49" s="2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1"/>
      <c r="C50" s="73"/>
      <c r="D50" s="74"/>
      <c r="E50" s="23"/>
      <c r="F50" s="23"/>
      <c r="G50" s="101"/>
      <c r="H50" s="76" t="s">
        <v>186</v>
      </c>
      <c r="I50" s="84">
        <f>64500/1.07</f>
        <v>60280.37383</v>
      </c>
      <c r="J50" s="87">
        <v>35350.0</v>
      </c>
      <c r="K50" s="87">
        <f t="shared" si="16"/>
        <v>24930.37383</v>
      </c>
      <c r="L50" s="88">
        <f t="shared" si="17"/>
        <v>0.4135736434</v>
      </c>
      <c r="M50" s="86">
        <v>36121.25</v>
      </c>
      <c r="N50" s="87">
        <f t="shared" si="18"/>
        <v>24159.12383</v>
      </c>
      <c r="O50" s="88">
        <f t="shared" si="19"/>
        <v>0.4007792636</v>
      </c>
      <c r="P50" s="101"/>
      <c r="Q50" s="101"/>
      <c r="R50" s="100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1"/>
      <c r="C51" s="73"/>
      <c r="D51" s="74"/>
      <c r="E51" s="101"/>
      <c r="F51" s="101"/>
      <c r="G51" s="104"/>
      <c r="H51" s="62" t="s">
        <v>92</v>
      </c>
      <c r="I51" s="102">
        <f>-30080/1.07</f>
        <v>-28112.14953</v>
      </c>
      <c r="J51" s="87"/>
      <c r="K51" s="87"/>
      <c r="L51" s="193"/>
      <c r="M51" s="87"/>
      <c r="N51" s="86"/>
      <c r="O51" s="194"/>
      <c r="P51" s="59"/>
      <c r="Q51" s="105"/>
      <c r="R51" s="184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1"/>
      <c r="C52" s="73"/>
      <c r="D52" s="74"/>
      <c r="E52" s="104"/>
      <c r="F52" s="104"/>
      <c r="G52" s="104"/>
      <c r="H52" s="62"/>
      <c r="I52" s="102">
        <f>-3000/1.07</f>
        <v>-2803.738318</v>
      </c>
      <c r="J52" s="87"/>
      <c r="K52" s="87"/>
      <c r="L52" s="193"/>
      <c r="M52" s="87"/>
      <c r="N52" s="86"/>
      <c r="O52" s="194"/>
      <c r="P52" s="59"/>
      <c r="Q52" s="105"/>
      <c r="R52" s="18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3" t="str">
        <f t="shared" ref="B53:C53" si="20">B43</f>
        <v>Origin Play Bangkhunnon</v>
      </c>
      <c r="C53" s="113" t="str">
        <f t="shared" si="20"/>
        <v>Room 1121</v>
      </c>
      <c r="D53" s="115">
        <f>SUM(D43:D52)</f>
        <v>0</v>
      </c>
      <c r="E53" s="116"/>
      <c r="F53" s="116"/>
      <c r="G53" s="116"/>
      <c r="H53" s="113" t="s">
        <v>95</v>
      </c>
      <c r="I53" s="118">
        <f t="shared" ref="I53:J53" si="21">SUM(I43:I52)</f>
        <v>109644.8598</v>
      </c>
      <c r="J53" s="118">
        <f t="shared" si="21"/>
        <v>60350</v>
      </c>
      <c r="K53" s="118">
        <f>I53-J53</f>
        <v>49294.85981</v>
      </c>
      <c r="L53" s="119">
        <f>K53/I53</f>
        <v>0.4495866008</v>
      </c>
      <c r="M53" s="118">
        <f>SUM(M43:M52)</f>
        <v>84961.25</v>
      </c>
      <c r="N53" s="118">
        <f>I53-M53</f>
        <v>24683.60981</v>
      </c>
      <c r="O53" s="119">
        <f>N53/I53</f>
        <v>0.225123274</v>
      </c>
      <c r="P53" s="120"/>
      <c r="Q53" s="121"/>
      <c r="R53" s="12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22"/>
      <c r="B54" s="123"/>
      <c r="C54" s="124"/>
      <c r="D54" s="124"/>
      <c r="E54" s="125"/>
      <c r="F54" s="125"/>
      <c r="G54" s="125"/>
      <c r="H54" s="126"/>
      <c r="I54" s="127"/>
      <c r="J54" s="127"/>
      <c r="K54" s="127"/>
      <c r="L54" s="128"/>
      <c r="M54" s="127"/>
      <c r="N54" s="127"/>
      <c r="O54" s="128"/>
      <c r="P54" s="125"/>
      <c r="Q54" s="125"/>
      <c r="R54" s="125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>
      <c r="A55" s="1"/>
      <c r="B55" s="51" t="s">
        <v>111</v>
      </c>
      <c r="C55" s="53" t="s">
        <v>194</v>
      </c>
      <c r="D55" s="56"/>
      <c r="E55" s="59"/>
      <c r="F55" s="59"/>
      <c r="G55" s="59"/>
      <c r="H55" s="62"/>
      <c r="I55" s="63"/>
      <c r="J55" s="63"/>
      <c r="K55" s="63"/>
      <c r="L55" s="63"/>
      <c r="M55" s="63"/>
      <c r="N55" s="63"/>
      <c r="O55" s="63"/>
      <c r="P55" s="63"/>
      <c r="Q55" s="59"/>
      <c r="R55" s="59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1"/>
      <c r="C56" s="73"/>
      <c r="D56" s="74"/>
      <c r="E56" s="182"/>
      <c r="F56" s="182"/>
      <c r="G56" s="182"/>
      <c r="H56" s="183"/>
      <c r="I56" s="84"/>
      <c r="J56" s="86"/>
      <c r="K56" s="87"/>
      <c r="L56" s="88"/>
      <c r="M56" s="86"/>
      <c r="N56" s="87"/>
      <c r="O56" s="88"/>
      <c r="P56" s="129"/>
      <c r="Q56" s="130"/>
      <c r="R56" s="184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1"/>
      <c r="C57" s="73"/>
      <c r="D57" s="74"/>
      <c r="E57" s="59"/>
      <c r="F57" s="59"/>
      <c r="G57" s="59"/>
      <c r="H57" s="62" t="s">
        <v>43</v>
      </c>
      <c r="I57" s="63"/>
      <c r="J57" s="65"/>
      <c r="K57" s="63"/>
      <c r="L57" s="67"/>
      <c r="M57" s="65"/>
      <c r="N57" s="63"/>
      <c r="O57" s="67"/>
      <c r="P57" s="59"/>
      <c r="Q57" s="59"/>
      <c r="R57" s="184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1"/>
      <c r="C58" s="73"/>
      <c r="D58" s="74"/>
      <c r="E58" s="182" t="s">
        <v>196</v>
      </c>
      <c r="F58" s="182" t="s">
        <v>197</v>
      </c>
      <c r="G58" s="182" t="s">
        <v>198</v>
      </c>
      <c r="H58" s="76" t="s">
        <v>199</v>
      </c>
      <c r="I58" s="84">
        <f>24680/1.07</f>
        <v>23065.42056</v>
      </c>
      <c r="J58" s="86">
        <v>15000.0</v>
      </c>
      <c r="K58" s="87">
        <f>I58-J58</f>
        <v>8065.420561</v>
      </c>
      <c r="L58" s="88">
        <f>K58/I58</f>
        <v>0.3496758509</v>
      </c>
      <c r="M58" s="86">
        <v>16000.0</v>
      </c>
      <c r="N58" s="87">
        <f>I58-M58</f>
        <v>7065.420561</v>
      </c>
      <c r="O58" s="88">
        <f>N58/I58</f>
        <v>0.3063209076</v>
      </c>
      <c r="P58" s="129" t="s">
        <v>76</v>
      </c>
      <c r="Q58" s="130">
        <v>46209.0</v>
      </c>
      <c r="R58" s="186" t="s">
        <v>82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1"/>
      <c r="C59" s="73"/>
      <c r="D59" s="74"/>
      <c r="E59" s="104"/>
      <c r="F59" s="104"/>
      <c r="G59" s="104"/>
      <c r="H59" s="109"/>
      <c r="I59" s="114"/>
      <c r="J59" s="87"/>
      <c r="K59" s="87"/>
      <c r="L59" s="74"/>
      <c r="M59" s="87"/>
      <c r="N59" s="86"/>
      <c r="O59" s="103"/>
      <c r="P59" s="59"/>
      <c r="Q59" s="105"/>
      <c r="R59" s="184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1"/>
      <c r="C60" s="73"/>
      <c r="D60" s="74"/>
      <c r="E60" s="104"/>
      <c r="F60" s="104"/>
      <c r="G60" s="104"/>
      <c r="H60" s="109"/>
      <c r="I60" s="114"/>
      <c r="J60" s="87"/>
      <c r="K60" s="87"/>
      <c r="L60" s="74"/>
      <c r="M60" s="87"/>
      <c r="N60" s="86"/>
      <c r="O60" s="103"/>
      <c r="P60" s="59"/>
      <c r="Q60" s="105"/>
      <c r="R60" s="184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1"/>
      <c r="C61" s="73"/>
      <c r="D61" s="74"/>
      <c r="E61" s="104"/>
      <c r="F61" s="104"/>
      <c r="G61" s="104"/>
      <c r="H61" s="109"/>
      <c r="I61" s="114"/>
      <c r="J61" s="87"/>
      <c r="K61" s="87"/>
      <c r="L61" s="74"/>
      <c r="M61" s="87"/>
      <c r="N61" s="86"/>
      <c r="O61" s="103"/>
      <c r="P61" s="59"/>
      <c r="Q61" s="105"/>
      <c r="R61" s="184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1"/>
      <c r="C62" s="73"/>
      <c r="D62" s="74"/>
      <c r="E62" s="104"/>
      <c r="F62" s="104"/>
      <c r="G62" s="104"/>
      <c r="H62" s="109"/>
      <c r="I62" s="114"/>
      <c r="J62" s="87"/>
      <c r="K62" s="87"/>
      <c r="L62" s="74"/>
      <c r="M62" s="87"/>
      <c r="N62" s="86"/>
      <c r="O62" s="103"/>
      <c r="P62" s="59"/>
      <c r="Q62" s="105"/>
      <c r="R62" s="184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1"/>
      <c r="C63" s="73"/>
      <c r="D63" s="74"/>
      <c r="E63" s="104"/>
      <c r="F63" s="104"/>
      <c r="G63" s="104"/>
      <c r="H63" s="109"/>
      <c r="I63" s="114"/>
      <c r="J63" s="87"/>
      <c r="K63" s="87"/>
      <c r="L63" s="74"/>
      <c r="M63" s="87"/>
      <c r="N63" s="86"/>
      <c r="O63" s="103"/>
      <c r="P63" s="59"/>
      <c r="Q63" s="105"/>
      <c r="R63" s="184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1"/>
      <c r="C64" s="73"/>
      <c r="D64" s="74"/>
      <c r="E64" s="104"/>
      <c r="F64" s="104"/>
      <c r="G64" s="104"/>
      <c r="H64" s="109"/>
      <c r="I64" s="114"/>
      <c r="J64" s="87"/>
      <c r="K64" s="87"/>
      <c r="L64" s="74"/>
      <c r="M64" s="87"/>
      <c r="N64" s="86"/>
      <c r="O64" s="103"/>
      <c r="P64" s="59"/>
      <c r="Q64" s="105"/>
      <c r="R64" s="184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1"/>
      <c r="C65" s="73"/>
      <c r="D65" s="74"/>
      <c r="E65" s="104"/>
      <c r="F65" s="104"/>
      <c r="G65" s="104"/>
      <c r="H65" s="109"/>
      <c r="I65" s="114"/>
      <c r="J65" s="87"/>
      <c r="K65" s="87"/>
      <c r="L65" s="74"/>
      <c r="M65" s="87"/>
      <c r="N65" s="86"/>
      <c r="O65" s="103"/>
      <c r="P65" s="59"/>
      <c r="Q65" s="105"/>
      <c r="R65" s="184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1"/>
      <c r="C66" s="73"/>
      <c r="D66" s="74"/>
      <c r="E66" s="104"/>
      <c r="F66" s="104"/>
      <c r="G66" s="104"/>
      <c r="H66" s="109"/>
      <c r="I66" s="114"/>
      <c r="J66" s="87"/>
      <c r="K66" s="87"/>
      <c r="L66" s="74"/>
      <c r="M66" s="87"/>
      <c r="N66" s="86"/>
      <c r="O66" s="103"/>
      <c r="P66" s="59"/>
      <c r="Q66" s="105"/>
      <c r="R66" s="184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1"/>
      <c r="C67" s="73"/>
      <c r="D67" s="74"/>
      <c r="E67" s="104"/>
      <c r="F67" s="104"/>
      <c r="G67" s="104"/>
      <c r="H67" s="109"/>
      <c r="I67" s="114"/>
      <c r="J67" s="87"/>
      <c r="K67" s="87"/>
      <c r="L67" s="74"/>
      <c r="M67" s="87"/>
      <c r="N67" s="86"/>
      <c r="O67" s="103"/>
      <c r="P67" s="59"/>
      <c r="Q67" s="105"/>
      <c r="R67" s="184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1"/>
      <c r="C68" s="73"/>
      <c r="D68" s="74"/>
      <c r="E68" s="104"/>
      <c r="F68" s="104"/>
      <c r="G68" s="104"/>
      <c r="H68" s="109"/>
      <c r="I68" s="114"/>
      <c r="J68" s="87"/>
      <c r="K68" s="87"/>
      <c r="L68" s="74"/>
      <c r="M68" s="87"/>
      <c r="N68" s="86"/>
      <c r="O68" s="103"/>
      <c r="P68" s="59"/>
      <c r="Q68" s="105"/>
      <c r="R68" s="184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1"/>
      <c r="C69" s="73"/>
      <c r="D69" s="74"/>
      <c r="E69" s="104"/>
      <c r="F69" s="104"/>
      <c r="G69" s="104"/>
      <c r="H69" s="109"/>
      <c r="I69" s="114"/>
      <c r="J69" s="87"/>
      <c r="K69" s="87"/>
      <c r="L69" s="74"/>
      <c r="M69" s="87"/>
      <c r="N69" s="86"/>
      <c r="O69" s="103"/>
      <c r="P69" s="59"/>
      <c r="Q69" s="105"/>
      <c r="R69" s="184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13" t="str">
        <f t="shared" ref="B70:C70" si="22">B55</f>
        <v>Origin Play Bangkhunnon</v>
      </c>
      <c r="C70" s="113" t="str">
        <f t="shared" si="22"/>
        <v>Room 1621</v>
      </c>
      <c r="D70" s="115">
        <f>SUM(D55:D69)</f>
        <v>0</v>
      </c>
      <c r="E70" s="116"/>
      <c r="F70" s="116"/>
      <c r="G70" s="116"/>
      <c r="H70" s="113" t="s">
        <v>95</v>
      </c>
      <c r="I70" s="118">
        <f t="shared" ref="I70:K70" si="23">SUM(I57:I69)</f>
        <v>23065.42056</v>
      </c>
      <c r="J70" s="118">
        <f t="shared" si="23"/>
        <v>15000</v>
      </c>
      <c r="K70" s="118">
        <f t="shared" si="23"/>
        <v>8065.420561</v>
      </c>
      <c r="L70" s="119">
        <f>K70/I70</f>
        <v>0.3496758509</v>
      </c>
      <c r="M70" s="118">
        <f>SUM(M57:M69)</f>
        <v>16000</v>
      </c>
      <c r="N70" s="118">
        <f>I70-M70</f>
        <v>7065.420561</v>
      </c>
      <c r="O70" s="119">
        <f>N70/I70</f>
        <v>0.3063209076</v>
      </c>
      <c r="P70" s="120"/>
      <c r="Q70" s="121"/>
      <c r="R70" s="1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22"/>
      <c r="B71" s="123"/>
      <c r="C71" s="124"/>
      <c r="D71" s="124"/>
      <c r="E71" s="125"/>
      <c r="F71" s="125"/>
      <c r="G71" s="125"/>
      <c r="H71" s="126"/>
      <c r="I71" s="127"/>
      <c r="J71" s="127"/>
      <c r="K71" s="127"/>
      <c r="L71" s="128"/>
      <c r="M71" s="127"/>
      <c r="N71" s="127"/>
      <c r="O71" s="128"/>
      <c r="P71" s="125"/>
      <c r="Q71" s="125"/>
      <c r="R71" s="125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</row>
    <row r="72">
      <c r="A72" s="1"/>
      <c r="B72" s="51" t="s">
        <v>111</v>
      </c>
      <c r="C72" s="53" t="s">
        <v>203</v>
      </c>
      <c r="D72" s="56"/>
      <c r="E72" s="59"/>
      <c r="F72" s="59"/>
      <c r="G72" s="59"/>
      <c r="H72" s="62"/>
      <c r="I72" s="63"/>
      <c r="J72" s="63"/>
      <c r="K72" s="63"/>
      <c r="L72" s="63"/>
      <c r="M72" s="63"/>
      <c r="N72" s="63"/>
      <c r="O72" s="63"/>
      <c r="P72" s="63"/>
      <c r="Q72" s="59"/>
      <c r="R72" s="59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1"/>
      <c r="C73" s="73"/>
      <c r="D73" s="74"/>
      <c r="E73" s="55" t="s">
        <v>204</v>
      </c>
      <c r="F73" s="55" t="s">
        <v>205</v>
      </c>
      <c r="G73" s="59"/>
      <c r="H73" s="62" t="s">
        <v>43</v>
      </c>
      <c r="I73" s="63"/>
      <c r="J73" s="65"/>
      <c r="K73" s="63"/>
      <c r="L73" s="67"/>
      <c r="M73" s="65"/>
      <c r="N73" s="63"/>
      <c r="O73" s="67"/>
      <c r="P73" s="59"/>
      <c r="Q73" s="59"/>
      <c r="R73" s="184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1"/>
      <c r="C74" s="73"/>
      <c r="D74" s="74"/>
      <c r="E74" s="23"/>
      <c r="F74" s="23"/>
      <c r="G74" s="182"/>
      <c r="H74" s="76" t="s">
        <v>206</v>
      </c>
      <c r="I74" s="84">
        <f>20000/1.07</f>
        <v>18691.58879</v>
      </c>
      <c r="J74" s="86"/>
      <c r="K74" s="87"/>
      <c r="L74" s="88"/>
      <c r="M74" s="86">
        <v>9600.0</v>
      </c>
      <c r="N74" s="87">
        <f t="shared" ref="N74:N76" si="24">I74-M74</f>
        <v>9091.588785</v>
      </c>
      <c r="O74" s="88">
        <f t="shared" ref="O74:O76" si="25">N74/I74</f>
        <v>0.4864</v>
      </c>
      <c r="P74" s="55" t="s">
        <v>76</v>
      </c>
      <c r="Q74" s="97">
        <v>46234.0</v>
      </c>
      <c r="R74" s="18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1"/>
      <c r="C75" s="73"/>
      <c r="D75" s="74"/>
      <c r="E75" s="23"/>
      <c r="F75" s="23"/>
      <c r="G75" s="182"/>
      <c r="H75" s="76" t="s">
        <v>207</v>
      </c>
      <c r="I75" s="84">
        <f>14600/1.07</f>
        <v>13644.85981</v>
      </c>
      <c r="J75" s="86"/>
      <c r="K75" s="87"/>
      <c r="L75" s="88"/>
      <c r="M75" s="86">
        <v>5500.0</v>
      </c>
      <c r="N75" s="87">
        <f t="shared" si="24"/>
        <v>8144.859813</v>
      </c>
      <c r="O75" s="88">
        <f t="shared" si="25"/>
        <v>0.5969178082</v>
      </c>
      <c r="P75" s="23"/>
      <c r="Q75" s="23"/>
      <c r="R75" s="18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1"/>
      <c r="C76" s="73"/>
      <c r="D76" s="74"/>
      <c r="E76" s="23"/>
      <c r="F76" s="23"/>
      <c r="G76" s="182"/>
      <c r="H76" s="76" t="s">
        <v>208</v>
      </c>
      <c r="I76" s="84">
        <v>0.0</v>
      </c>
      <c r="J76" s="86"/>
      <c r="K76" s="87"/>
      <c r="L76" s="88"/>
      <c r="M76" s="86">
        <v>1500.0</v>
      </c>
      <c r="N76" s="87">
        <f t="shared" si="24"/>
        <v>-1500</v>
      </c>
      <c r="O76" s="88" t="str">
        <f t="shared" si="25"/>
        <v>#DIV/0!</v>
      </c>
      <c r="P76" s="23"/>
      <c r="Q76" s="23"/>
      <c r="R76" s="18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1"/>
      <c r="C77" s="73"/>
      <c r="D77" s="74"/>
      <c r="E77" s="23"/>
      <c r="F77" s="23"/>
      <c r="G77" s="78" t="s">
        <v>209</v>
      </c>
      <c r="H77" s="62" t="s">
        <v>85</v>
      </c>
      <c r="I77" s="114"/>
      <c r="J77" s="87"/>
      <c r="K77" s="87"/>
      <c r="L77" s="74"/>
      <c r="M77" s="87"/>
      <c r="N77" s="86"/>
      <c r="O77" s="103"/>
      <c r="P77" s="23"/>
      <c r="Q77" s="23"/>
      <c r="R77" s="187" t="s">
        <v>210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1"/>
      <c r="C78" s="73"/>
      <c r="D78" s="74"/>
      <c r="E78" s="23"/>
      <c r="F78" s="23"/>
      <c r="G78" s="101"/>
      <c r="H78" s="76" t="s">
        <v>211</v>
      </c>
      <c r="I78" s="84">
        <f>14000/1.07</f>
        <v>13084.11215</v>
      </c>
      <c r="J78" s="86">
        <v>7000.0</v>
      </c>
      <c r="K78" s="87">
        <f>I78-J78</f>
        <v>6084.11215</v>
      </c>
      <c r="L78" s="88">
        <f>K78/I78</f>
        <v>0.465</v>
      </c>
      <c r="M78" s="86">
        <v>7000.0</v>
      </c>
      <c r="N78" s="87">
        <f>I78-M78</f>
        <v>6084.11215</v>
      </c>
      <c r="O78" s="88">
        <f>N78/I78</f>
        <v>0.465</v>
      </c>
      <c r="P78" s="101"/>
      <c r="Q78" s="101"/>
      <c r="R78" s="100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1"/>
      <c r="C79" s="73"/>
      <c r="D79" s="74"/>
      <c r="E79" s="101"/>
      <c r="F79" s="101"/>
      <c r="G79" s="104"/>
      <c r="H79" s="62" t="s">
        <v>92</v>
      </c>
      <c r="I79" s="102">
        <f>-9720/1.07</f>
        <v>-9084.11215</v>
      </c>
      <c r="J79" s="87"/>
      <c r="K79" s="87"/>
      <c r="L79" s="74"/>
      <c r="M79" s="87"/>
      <c r="N79" s="86"/>
      <c r="O79" s="103"/>
      <c r="P79" s="59"/>
      <c r="Q79" s="105"/>
      <c r="R79" s="184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1"/>
      <c r="C80" s="73"/>
      <c r="D80" s="74"/>
      <c r="E80" s="104"/>
      <c r="F80" s="104"/>
      <c r="G80" s="104"/>
      <c r="H80" s="109"/>
      <c r="I80" s="102">
        <f>-3000/1.07</f>
        <v>-2803.738318</v>
      </c>
      <c r="J80" s="87"/>
      <c r="K80" s="87"/>
      <c r="L80" s="74"/>
      <c r="M80" s="87"/>
      <c r="N80" s="86"/>
      <c r="O80" s="103"/>
      <c r="P80" s="59"/>
      <c r="Q80" s="105"/>
      <c r="R80" s="184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1"/>
      <c r="C81" s="73"/>
      <c r="D81" s="74"/>
      <c r="E81" s="104"/>
      <c r="F81" s="104"/>
      <c r="G81" s="104"/>
      <c r="H81" s="109"/>
      <c r="I81" s="114"/>
      <c r="J81" s="87"/>
      <c r="K81" s="87"/>
      <c r="L81" s="74"/>
      <c r="M81" s="87"/>
      <c r="N81" s="86"/>
      <c r="O81" s="103"/>
      <c r="P81" s="59"/>
      <c r="Q81" s="105"/>
      <c r="R81" s="184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1"/>
      <c r="C82" s="73"/>
      <c r="D82" s="74"/>
      <c r="E82" s="104"/>
      <c r="F82" s="104"/>
      <c r="G82" s="104"/>
      <c r="H82" s="109"/>
      <c r="I82" s="114"/>
      <c r="J82" s="87"/>
      <c r="K82" s="87"/>
      <c r="L82" s="74"/>
      <c r="M82" s="87"/>
      <c r="N82" s="86"/>
      <c r="O82" s="103"/>
      <c r="P82" s="59"/>
      <c r="Q82" s="105"/>
      <c r="R82" s="184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1"/>
      <c r="C83" s="73"/>
      <c r="D83" s="74"/>
      <c r="E83" s="104"/>
      <c r="F83" s="104"/>
      <c r="G83" s="104"/>
      <c r="H83" s="109"/>
      <c r="I83" s="114"/>
      <c r="J83" s="87"/>
      <c r="K83" s="87"/>
      <c r="L83" s="74"/>
      <c r="M83" s="87"/>
      <c r="N83" s="86"/>
      <c r="O83" s="103"/>
      <c r="P83" s="59"/>
      <c r="Q83" s="105"/>
      <c r="R83" s="184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1"/>
      <c r="C84" s="73"/>
      <c r="D84" s="74"/>
      <c r="E84" s="104"/>
      <c r="F84" s="104"/>
      <c r="G84" s="104"/>
      <c r="H84" s="109"/>
      <c r="I84" s="114"/>
      <c r="J84" s="87"/>
      <c r="K84" s="87"/>
      <c r="L84" s="74"/>
      <c r="M84" s="87"/>
      <c r="N84" s="86"/>
      <c r="O84" s="103"/>
      <c r="P84" s="59"/>
      <c r="Q84" s="105"/>
      <c r="R84" s="184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1"/>
      <c r="C85" s="73"/>
      <c r="D85" s="74"/>
      <c r="E85" s="104"/>
      <c r="F85" s="104"/>
      <c r="G85" s="104"/>
      <c r="H85" s="109"/>
      <c r="I85" s="114"/>
      <c r="J85" s="87"/>
      <c r="K85" s="87"/>
      <c r="L85" s="74"/>
      <c r="M85" s="87"/>
      <c r="N85" s="86"/>
      <c r="O85" s="103"/>
      <c r="P85" s="59"/>
      <c r="Q85" s="105"/>
      <c r="R85" s="184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1"/>
      <c r="C86" s="73"/>
      <c r="D86" s="74"/>
      <c r="E86" s="104"/>
      <c r="F86" s="104"/>
      <c r="G86" s="104"/>
      <c r="H86" s="109"/>
      <c r="I86" s="114"/>
      <c r="J86" s="87"/>
      <c r="K86" s="87"/>
      <c r="L86" s="74"/>
      <c r="M86" s="87"/>
      <c r="N86" s="86"/>
      <c r="O86" s="103"/>
      <c r="P86" s="59"/>
      <c r="Q86" s="105"/>
      <c r="R86" s="184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13" t="str">
        <f t="shared" ref="B87:C87" si="26">B72</f>
        <v>Origin Play Bangkhunnon</v>
      </c>
      <c r="C87" s="113" t="str">
        <f t="shared" si="26"/>
        <v>Room 1601</v>
      </c>
      <c r="D87" s="115">
        <f>SUM(D72:D86)</f>
        <v>0</v>
      </c>
      <c r="E87" s="116"/>
      <c r="F87" s="116"/>
      <c r="G87" s="116"/>
      <c r="H87" s="113" t="s">
        <v>95</v>
      </c>
      <c r="I87" s="118">
        <f t="shared" ref="I87:K87" si="27">SUM(I73:I86)</f>
        <v>33532.71028</v>
      </c>
      <c r="J87" s="118">
        <f t="shared" si="27"/>
        <v>7000</v>
      </c>
      <c r="K87" s="118">
        <f t="shared" si="27"/>
        <v>6084.11215</v>
      </c>
      <c r="L87" s="119">
        <f>K87/I87</f>
        <v>0.1814381271</v>
      </c>
      <c r="M87" s="118">
        <f>SUM(M73:M86)</f>
        <v>23600</v>
      </c>
      <c r="N87" s="118">
        <f>I87-M87</f>
        <v>9932.71028</v>
      </c>
      <c r="O87" s="119">
        <f>N87/I87</f>
        <v>0.2962095875</v>
      </c>
      <c r="P87" s="120"/>
      <c r="Q87" s="121"/>
      <c r="R87" s="12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31"/>
      <c r="F88" s="131"/>
      <c r="G88" s="131"/>
      <c r="H88" s="1"/>
      <c r="I88" s="1"/>
      <c r="J88" s="1"/>
      <c r="K88" s="1"/>
      <c r="L88" s="1"/>
      <c r="M88" s="1"/>
      <c r="N88" s="1"/>
      <c r="O88" s="1"/>
      <c r="P88" s="181"/>
      <c r="Q88" s="201"/>
      <c r="R88" s="20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31"/>
      <c r="F89" s="131"/>
      <c r="G89" s="131"/>
      <c r="H89" s="1"/>
      <c r="I89" s="1"/>
      <c r="J89" s="1"/>
      <c r="K89" s="1"/>
      <c r="L89" s="1"/>
      <c r="M89" s="1"/>
      <c r="N89" s="1"/>
      <c r="O89" s="1"/>
      <c r="P89" s="181"/>
      <c r="Q89" s="201"/>
      <c r="R89" s="20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31"/>
      <c r="F90" s="131"/>
      <c r="G90" s="131"/>
      <c r="H90" s="1"/>
      <c r="I90" s="1"/>
      <c r="J90" s="1"/>
      <c r="K90" s="1"/>
      <c r="L90" s="1"/>
      <c r="M90" s="1"/>
      <c r="N90" s="1"/>
      <c r="O90" s="1"/>
      <c r="P90" s="181"/>
      <c r="Q90" s="201"/>
      <c r="R90" s="20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31"/>
      <c r="F91" s="131"/>
      <c r="G91" s="131"/>
      <c r="H91" s="1"/>
      <c r="I91" s="1"/>
      <c r="J91" s="1"/>
      <c r="K91" s="1"/>
      <c r="L91" s="1"/>
      <c r="M91" s="1"/>
      <c r="N91" s="1"/>
      <c r="O91" s="1"/>
      <c r="P91" s="181"/>
      <c r="Q91" s="201"/>
      <c r="R91" s="20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31"/>
      <c r="F92" s="131"/>
      <c r="G92" s="131"/>
      <c r="H92" s="1"/>
      <c r="I92" s="1"/>
      <c r="J92" s="1"/>
      <c r="K92" s="1"/>
      <c r="L92" s="1"/>
      <c r="M92" s="1"/>
      <c r="N92" s="1"/>
      <c r="O92" s="1"/>
      <c r="P92" s="181"/>
      <c r="Q92" s="201"/>
      <c r="R92" s="20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31"/>
      <c r="F93" s="131"/>
      <c r="G93" s="131"/>
      <c r="H93" s="1"/>
      <c r="I93" s="1"/>
      <c r="J93" s="1"/>
      <c r="K93" s="1"/>
      <c r="L93" s="1"/>
      <c r="M93" s="1"/>
      <c r="N93" s="1"/>
      <c r="O93" s="1"/>
      <c r="P93" s="181"/>
      <c r="Q93" s="201"/>
      <c r="R93" s="20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31"/>
      <c r="F94" s="131"/>
      <c r="G94" s="131"/>
      <c r="H94" s="1"/>
      <c r="I94" s="1"/>
      <c r="J94" s="1"/>
      <c r="K94" s="1"/>
      <c r="L94" s="1"/>
      <c r="M94" s="1"/>
      <c r="N94" s="1"/>
      <c r="O94" s="1"/>
      <c r="P94" s="181"/>
      <c r="Q94" s="201"/>
      <c r="R94" s="20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31"/>
      <c r="F95" s="131"/>
      <c r="G95" s="131"/>
      <c r="H95" s="1"/>
      <c r="I95" s="1"/>
      <c r="J95" s="1"/>
      <c r="K95" s="1"/>
      <c r="L95" s="1"/>
      <c r="M95" s="1"/>
      <c r="N95" s="1"/>
      <c r="O95" s="1"/>
      <c r="P95" s="181"/>
      <c r="Q95" s="201"/>
      <c r="R95" s="20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31"/>
      <c r="F96" s="131"/>
      <c r="G96" s="131"/>
      <c r="H96" s="1"/>
      <c r="I96" s="1"/>
      <c r="J96" s="1"/>
      <c r="K96" s="1"/>
      <c r="L96" s="1"/>
      <c r="M96" s="1"/>
      <c r="N96" s="1"/>
      <c r="O96" s="1"/>
      <c r="P96" s="181"/>
      <c r="Q96" s="201"/>
      <c r="R96" s="20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31"/>
      <c r="F97" s="131"/>
      <c r="G97" s="131"/>
      <c r="H97" s="1"/>
      <c r="I97" s="1"/>
      <c r="J97" s="1"/>
      <c r="K97" s="1"/>
      <c r="L97" s="1"/>
      <c r="M97" s="1"/>
      <c r="N97" s="1"/>
      <c r="O97" s="1"/>
      <c r="P97" s="181"/>
      <c r="Q97" s="201"/>
      <c r="R97" s="20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31"/>
      <c r="F98" s="131"/>
      <c r="G98" s="131"/>
      <c r="H98" s="1"/>
      <c r="I98" s="1"/>
      <c r="J98" s="1"/>
      <c r="K98" s="1"/>
      <c r="L98" s="1"/>
      <c r="M98" s="1"/>
      <c r="N98" s="1"/>
      <c r="O98" s="1"/>
      <c r="P98" s="181"/>
      <c r="Q98" s="201"/>
      <c r="R98" s="20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31"/>
      <c r="F99" s="131"/>
      <c r="G99" s="131"/>
      <c r="H99" s="1"/>
      <c r="I99" s="1"/>
      <c r="J99" s="1"/>
      <c r="K99" s="1"/>
      <c r="L99" s="1"/>
      <c r="M99" s="1"/>
      <c r="N99" s="1"/>
      <c r="O99" s="1"/>
      <c r="P99" s="181"/>
      <c r="Q99" s="201"/>
      <c r="R99" s="20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31"/>
      <c r="F100" s="131"/>
      <c r="G100" s="131"/>
      <c r="H100" s="1"/>
      <c r="I100" s="1"/>
      <c r="J100" s="1"/>
      <c r="K100" s="1"/>
      <c r="L100" s="1"/>
      <c r="M100" s="1"/>
      <c r="N100" s="1"/>
      <c r="O100" s="1"/>
      <c r="P100" s="181"/>
      <c r="Q100" s="201"/>
      <c r="R100" s="20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31"/>
      <c r="F101" s="131"/>
      <c r="G101" s="131"/>
      <c r="H101" s="1"/>
      <c r="I101" s="1"/>
      <c r="J101" s="1"/>
      <c r="K101" s="1"/>
      <c r="L101" s="1"/>
      <c r="M101" s="1"/>
      <c r="N101" s="1"/>
      <c r="O101" s="1"/>
      <c r="P101" s="181"/>
      <c r="Q101" s="201"/>
      <c r="R101" s="20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31"/>
      <c r="F102" s="131"/>
      <c r="G102" s="131"/>
      <c r="H102" s="1"/>
      <c r="I102" s="1"/>
      <c r="J102" s="1"/>
      <c r="K102" s="1"/>
      <c r="L102" s="1"/>
      <c r="M102" s="1"/>
      <c r="N102" s="1"/>
      <c r="O102" s="1"/>
      <c r="P102" s="181"/>
      <c r="Q102" s="201"/>
      <c r="R102" s="20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31"/>
      <c r="F103" s="131"/>
      <c r="G103" s="131"/>
      <c r="H103" s="1"/>
      <c r="I103" s="1"/>
      <c r="J103" s="1"/>
      <c r="K103" s="1"/>
      <c r="L103" s="1"/>
      <c r="M103" s="1"/>
      <c r="N103" s="1"/>
      <c r="O103" s="1"/>
      <c r="P103" s="181"/>
      <c r="Q103" s="201"/>
      <c r="R103" s="20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31"/>
      <c r="F104" s="131"/>
      <c r="G104" s="131"/>
      <c r="H104" s="1"/>
      <c r="I104" s="1"/>
      <c r="J104" s="1"/>
      <c r="K104" s="1"/>
      <c r="L104" s="1"/>
      <c r="M104" s="1"/>
      <c r="N104" s="1"/>
      <c r="O104" s="1"/>
      <c r="P104" s="181"/>
      <c r="Q104" s="201"/>
      <c r="R104" s="20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31"/>
      <c r="F105" s="131"/>
      <c r="G105" s="131"/>
      <c r="H105" s="1"/>
      <c r="I105" s="1"/>
      <c r="J105" s="1"/>
      <c r="K105" s="1"/>
      <c r="L105" s="1"/>
      <c r="M105" s="1"/>
      <c r="N105" s="1"/>
      <c r="O105" s="1"/>
      <c r="P105" s="181"/>
      <c r="Q105" s="201"/>
      <c r="R105" s="20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31"/>
      <c r="F106" s="131"/>
      <c r="G106" s="131"/>
      <c r="H106" s="1"/>
      <c r="I106" s="1"/>
      <c r="J106" s="1"/>
      <c r="K106" s="1"/>
      <c r="L106" s="1"/>
      <c r="M106" s="1"/>
      <c r="N106" s="1"/>
      <c r="O106" s="1"/>
      <c r="P106" s="181"/>
      <c r="Q106" s="201"/>
      <c r="R106" s="20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31"/>
      <c r="F107" s="131"/>
      <c r="G107" s="131"/>
      <c r="H107" s="1"/>
      <c r="I107" s="1"/>
      <c r="J107" s="1"/>
      <c r="K107" s="1"/>
      <c r="L107" s="1"/>
      <c r="M107" s="1"/>
      <c r="N107" s="1"/>
      <c r="O107" s="1"/>
      <c r="P107" s="181"/>
      <c r="Q107" s="201"/>
      <c r="R107" s="20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31"/>
      <c r="F108" s="131"/>
      <c r="G108" s="131"/>
      <c r="H108" s="1"/>
      <c r="I108" s="1"/>
      <c r="J108" s="1"/>
      <c r="K108" s="1"/>
      <c r="L108" s="1"/>
      <c r="M108" s="1"/>
      <c r="N108" s="1"/>
      <c r="O108" s="1"/>
      <c r="P108" s="181"/>
      <c r="Q108" s="201"/>
      <c r="R108" s="20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31"/>
      <c r="F109" s="131"/>
      <c r="G109" s="131"/>
      <c r="H109" s="1"/>
      <c r="I109" s="1"/>
      <c r="J109" s="1"/>
      <c r="K109" s="1"/>
      <c r="L109" s="1"/>
      <c r="M109" s="1"/>
      <c r="N109" s="1"/>
      <c r="O109" s="1"/>
      <c r="P109" s="181"/>
      <c r="Q109" s="201"/>
      <c r="R109" s="20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31"/>
      <c r="F110" s="131"/>
      <c r="G110" s="131"/>
      <c r="H110" s="1"/>
      <c r="I110" s="1"/>
      <c r="J110" s="1"/>
      <c r="K110" s="1"/>
      <c r="L110" s="1"/>
      <c r="M110" s="1"/>
      <c r="N110" s="1"/>
      <c r="O110" s="1"/>
      <c r="P110" s="181"/>
      <c r="Q110" s="201"/>
      <c r="R110" s="20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31"/>
      <c r="F111" s="131"/>
      <c r="G111" s="131"/>
      <c r="H111" s="1"/>
      <c r="I111" s="1"/>
      <c r="J111" s="1"/>
      <c r="K111" s="1"/>
      <c r="L111" s="1"/>
      <c r="M111" s="1"/>
      <c r="N111" s="1"/>
      <c r="O111" s="1"/>
      <c r="P111" s="181"/>
      <c r="Q111" s="201"/>
      <c r="R111" s="20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31"/>
      <c r="F112" s="131"/>
      <c r="G112" s="131"/>
      <c r="H112" s="1"/>
      <c r="I112" s="1"/>
      <c r="J112" s="1"/>
      <c r="K112" s="1"/>
      <c r="L112" s="1"/>
      <c r="M112" s="1"/>
      <c r="N112" s="1"/>
      <c r="O112" s="1"/>
      <c r="P112" s="181"/>
      <c r="Q112" s="201"/>
      <c r="R112" s="20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31"/>
      <c r="F113" s="131"/>
      <c r="G113" s="131"/>
      <c r="H113" s="1"/>
      <c r="I113" s="1"/>
      <c r="J113" s="1"/>
      <c r="K113" s="1"/>
      <c r="L113" s="1"/>
      <c r="M113" s="1"/>
      <c r="N113" s="1"/>
      <c r="O113" s="1"/>
      <c r="P113" s="181"/>
      <c r="Q113" s="201"/>
      <c r="R113" s="20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31"/>
      <c r="F114" s="131"/>
      <c r="G114" s="131"/>
      <c r="H114" s="1"/>
      <c r="I114" s="1"/>
      <c r="J114" s="1"/>
      <c r="K114" s="1"/>
      <c r="L114" s="1"/>
      <c r="M114" s="1"/>
      <c r="N114" s="1"/>
      <c r="O114" s="1"/>
      <c r="P114" s="181"/>
      <c r="Q114" s="201"/>
      <c r="R114" s="20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31"/>
      <c r="F115" s="131"/>
      <c r="G115" s="131"/>
      <c r="H115" s="1"/>
      <c r="I115" s="1"/>
      <c r="J115" s="1"/>
      <c r="K115" s="1"/>
      <c r="L115" s="1"/>
      <c r="M115" s="1"/>
      <c r="N115" s="1"/>
      <c r="O115" s="1"/>
      <c r="P115" s="181"/>
      <c r="Q115" s="201"/>
      <c r="R115" s="20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31"/>
      <c r="F116" s="131"/>
      <c r="G116" s="131"/>
      <c r="H116" s="1"/>
      <c r="I116" s="1"/>
      <c r="J116" s="1"/>
      <c r="K116" s="1"/>
      <c r="L116" s="1"/>
      <c r="M116" s="1"/>
      <c r="N116" s="1"/>
      <c r="O116" s="1"/>
      <c r="P116" s="181"/>
      <c r="Q116" s="201"/>
      <c r="R116" s="20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31"/>
      <c r="F117" s="131"/>
      <c r="G117" s="131"/>
      <c r="H117" s="1"/>
      <c r="I117" s="1"/>
      <c r="J117" s="1"/>
      <c r="K117" s="1"/>
      <c r="L117" s="1"/>
      <c r="M117" s="1"/>
      <c r="N117" s="1"/>
      <c r="O117" s="1"/>
      <c r="P117" s="181"/>
      <c r="Q117" s="201"/>
      <c r="R117" s="20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31"/>
      <c r="F118" s="131"/>
      <c r="G118" s="131"/>
      <c r="H118" s="1"/>
      <c r="I118" s="1"/>
      <c r="J118" s="1"/>
      <c r="K118" s="1"/>
      <c r="L118" s="1"/>
      <c r="M118" s="1"/>
      <c r="N118" s="1"/>
      <c r="O118" s="1"/>
      <c r="P118" s="181"/>
      <c r="Q118" s="201"/>
      <c r="R118" s="20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31"/>
      <c r="F119" s="131"/>
      <c r="G119" s="131"/>
      <c r="H119" s="1"/>
      <c r="I119" s="1"/>
      <c r="J119" s="1"/>
      <c r="K119" s="1"/>
      <c r="L119" s="1"/>
      <c r="M119" s="1"/>
      <c r="N119" s="1"/>
      <c r="O119" s="1"/>
      <c r="P119" s="181"/>
      <c r="Q119" s="201"/>
      <c r="R119" s="20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31"/>
      <c r="F120" s="131"/>
      <c r="G120" s="131"/>
      <c r="H120" s="1"/>
      <c r="I120" s="1"/>
      <c r="J120" s="1"/>
      <c r="K120" s="1"/>
      <c r="L120" s="1"/>
      <c r="M120" s="1"/>
      <c r="N120" s="1"/>
      <c r="O120" s="1"/>
      <c r="P120" s="181"/>
      <c r="Q120" s="201"/>
      <c r="R120" s="20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31"/>
      <c r="F121" s="131"/>
      <c r="G121" s="131"/>
      <c r="H121" s="1"/>
      <c r="I121" s="1"/>
      <c r="J121" s="1"/>
      <c r="K121" s="1"/>
      <c r="L121" s="1"/>
      <c r="M121" s="1"/>
      <c r="N121" s="1"/>
      <c r="O121" s="1"/>
      <c r="P121" s="181"/>
      <c r="Q121" s="201"/>
      <c r="R121" s="20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31"/>
      <c r="F122" s="131"/>
      <c r="G122" s="131"/>
      <c r="H122" s="1"/>
      <c r="I122" s="1"/>
      <c r="J122" s="1"/>
      <c r="K122" s="1"/>
      <c r="L122" s="1"/>
      <c r="M122" s="1"/>
      <c r="N122" s="1"/>
      <c r="O122" s="1"/>
      <c r="P122" s="181"/>
      <c r="Q122" s="201"/>
      <c r="R122" s="20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31"/>
      <c r="F123" s="131"/>
      <c r="G123" s="131"/>
      <c r="H123" s="1"/>
      <c r="I123" s="1"/>
      <c r="J123" s="1"/>
      <c r="K123" s="1"/>
      <c r="L123" s="1"/>
      <c r="M123" s="1"/>
      <c r="N123" s="1"/>
      <c r="O123" s="1"/>
      <c r="P123" s="181"/>
      <c r="Q123" s="201"/>
      <c r="R123" s="20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31"/>
      <c r="F124" s="131"/>
      <c r="G124" s="131"/>
      <c r="H124" s="1"/>
      <c r="I124" s="1"/>
      <c r="J124" s="1"/>
      <c r="K124" s="1"/>
      <c r="L124" s="1"/>
      <c r="M124" s="1"/>
      <c r="N124" s="1"/>
      <c r="O124" s="1"/>
      <c r="P124" s="181"/>
      <c r="Q124" s="201"/>
      <c r="R124" s="20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31"/>
      <c r="F125" s="131"/>
      <c r="G125" s="131"/>
      <c r="H125" s="1"/>
      <c r="I125" s="1"/>
      <c r="J125" s="1"/>
      <c r="K125" s="1"/>
      <c r="L125" s="1"/>
      <c r="M125" s="1"/>
      <c r="N125" s="1"/>
      <c r="O125" s="1"/>
      <c r="P125" s="181"/>
      <c r="Q125" s="201"/>
      <c r="R125" s="20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31"/>
      <c r="F126" s="131"/>
      <c r="G126" s="131"/>
      <c r="H126" s="1"/>
      <c r="I126" s="1"/>
      <c r="J126" s="1"/>
      <c r="K126" s="1"/>
      <c r="L126" s="1"/>
      <c r="M126" s="1"/>
      <c r="N126" s="1"/>
      <c r="O126" s="1"/>
      <c r="P126" s="181"/>
      <c r="Q126" s="201"/>
      <c r="R126" s="20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31"/>
      <c r="F127" s="131"/>
      <c r="G127" s="131"/>
      <c r="H127" s="1"/>
      <c r="I127" s="1"/>
      <c r="J127" s="1"/>
      <c r="K127" s="1"/>
      <c r="L127" s="1"/>
      <c r="M127" s="1"/>
      <c r="N127" s="1"/>
      <c r="O127" s="1"/>
      <c r="P127" s="181"/>
      <c r="Q127" s="201"/>
      <c r="R127" s="20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31"/>
      <c r="F128" s="131"/>
      <c r="G128" s="131"/>
      <c r="H128" s="1"/>
      <c r="I128" s="1"/>
      <c r="J128" s="1"/>
      <c r="K128" s="1"/>
      <c r="L128" s="1"/>
      <c r="M128" s="1"/>
      <c r="N128" s="1"/>
      <c r="O128" s="1"/>
      <c r="P128" s="181"/>
      <c r="Q128" s="201"/>
      <c r="R128" s="20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31"/>
      <c r="F129" s="131"/>
      <c r="G129" s="131"/>
      <c r="H129" s="1"/>
      <c r="I129" s="1"/>
      <c r="J129" s="1"/>
      <c r="K129" s="1"/>
      <c r="L129" s="1"/>
      <c r="M129" s="1"/>
      <c r="N129" s="1"/>
      <c r="O129" s="1"/>
      <c r="P129" s="181"/>
      <c r="Q129" s="201"/>
      <c r="R129" s="20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31"/>
      <c r="F130" s="131"/>
      <c r="G130" s="131"/>
      <c r="H130" s="1"/>
      <c r="I130" s="1"/>
      <c r="J130" s="1"/>
      <c r="K130" s="1"/>
      <c r="L130" s="1"/>
      <c r="M130" s="1"/>
      <c r="N130" s="1"/>
      <c r="O130" s="1"/>
      <c r="P130" s="181"/>
      <c r="Q130" s="201"/>
      <c r="R130" s="20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31"/>
      <c r="F131" s="131"/>
      <c r="G131" s="131"/>
      <c r="H131" s="1"/>
      <c r="I131" s="1"/>
      <c r="J131" s="1"/>
      <c r="K131" s="1"/>
      <c r="L131" s="1"/>
      <c r="M131" s="1"/>
      <c r="N131" s="1"/>
      <c r="O131" s="1"/>
      <c r="P131" s="181"/>
      <c r="Q131" s="201"/>
      <c r="R131" s="20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31"/>
      <c r="F132" s="131"/>
      <c r="G132" s="131"/>
      <c r="H132" s="1"/>
      <c r="I132" s="1"/>
      <c r="J132" s="1"/>
      <c r="K132" s="1"/>
      <c r="L132" s="1"/>
      <c r="M132" s="1"/>
      <c r="N132" s="1"/>
      <c r="O132" s="1"/>
      <c r="P132" s="181"/>
      <c r="Q132" s="201"/>
      <c r="R132" s="20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31"/>
      <c r="F133" s="131"/>
      <c r="G133" s="131"/>
      <c r="H133" s="1"/>
      <c r="I133" s="1"/>
      <c r="J133" s="1"/>
      <c r="K133" s="1"/>
      <c r="L133" s="1"/>
      <c r="M133" s="1"/>
      <c r="N133" s="1"/>
      <c r="O133" s="1"/>
      <c r="P133" s="181"/>
      <c r="Q133" s="201"/>
      <c r="R133" s="20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31"/>
      <c r="F134" s="131"/>
      <c r="G134" s="131"/>
      <c r="H134" s="1"/>
      <c r="I134" s="1"/>
      <c r="J134" s="1"/>
      <c r="K134" s="1"/>
      <c r="L134" s="1"/>
      <c r="M134" s="1"/>
      <c r="N134" s="1"/>
      <c r="O134" s="1"/>
      <c r="P134" s="181"/>
      <c r="Q134" s="201"/>
      <c r="R134" s="20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31"/>
      <c r="F135" s="131"/>
      <c r="G135" s="131"/>
      <c r="H135" s="1"/>
      <c r="I135" s="1"/>
      <c r="J135" s="1"/>
      <c r="K135" s="1"/>
      <c r="L135" s="1"/>
      <c r="M135" s="1"/>
      <c r="N135" s="1"/>
      <c r="O135" s="1"/>
      <c r="P135" s="181"/>
      <c r="Q135" s="201"/>
      <c r="R135" s="20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31"/>
      <c r="F136" s="131"/>
      <c r="G136" s="131"/>
      <c r="H136" s="1"/>
      <c r="I136" s="1"/>
      <c r="J136" s="1"/>
      <c r="K136" s="1"/>
      <c r="L136" s="1"/>
      <c r="M136" s="1"/>
      <c r="N136" s="1"/>
      <c r="O136" s="1"/>
      <c r="P136" s="181"/>
      <c r="Q136" s="201"/>
      <c r="R136" s="20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31"/>
      <c r="F137" s="131"/>
      <c r="G137" s="131"/>
      <c r="H137" s="1"/>
      <c r="I137" s="1"/>
      <c r="J137" s="1"/>
      <c r="K137" s="1"/>
      <c r="L137" s="1"/>
      <c r="M137" s="1"/>
      <c r="N137" s="1"/>
      <c r="O137" s="1"/>
      <c r="P137" s="181"/>
      <c r="Q137" s="201"/>
      <c r="R137" s="20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31"/>
      <c r="F138" s="131"/>
      <c r="G138" s="131"/>
      <c r="H138" s="1"/>
      <c r="I138" s="1"/>
      <c r="J138" s="1"/>
      <c r="K138" s="1"/>
      <c r="L138" s="1"/>
      <c r="M138" s="1"/>
      <c r="N138" s="1"/>
      <c r="O138" s="1"/>
      <c r="P138" s="181"/>
      <c r="Q138" s="201"/>
      <c r="R138" s="20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31"/>
      <c r="F139" s="131"/>
      <c r="G139" s="131"/>
      <c r="H139" s="1"/>
      <c r="I139" s="1"/>
      <c r="J139" s="1"/>
      <c r="K139" s="1"/>
      <c r="L139" s="1"/>
      <c r="M139" s="1"/>
      <c r="N139" s="1"/>
      <c r="O139" s="1"/>
      <c r="P139" s="181"/>
      <c r="Q139" s="201"/>
      <c r="R139" s="20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31"/>
      <c r="F140" s="131"/>
      <c r="G140" s="131"/>
      <c r="H140" s="1"/>
      <c r="I140" s="1"/>
      <c r="J140" s="1"/>
      <c r="K140" s="1"/>
      <c r="L140" s="1"/>
      <c r="M140" s="1"/>
      <c r="N140" s="1"/>
      <c r="O140" s="1"/>
      <c r="P140" s="181"/>
      <c r="Q140" s="201"/>
      <c r="R140" s="20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31"/>
      <c r="F141" s="131"/>
      <c r="G141" s="131"/>
      <c r="H141" s="1"/>
      <c r="I141" s="1"/>
      <c r="J141" s="1"/>
      <c r="K141" s="1"/>
      <c r="L141" s="1"/>
      <c r="M141" s="1"/>
      <c r="N141" s="1"/>
      <c r="O141" s="1"/>
      <c r="P141" s="181"/>
      <c r="Q141" s="201"/>
      <c r="R141" s="20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31"/>
      <c r="F142" s="131"/>
      <c r="G142" s="131"/>
      <c r="H142" s="1"/>
      <c r="I142" s="1"/>
      <c r="J142" s="1"/>
      <c r="K142" s="1"/>
      <c r="L142" s="1"/>
      <c r="M142" s="1"/>
      <c r="N142" s="1"/>
      <c r="O142" s="1"/>
      <c r="P142" s="181"/>
      <c r="Q142" s="201"/>
      <c r="R142" s="20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31"/>
      <c r="F143" s="131"/>
      <c r="G143" s="131"/>
      <c r="H143" s="1"/>
      <c r="I143" s="1"/>
      <c r="J143" s="1"/>
      <c r="K143" s="1"/>
      <c r="L143" s="1"/>
      <c r="M143" s="1"/>
      <c r="N143" s="1"/>
      <c r="O143" s="1"/>
      <c r="P143" s="181"/>
      <c r="Q143" s="201"/>
      <c r="R143" s="20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31"/>
      <c r="F144" s="131"/>
      <c r="G144" s="131"/>
      <c r="H144" s="1"/>
      <c r="I144" s="1"/>
      <c r="J144" s="1"/>
      <c r="K144" s="1"/>
      <c r="L144" s="1"/>
      <c r="M144" s="1"/>
      <c r="N144" s="1"/>
      <c r="O144" s="1"/>
      <c r="P144" s="181"/>
      <c r="Q144" s="201"/>
      <c r="R144" s="20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31"/>
      <c r="F145" s="131"/>
      <c r="G145" s="131"/>
      <c r="H145" s="1"/>
      <c r="I145" s="1"/>
      <c r="J145" s="1"/>
      <c r="K145" s="1"/>
      <c r="L145" s="1"/>
      <c r="M145" s="1"/>
      <c r="N145" s="1"/>
      <c r="O145" s="1"/>
      <c r="P145" s="181"/>
      <c r="Q145" s="201"/>
      <c r="R145" s="20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31"/>
      <c r="F146" s="131"/>
      <c r="G146" s="131"/>
      <c r="H146" s="1"/>
      <c r="I146" s="1"/>
      <c r="J146" s="1"/>
      <c r="K146" s="1"/>
      <c r="L146" s="1"/>
      <c r="M146" s="1"/>
      <c r="N146" s="1"/>
      <c r="O146" s="1"/>
      <c r="P146" s="181"/>
      <c r="Q146" s="201"/>
      <c r="R146" s="20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31"/>
      <c r="F147" s="131"/>
      <c r="G147" s="131"/>
      <c r="H147" s="1"/>
      <c r="I147" s="1"/>
      <c r="J147" s="1"/>
      <c r="K147" s="1"/>
      <c r="L147" s="1"/>
      <c r="M147" s="1"/>
      <c r="N147" s="1"/>
      <c r="O147" s="1"/>
      <c r="P147" s="181"/>
      <c r="Q147" s="201"/>
      <c r="R147" s="20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31"/>
      <c r="F148" s="131"/>
      <c r="G148" s="131"/>
      <c r="H148" s="1"/>
      <c r="I148" s="1"/>
      <c r="J148" s="1"/>
      <c r="K148" s="1"/>
      <c r="L148" s="1"/>
      <c r="M148" s="1"/>
      <c r="N148" s="1"/>
      <c r="O148" s="1"/>
      <c r="P148" s="181"/>
      <c r="Q148" s="201"/>
      <c r="R148" s="20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31"/>
      <c r="F149" s="131"/>
      <c r="G149" s="131"/>
      <c r="H149" s="1"/>
      <c r="I149" s="1"/>
      <c r="J149" s="1"/>
      <c r="K149" s="1"/>
      <c r="L149" s="1"/>
      <c r="M149" s="1"/>
      <c r="N149" s="1"/>
      <c r="O149" s="1"/>
      <c r="P149" s="181"/>
      <c r="Q149" s="201"/>
      <c r="R149" s="20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31"/>
      <c r="F150" s="131"/>
      <c r="G150" s="131"/>
      <c r="H150" s="1"/>
      <c r="I150" s="1"/>
      <c r="J150" s="1"/>
      <c r="K150" s="1"/>
      <c r="L150" s="1"/>
      <c r="M150" s="1"/>
      <c r="N150" s="1"/>
      <c r="O150" s="1"/>
      <c r="P150" s="181"/>
      <c r="Q150" s="201"/>
      <c r="R150" s="20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31"/>
      <c r="F151" s="131"/>
      <c r="G151" s="131"/>
      <c r="H151" s="1"/>
      <c r="I151" s="1"/>
      <c r="J151" s="1"/>
      <c r="K151" s="1"/>
      <c r="L151" s="1"/>
      <c r="M151" s="1"/>
      <c r="N151" s="1"/>
      <c r="O151" s="1"/>
      <c r="P151" s="181"/>
      <c r="Q151" s="201"/>
      <c r="R151" s="20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31"/>
      <c r="F152" s="131"/>
      <c r="G152" s="131"/>
      <c r="H152" s="1"/>
      <c r="I152" s="1"/>
      <c r="J152" s="1"/>
      <c r="K152" s="1"/>
      <c r="L152" s="1"/>
      <c r="M152" s="1"/>
      <c r="N152" s="1"/>
      <c r="O152" s="1"/>
      <c r="P152" s="181"/>
      <c r="Q152" s="201"/>
      <c r="R152" s="20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31"/>
      <c r="F153" s="131"/>
      <c r="G153" s="131"/>
      <c r="H153" s="1"/>
      <c r="I153" s="1"/>
      <c r="J153" s="1"/>
      <c r="K153" s="1"/>
      <c r="L153" s="1"/>
      <c r="M153" s="1"/>
      <c r="N153" s="1"/>
      <c r="O153" s="1"/>
      <c r="P153" s="181"/>
      <c r="Q153" s="201"/>
      <c r="R153" s="20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31"/>
      <c r="F154" s="131"/>
      <c r="G154" s="131"/>
      <c r="H154" s="1"/>
      <c r="I154" s="1"/>
      <c r="J154" s="1"/>
      <c r="K154" s="1"/>
      <c r="L154" s="1"/>
      <c r="M154" s="1"/>
      <c r="N154" s="1"/>
      <c r="O154" s="1"/>
      <c r="P154" s="181"/>
      <c r="Q154" s="201"/>
      <c r="R154" s="20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31"/>
      <c r="F155" s="131"/>
      <c r="G155" s="131"/>
      <c r="H155" s="1"/>
      <c r="I155" s="1"/>
      <c r="J155" s="1"/>
      <c r="K155" s="1"/>
      <c r="L155" s="1"/>
      <c r="M155" s="1"/>
      <c r="N155" s="1"/>
      <c r="O155" s="1"/>
      <c r="P155" s="181"/>
      <c r="Q155" s="201"/>
      <c r="R155" s="20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31"/>
      <c r="F156" s="131"/>
      <c r="G156" s="131"/>
      <c r="H156" s="1"/>
      <c r="I156" s="1"/>
      <c r="J156" s="1"/>
      <c r="K156" s="1"/>
      <c r="L156" s="1"/>
      <c r="M156" s="1"/>
      <c r="N156" s="1"/>
      <c r="O156" s="1"/>
      <c r="P156" s="181"/>
      <c r="Q156" s="201"/>
      <c r="R156" s="20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31"/>
      <c r="F157" s="131"/>
      <c r="G157" s="131"/>
      <c r="H157" s="1"/>
      <c r="I157" s="1"/>
      <c r="J157" s="1"/>
      <c r="K157" s="1"/>
      <c r="L157" s="1"/>
      <c r="M157" s="1"/>
      <c r="N157" s="1"/>
      <c r="O157" s="1"/>
      <c r="P157" s="181"/>
      <c r="Q157" s="201"/>
      <c r="R157" s="20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31"/>
      <c r="F158" s="131"/>
      <c r="G158" s="131"/>
      <c r="H158" s="1"/>
      <c r="I158" s="1"/>
      <c r="J158" s="1"/>
      <c r="K158" s="1"/>
      <c r="L158" s="1"/>
      <c r="M158" s="1"/>
      <c r="N158" s="1"/>
      <c r="O158" s="1"/>
      <c r="P158" s="181"/>
      <c r="Q158" s="201"/>
      <c r="R158" s="20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31"/>
      <c r="F159" s="131"/>
      <c r="G159" s="131"/>
      <c r="H159" s="1"/>
      <c r="I159" s="1"/>
      <c r="J159" s="1"/>
      <c r="K159" s="1"/>
      <c r="L159" s="1"/>
      <c r="M159" s="1"/>
      <c r="N159" s="1"/>
      <c r="O159" s="1"/>
      <c r="P159" s="181"/>
      <c r="Q159" s="201"/>
      <c r="R159" s="20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31"/>
      <c r="F160" s="131"/>
      <c r="G160" s="131"/>
      <c r="H160" s="1"/>
      <c r="I160" s="1"/>
      <c r="J160" s="1"/>
      <c r="K160" s="1"/>
      <c r="L160" s="1"/>
      <c r="M160" s="1"/>
      <c r="N160" s="1"/>
      <c r="O160" s="1"/>
      <c r="P160" s="181"/>
      <c r="Q160" s="201"/>
      <c r="R160" s="20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31"/>
      <c r="F161" s="131"/>
      <c r="G161" s="131"/>
      <c r="H161" s="1"/>
      <c r="I161" s="1"/>
      <c r="J161" s="1"/>
      <c r="K161" s="1"/>
      <c r="L161" s="1"/>
      <c r="M161" s="1"/>
      <c r="N161" s="1"/>
      <c r="O161" s="1"/>
      <c r="P161" s="181"/>
      <c r="Q161" s="201"/>
      <c r="R161" s="20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31"/>
      <c r="F162" s="131"/>
      <c r="G162" s="131"/>
      <c r="H162" s="1"/>
      <c r="I162" s="1"/>
      <c r="J162" s="1"/>
      <c r="K162" s="1"/>
      <c r="L162" s="1"/>
      <c r="M162" s="1"/>
      <c r="N162" s="1"/>
      <c r="O162" s="1"/>
      <c r="P162" s="181"/>
      <c r="Q162" s="201"/>
      <c r="R162" s="20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31"/>
      <c r="F163" s="131"/>
      <c r="G163" s="131"/>
      <c r="H163" s="1"/>
      <c r="I163" s="1"/>
      <c r="J163" s="1"/>
      <c r="K163" s="1"/>
      <c r="L163" s="1"/>
      <c r="M163" s="1"/>
      <c r="N163" s="1"/>
      <c r="O163" s="1"/>
      <c r="P163" s="181"/>
      <c r="Q163" s="201"/>
      <c r="R163" s="20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31"/>
      <c r="F164" s="131"/>
      <c r="G164" s="131"/>
      <c r="H164" s="1"/>
      <c r="I164" s="1"/>
      <c r="J164" s="1"/>
      <c r="K164" s="1"/>
      <c r="L164" s="1"/>
      <c r="M164" s="1"/>
      <c r="N164" s="1"/>
      <c r="O164" s="1"/>
      <c r="P164" s="181"/>
      <c r="Q164" s="201"/>
      <c r="R164" s="20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31"/>
      <c r="F165" s="131"/>
      <c r="G165" s="131"/>
      <c r="H165" s="1"/>
      <c r="I165" s="1"/>
      <c r="J165" s="1"/>
      <c r="K165" s="1"/>
      <c r="L165" s="1"/>
      <c r="M165" s="1"/>
      <c r="N165" s="1"/>
      <c r="O165" s="1"/>
      <c r="P165" s="181"/>
      <c r="Q165" s="201"/>
      <c r="R165" s="20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31"/>
      <c r="F166" s="131"/>
      <c r="G166" s="131"/>
      <c r="H166" s="1"/>
      <c r="I166" s="1"/>
      <c r="J166" s="1"/>
      <c r="K166" s="1"/>
      <c r="L166" s="1"/>
      <c r="M166" s="1"/>
      <c r="N166" s="1"/>
      <c r="O166" s="1"/>
      <c r="P166" s="181"/>
      <c r="Q166" s="201"/>
      <c r="R166" s="20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31"/>
      <c r="F167" s="131"/>
      <c r="G167" s="131"/>
      <c r="H167" s="1"/>
      <c r="I167" s="1"/>
      <c r="J167" s="1"/>
      <c r="K167" s="1"/>
      <c r="L167" s="1"/>
      <c r="M167" s="1"/>
      <c r="N167" s="1"/>
      <c r="O167" s="1"/>
      <c r="P167" s="181"/>
      <c r="Q167" s="201"/>
      <c r="R167" s="20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31"/>
      <c r="F168" s="131"/>
      <c r="G168" s="131"/>
      <c r="H168" s="1"/>
      <c r="I168" s="1"/>
      <c r="J168" s="1"/>
      <c r="K168" s="1"/>
      <c r="L168" s="1"/>
      <c r="M168" s="1"/>
      <c r="N168" s="1"/>
      <c r="O168" s="1"/>
      <c r="P168" s="181"/>
      <c r="Q168" s="201"/>
      <c r="R168" s="20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31"/>
      <c r="F169" s="131"/>
      <c r="G169" s="131"/>
      <c r="H169" s="1"/>
      <c r="I169" s="1"/>
      <c r="J169" s="1"/>
      <c r="K169" s="1"/>
      <c r="L169" s="1"/>
      <c r="M169" s="1"/>
      <c r="N169" s="1"/>
      <c r="O169" s="1"/>
      <c r="P169" s="181"/>
      <c r="Q169" s="201"/>
      <c r="R169" s="20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31"/>
      <c r="F170" s="131"/>
      <c r="G170" s="131"/>
      <c r="H170" s="1"/>
      <c r="I170" s="1"/>
      <c r="J170" s="1"/>
      <c r="K170" s="1"/>
      <c r="L170" s="1"/>
      <c r="M170" s="1"/>
      <c r="N170" s="1"/>
      <c r="O170" s="1"/>
      <c r="P170" s="181"/>
      <c r="Q170" s="201"/>
      <c r="R170" s="20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31"/>
      <c r="F171" s="131"/>
      <c r="G171" s="131"/>
      <c r="H171" s="1"/>
      <c r="I171" s="1"/>
      <c r="J171" s="1"/>
      <c r="K171" s="1"/>
      <c r="L171" s="1"/>
      <c r="M171" s="1"/>
      <c r="N171" s="1"/>
      <c r="O171" s="1"/>
      <c r="P171" s="181"/>
      <c r="Q171" s="201"/>
      <c r="R171" s="20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31"/>
      <c r="F172" s="131"/>
      <c r="G172" s="131"/>
      <c r="H172" s="1"/>
      <c r="I172" s="1"/>
      <c r="J172" s="1"/>
      <c r="K172" s="1"/>
      <c r="L172" s="1"/>
      <c r="M172" s="1"/>
      <c r="N172" s="1"/>
      <c r="O172" s="1"/>
      <c r="P172" s="181"/>
      <c r="Q172" s="201"/>
      <c r="R172" s="20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31"/>
      <c r="F173" s="131"/>
      <c r="G173" s="131"/>
      <c r="H173" s="1"/>
      <c r="I173" s="1"/>
      <c r="J173" s="1"/>
      <c r="K173" s="1"/>
      <c r="L173" s="1"/>
      <c r="M173" s="1"/>
      <c r="N173" s="1"/>
      <c r="O173" s="1"/>
      <c r="P173" s="181"/>
      <c r="Q173" s="201"/>
      <c r="R173" s="20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31"/>
      <c r="F174" s="131"/>
      <c r="G174" s="131"/>
      <c r="H174" s="1"/>
      <c r="I174" s="1"/>
      <c r="J174" s="1"/>
      <c r="K174" s="1"/>
      <c r="L174" s="1"/>
      <c r="M174" s="1"/>
      <c r="N174" s="1"/>
      <c r="O174" s="1"/>
      <c r="P174" s="181"/>
      <c r="Q174" s="201"/>
      <c r="R174" s="20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31"/>
      <c r="F175" s="131"/>
      <c r="G175" s="131"/>
      <c r="H175" s="1"/>
      <c r="I175" s="1"/>
      <c r="J175" s="1"/>
      <c r="K175" s="1"/>
      <c r="L175" s="1"/>
      <c r="M175" s="1"/>
      <c r="N175" s="1"/>
      <c r="O175" s="1"/>
      <c r="P175" s="181"/>
      <c r="Q175" s="201"/>
      <c r="R175" s="20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31"/>
      <c r="F176" s="131"/>
      <c r="G176" s="131"/>
      <c r="H176" s="1"/>
      <c r="I176" s="1"/>
      <c r="J176" s="1"/>
      <c r="K176" s="1"/>
      <c r="L176" s="1"/>
      <c r="M176" s="1"/>
      <c r="N176" s="1"/>
      <c r="O176" s="1"/>
      <c r="P176" s="181"/>
      <c r="Q176" s="201"/>
      <c r="R176" s="20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31"/>
      <c r="F177" s="131"/>
      <c r="G177" s="131"/>
      <c r="H177" s="1"/>
      <c r="I177" s="1"/>
      <c r="J177" s="1"/>
      <c r="K177" s="1"/>
      <c r="L177" s="1"/>
      <c r="M177" s="1"/>
      <c r="N177" s="1"/>
      <c r="O177" s="1"/>
      <c r="P177" s="181"/>
      <c r="Q177" s="201"/>
      <c r="R177" s="20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31"/>
      <c r="F178" s="131"/>
      <c r="G178" s="131"/>
      <c r="H178" s="1"/>
      <c r="I178" s="1"/>
      <c r="J178" s="1"/>
      <c r="K178" s="1"/>
      <c r="L178" s="1"/>
      <c r="M178" s="1"/>
      <c r="N178" s="1"/>
      <c r="O178" s="1"/>
      <c r="P178" s="181"/>
      <c r="Q178" s="201"/>
      <c r="R178" s="20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31"/>
      <c r="F179" s="131"/>
      <c r="G179" s="131"/>
      <c r="H179" s="1"/>
      <c r="I179" s="1"/>
      <c r="J179" s="1"/>
      <c r="K179" s="1"/>
      <c r="L179" s="1"/>
      <c r="M179" s="1"/>
      <c r="N179" s="1"/>
      <c r="O179" s="1"/>
      <c r="P179" s="181"/>
      <c r="Q179" s="201"/>
      <c r="R179" s="20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31"/>
      <c r="F180" s="131"/>
      <c r="G180" s="131"/>
      <c r="H180" s="1"/>
      <c r="I180" s="1"/>
      <c r="J180" s="1"/>
      <c r="K180" s="1"/>
      <c r="L180" s="1"/>
      <c r="M180" s="1"/>
      <c r="N180" s="1"/>
      <c r="O180" s="1"/>
      <c r="P180" s="181"/>
      <c r="Q180" s="201"/>
      <c r="R180" s="20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31"/>
      <c r="F181" s="131"/>
      <c r="G181" s="131"/>
      <c r="H181" s="1"/>
      <c r="I181" s="1"/>
      <c r="J181" s="1"/>
      <c r="K181" s="1"/>
      <c r="L181" s="1"/>
      <c r="M181" s="1"/>
      <c r="N181" s="1"/>
      <c r="O181" s="1"/>
      <c r="P181" s="181"/>
      <c r="Q181" s="201"/>
      <c r="R181" s="20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31"/>
      <c r="F182" s="131"/>
      <c r="G182" s="131"/>
      <c r="H182" s="1"/>
      <c r="I182" s="1"/>
      <c r="J182" s="1"/>
      <c r="K182" s="1"/>
      <c r="L182" s="1"/>
      <c r="M182" s="1"/>
      <c r="N182" s="1"/>
      <c r="O182" s="1"/>
      <c r="P182" s="181"/>
      <c r="Q182" s="201"/>
      <c r="R182" s="20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31"/>
      <c r="F183" s="131"/>
      <c r="G183" s="131"/>
      <c r="H183" s="1"/>
      <c r="I183" s="1"/>
      <c r="J183" s="1"/>
      <c r="K183" s="1"/>
      <c r="L183" s="1"/>
      <c r="M183" s="1"/>
      <c r="N183" s="1"/>
      <c r="O183" s="1"/>
      <c r="P183" s="181"/>
      <c r="Q183" s="201"/>
      <c r="R183" s="20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31"/>
      <c r="F184" s="131"/>
      <c r="G184" s="131"/>
      <c r="H184" s="1"/>
      <c r="I184" s="1"/>
      <c r="J184" s="1"/>
      <c r="K184" s="1"/>
      <c r="L184" s="1"/>
      <c r="M184" s="1"/>
      <c r="N184" s="1"/>
      <c r="O184" s="1"/>
      <c r="P184" s="181"/>
      <c r="Q184" s="201"/>
      <c r="R184" s="20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31"/>
      <c r="F185" s="131"/>
      <c r="G185" s="131"/>
      <c r="H185" s="1"/>
      <c r="I185" s="1"/>
      <c r="J185" s="1"/>
      <c r="K185" s="1"/>
      <c r="L185" s="1"/>
      <c r="M185" s="1"/>
      <c r="N185" s="1"/>
      <c r="O185" s="1"/>
      <c r="P185" s="181"/>
      <c r="Q185" s="201"/>
      <c r="R185" s="20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31"/>
      <c r="F186" s="131"/>
      <c r="G186" s="131"/>
      <c r="H186" s="1"/>
      <c r="I186" s="1"/>
      <c r="J186" s="1"/>
      <c r="K186" s="1"/>
      <c r="L186" s="1"/>
      <c r="M186" s="1"/>
      <c r="N186" s="1"/>
      <c r="O186" s="1"/>
      <c r="P186" s="181"/>
      <c r="Q186" s="201"/>
      <c r="R186" s="20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31"/>
      <c r="F187" s="131"/>
      <c r="G187" s="131"/>
      <c r="H187" s="1"/>
      <c r="I187" s="1"/>
      <c r="J187" s="1"/>
      <c r="K187" s="1"/>
      <c r="L187" s="1"/>
      <c r="M187" s="1"/>
      <c r="N187" s="1"/>
      <c r="O187" s="1"/>
      <c r="P187" s="181"/>
      <c r="Q187" s="201"/>
      <c r="R187" s="20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31"/>
      <c r="F188" s="131"/>
      <c r="G188" s="131"/>
      <c r="H188" s="1"/>
      <c r="I188" s="1"/>
      <c r="J188" s="1"/>
      <c r="K188" s="1"/>
      <c r="L188" s="1"/>
      <c r="M188" s="1"/>
      <c r="N188" s="1"/>
      <c r="O188" s="1"/>
      <c r="P188" s="181"/>
      <c r="Q188" s="201"/>
      <c r="R188" s="20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31"/>
      <c r="F189" s="131"/>
      <c r="G189" s="131"/>
      <c r="H189" s="1"/>
      <c r="I189" s="1"/>
      <c r="J189" s="1"/>
      <c r="K189" s="1"/>
      <c r="L189" s="1"/>
      <c r="M189" s="1"/>
      <c r="N189" s="1"/>
      <c r="O189" s="1"/>
      <c r="P189" s="181"/>
      <c r="Q189" s="201"/>
      <c r="R189" s="20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31"/>
      <c r="F190" s="131"/>
      <c r="G190" s="131"/>
      <c r="H190" s="1"/>
      <c r="I190" s="1"/>
      <c r="J190" s="1"/>
      <c r="K190" s="1"/>
      <c r="L190" s="1"/>
      <c r="M190" s="1"/>
      <c r="N190" s="1"/>
      <c r="O190" s="1"/>
      <c r="P190" s="181"/>
      <c r="Q190" s="201"/>
      <c r="R190" s="20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31"/>
      <c r="F191" s="131"/>
      <c r="G191" s="131"/>
      <c r="H191" s="1"/>
      <c r="I191" s="1"/>
      <c r="J191" s="1"/>
      <c r="K191" s="1"/>
      <c r="L191" s="1"/>
      <c r="M191" s="1"/>
      <c r="N191" s="1"/>
      <c r="O191" s="1"/>
      <c r="P191" s="181"/>
      <c r="Q191" s="201"/>
      <c r="R191" s="20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31"/>
      <c r="F192" s="131"/>
      <c r="G192" s="131"/>
      <c r="H192" s="1"/>
      <c r="I192" s="1"/>
      <c r="J192" s="1"/>
      <c r="K192" s="1"/>
      <c r="L192" s="1"/>
      <c r="M192" s="1"/>
      <c r="N192" s="1"/>
      <c r="O192" s="1"/>
      <c r="P192" s="181"/>
      <c r="Q192" s="201"/>
      <c r="R192" s="20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31"/>
      <c r="F193" s="131"/>
      <c r="G193" s="131"/>
      <c r="H193" s="1"/>
      <c r="I193" s="1"/>
      <c r="J193" s="1"/>
      <c r="K193" s="1"/>
      <c r="L193" s="1"/>
      <c r="M193" s="1"/>
      <c r="N193" s="1"/>
      <c r="O193" s="1"/>
      <c r="P193" s="181"/>
      <c r="Q193" s="201"/>
      <c r="R193" s="20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31"/>
      <c r="F194" s="131"/>
      <c r="G194" s="131"/>
      <c r="H194" s="1"/>
      <c r="I194" s="1"/>
      <c r="J194" s="1"/>
      <c r="K194" s="1"/>
      <c r="L194" s="1"/>
      <c r="M194" s="1"/>
      <c r="N194" s="1"/>
      <c r="O194" s="1"/>
      <c r="P194" s="181"/>
      <c r="Q194" s="201"/>
      <c r="R194" s="20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31"/>
      <c r="F195" s="131"/>
      <c r="G195" s="131"/>
      <c r="H195" s="1"/>
      <c r="I195" s="1"/>
      <c r="J195" s="1"/>
      <c r="K195" s="1"/>
      <c r="L195" s="1"/>
      <c r="M195" s="1"/>
      <c r="N195" s="1"/>
      <c r="O195" s="1"/>
      <c r="P195" s="181"/>
      <c r="Q195" s="201"/>
      <c r="R195" s="20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31"/>
      <c r="F196" s="131"/>
      <c r="G196" s="131"/>
      <c r="H196" s="1"/>
      <c r="I196" s="1"/>
      <c r="J196" s="1"/>
      <c r="K196" s="1"/>
      <c r="L196" s="1"/>
      <c r="M196" s="1"/>
      <c r="N196" s="1"/>
      <c r="O196" s="1"/>
      <c r="P196" s="181"/>
      <c r="Q196" s="201"/>
      <c r="R196" s="20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31"/>
      <c r="F197" s="131"/>
      <c r="G197" s="131"/>
      <c r="H197" s="1"/>
      <c r="I197" s="1"/>
      <c r="J197" s="1"/>
      <c r="K197" s="1"/>
      <c r="L197" s="1"/>
      <c r="M197" s="1"/>
      <c r="N197" s="1"/>
      <c r="O197" s="1"/>
      <c r="P197" s="181"/>
      <c r="Q197" s="201"/>
      <c r="R197" s="20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31"/>
      <c r="F198" s="131"/>
      <c r="G198" s="131"/>
      <c r="H198" s="1"/>
      <c r="I198" s="1"/>
      <c r="J198" s="1"/>
      <c r="K198" s="1"/>
      <c r="L198" s="1"/>
      <c r="M198" s="1"/>
      <c r="N198" s="1"/>
      <c r="O198" s="1"/>
      <c r="P198" s="181"/>
      <c r="Q198" s="201"/>
      <c r="R198" s="20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31"/>
      <c r="F199" s="131"/>
      <c r="G199" s="131"/>
      <c r="H199" s="1"/>
      <c r="I199" s="1"/>
      <c r="J199" s="1"/>
      <c r="K199" s="1"/>
      <c r="L199" s="1"/>
      <c r="M199" s="1"/>
      <c r="N199" s="1"/>
      <c r="O199" s="1"/>
      <c r="P199" s="181"/>
      <c r="Q199" s="201"/>
      <c r="R199" s="20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31"/>
      <c r="F200" s="131"/>
      <c r="G200" s="131"/>
      <c r="H200" s="1"/>
      <c r="I200" s="1"/>
      <c r="J200" s="1"/>
      <c r="K200" s="1"/>
      <c r="L200" s="1"/>
      <c r="M200" s="1"/>
      <c r="N200" s="1"/>
      <c r="O200" s="1"/>
      <c r="P200" s="181"/>
      <c r="Q200" s="201"/>
      <c r="R200" s="20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31"/>
      <c r="F201" s="131"/>
      <c r="G201" s="131"/>
      <c r="H201" s="1"/>
      <c r="I201" s="1"/>
      <c r="J201" s="1"/>
      <c r="K201" s="1"/>
      <c r="L201" s="1"/>
      <c r="M201" s="1"/>
      <c r="N201" s="1"/>
      <c r="O201" s="1"/>
      <c r="P201" s="181"/>
      <c r="Q201" s="201"/>
      <c r="R201" s="20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31"/>
      <c r="F202" s="131"/>
      <c r="G202" s="131"/>
      <c r="H202" s="1"/>
      <c r="I202" s="1"/>
      <c r="J202" s="1"/>
      <c r="K202" s="1"/>
      <c r="L202" s="1"/>
      <c r="M202" s="1"/>
      <c r="N202" s="1"/>
      <c r="O202" s="1"/>
      <c r="P202" s="181"/>
      <c r="Q202" s="201"/>
      <c r="R202" s="20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31"/>
      <c r="F203" s="131"/>
      <c r="G203" s="131"/>
      <c r="H203" s="1"/>
      <c r="I203" s="1"/>
      <c r="J203" s="1"/>
      <c r="K203" s="1"/>
      <c r="L203" s="1"/>
      <c r="M203" s="1"/>
      <c r="N203" s="1"/>
      <c r="O203" s="1"/>
      <c r="P203" s="181"/>
      <c r="Q203" s="201"/>
      <c r="R203" s="20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31"/>
      <c r="F204" s="131"/>
      <c r="G204" s="131"/>
      <c r="H204" s="1"/>
      <c r="I204" s="1"/>
      <c r="J204" s="1"/>
      <c r="K204" s="1"/>
      <c r="L204" s="1"/>
      <c r="M204" s="1"/>
      <c r="N204" s="1"/>
      <c r="O204" s="1"/>
      <c r="P204" s="181"/>
      <c r="Q204" s="201"/>
      <c r="R204" s="20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31"/>
      <c r="F205" s="131"/>
      <c r="G205" s="131"/>
      <c r="H205" s="1"/>
      <c r="I205" s="1"/>
      <c r="J205" s="1"/>
      <c r="K205" s="1"/>
      <c r="L205" s="1"/>
      <c r="M205" s="1"/>
      <c r="N205" s="1"/>
      <c r="O205" s="1"/>
      <c r="P205" s="181"/>
      <c r="Q205" s="201"/>
      <c r="R205" s="20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31"/>
      <c r="F206" s="131"/>
      <c r="G206" s="131"/>
      <c r="H206" s="1"/>
      <c r="I206" s="1"/>
      <c r="J206" s="1"/>
      <c r="K206" s="1"/>
      <c r="L206" s="1"/>
      <c r="M206" s="1"/>
      <c r="N206" s="1"/>
      <c r="O206" s="1"/>
      <c r="P206" s="181"/>
      <c r="Q206" s="201"/>
      <c r="R206" s="20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31"/>
      <c r="F207" s="131"/>
      <c r="G207" s="131"/>
      <c r="H207" s="1"/>
      <c r="I207" s="1"/>
      <c r="J207" s="1"/>
      <c r="K207" s="1"/>
      <c r="L207" s="1"/>
      <c r="M207" s="1"/>
      <c r="N207" s="1"/>
      <c r="O207" s="1"/>
      <c r="P207" s="181"/>
      <c r="Q207" s="201"/>
      <c r="R207" s="20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31"/>
      <c r="F208" s="131"/>
      <c r="G208" s="131"/>
      <c r="H208" s="1"/>
      <c r="I208" s="1"/>
      <c r="J208" s="1"/>
      <c r="K208" s="1"/>
      <c r="L208" s="1"/>
      <c r="M208" s="1"/>
      <c r="N208" s="1"/>
      <c r="O208" s="1"/>
      <c r="P208" s="181"/>
      <c r="Q208" s="201"/>
      <c r="R208" s="20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31"/>
      <c r="F209" s="131"/>
      <c r="G209" s="131"/>
      <c r="H209" s="1"/>
      <c r="I209" s="1"/>
      <c r="J209" s="1"/>
      <c r="K209" s="1"/>
      <c r="L209" s="1"/>
      <c r="M209" s="1"/>
      <c r="N209" s="1"/>
      <c r="O209" s="1"/>
      <c r="P209" s="181"/>
      <c r="Q209" s="201"/>
      <c r="R209" s="20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31"/>
      <c r="F210" s="131"/>
      <c r="G210" s="131"/>
      <c r="H210" s="1"/>
      <c r="I210" s="1"/>
      <c r="J210" s="1"/>
      <c r="K210" s="1"/>
      <c r="L210" s="1"/>
      <c r="M210" s="1"/>
      <c r="N210" s="1"/>
      <c r="O210" s="1"/>
      <c r="P210" s="181"/>
      <c r="Q210" s="201"/>
      <c r="R210" s="20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31"/>
      <c r="F211" s="131"/>
      <c r="G211" s="131"/>
      <c r="H211" s="1"/>
      <c r="I211" s="1"/>
      <c r="J211" s="1"/>
      <c r="K211" s="1"/>
      <c r="L211" s="1"/>
      <c r="M211" s="1"/>
      <c r="N211" s="1"/>
      <c r="O211" s="1"/>
      <c r="P211" s="181"/>
      <c r="Q211" s="201"/>
      <c r="R211" s="20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31"/>
      <c r="F212" s="131"/>
      <c r="G212" s="131"/>
      <c r="H212" s="1"/>
      <c r="I212" s="1"/>
      <c r="J212" s="1"/>
      <c r="K212" s="1"/>
      <c r="L212" s="1"/>
      <c r="M212" s="1"/>
      <c r="N212" s="1"/>
      <c r="O212" s="1"/>
      <c r="P212" s="181"/>
      <c r="Q212" s="201"/>
      <c r="R212" s="20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31"/>
      <c r="F213" s="131"/>
      <c r="G213" s="131"/>
      <c r="H213" s="1"/>
      <c r="I213" s="1"/>
      <c r="J213" s="1"/>
      <c r="K213" s="1"/>
      <c r="L213" s="1"/>
      <c r="M213" s="1"/>
      <c r="N213" s="1"/>
      <c r="O213" s="1"/>
      <c r="P213" s="181"/>
      <c r="Q213" s="201"/>
      <c r="R213" s="20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31"/>
      <c r="F214" s="131"/>
      <c r="G214" s="131"/>
      <c r="H214" s="1"/>
      <c r="I214" s="1"/>
      <c r="J214" s="1"/>
      <c r="K214" s="1"/>
      <c r="L214" s="1"/>
      <c r="M214" s="1"/>
      <c r="N214" s="1"/>
      <c r="O214" s="1"/>
      <c r="P214" s="181"/>
      <c r="Q214" s="201"/>
      <c r="R214" s="20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31"/>
      <c r="F215" s="131"/>
      <c r="G215" s="131"/>
      <c r="H215" s="1"/>
      <c r="I215" s="1"/>
      <c r="J215" s="1"/>
      <c r="K215" s="1"/>
      <c r="L215" s="1"/>
      <c r="M215" s="1"/>
      <c r="N215" s="1"/>
      <c r="O215" s="1"/>
      <c r="P215" s="181"/>
      <c r="Q215" s="201"/>
      <c r="R215" s="20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31"/>
      <c r="F216" s="131"/>
      <c r="G216" s="131"/>
      <c r="H216" s="1"/>
      <c r="I216" s="1"/>
      <c r="J216" s="1"/>
      <c r="K216" s="1"/>
      <c r="L216" s="1"/>
      <c r="M216" s="1"/>
      <c r="N216" s="1"/>
      <c r="O216" s="1"/>
      <c r="P216" s="181"/>
      <c r="Q216" s="201"/>
      <c r="R216" s="20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31"/>
      <c r="F217" s="131"/>
      <c r="G217" s="131"/>
      <c r="H217" s="1"/>
      <c r="I217" s="1"/>
      <c r="J217" s="1"/>
      <c r="K217" s="1"/>
      <c r="L217" s="1"/>
      <c r="M217" s="1"/>
      <c r="N217" s="1"/>
      <c r="O217" s="1"/>
      <c r="P217" s="181"/>
      <c r="Q217" s="201"/>
      <c r="R217" s="20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31"/>
      <c r="F218" s="131"/>
      <c r="G218" s="131"/>
      <c r="H218" s="1"/>
      <c r="I218" s="1"/>
      <c r="J218" s="1"/>
      <c r="K218" s="1"/>
      <c r="L218" s="1"/>
      <c r="M218" s="1"/>
      <c r="N218" s="1"/>
      <c r="O218" s="1"/>
      <c r="P218" s="181"/>
      <c r="Q218" s="201"/>
      <c r="R218" s="20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31"/>
      <c r="F219" s="131"/>
      <c r="G219" s="131"/>
      <c r="H219" s="1"/>
      <c r="I219" s="1"/>
      <c r="J219" s="1"/>
      <c r="K219" s="1"/>
      <c r="L219" s="1"/>
      <c r="M219" s="1"/>
      <c r="N219" s="1"/>
      <c r="O219" s="1"/>
      <c r="P219" s="181"/>
      <c r="Q219" s="201"/>
      <c r="R219" s="20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31"/>
      <c r="F220" s="131"/>
      <c r="G220" s="131"/>
      <c r="H220" s="1"/>
      <c r="I220" s="1"/>
      <c r="J220" s="1"/>
      <c r="K220" s="1"/>
      <c r="L220" s="1"/>
      <c r="M220" s="1"/>
      <c r="N220" s="1"/>
      <c r="O220" s="1"/>
      <c r="P220" s="181"/>
      <c r="Q220" s="201"/>
      <c r="R220" s="20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31"/>
      <c r="F221" s="131"/>
      <c r="G221" s="131"/>
      <c r="H221" s="1"/>
      <c r="I221" s="1"/>
      <c r="J221" s="1"/>
      <c r="K221" s="1"/>
      <c r="L221" s="1"/>
      <c r="M221" s="1"/>
      <c r="N221" s="1"/>
      <c r="O221" s="1"/>
      <c r="P221" s="181"/>
      <c r="Q221" s="201"/>
      <c r="R221" s="20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31"/>
      <c r="F222" s="131"/>
      <c r="G222" s="131"/>
      <c r="H222" s="1"/>
      <c r="I222" s="1"/>
      <c r="J222" s="1"/>
      <c r="K222" s="1"/>
      <c r="L222" s="1"/>
      <c r="M222" s="1"/>
      <c r="N222" s="1"/>
      <c r="O222" s="1"/>
      <c r="P222" s="181"/>
      <c r="Q222" s="201"/>
      <c r="R222" s="20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31"/>
      <c r="F223" s="131"/>
      <c r="G223" s="131"/>
      <c r="H223" s="1"/>
      <c r="I223" s="1"/>
      <c r="J223" s="1"/>
      <c r="K223" s="1"/>
      <c r="L223" s="1"/>
      <c r="M223" s="1"/>
      <c r="N223" s="1"/>
      <c r="O223" s="1"/>
      <c r="P223" s="181"/>
      <c r="Q223" s="201"/>
      <c r="R223" s="20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31"/>
      <c r="F224" s="131"/>
      <c r="G224" s="131"/>
      <c r="H224" s="1"/>
      <c r="I224" s="1"/>
      <c r="J224" s="1"/>
      <c r="K224" s="1"/>
      <c r="L224" s="1"/>
      <c r="M224" s="1"/>
      <c r="N224" s="1"/>
      <c r="O224" s="1"/>
      <c r="P224" s="181"/>
      <c r="Q224" s="201"/>
      <c r="R224" s="20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31"/>
      <c r="F225" s="131"/>
      <c r="G225" s="131"/>
      <c r="H225" s="1"/>
      <c r="I225" s="1"/>
      <c r="J225" s="1"/>
      <c r="K225" s="1"/>
      <c r="L225" s="1"/>
      <c r="M225" s="1"/>
      <c r="N225" s="1"/>
      <c r="O225" s="1"/>
      <c r="P225" s="181"/>
      <c r="Q225" s="201"/>
      <c r="R225" s="20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31"/>
      <c r="F226" s="131"/>
      <c r="G226" s="131"/>
      <c r="H226" s="1"/>
      <c r="I226" s="1"/>
      <c r="J226" s="1"/>
      <c r="K226" s="1"/>
      <c r="L226" s="1"/>
      <c r="M226" s="1"/>
      <c r="N226" s="1"/>
      <c r="O226" s="1"/>
      <c r="P226" s="181"/>
      <c r="Q226" s="201"/>
      <c r="R226" s="20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31"/>
      <c r="F227" s="131"/>
      <c r="G227" s="131"/>
      <c r="H227" s="1"/>
      <c r="I227" s="1"/>
      <c r="J227" s="1"/>
      <c r="K227" s="1"/>
      <c r="L227" s="1"/>
      <c r="M227" s="1"/>
      <c r="N227" s="1"/>
      <c r="O227" s="1"/>
      <c r="P227" s="181"/>
      <c r="Q227" s="201"/>
      <c r="R227" s="20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31"/>
      <c r="F228" s="131"/>
      <c r="G228" s="131"/>
      <c r="H228" s="1"/>
      <c r="I228" s="1"/>
      <c r="J228" s="1"/>
      <c r="K228" s="1"/>
      <c r="L228" s="1"/>
      <c r="M228" s="1"/>
      <c r="N228" s="1"/>
      <c r="O228" s="1"/>
      <c r="P228" s="181"/>
      <c r="Q228" s="201"/>
      <c r="R228" s="20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31"/>
      <c r="F229" s="131"/>
      <c r="G229" s="131"/>
      <c r="H229" s="1"/>
      <c r="I229" s="1"/>
      <c r="J229" s="1"/>
      <c r="K229" s="1"/>
      <c r="L229" s="1"/>
      <c r="M229" s="1"/>
      <c r="N229" s="1"/>
      <c r="O229" s="1"/>
      <c r="P229" s="181"/>
      <c r="Q229" s="201"/>
      <c r="R229" s="20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31"/>
      <c r="F230" s="131"/>
      <c r="G230" s="131"/>
      <c r="H230" s="1"/>
      <c r="I230" s="1"/>
      <c r="J230" s="1"/>
      <c r="K230" s="1"/>
      <c r="L230" s="1"/>
      <c r="M230" s="1"/>
      <c r="N230" s="1"/>
      <c r="O230" s="1"/>
      <c r="P230" s="181"/>
      <c r="Q230" s="201"/>
      <c r="R230" s="20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31"/>
      <c r="F231" s="131"/>
      <c r="G231" s="131"/>
      <c r="H231" s="1"/>
      <c r="I231" s="1"/>
      <c r="J231" s="1"/>
      <c r="K231" s="1"/>
      <c r="L231" s="1"/>
      <c r="M231" s="1"/>
      <c r="N231" s="1"/>
      <c r="O231" s="1"/>
      <c r="P231" s="181"/>
      <c r="Q231" s="201"/>
      <c r="R231" s="20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31"/>
      <c r="F232" s="131"/>
      <c r="G232" s="131"/>
      <c r="H232" s="1"/>
      <c r="I232" s="1"/>
      <c r="J232" s="1"/>
      <c r="K232" s="1"/>
      <c r="L232" s="1"/>
      <c r="M232" s="1"/>
      <c r="N232" s="1"/>
      <c r="O232" s="1"/>
      <c r="P232" s="181"/>
      <c r="Q232" s="201"/>
      <c r="R232" s="20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31"/>
      <c r="F233" s="131"/>
      <c r="G233" s="131"/>
      <c r="H233" s="1"/>
      <c r="I233" s="1"/>
      <c r="J233" s="1"/>
      <c r="K233" s="1"/>
      <c r="L233" s="1"/>
      <c r="M233" s="1"/>
      <c r="N233" s="1"/>
      <c r="O233" s="1"/>
      <c r="P233" s="181"/>
      <c r="Q233" s="201"/>
      <c r="R233" s="20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31"/>
      <c r="F234" s="131"/>
      <c r="G234" s="131"/>
      <c r="H234" s="1"/>
      <c r="I234" s="1"/>
      <c r="J234" s="1"/>
      <c r="K234" s="1"/>
      <c r="L234" s="1"/>
      <c r="M234" s="1"/>
      <c r="N234" s="1"/>
      <c r="O234" s="1"/>
      <c r="P234" s="181"/>
      <c r="Q234" s="201"/>
      <c r="R234" s="20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31"/>
      <c r="F235" s="131"/>
      <c r="G235" s="131"/>
      <c r="H235" s="1"/>
      <c r="I235" s="1"/>
      <c r="J235" s="1"/>
      <c r="K235" s="1"/>
      <c r="L235" s="1"/>
      <c r="M235" s="1"/>
      <c r="N235" s="1"/>
      <c r="O235" s="1"/>
      <c r="P235" s="181"/>
      <c r="Q235" s="201"/>
      <c r="R235" s="20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31"/>
      <c r="F236" s="131"/>
      <c r="G236" s="131"/>
      <c r="H236" s="1"/>
      <c r="I236" s="1"/>
      <c r="J236" s="1"/>
      <c r="K236" s="1"/>
      <c r="L236" s="1"/>
      <c r="M236" s="1"/>
      <c r="N236" s="1"/>
      <c r="O236" s="1"/>
      <c r="P236" s="181"/>
      <c r="Q236" s="201"/>
      <c r="R236" s="20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31"/>
      <c r="F237" s="131"/>
      <c r="G237" s="131"/>
      <c r="H237" s="1"/>
      <c r="I237" s="1"/>
      <c r="J237" s="1"/>
      <c r="K237" s="1"/>
      <c r="L237" s="1"/>
      <c r="M237" s="1"/>
      <c r="N237" s="1"/>
      <c r="O237" s="1"/>
      <c r="P237" s="181"/>
      <c r="Q237" s="201"/>
      <c r="R237" s="20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31"/>
      <c r="F238" s="131"/>
      <c r="G238" s="131"/>
      <c r="H238" s="1"/>
      <c r="I238" s="1"/>
      <c r="J238" s="1"/>
      <c r="K238" s="1"/>
      <c r="L238" s="1"/>
      <c r="M238" s="1"/>
      <c r="N238" s="1"/>
      <c r="O238" s="1"/>
      <c r="P238" s="181"/>
      <c r="Q238" s="201"/>
      <c r="R238" s="20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31"/>
      <c r="F239" s="131"/>
      <c r="G239" s="131"/>
      <c r="H239" s="1"/>
      <c r="I239" s="1"/>
      <c r="J239" s="1"/>
      <c r="K239" s="1"/>
      <c r="L239" s="1"/>
      <c r="M239" s="1"/>
      <c r="N239" s="1"/>
      <c r="O239" s="1"/>
      <c r="P239" s="181"/>
      <c r="Q239" s="201"/>
      <c r="R239" s="20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31"/>
      <c r="F240" s="131"/>
      <c r="G240" s="131"/>
      <c r="H240" s="1"/>
      <c r="I240" s="1"/>
      <c r="J240" s="1"/>
      <c r="K240" s="1"/>
      <c r="L240" s="1"/>
      <c r="M240" s="1"/>
      <c r="N240" s="1"/>
      <c r="O240" s="1"/>
      <c r="P240" s="181"/>
      <c r="Q240" s="201"/>
      <c r="R240" s="20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31"/>
      <c r="F241" s="131"/>
      <c r="G241" s="131"/>
      <c r="H241" s="1"/>
      <c r="I241" s="1"/>
      <c r="J241" s="1"/>
      <c r="K241" s="1"/>
      <c r="L241" s="1"/>
      <c r="M241" s="1"/>
      <c r="N241" s="1"/>
      <c r="O241" s="1"/>
      <c r="P241" s="181"/>
      <c r="Q241" s="201"/>
      <c r="R241" s="20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31"/>
      <c r="F242" s="131"/>
      <c r="G242" s="131"/>
      <c r="H242" s="1"/>
      <c r="I242" s="1"/>
      <c r="J242" s="1"/>
      <c r="K242" s="1"/>
      <c r="L242" s="1"/>
      <c r="M242" s="1"/>
      <c r="N242" s="1"/>
      <c r="O242" s="1"/>
      <c r="P242" s="181"/>
      <c r="Q242" s="201"/>
      <c r="R242" s="20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31"/>
      <c r="F243" s="131"/>
      <c r="G243" s="131"/>
      <c r="H243" s="1"/>
      <c r="I243" s="1"/>
      <c r="J243" s="1"/>
      <c r="K243" s="1"/>
      <c r="L243" s="1"/>
      <c r="M243" s="1"/>
      <c r="N243" s="1"/>
      <c r="O243" s="1"/>
      <c r="P243" s="181"/>
      <c r="Q243" s="201"/>
      <c r="R243" s="20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31"/>
      <c r="F244" s="131"/>
      <c r="G244" s="131"/>
      <c r="H244" s="1"/>
      <c r="I244" s="1"/>
      <c r="J244" s="1"/>
      <c r="K244" s="1"/>
      <c r="L244" s="1"/>
      <c r="M244" s="1"/>
      <c r="N244" s="1"/>
      <c r="O244" s="1"/>
      <c r="P244" s="181"/>
      <c r="Q244" s="201"/>
      <c r="R244" s="20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31"/>
      <c r="F245" s="131"/>
      <c r="G245" s="131"/>
      <c r="H245" s="1"/>
      <c r="I245" s="1"/>
      <c r="J245" s="1"/>
      <c r="K245" s="1"/>
      <c r="L245" s="1"/>
      <c r="M245" s="1"/>
      <c r="N245" s="1"/>
      <c r="O245" s="1"/>
      <c r="P245" s="181"/>
      <c r="Q245" s="201"/>
      <c r="R245" s="20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31"/>
      <c r="F246" s="131"/>
      <c r="G246" s="131"/>
      <c r="H246" s="1"/>
      <c r="I246" s="1"/>
      <c r="J246" s="1"/>
      <c r="K246" s="1"/>
      <c r="L246" s="1"/>
      <c r="M246" s="1"/>
      <c r="N246" s="1"/>
      <c r="O246" s="1"/>
      <c r="P246" s="181"/>
      <c r="Q246" s="201"/>
      <c r="R246" s="20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31"/>
      <c r="F247" s="131"/>
      <c r="G247" s="131"/>
      <c r="H247" s="1"/>
      <c r="I247" s="1"/>
      <c r="J247" s="1"/>
      <c r="K247" s="1"/>
      <c r="L247" s="1"/>
      <c r="M247" s="1"/>
      <c r="N247" s="1"/>
      <c r="O247" s="1"/>
      <c r="P247" s="181"/>
      <c r="Q247" s="201"/>
      <c r="R247" s="20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31"/>
      <c r="F248" s="131"/>
      <c r="G248" s="131"/>
      <c r="H248" s="1"/>
      <c r="I248" s="1"/>
      <c r="J248" s="1"/>
      <c r="K248" s="1"/>
      <c r="L248" s="1"/>
      <c r="M248" s="1"/>
      <c r="N248" s="1"/>
      <c r="O248" s="1"/>
      <c r="P248" s="181"/>
      <c r="Q248" s="201"/>
      <c r="R248" s="20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31"/>
      <c r="F249" s="131"/>
      <c r="G249" s="131"/>
      <c r="H249" s="1"/>
      <c r="I249" s="1"/>
      <c r="J249" s="1"/>
      <c r="K249" s="1"/>
      <c r="L249" s="1"/>
      <c r="M249" s="1"/>
      <c r="N249" s="1"/>
      <c r="O249" s="1"/>
      <c r="P249" s="181"/>
      <c r="Q249" s="201"/>
      <c r="R249" s="20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31"/>
      <c r="F250" s="131"/>
      <c r="G250" s="131"/>
      <c r="H250" s="1"/>
      <c r="I250" s="1"/>
      <c r="J250" s="1"/>
      <c r="K250" s="1"/>
      <c r="L250" s="1"/>
      <c r="M250" s="1"/>
      <c r="N250" s="1"/>
      <c r="O250" s="1"/>
      <c r="P250" s="181"/>
      <c r="Q250" s="201"/>
      <c r="R250" s="20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31"/>
      <c r="F251" s="131"/>
      <c r="G251" s="131"/>
      <c r="H251" s="1"/>
      <c r="I251" s="1"/>
      <c r="J251" s="1"/>
      <c r="K251" s="1"/>
      <c r="L251" s="1"/>
      <c r="M251" s="1"/>
      <c r="N251" s="1"/>
      <c r="O251" s="1"/>
      <c r="P251" s="181"/>
      <c r="Q251" s="201"/>
      <c r="R251" s="20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31"/>
      <c r="F252" s="131"/>
      <c r="G252" s="131"/>
      <c r="H252" s="1"/>
      <c r="I252" s="1"/>
      <c r="J252" s="1"/>
      <c r="K252" s="1"/>
      <c r="L252" s="1"/>
      <c r="M252" s="1"/>
      <c r="N252" s="1"/>
      <c r="O252" s="1"/>
      <c r="P252" s="181"/>
      <c r="Q252" s="201"/>
      <c r="R252" s="20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31"/>
      <c r="F253" s="131"/>
      <c r="G253" s="131"/>
      <c r="H253" s="1"/>
      <c r="I253" s="1"/>
      <c r="J253" s="1"/>
      <c r="K253" s="1"/>
      <c r="L253" s="1"/>
      <c r="M253" s="1"/>
      <c r="N253" s="1"/>
      <c r="O253" s="1"/>
      <c r="P253" s="181"/>
      <c r="Q253" s="201"/>
      <c r="R253" s="20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31"/>
      <c r="F254" s="131"/>
      <c r="G254" s="131"/>
      <c r="H254" s="1"/>
      <c r="I254" s="1"/>
      <c r="J254" s="1"/>
      <c r="K254" s="1"/>
      <c r="L254" s="1"/>
      <c r="M254" s="1"/>
      <c r="N254" s="1"/>
      <c r="O254" s="1"/>
      <c r="P254" s="181"/>
      <c r="Q254" s="201"/>
      <c r="R254" s="20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31"/>
      <c r="F255" s="131"/>
      <c r="G255" s="131"/>
      <c r="H255" s="1"/>
      <c r="I255" s="1"/>
      <c r="J255" s="1"/>
      <c r="K255" s="1"/>
      <c r="L255" s="1"/>
      <c r="M255" s="1"/>
      <c r="N255" s="1"/>
      <c r="O255" s="1"/>
      <c r="P255" s="181"/>
      <c r="Q255" s="201"/>
      <c r="R255" s="20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31"/>
      <c r="F256" s="131"/>
      <c r="G256" s="131"/>
      <c r="H256" s="1"/>
      <c r="I256" s="1"/>
      <c r="J256" s="1"/>
      <c r="K256" s="1"/>
      <c r="L256" s="1"/>
      <c r="M256" s="1"/>
      <c r="N256" s="1"/>
      <c r="O256" s="1"/>
      <c r="P256" s="181"/>
      <c r="Q256" s="201"/>
      <c r="R256" s="20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31"/>
      <c r="F257" s="131"/>
      <c r="G257" s="131"/>
      <c r="H257" s="1"/>
      <c r="I257" s="1"/>
      <c r="J257" s="1"/>
      <c r="K257" s="1"/>
      <c r="L257" s="1"/>
      <c r="M257" s="1"/>
      <c r="N257" s="1"/>
      <c r="O257" s="1"/>
      <c r="P257" s="181"/>
      <c r="Q257" s="201"/>
      <c r="R257" s="20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31"/>
      <c r="F258" s="131"/>
      <c r="G258" s="131"/>
      <c r="H258" s="1"/>
      <c r="I258" s="1"/>
      <c r="J258" s="1"/>
      <c r="K258" s="1"/>
      <c r="L258" s="1"/>
      <c r="M258" s="1"/>
      <c r="N258" s="1"/>
      <c r="O258" s="1"/>
      <c r="P258" s="181"/>
      <c r="Q258" s="201"/>
      <c r="R258" s="20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31"/>
      <c r="F259" s="131"/>
      <c r="G259" s="131"/>
      <c r="H259" s="1"/>
      <c r="I259" s="1"/>
      <c r="J259" s="1"/>
      <c r="K259" s="1"/>
      <c r="L259" s="1"/>
      <c r="M259" s="1"/>
      <c r="N259" s="1"/>
      <c r="O259" s="1"/>
      <c r="P259" s="181"/>
      <c r="Q259" s="201"/>
      <c r="R259" s="20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31"/>
      <c r="F260" s="131"/>
      <c r="G260" s="131"/>
      <c r="H260" s="1"/>
      <c r="I260" s="1"/>
      <c r="J260" s="1"/>
      <c r="K260" s="1"/>
      <c r="L260" s="1"/>
      <c r="M260" s="1"/>
      <c r="N260" s="1"/>
      <c r="O260" s="1"/>
      <c r="P260" s="181"/>
      <c r="Q260" s="201"/>
      <c r="R260" s="20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31"/>
      <c r="F261" s="131"/>
      <c r="G261" s="131"/>
      <c r="H261" s="1"/>
      <c r="I261" s="1"/>
      <c r="J261" s="1"/>
      <c r="K261" s="1"/>
      <c r="L261" s="1"/>
      <c r="M261" s="1"/>
      <c r="N261" s="1"/>
      <c r="O261" s="1"/>
      <c r="P261" s="181"/>
      <c r="Q261" s="201"/>
      <c r="R261" s="20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31"/>
      <c r="F262" s="131"/>
      <c r="G262" s="131"/>
      <c r="H262" s="1"/>
      <c r="I262" s="1"/>
      <c r="J262" s="1"/>
      <c r="K262" s="1"/>
      <c r="L262" s="1"/>
      <c r="M262" s="1"/>
      <c r="N262" s="1"/>
      <c r="O262" s="1"/>
      <c r="P262" s="181"/>
      <c r="Q262" s="201"/>
      <c r="R262" s="20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31"/>
      <c r="F263" s="131"/>
      <c r="G263" s="131"/>
      <c r="H263" s="1"/>
      <c r="I263" s="1"/>
      <c r="J263" s="1"/>
      <c r="K263" s="1"/>
      <c r="L263" s="1"/>
      <c r="M263" s="1"/>
      <c r="N263" s="1"/>
      <c r="O263" s="1"/>
      <c r="P263" s="181"/>
      <c r="Q263" s="201"/>
      <c r="R263" s="20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31"/>
      <c r="F264" s="131"/>
      <c r="G264" s="131"/>
      <c r="H264" s="1"/>
      <c r="I264" s="1"/>
      <c r="J264" s="1"/>
      <c r="K264" s="1"/>
      <c r="L264" s="1"/>
      <c r="M264" s="1"/>
      <c r="N264" s="1"/>
      <c r="O264" s="1"/>
      <c r="P264" s="181"/>
      <c r="Q264" s="201"/>
      <c r="R264" s="20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31"/>
      <c r="F265" s="131"/>
      <c r="G265" s="131"/>
      <c r="H265" s="1"/>
      <c r="I265" s="1"/>
      <c r="J265" s="1"/>
      <c r="K265" s="1"/>
      <c r="L265" s="1"/>
      <c r="M265" s="1"/>
      <c r="N265" s="1"/>
      <c r="O265" s="1"/>
      <c r="P265" s="181"/>
      <c r="Q265" s="201"/>
      <c r="R265" s="20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31"/>
      <c r="F266" s="131"/>
      <c r="G266" s="131"/>
      <c r="H266" s="1"/>
      <c r="I266" s="1"/>
      <c r="J266" s="1"/>
      <c r="K266" s="1"/>
      <c r="L266" s="1"/>
      <c r="M266" s="1"/>
      <c r="N266" s="1"/>
      <c r="O266" s="1"/>
      <c r="P266" s="181"/>
      <c r="Q266" s="201"/>
      <c r="R266" s="20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31"/>
      <c r="F267" s="131"/>
      <c r="G267" s="131"/>
      <c r="H267" s="1"/>
      <c r="I267" s="1"/>
      <c r="J267" s="1"/>
      <c r="K267" s="1"/>
      <c r="L267" s="1"/>
      <c r="M267" s="1"/>
      <c r="N267" s="1"/>
      <c r="O267" s="1"/>
      <c r="P267" s="181"/>
      <c r="Q267" s="201"/>
      <c r="R267" s="20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31"/>
      <c r="F268" s="131"/>
      <c r="G268" s="131"/>
      <c r="H268" s="1"/>
      <c r="I268" s="1"/>
      <c r="J268" s="1"/>
      <c r="K268" s="1"/>
      <c r="L268" s="1"/>
      <c r="M268" s="1"/>
      <c r="N268" s="1"/>
      <c r="O268" s="1"/>
      <c r="P268" s="181"/>
      <c r="Q268" s="201"/>
      <c r="R268" s="20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31"/>
      <c r="F269" s="131"/>
      <c r="G269" s="131"/>
      <c r="H269" s="1"/>
      <c r="I269" s="1"/>
      <c r="J269" s="1"/>
      <c r="K269" s="1"/>
      <c r="L269" s="1"/>
      <c r="M269" s="1"/>
      <c r="N269" s="1"/>
      <c r="O269" s="1"/>
      <c r="P269" s="181"/>
      <c r="Q269" s="201"/>
      <c r="R269" s="20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31"/>
      <c r="F270" s="131"/>
      <c r="G270" s="131"/>
      <c r="H270" s="1"/>
      <c r="I270" s="1"/>
      <c r="J270" s="1"/>
      <c r="K270" s="1"/>
      <c r="L270" s="1"/>
      <c r="M270" s="1"/>
      <c r="N270" s="1"/>
      <c r="O270" s="1"/>
      <c r="P270" s="181"/>
      <c r="Q270" s="201"/>
      <c r="R270" s="20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31"/>
      <c r="F271" s="131"/>
      <c r="G271" s="131"/>
      <c r="H271" s="1"/>
      <c r="I271" s="1"/>
      <c r="J271" s="1"/>
      <c r="K271" s="1"/>
      <c r="L271" s="1"/>
      <c r="M271" s="1"/>
      <c r="N271" s="1"/>
      <c r="O271" s="1"/>
      <c r="P271" s="181"/>
      <c r="Q271" s="201"/>
      <c r="R271" s="20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31"/>
      <c r="F272" s="131"/>
      <c r="G272" s="131"/>
      <c r="H272" s="1"/>
      <c r="I272" s="1"/>
      <c r="J272" s="1"/>
      <c r="K272" s="1"/>
      <c r="L272" s="1"/>
      <c r="M272" s="1"/>
      <c r="N272" s="1"/>
      <c r="O272" s="1"/>
      <c r="P272" s="181"/>
      <c r="Q272" s="201"/>
      <c r="R272" s="20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31"/>
      <c r="F273" s="131"/>
      <c r="G273" s="131"/>
      <c r="H273" s="1"/>
      <c r="I273" s="1"/>
      <c r="J273" s="1"/>
      <c r="K273" s="1"/>
      <c r="L273" s="1"/>
      <c r="M273" s="1"/>
      <c r="N273" s="1"/>
      <c r="O273" s="1"/>
      <c r="P273" s="181"/>
      <c r="Q273" s="201"/>
      <c r="R273" s="20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31"/>
      <c r="F274" s="131"/>
      <c r="G274" s="131"/>
      <c r="H274" s="1"/>
      <c r="I274" s="1"/>
      <c r="J274" s="1"/>
      <c r="K274" s="1"/>
      <c r="L274" s="1"/>
      <c r="M274" s="1"/>
      <c r="N274" s="1"/>
      <c r="O274" s="1"/>
      <c r="P274" s="181"/>
      <c r="Q274" s="201"/>
      <c r="R274" s="20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31"/>
      <c r="F275" s="131"/>
      <c r="G275" s="131"/>
      <c r="H275" s="1"/>
      <c r="I275" s="1"/>
      <c r="J275" s="1"/>
      <c r="K275" s="1"/>
      <c r="L275" s="1"/>
      <c r="M275" s="1"/>
      <c r="N275" s="1"/>
      <c r="O275" s="1"/>
      <c r="P275" s="181"/>
      <c r="Q275" s="201"/>
      <c r="R275" s="20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31"/>
      <c r="F276" s="131"/>
      <c r="G276" s="131"/>
      <c r="H276" s="1"/>
      <c r="I276" s="1"/>
      <c r="J276" s="1"/>
      <c r="K276" s="1"/>
      <c r="L276" s="1"/>
      <c r="M276" s="1"/>
      <c r="N276" s="1"/>
      <c r="O276" s="1"/>
      <c r="P276" s="181"/>
      <c r="Q276" s="201"/>
      <c r="R276" s="20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31"/>
      <c r="F277" s="131"/>
      <c r="G277" s="131"/>
      <c r="H277" s="1"/>
      <c r="I277" s="1"/>
      <c r="J277" s="1"/>
      <c r="K277" s="1"/>
      <c r="L277" s="1"/>
      <c r="M277" s="1"/>
      <c r="N277" s="1"/>
      <c r="O277" s="1"/>
      <c r="P277" s="181"/>
      <c r="Q277" s="201"/>
      <c r="R277" s="20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31"/>
      <c r="F278" s="131"/>
      <c r="G278" s="131"/>
      <c r="H278" s="1"/>
      <c r="I278" s="1"/>
      <c r="J278" s="1"/>
      <c r="K278" s="1"/>
      <c r="L278" s="1"/>
      <c r="M278" s="1"/>
      <c r="N278" s="1"/>
      <c r="O278" s="1"/>
      <c r="P278" s="181"/>
      <c r="Q278" s="201"/>
      <c r="R278" s="20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31"/>
      <c r="F279" s="131"/>
      <c r="G279" s="131"/>
      <c r="H279" s="1"/>
      <c r="I279" s="1"/>
      <c r="J279" s="1"/>
      <c r="K279" s="1"/>
      <c r="L279" s="1"/>
      <c r="M279" s="1"/>
      <c r="N279" s="1"/>
      <c r="O279" s="1"/>
      <c r="P279" s="181"/>
      <c r="Q279" s="201"/>
      <c r="R279" s="20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31"/>
      <c r="F280" s="131"/>
      <c r="G280" s="131"/>
      <c r="H280" s="1"/>
      <c r="I280" s="1"/>
      <c r="J280" s="1"/>
      <c r="K280" s="1"/>
      <c r="L280" s="1"/>
      <c r="M280" s="1"/>
      <c r="N280" s="1"/>
      <c r="O280" s="1"/>
      <c r="P280" s="181"/>
      <c r="Q280" s="201"/>
      <c r="R280" s="20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31"/>
      <c r="F281" s="131"/>
      <c r="G281" s="131"/>
      <c r="H281" s="1"/>
      <c r="I281" s="1"/>
      <c r="J281" s="1"/>
      <c r="K281" s="1"/>
      <c r="L281" s="1"/>
      <c r="M281" s="1"/>
      <c r="N281" s="1"/>
      <c r="O281" s="1"/>
      <c r="P281" s="181"/>
      <c r="Q281" s="201"/>
      <c r="R281" s="20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31"/>
      <c r="F282" s="131"/>
      <c r="G282" s="131"/>
      <c r="H282" s="1"/>
      <c r="I282" s="1"/>
      <c r="J282" s="1"/>
      <c r="K282" s="1"/>
      <c r="L282" s="1"/>
      <c r="M282" s="1"/>
      <c r="N282" s="1"/>
      <c r="O282" s="1"/>
      <c r="P282" s="181"/>
      <c r="Q282" s="201"/>
      <c r="R282" s="20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31"/>
      <c r="F283" s="131"/>
      <c r="G283" s="131"/>
      <c r="H283" s="1"/>
      <c r="I283" s="1"/>
      <c r="J283" s="1"/>
      <c r="K283" s="1"/>
      <c r="L283" s="1"/>
      <c r="M283" s="1"/>
      <c r="N283" s="1"/>
      <c r="O283" s="1"/>
      <c r="P283" s="181"/>
      <c r="Q283" s="201"/>
      <c r="R283" s="20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31"/>
      <c r="F284" s="131"/>
      <c r="G284" s="131"/>
      <c r="H284" s="1"/>
      <c r="I284" s="1"/>
      <c r="J284" s="1"/>
      <c r="K284" s="1"/>
      <c r="L284" s="1"/>
      <c r="M284" s="1"/>
      <c r="N284" s="1"/>
      <c r="O284" s="1"/>
      <c r="P284" s="181"/>
      <c r="Q284" s="201"/>
      <c r="R284" s="20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31"/>
      <c r="F285" s="131"/>
      <c r="G285" s="131"/>
      <c r="H285" s="1"/>
      <c r="I285" s="1"/>
      <c r="J285" s="1"/>
      <c r="K285" s="1"/>
      <c r="L285" s="1"/>
      <c r="M285" s="1"/>
      <c r="N285" s="1"/>
      <c r="O285" s="1"/>
      <c r="P285" s="181"/>
      <c r="Q285" s="201"/>
      <c r="R285" s="20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31"/>
      <c r="F286" s="131"/>
      <c r="G286" s="131"/>
      <c r="H286" s="1"/>
      <c r="I286" s="1"/>
      <c r="J286" s="1"/>
      <c r="K286" s="1"/>
      <c r="L286" s="1"/>
      <c r="M286" s="1"/>
      <c r="N286" s="1"/>
      <c r="O286" s="1"/>
      <c r="P286" s="181"/>
      <c r="Q286" s="201"/>
      <c r="R286" s="20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31"/>
      <c r="F287" s="131"/>
      <c r="G287" s="131"/>
      <c r="H287" s="1"/>
      <c r="I287" s="1"/>
      <c r="J287" s="1"/>
      <c r="K287" s="1"/>
      <c r="L287" s="1"/>
      <c r="M287" s="1"/>
      <c r="N287" s="1"/>
      <c r="O287" s="1"/>
      <c r="P287" s="181"/>
      <c r="Q287" s="201"/>
      <c r="R287" s="20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31"/>
      <c r="F288" s="131"/>
      <c r="G288" s="131"/>
      <c r="H288" s="1"/>
      <c r="I288" s="1"/>
      <c r="J288" s="1"/>
      <c r="K288" s="1"/>
      <c r="L288" s="1"/>
      <c r="M288" s="1"/>
      <c r="N288" s="1"/>
      <c r="O288" s="1"/>
      <c r="P288" s="181"/>
      <c r="Q288" s="201"/>
      <c r="R288" s="20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31"/>
      <c r="F289" s="131"/>
      <c r="G289" s="131"/>
      <c r="H289" s="1"/>
      <c r="I289" s="1"/>
      <c r="J289" s="1"/>
      <c r="K289" s="1"/>
      <c r="L289" s="1"/>
      <c r="M289" s="1"/>
      <c r="N289" s="1"/>
      <c r="O289" s="1"/>
      <c r="P289" s="181"/>
      <c r="Q289" s="201"/>
      <c r="R289" s="20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31"/>
      <c r="F290" s="131"/>
      <c r="G290" s="131"/>
      <c r="H290" s="1"/>
      <c r="I290" s="1"/>
      <c r="J290" s="1"/>
      <c r="K290" s="1"/>
      <c r="L290" s="1"/>
      <c r="M290" s="1"/>
      <c r="N290" s="1"/>
      <c r="O290" s="1"/>
      <c r="P290" s="181"/>
      <c r="Q290" s="201"/>
      <c r="R290" s="20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31"/>
      <c r="F291" s="131"/>
      <c r="G291" s="131"/>
      <c r="H291" s="1"/>
      <c r="I291" s="1"/>
      <c r="J291" s="1"/>
      <c r="K291" s="1"/>
      <c r="L291" s="1"/>
      <c r="M291" s="1"/>
      <c r="N291" s="1"/>
      <c r="O291" s="1"/>
      <c r="P291" s="181"/>
      <c r="Q291" s="201"/>
      <c r="R291" s="20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31"/>
      <c r="F292" s="131"/>
      <c r="G292" s="131"/>
      <c r="H292" s="1"/>
      <c r="I292" s="1"/>
      <c r="J292" s="1"/>
      <c r="K292" s="1"/>
      <c r="L292" s="1"/>
      <c r="M292" s="1"/>
      <c r="N292" s="1"/>
      <c r="O292" s="1"/>
      <c r="P292" s="181"/>
      <c r="Q292" s="201"/>
      <c r="R292" s="20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31"/>
      <c r="F293" s="131"/>
      <c r="G293" s="131"/>
      <c r="H293" s="1"/>
      <c r="I293" s="1"/>
      <c r="J293" s="1"/>
      <c r="K293" s="1"/>
      <c r="L293" s="1"/>
      <c r="M293" s="1"/>
      <c r="N293" s="1"/>
      <c r="O293" s="1"/>
      <c r="P293" s="181"/>
      <c r="Q293" s="201"/>
      <c r="R293" s="20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31"/>
      <c r="F294" s="131"/>
      <c r="G294" s="131"/>
      <c r="H294" s="1"/>
      <c r="I294" s="1"/>
      <c r="J294" s="1"/>
      <c r="K294" s="1"/>
      <c r="L294" s="1"/>
      <c r="M294" s="1"/>
      <c r="N294" s="1"/>
      <c r="O294" s="1"/>
      <c r="P294" s="181"/>
      <c r="Q294" s="201"/>
      <c r="R294" s="20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31"/>
      <c r="F295" s="131"/>
      <c r="G295" s="131"/>
      <c r="H295" s="1"/>
      <c r="I295" s="1"/>
      <c r="J295" s="1"/>
      <c r="K295" s="1"/>
      <c r="L295" s="1"/>
      <c r="M295" s="1"/>
      <c r="N295" s="1"/>
      <c r="O295" s="1"/>
      <c r="P295" s="181"/>
      <c r="Q295" s="201"/>
      <c r="R295" s="20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31"/>
      <c r="F296" s="131"/>
      <c r="G296" s="131"/>
      <c r="H296" s="1"/>
      <c r="I296" s="1"/>
      <c r="J296" s="1"/>
      <c r="K296" s="1"/>
      <c r="L296" s="1"/>
      <c r="M296" s="1"/>
      <c r="N296" s="1"/>
      <c r="O296" s="1"/>
      <c r="P296" s="181"/>
      <c r="Q296" s="201"/>
      <c r="R296" s="20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31"/>
      <c r="F297" s="131"/>
      <c r="G297" s="131"/>
      <c r="H297" s="1"/>
      <c r="I297" s="1"/>
      <c r="J297" s="1"/>
      <c r="K297" s="1"/>
      <c r="L297" s="1"/>
      <c r="M297" s="1"/>
      <c r="N297" s="1"/>
      <c r="O297" s="1"/>
      <c r="P297" s="181"/>
      <c r="Q297" s="201"/>
      <c r="R297" s="20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31"/>
      <c r="F298" s="131"/>
      <c r="G298" s="131"/>
      <c r="H298" s="1"/>
      <c r="I298" s="1"/>
      <c r="J298" s="1"/>
      <c r="K298" s="1"/>
      <c r="L298" s="1"/>
      <c r="M298" s="1"/>
      <c r="N298" s="1"/>
      <c r="O298" s="1"/>
      <c r="P298" s="181"/>
      <c r="Q298" s="201"/>
      <c r="R298" s="20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31"/>
      <c r="F299" s="131"/>
      <c r="G299" s="131"/>
      <c r="H299" s="1"/>
      <c r="I299" s="1"/>
      <c r="J299" s="1"/>
      <c r="K299" s="1"/>
      <c r="L299" s="1"/>
      <c r="M299" s="1"/>
      <c r="N299" s="1"/>
      <c r="O299" s="1"/>
      <c r="P299" s="181"/>
      <c r="Q299" s="201"/>
      <c r="R299" s="20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31"/>
      <c r="F300" s="131"/>
      <c r="G300" s="131"/>
      <c r="H300" s="1"/>
      <c r="I300" s="1"/>
      <c r="J300" s="1"/>
      <c r="K300" s="1"/>
      <c r="L300" s="1"/>
      <c r="M300" s="1"/>
      <c r="N300" s="1"/>
      <c r="O300" s="1"/>
      <c r="P300" s="181"/>
      <c r="Q300" s="201"/>
      <c r="R300" s="20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31"/>
      <c r="F301" s="131"/>
      <c r="G301" s="131"/>
      <c r="H301" s="1"/>
      <c r="I301" s="1"/>
      <c r="J301" s="1"/>
      <c r="K301" s="1"/>
      <c r="L301" s="1"/>
      <c r="M301" s="1"/>
      <c r="N301" s="1"/>
      <c r="O301" s="1"/>
      <c r="P301" s="181"/>
      <c r="Q301" s="201"/>
      <c r="R301" s="20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31"/>
      <c r="F302" s="131"/>
      <c r="G302" s="131"/>
      <c r="H302" s="1"/>
      <c r="I302" s="1"/>
      <c r="J302" s="1"/>
      <c r="K302" s="1"/>
      <c r="L302" s="1"/>
      <c r="M302" s="1"/>
      <c r="N302" s="1"/>
      <c r="O302" s="1"/>
      <c r="P302" s="181"/>
      <c r="Q302" s="201"/>
      <c r="R302" s="20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31"/>
      <c r="F303" s="131"/>
      <c r="G303" s="131"/>
      <c r="H303" s="1"/>
      <c r="I303" s="1"/>
      <c r="J303" s="1"/>
      <c r="K303" s="1"/>
      <c r="L303" s="1"/>
      <c r="M303" s="1"/>
      <c r="N303" s="1"/>
      <c r="O303" s="1"/>
      <c r="P303" s="181"/>
      <c r="Q303" s="201"/>
      <c r="R303" s="20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31"/>
      <c r="F304" s="131"/>
      <c r="G304" s="131"/>
      <c r="H304" s="1"/>
      <c r="I304" s="1"/>
      <c r="J304" s="1"/>
      <c r="K304" s="1"/>
      <c r="L304" s="1"/>
      <c r="M304" s="1"/>
      <c r="N304" s="1"/>
      <c r="O304" s="1"/>
      <c r="P304" s="181"/>
      <c r="Q304" s="201"/>
      <c r="R304" s="20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31"/>
      <c r="F305" s="131"/>
      <c r="G305" s="131"/>
      <c r="H305" s="1"/>
      <c r="I305" s="1"/>
      <c r="J305" s="1"/>
      <c r="K305" s="1"/>
      <c r="L305" s="1"/>
      <c r="M305" s="1"/>
      <c r="N305" s="1"/>
      <c r="O305" s="1"/>
      <c r="P305" s="181"/>
      <c r="Q305" s="201"/>
      <c r="R305" s="20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31"/>
      <c r="F306" s="131"/>
      <c r="G306" s="131"/>
      <c r="H306" s="1"/>
      <c r="I306" s="1"/>
      <c r="J306" s="1"/>
      <c r="K306" s="1"/>
      <c r="L306" s="1"/>
      <c r="M306" s="1"/>
      <c r="N306" s="1"/>
      <c r="O306" s="1"/>
      <c r="P306" s="181"/>
      <c r="Q306" s="201"/>
      <c r="R306" s="20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31"/>
      <c r="F307" s="131"/>
      <c r="G307" s="131"/>
      <c r="H307" s="1"/>
      <c r="I307" s="1"/>
      <c r="J307" s="1"/>
      <c r="K307" s="1"/>
      <c r="L307" s="1"/>
      <c r="M307" s="1"/>
      <c r="N307" s="1"/>
      <c r="O307" s="1"/>
      <c r="P307" s="181"/>
      <c r="Q307" s="201"/>
      <c r="R307" s="20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31"/>
      <c r="F308" s="131"/>
      <c r="G308" s="131"/>
      <c r="H308" s="1"/>
      <c r="I308" s="1"/>
      <c r="J308" s="1"/>
      <c r="K308" s="1"/>
      <c r="L308" s="1"/>
      <c r="M308" s="1"/>
      <c r="N308" s="1"/>
      <c r="O308" s="1"/>
      <c r="P308" s="181"/>
      <c r="Q308" s="201"/>
      <c r="R308" s="20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31"/>
      <c r="F309" s="131"/>
      <c r="G309" s="131"/>
      <c r="H309" s="1"/>
      <c r="I309" s="1"/>
      <c r="J309" s="1"/>
      <c r="K309" s="1"/>
      <c r="L309" s="1"/>
      <c r="M309" s="1"/>
      <c r="N309" s="1"/>
      <c r="O309" s="1"/>
      <c r="P309" s="181"/>
      <c r="Q309" s="201"/>
      <c r="R309" s="20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31"/>
      <c r="F310" s="131"/>
      <c r="G310" s="131"/>
      <c r="H310" s="1"/>
      <c r="I310" s="1"/>
      <c r="J310" s="1"/>
      <c r="K310" s="1"/>
      <c r="L310" s="1"/>
      <c r="M310" s="1"/>
      <c r="N310" s="1"/>
      <c r="O310" s="1"/>
      <c r="P310" s="181"/>
      <c r="Q310" s="201"/>
      <c r="R310" s="20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31"/>
      <c r="F311" s="131"/>
      <c r="G311" s="131"/>
      <c r="H311" s="1"/>
      <c r="I311" s="1"/>
      <c r="J311" s="1"/>
      <c r="K311" s="1"/>
      <c r="L311" s="1"/>
      <c r="M311" s="1"/>
      <c r="N311" s="1"/>
      <c r="O311" s="1"/>
      <c r="P311" s="181"/>
      <c r="Q311" s="201"/>
      <c r="R311" s="20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31"/>
      <c r="F312" s="131"/>
      <c r="G312" s="131"/>
      <c r="H312" s="1"/>
      <c r="I312" s="1"/>
      <c r="J312" s="1"/>
      <c r="K312" s="1"/>
      <c r="L312" s="1"/>
      <c r="M312" s="1"/>
      <c r="N312" s="1"/>
      <c r="O312" s="1"/>
      <c r="P312" s="181"/>
      <c r="Q312" s="201"/>
      <c r="R312" s="20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31"/>
      <c r="F313" s="131"/>
      <c r="G313" s="131"/>
      <c r="H313" s="1"/>
      <c r="I313" s="1"/>
      <c r="J313" s="1"/>
      <c r="K313" s="1"/>
      <c r="L313" s="1"/>
      <c r="M313" s="1"/>
      <c r="N313" s="1"/>
      <c r="O313" s="1"/>
      <c r="P313" s="181"/>
      <c r="Q313" s="201"/>
      <c r="R313" s="20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31"/>
      <c r="F314" s="131"/>
      <c r="G314" s="131"/>
      <c r="H314" s="1"/>
      <c r="I314" s="1"/>
      <c r="J314" s="1"/>
      <c r="K314" s="1"/>
      <c r="L314" s="1"/>
      <c r="M314" s="1"/>
      <c r="N314" s="1"/>
      <c r="O314" s="1"/>
      <c r="P314" s="181"/>
      <c r="Q314" s="201"/>
      <c r="R314" s="20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31"/>
      <c r="F315" s="131"/>
      <c r="G315" s="131"/>
      <c r="H315" s="1"/>
      <c r="I315" s="1"/>
      <c r="J315" s="1"/>
      <c r="K315" s="1"/>
      <c r="L315" s="1"/>
      <c r="M315" s="1"/>
      <c r="N315" s="1"/>
      <c r="O315" s="1"/>
      <c r="P315" s="181"/>
      <c r="Q315" s="201"/>
      <c r="R315" s="20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31"/>
      <c r="F316" s="131"/>
      <c r="G316" s="131"/>
      <c r="H316" s="1"/>
      <c r="I316" s="1"/>
      <c r="J316" s="1"/>
      <c r="K316" s="1"/>
      <c r="L316" s="1"/>
      <c r="M316" s="1"/>
      <c r="N316" s="1"/>
      <c r="O316" s="1"/>
      <c r="P316" s="181"/>
      <c r="Q316" s="201"/>
      <c r="R316" s="20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31"/>
      <c r="F317" s="131"/>
      <c r="G317" s="131"/>
      <c r="H317" s="1"/>
      <c r="I317" s="1"/>
      <c r="J317" s="1"/>
      <c r="K317" s="1"/>
      <c r="L317" s="1"/>
      <c r="M317" s="1"/>
      <c r="N317" s="1"/>
      <c r="O317" s="1"/>
      <c r="P317" s="181"/>
      <c r="Q317" s="201"/>
      <c r="R317" s="20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31"/>
      <c r="F318" s="131"/>
      <c r="G318" s="131"/>
      <c r="H318" s="1"/>
      <c r="I318" s="1"/>
      <c r="J318" s="1"/>
      <c r="K318" s="1"/>
      <c r="L318" s="1"/>
      <c r="M318" s="1"/>
      <c r="N318" s="1"/>
      <c r="O318" s="1"/>
      <c r="P318" s="181"/>
      <c r="Q318" s="201"/>
      <c r="R318" s="20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31"/>
      <c r="F319" s="131"/>
      <c r="G319" s="131"/>
      <c r="H319" s="1"/>
      <c r="I319" s="1"/>
      <c r="J319" s="1"/>
      <c r="K319" s="1"/>
      <c r="L319" s="1"/>
      <c r="M319" s="1"/>
      <c r="N319" s="1"/>
      <c r="O319" s="1"/>
      <c r="P319" s="181"/>
      <c r="Q319" s="201"/>
      <c r="R319" s="20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31"/>
      <c r="F320" s="131"/>
      <c r="G320" s="131"/>
      <c r="H320" s="1"/>
      <c r="I320" s="1"/>
      <c r="J320" s="1"/>
      <c r="K320" s="1"/>
      <c r="L320" s="1"/>
      <c r="M320" s="1"/>
      <c r="N320" s="1"/>
      <c r="O320" s="1"/>
      <c r="P320" s="181"/>
      <c r="Q320" s="201"/>
      <c r="R320" s="20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31"/>
      <c r="F321" s="131"/>
      <c r="G321" s="131"/>
      <c r="H321" s="1"/>
      <c r="I321" s="1"/>
      <c r="J321" s="1"/>
      <c r="K321" s="1"/>
      <c r="L321" s="1"/>
      <c r="M321" s="1"/>
      <c r="N321" s="1"/>
      <c r="O321" s="1"/>
      <c r="P321" s="181"/>
      <c r="Q321" s="201"/>
      <c r="R321" s="20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31"/>
      <c r="F322" s="131"/>
      <c r="G322" s="131"/>
      <c r="H322" s="1"/>
      <c r="I322" s="1"/>
      <c r="J322" s="1"/>
      <c r="K322" s="1"/>
      <c r="L322" s="1"/>
      <c r="M322" s="1"/>
      <c r="N322" s="1"/>
      <c r="O322" s="1"/>
      <c r="P322" s="181"/>
      <c r="Q322" s="201"/>
      <c r="R322" s="20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31"/>
      <c r="F323" s="131"/>
      <c r="G323" s="131"/>
      <c r="H323" s="1"/>
      <c r="I323" s="1"/>
      <c r="J323" s="1"/>
      <c r="K323" s="1"/>
      <c r="L323" s="1"/>
      <c r="M323" s="1"/>
      <c r="N323" s="1"/>
      <c r="O323" s="1"/>
      <c r="P323" s="181"/>
      <c r="Q323" s="201"/>
      <c r="R323" s="20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31"/>
      <c r="F324" s="131"/>
      <c r="G324" s="131"/>
      <c r="H324" s="1"/>
      <c r="I324" s="1"/>
      <c r="J324" s="1"/>
      <c r="K324" s="1"/>
      <c r="L324" s="1"/>
      <c r="M324" s="1"/>
      <c r="N324" s="1"/>
      <c r="O324" s="1"/>
      <c r="P324" s="181"/>
      <c r="Q324" s="201"/>
      <c r="R324" s="20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31"/>
      <c r="F325" s="131"/>
      <c r="G325" s="131"/>
      <c r="H325" s="1"/>
      <c r="I325" s="1"/>
      <c r="J325" s="1"/>
      <c r="K325" s="1"/>
      <c r="L325" s="1"/>
      <c r="M325" s="1"/>
      <c r="N325" s="1"/>
      <c r="O325" s="1"/>
      <c r="P325" s="181"/>
      <c r="Q325" s="201"/>
      <c r="R325" s="20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31"/>
      <c r="F326" s="131"/>
      <c r="G326" s="131"/>
      <c r="H326" s="1"/>
      <c r="I326" s="1"/>
      <c r="J326" s="1"/>
      <c r="K326" s="1"/>
      <c r="L326" s="1"/>
      <c r="M326" s="1"/>
      <c r="N326" s="1"/>
      <c r="O326" s="1"/>
      <c r="P326" s="181"/>
      <c r="Q326" s="201"/>
      <c r="R326" s="20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31"/>
      <c r="F327" s="131"/>
      <c r="G327" s="131"/>
      <c r="H327" s="1"/>
      <c r="I327" s="1"/>
      <c r="J327" s="1"/>
      <c r="K327" s="1"/>
      <c r="L327" s="1"/>
      <c r="M327" s="1"/>
      <c r="N327" s="1"/>
      <c r="O327" s="1"/>
      <c r="P327" s="181"/>
      <c r="Q327" s="201"/>
      <c r="R327" s="20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31"/>
      <c r="F328" s="131"/>
      <c r="G328" s="131"/>
      <c r="H328" s="1"/>
      <c r="I328" s="1"/>
      <c r="J328" s="1"/>
      <c r="K328" s="1"/>
      <c r="L328" s="1"/>
      <c r="M328" s="1"/>
      <c r="N328" s="1"/>
      <c r="O328" s="1"/>
      <c r="P328" s="181"/>
      <c r="Q328" s="201"/>
      <c r="R328" s="20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31"/>
      <c r="F329" s="131"/>
      <c r="G329" s="131"/>
      <c r="H329" s="1"/>
      <c r="I329" s="1"/>
      <c r="J329" s="1"/>
      <c r="K329" s="1"/>
      <c r="L329" s="1"/>
      <c r="M329" s="1"/>
      <c r="N329" s="1"/>
      <c r="O329" s="1"/>
      <c r="P329" s="181"/>
      <c r="Q329" s="201"/>
      <c r="R329" s="20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31"/>
      <c r="F330" s="131"/>
      <c r="G330" s="131"/>
      <c r="H330" s="1"/>
      <c r="I330" s="1"/>
      <c r="J330" s="1"/>
      <c r="K330" s="1"/>
      <c r="L330" s="1"/>
      <c r="M330" s="1"/>
      <c r="N330" s="1"/>
      <c r="O330" s="1"/>
      <c r="P330" s="181"/>
      <c r="Q330" s="201"/>
      <c r="R330" s="20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31"/>
      <c r="F331" s="131"/>
      <c r="G331" s="131"/>
      <c r="H331" s="1"/>
      <c r="I331" s="1"/>
      <c r="J331" s="1"/>
      <c r="K331" s="1"/>
      <c r="L331" s="1"/>
      <c r="M331" s="1"/>
      <c r="N331" s="1"/>
      <c r="O331" s="1"/>
      <c r="P331" s="181"/>
      <c r="Q331" s="201"/>
      <c r="R331" s="20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31"/>
      <c r="F332" s="131"/>
      <c r="G332" s="131"/>
      <c r="H332" s="1"/>
      <c r="I332" s="1"/>
      <c r="J332" s="1"/>
      <c r="K332" s="1"/>
      <c r="L332" s="1"/>
      <c r="M332" s="1"/>
      <c r="N332" s="1"/>
      <c r="O332" s="1"/>
      <c r="P332" s="181"/>
      <c r="Q332" s="201"/>
      <c r="R332" s="20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31"/>
      <c r="F333" s="131"/>
      <c r="G333" s="131"/>
      <c r="H333" s="1"/>
      <c r="I333" s="1"/>
      <c r="J333" s="1"/>
      <c r="K333" s="1"/>
      <c r="L333" s="1"/>
      <c r="M333" s="1"/>
      <c r="N333" s="1"/>
      <c r="O333" s="1"/>
      <c r="P333" s="181"/>
      <c r="Q333" s="201"/>
      <c r="R333" s="20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31"/>
      <c r="F334" s="131"/>
      <c r="G334" s="131"/>
      <c r="H334" s="1"/>
      <c r="I334" s="1"/>
      <c r="J334" s="1"/>
      <c r="K334" s="1"/>
      <c r="L334" s="1"/>
      <c r="M334" s="1"/>
      <c r="N334" s="1"/>
      <c r="O334" s="1"/>
      <c r="P334" s="181"/>
      <c r="Q334" s="201"/>
      <c r="R334" s="20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31"/>
      <c r="F335" s="131"/>
      <c r="G335" s="131"/>
      <c r="H335" s="1"/>
      <c r="I335" s="1"/>
      <c r="J335" s="1"/>
      <c r="K335" s="1"/>
      <c r="L335" s="1"/>
      <c r="M335" s="1"/>
      <c r="N335" s="1"/>
      <c r="O335" s="1"/>
      <c r="P335" s="181"/>
      <c r="Q335" s="201"/>
      <c r="R335" s="20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31"/>
      <c r="F336" s="131"/>
      <c r="G336" s="131"/>
      <c r="H336" s="1"/>
      <c r="I336" s="1"/>
      <c r="J336" s="1"/>
      <c r="K336" s="1"/>
      <c r="L336" s="1"/>
      <c r="M336" s="1"/>
      <c r="N336" s="1"/>
      <c r="O336" s="1"/>
      <c r="P336" s="181"/>
      <c r="Q336" s="201"/>
      <c r="R336" s="20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31"/>
      <c r="F337" s="131"/>
      <c r="G337" s="131"/>
      <c r="H337" s="1"/>
      <c r="I337" s="1"/>
      <c r="J337" s="1"/>
      <c r="K337" s="1"/>
      <c r="L337" s="1"/>
      <c r="M337" s="1"/>
      <c r="N337" s="1"/>
      <c r="O337" s="1"/>
      <c r="P337" s="181"/>
      <c r="Q337" s="201"/>
      <c r="R337" s="20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31"/>
      <c r="F338" s="131"/>
      <c r="G338" s="131"/>
      <c r="H338" s="1"/>
      <c r="I338" s="1"/>
      <c r="J338" s="1"/>
      <c r="K338" s="1"/>
      <c r="L338" s="1"/>
      <c r="M338" s="1"/>
      <c r="N338" s="1"/>
      <c r="O338" s="1"/>
      <c r="P338" s="181"/>
      <c r="Q338" s="201"/>
      <c r="R338" s="20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31"/>
      <c r="F339" s="131"/>
      <c r="G339" s="131"/>
      <c r="H339" s="1"/>
      <c r="I339" s="1"/>
      <c r="J339" s="1"/>
      <c r="K339" s="1"/>
      <c r="L339" s="1"/>
      <c r="M339" s="1"/>
      <c r="N339" s="1"/>
      <c r="O339" s="1"/>
      <c r="P339" s="181"/>
      <c r="Q339" s="201"/>
      <c r="R339" s="20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31"/>
      <c r="F340" s="131"/>
      <c r="G340" s="131"/>
      <c r="H340" s="1"/>
      <c r="I340" s="1"/>
      <c r="J340" s="1"/>
      <c r="K340" s="1"/>
      <c r="L340" s="1"/>
      <c r="M340" s="1"/>
      <c r="N340" s="1"/>
      <c r="O340" s="1"/>
      <c r="P340" s="181"/>
      <c r="Q340" s="201"/>
      <c r="R340" s="20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31"/>
      <c r="F341" s="131"/>
      <c r="G341" s="131"/>
      <c r="H341" s="1"/>
      <c r="I341" s="1"/>
      <c r="J341" s="1"/>
      <c r="K341" s="1"/>
      <c r="L341" s="1"/>
      <c r="M341" s="1"/>
      <c r="N341" s="1"/>
      <c r="O341" s="1"/>
      <c r="P341" s="181"/>
      <c r="Q341" s="201"/>
      <c r="R341" s="20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31"/>
      <c r="F342" s="131"/>
      <c r="G342" s="131"/>
      <c r="H342" s="1"/>
      <c r="I342" s="1"/>
      <c r="J342" s="1"/>
      <c r="K342" s="1"/>
      <c r="L342" s="1"/>
      <c r="M342" s="1"/>
      <c r="N342" s="1"/>
      <c r="O342" s="1"/>
      <c r="P342" s="181"/>
      <c r="Q342" s="201"/>
      <c r="R342" s="20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31"/>
      <c r="F343" s="131"/>
      <c r="G343" s="131"/>
      <c r="H343" s="1"/>
      <c r="I343" s="1"/>
      <c r="J343" s="1"/>
      <c r="K343" s="1"/>
      <c r="L343" s="1"/>
      <c r="M343" s="1"/>
      <c r="N343" s="1"/>
      <c r="O343" s="1"/>
      <c r="P343" s="181"/>
      <c r="Q343" s="201"/>
      <c r="R343" s="20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31"/>
      <c r="F344" s="131"/>
      <c r="G344" s="131"/>
      <c r="H344" s="1"/>
      <c r="I344" s="1"/>
      <c r="J344" s="1"/>
      <c r="K344" s="1"/>
      <c r="L344" s="1"/>
      <c r="M344" s="1"/>
      <c r="N344" s="1"/>
      <c r="O344" s="1"/>
      <c r="P344" s="181"/>
      <c r="Q344" s="201"/>
      <c r="R344" s="20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31"/>
      <c r="F345" s="131"/>
      <c r="G345" s="131"/>
      <c r="H345" s="1"/>
      <c r="I345" s="1"/>
      <c r="J345" s="1"/>
      <c r="K345" s="1"/>
      <c r="L345" s="1"/>
      <c r="M345" s="1"/>
      <c r="N345" s="1"/>
      <c r="O345" s="1"/>
      <c r="P345" s="181"/>
      <c r="Q345" s="201"/>
      <c r="R345" s="20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31"/>
      <c r="F346" s="131"/>
      <c r="G346" s="131"/>
      <c r="H346" s="1"/>
      <c r="I346" s="1"/>
      <c r="J346" s="1"/>
      <c r="K346" s="1"/>
      <c r="L346" s="1"/>
      <c r="M346" s="1"/>
      <c r="N346" s="1"/>
      <c r="O346" s="1"/>
      <c r="P346" s="181"/>
      <c r="Q346" s="201"/>
      <c r="R346" s="20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31"/>
      <c r="F347" s="131"/>
      <c r="G347" s="131"/>
      <c r="H347" s="1"/>
      <c r="I347" s="1"/>
      <c r="J347" s="1"/>
      <c r="K347" s="1"/>
      <c r="L347" s="1"/>
      <c r="M347" s="1"/>
      <c r="N347" s="1"/>
      <c r="O347" s="1"/>
      <c r="P347" s="181"/>
      <c r="Q347" s="201"/>
      <c r="R347" s="20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31"/>
      <c r="F348" s="131"/>
      <c r="G348" s="131"/>
      <c r="H348" s="1"/>
      <c r="I348" s="1"/>
      <c r="J348" s="1"/>
      <c r="K348" s="1"/>
      <c r="L348" s="1"/>
      <c r="M348" s="1"/>
      <c r="N348" s="1"/>
      <c r="O348" s="1"/>
      <c r="P348" s="181"/>
      <c r="Q348" s="201"/>
      <c r="R348" s="20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31"/>
      <c r="F349" s="131"/>
      <c r="G349" s="131"/>
      <c r="H349" s="1"/>
      <c r="I349" s="1"/>
      <c r="J349" s="1"/>
      <c r="K349" s="1"/>
      <c r="L349" s="1"/>
      <c r="M349" s="1"/>
      <c r="N349" s="1"/>
      <c r="O349" s="1"/>
      <c r="P349" s="181"/>
      <c r="Q349" s="201"/>
      <c r="R349" s="20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31"/>
      <c r="F350" s="131"/>
      <c r="G350" s="131"/>
      <c r="H350" s="1"/>
      <c r="I350" s="1"/>
      <c r="J350" s="1"/>
      <c r="K350" s="1"/>
      <c r="L350" s="1"/>
      <c r="M350" s="1"/>
      <c r="N350" s="1"/>
      <c r="O350" s="1"/>
      <c r="P350" s="181"/>
      <c r="Q350" s="201"/>
      <c r="R350" s="20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31"/>
      <c r="F351" s="131"/>
      <c r="G351" s="131"/>
      <c r="H351" s="1"/>
      <c r="I351" s="1"/>
      <c r="J351" s="1"/>
      <c r="K351" s="1"/>
      <c r="L351" s="1"/>
      <c r="M351" s="1"/>
      <c r="N351" s="1"/>
      <c r="O351" s="1"/>
      <c r="P351" s="181"/>
      <c r="Q351" s="201"/>
      <c r="R351" s="20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31"/>
      <c r="F352" s="131"/>
      <c r="G352" s="131"/>
      <c r="H352" s="1"/>
      <c r="I352" s="1"/>
      <c r="J352" s="1"/>
      <c r="K352" s="1"/>
      <c r="L352" s="1"/>
      <c r="M352" s="1"/>
      <c r="N352" s="1"/>
      <c r="O352" s="1"/>
      <c r="P352" s="181"/>
      <c r="Q352" s="201"/>
      <c r="R352" s="20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31"/>
      <c r="F353" s="131"/>
      <c r="G353" s="131"/>
      <c r="H353" s="1"/>
      <c r="I353" s="1"/>
      <c r="J353" s="1"/>
      <c r="K353" s="1"/>
      <c r="L353" s="1"/>
      <c r="M353" s="1"/>
      <c r="N353" s="1"/>
      <c r="O353" s="1"/>
      <c r="P353" s="181"/>
      <c r="Q353" s="201"/>
      <c r="R353" s="20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31"/>
      <c r="F354" s="131"/>
      <c r="G354" s="131"/>
      <c r="H354" s="1"/>
      <c r="I354" s="1"/>
      <c r="J354" s="1"/>
      <c r="K354" s="1"/>
      <c r="L354" s="1"/>
      <c r="M354" s="1"/>
      <c r="N354" s="1"/>
      <c r="O354" s="1"/>
      <c r="P354" s="181"/>
      <c r="Q354" s="201"/>
      <c r="R354" s="20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31"/>
      <c r="F355" s="131"/>
      <c r="G355" s="131"/>
      <c r="H355" s="1"/>
      <c r="I355" s="1"/>
      <c r="J355" s="1"/>
      <c r="K355" s="1"/>
      <c r="L355" s="1"/>
      <c r="M355" s="1"/>
      <c r="N355" s="1"/>
      <c r="O355" s="1"/>
      <c r="P355" s="181"/>
      <c r="Q355" s="201"/>
      <c r="R355" s="20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31"/>
      <c r="F356" s="131"/>
      <c r="G356" s="131"/>
      <c r="H356" s="1"/>
      <c r="I356" s="1"/>
      <c r="J356" s="1"/>
      <c r="K356" s="1"/>
      <c r="L356" s="1"/>
      <c r="M356" s="1"/>
      <c r="N356" s="1"/>
      <c r="O356" s="1"/>
      <c r="P356" s="181"/>
      <c r="Q356" s="201"/>
      <c r="R356" s="20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31"/>
      <c r="F357" s="131"/>
      <c r="G357" s="131"/>
      <c r="H357" s="1"/>
      <c r="I357" s="1"/>
      <c r="J357" s="1"/>
      <c r="K357" s="1"/>
      <c r="L357" s="1"/>
      <c r="M357" s="1"/>
      <c r="N357" s="1"/>
      <c r="O357" s="1"/>
      <c r="P357" s="181"/>
      <c r="Q357" s="201"/>
      <c r="R357" s="20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31"/>
      <c r="F358" s="131"/>
      <c r="G358" s="131"/>
      <c r="H358" s="1"/>
      <c r="I358" s="1"/>
      <c r="J358" s="1"/>
      <c r="K358" s="1"/>
      <c r="L358" s="1"/>
      <c r="M358" s="1"/>
      <c r="N358" s="1"/>
      <c r="O358" s="1"/>
      <c r="P358" s="181"/>
      <c r="Q358" s="201"/>
      <c r="R358" s="20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31"/>
      <c r="F359" s="131"/>
      <c r="G359" s="131"/>
      <c r="H359" s="1"/>
      <c r="I359" s="1"/>
      <c r="J359" s="1"/>
      <c r="K359" s="1"/>
      <c r="L359" s="1"/>
      <c r="M359" s="1"/>
      <c r="N359" s="1"/>
      <c r="O359" s="1"/>
      <c r="P359" s="181"/>
      <c r="Q359" s="201"/>
      <c r="R359" s="20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31"/>
      <c r="F360" s="131"/>
      <c r="G360" s="131"/>
      <c r="H360" s="1"/>
      <c r="I360" s="1"/>
      <c r="J360" s="1"/>
      <c r="K360" s="1"/>
      <c r="L360" s="1"/>
      <c r="M360" s="1"/>
      <c r="N360" s="1"/>
      <c r="O360" s="1"/>
      <c r="P360" s="181"/>
      <c r="Q360" s="201"/>
      <c r="R360" s="20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31"/>
      <c r="F361" s="131"/>
      <c r="G361" s="131"/>
      <c r="H361" s="1"/>
      <c r="I361" s="1"/>
      <c r="J361" s="1"/>
      <c r="K361" s="1"/>
      <c r="L361" s="1"/>
      <c r="M361" s="1"/>
      <c r="N361" s="1"/>
      <c r="O361" s="1"/>
      <c r="P361" s="181"/>
      <c r="Q361" s="201"/>
      <c r="R361" s="20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31"/>
      <c r="F362" s="131"/>
      <c r="G362" s="131"/>
      <c r="H362" s="1"/>
      <c r="I362" s="1"/>
      <c r="J362" s="1"/>
      <c r="K362" s="1"/>
      <c r="L362" s="1"/>
      <c r="M362" s="1"/>
      <c r="N362" s="1"/>
      <c r="O362" s="1"/>
      <c r="P362" s="181"/>
      <c r="Q362" s="201"/>
      <c r="R362" s="20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31"/>
      <c r="F363" s="131"/>
      <c r="G363" s="131"/>
      <c r="H363" s="1"/>
      <c r="I363" s="1"/>
      <c r="J363" s="1"/>
      <c r="K363" s="1"/>
      <c r="L363" s="1"/>
      <c r="M363" s="1"/>
      <c r="N363" s="1"/>
      <c r="O363" s="1"/>
      <c r="P363" s="181"/>
      <c r="Q363" s="201"/>
      <c r="R363" s="20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31"/>
      <c r="F364" s="131"/>
      <c r="G364" s="131"/>
      <c r="H364" s="1"/>
      <c r="I364" s="1"/>
      <c r="J364" s="1"/>
      <c r="K364" s="1"/>
      <c r="L364" s="1"/>
      <c r="M364" s="1"/>
      <c r="N364" s="1"/>
      <c r="O364" s="1"/>
      <c r="P364" s="181"/>
      <c r="Q364" s="201"/>
      <c r="R364" s="20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31"/>
      <c r="F365" s="131"/>
      <c r="G365" s="131"/>
      <c r="H365" s="1"/>
      <c r="I365" s="1"/>
      <c r="J365" s="1"/>
      <c r="K365" s="1"/>
      <c r="L365" s="1"/>
      <c r="M365" s="1"/>
      <c r="N365" s="1"/>
      <c r="O365" s="1"/>
      <c r="P365" s="181"/>
      <c r="Q365" s="201"/>
      <c r="R365" s="20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31"/>
      <c r="F366" s="131"/>
      <c r="G366" s="131"/>
      <c r="H366" s="1"/>
      <c r="I366" s="1"/>
      <c r="J366" s="1"/>
      <c r="K366" s="1"/>
      <c r="L366" s="1"/>
      <c r="M366" s="1"/>
      <c r="N366" s="1"/>
      <c r="O366" s="1"/>
      <c r="P366" s="181"/>
      <c r="Q366" s="201"/>
      <c r="R366" s="20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31"/>
      <c r="F367" s="131"/>
      <c r="G367" s="131"/>
      <c r="H367" s="1"/>
      <c r="I367" s="1"/>
      <c r="J367" s="1"/>
      <c r="K367" s="1"/>
      <c r="L367" s="1"/>
      <c r="M367" s="1"/>
      <c r="N367" s="1"/>
      <c r="O367" s="1"/>
      <c r="P367" s="181"/>
      <c r="Q367" s="201"/>
      <c r="R367" s="20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31"/>
      <c r="F368" s="131"/>
      <c r="G368" s="131"/>
      <c r="H368" s="1"/>
      <c r="I368" s="1"/>
      <c r="J368" s="1"/>
      <c r="K368" s="1"/>
      <c r="L368" s="1"/>
      <c r="M368" s="1"/>
      <c r="N368" s="1"/>
      <c r="O368" s="1"/>
      <c r="P368" s="181"/>
      <c r="Q368" s="201"/>
      <c r="R368" s="20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31"/>
      <c r="F369" s="131"/>
      <c r="G369" s="131"/>
      <c r="H369" s="1"/>
      <c r="I369" s="1"/>
      <c r="J369" s="1"/>
      <c r="K369" s="1"/>
      <c r="L369" s="1"/>
      <c r="M369" s="1"/>
      <c r="N369" s="1"/>
      <c r="O369" s="1"/>
      <c r="P369" s="181"/>
      <c r="Q369" s="201"/>
      <c r="R369" s="20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31"/>
      <c r="F370" s="131"/>
      <c r="G370" s="131"/>
      <c r="H370" s="1"/>
      <c r="I370" s="1"/>
      <c r="J370" s="1"/>
      <c r="K370" s="1"/>
      <c r="L370" s="1"/>
      <c r="M370" s="1"/>
      <c r="N370" s="1"/>
      <c r="O370" s="1"/>
      <c r="P370" s="181"/>
      <c r="Q370" s="201"/>
      <c r="R370" s="20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31"/>
      <c r="F371" s="131"/>
      <c r="G371" s="131"/>
      <c r="H371" s="1"/>
      <c r="I371" s="1"/>
      <c r="J371" s="1"/>
      <c r="K371" s="1"/>
      <c r="L371" s="1"/>
      <c r="M371" s="1"/>
      <c r="N371" s="1"/>
      <c r="O371" s="1"/>
      <c r="P371" s="181"/>
      <c r="Q371" s="201"/>
      <c r="R371" s="20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31"/>
      <c r="F372" s="131"/>
      <c r="G372" s="131"/>
      <c r="H372" s="1"/>
      <c r="I372" s="1"/>
      <c r="J372" s="1"/>
      <c r="K372" s="1"/>
      <c r="L372" s="1"/>
      <c r="M372" s="1"/>
      <c r="N372" s="1"/>
      <c r="O372" s="1"/>
      <c r="P372" s="181"/>
      <c r="Q372" s="201"/>
      <c r="R372" s="20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31"/>
      <c r="F373" s="131"/>
      <c r="G373" s="131"/>
      <c r="H373" s="1"/>
      <c r="I373" s="1"/>
      <c r="J373" s="1"/>
      <c r="K373" s="1"/>
      <c r="L373" s="1"/>
      <c r="M373" s="1"/>
      <c r="N373" s="1"/>
      <c r="O373" s="1"/>
      <c r="P373" s="181"/>
      <c r="Q373" s="201"/>
      <c r="R373" s="20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31"/>
      <c r="F374" s="131"/>
      <c r="G374" s="131"/>
      <c r="H374" s="1"/>
      <c r="I374" s="1"/>
      <c r="J374" s="1"/>
      <c r="K374" s="1"/>
      <c r="L374" s="1"/>
      <c r="M374" s="1"/>
      <c r="N374" s="1"/>
      <c r="O374" s="1"/>
      <c r="P374" s="181"/>
      <c r="Q374" s="201"/>
      <c r="R374" s="20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31"/>
      <c r="F375" s="131"/>
      <c r="G375" s="131"/>
      <c r="H375" s="1"/>
      <c r="I375" s="1"/>
      <c r="J375" s="1"/>
      <c r="K375" s="1"/>
      <c r="L375" s="1"/>
      <c r="M375" s="1"/>
      <c r="N375" s="1"/>
      <c r="O375" s="1"/>
      <c r="P375" s="181"/>
      <c r="Q375" s="201"/>
      <c r="R375" s="20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31"/>
      <c r="F376" s="131"/>
      <c r="G376" s="131"/>
      <c r="H376" s="1"/>
      <c r="I376" s="1"/>
      <c r="J376" s="1"/>
      <c r="K376" s="1"/>
      <c r="L376" s="1"/>
      <c r="M376" s="1"/>
      <c r="N376" s="1"/>
      <c r="O376" s="1"/>
      <c r="P376" s="181"/>
      <c r="Q376" s="201"/>
      <c r="R376" s="20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31"/>
      <c r="F377" s="131"/>
      <c r="G377" s="131"/>
      <c r="H377" s="1"/>
      <c r="I377" s="1"/>
      <c r="J377" s="1"/>
      <c r="K377" s="1"/>
      <c r="L377" s="1"/>
      <c r="M377" s="1"/>
      <c r="N377" s="1"/>
      <c r="O377" s="1"/>
      <c r="P377" s="181"/>
      <c r="Q377" s="201"/>
      <c r="R377" s="20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31"/>
      <c r="F378" s="131"/>
      <c r="G378" s="131"/>
      <c r="H378" s="1"/>
      <c r="I378" s="1"/>
      <c r="J378" s="1"/>
      <c r="K378" s="1"/>
      <c r="L378" s="1"/>
      <c r="M378" s="1"/>
      <c r="N378" s="1"/>
      <c r="O378" s="1"/>
      <c r="P378" s="181"/>
      <c r="Q378" s="201"/>
      <c r="R378" s="20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31"/>
      <c r="F379" s="131"/>
      <c r="G379" s="131"/>
      <c r="H379" s="1"/>
      <c r="I379" s="1"/>
      <c r="J379" s="1"/>
      <c r="K379" s="1"/>
      <c r="L379" s="1"/>
      <c r="M379" s="1"/>
      <c r="N379" s="1"/>
      <c r="O379" s="1"/>
      <c r="P379" s="181"/>
      <c r="Q379" s="201"/>
      <c r="R379" s="20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31"/>
      <c r="F380" s="131"/>
      <c r="G380" s="131"/>
      <c r="H380" s="1"/>
      <c r="I380" s="1"/>
      <c r="J380" s="1"/>
      <c r="K380" s="1"/>
      <c r="L380" s="1"/>
      <c r="M380" s="1"/>
      <c r="N380" s="1"/>
      <c r="O380" s="1"/>
      <c r="P380" s="181"/>
      <c r="Q380" s="201"/>
      <c r="R380" s="20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31"/>
      <c r="F381" s="131"/>
      <c r="G381" s="131"/>
      <c r="H381" s="1"/>
      <c r="I381" s="1"/>
      <c r="J381" s="1"/>
      <c r="K381" s="1"/>
      <c r="L381" s="1"/>
      <c r="M381" s="1"/>
      <c r="N381" s="1"/>
      <c r="O381" s="1"/>
      <c r="P381" s="181"/>
      <c r="Q381" s="201"/>
      <c r="R381" s="20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31"/>
      <c r="F382" s="131"/>
      <c r="G382" s="131"/>
      <c r="H382" s="1"/>
      <c r="I382" s="1"/>
      <c r="J382" s="1"/>
      <c r="K382" s="1"/>
      <c r="L382" s="1"/>
      <c r="M382" s="1"/>
      <c r="N382" s="1"/>
      <c r="O382" s="1"/>
      <c r="P382" s="181"/>
      <c r="Q382" s="201"/>
      <c r="R382" s="20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31"/>
      <c r="F383" s="131"/>
      <c r="G383" s="131"/>
      <c r="H383" s="1"/>
      <c r="I383" s="1"/>
      <c r="J383" s="1"/>
      <c r="K383" s="1"/>
      <c r="L383" s="1"/>
      <c r="M383" s="1"/>
      <c r="N383" s="1"/>
      <c r="O383" s="1"/>
      <c r="P383" s="181"/>
      <c r="Q383" s="201"/>
      <c r="R383" s="20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31"/>
      <c r="F384" s="131"/>
      <c r="G384" s="131"/>
      <c r="H384" s="1"/>
      <c r="I384" s="1"/>
      <c r="J384" s="1"/>
      <c r="K384" s="1"/>
      <c r="L384" s="1"/>
      <c r="M384" s="1"/>
      <c r="N384" s="1"/>
      <c r="O384" s="1"/>
      <c r="P384" s="181"/>
      <c r="Q384" s="201"/>
      <c r="R384" s="20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31"/>
      <c r="F385" s="131"/>
      <c r="G385" s="131"/>
      <c r="H385" s="1"/>
      <c r="I385" s="1"/>
      <c r="J385" s="1"/>
      <c r="K385" s="1"/>
      <c r="L385" s="1"/>
      <c r="M385" s="1"/>
      <c r="N385" s="1"/>
      <c r="O385" s="1"/>
      <c r="P385" s="181"/>
      <c r="Q385" s="201"/>
      <c r="R385" s="20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31"/>
      <c r="F386" s="131"/>
      <c r="G386" s="131"/>
      <c r="H386" s="1"/>
      <c r="I386" s="1"/>
      <c r="J386" s="1"/>
      <c r="K386" s="1"/>
      <c r="L386" s="1"/>
      <c r="M386" s="1"/>
      <c r="N386" s="1"/>
      <c r="O386" s="1"/>
      <c r="P386" s="181"/>
      <c r="Q386" s="201"/>
      <c r="R386" s="20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31"/>
      <c r="F387" s="131"/>
      <c r="G387" s="131"/>
      <c r="H387" s="1"/>
      <c r="I387" s="1"/>
      <c r="J387" s="1"/>
      <c r="K387" s="1"/>
      <c r="L387" s="1"/>
      <c r="M387" s="1"/>
      <c r="N387" s="1"/>
      <c r="O387" s="1"/>
      <c r="P387" s="181"/>
      <c r="Q387" s="201"/>
      <c r="R387" s="20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31"/>
      <c r="F388" s="131"/>
      <c r="G388" s="131"/>
      <c r="H388" s="1"/>
      <c r="I388" s="1"/>
      <c r="J388" s="1"/>
      <c r="K388" s="1"/>
      <c r="L388" s="1"/>
      <c r="M388" s="1"/>
      <c r="N388" s="1"/>
      <c r="O388" s="1"/>
      <c r="P388" s="181"/>
      <c r="Q388" s="201"/>
      <c r="R388" s="20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31"/>
      <c r="F389" s="131"/>
      <c r="G389" s="131"/>
      <c r="H389" s="1"/>
      <c r="I389" s="1"/>
      <c r="J389" s="1"/>
      <c r="K389" s="1"/>
      <c r="L389" s="1"/>
      <c r="M389" s="1"/>
      <c r="N389" s="1"/>
      <c r="O389" s="1"/>
      <c r="P389" s="181"/>
      <c r="Q389" s="201"/>
      <c r="R389" s="20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31"/>
      <c r="F390" s="131"/>
      <c r="G390" s="131"/>
      <c r="H390" s="1"/>
      <c r="I390" s="1"/>
      <c r="J390" s="1"/>
      <c r="K390" s="1"/>
      <c r="L390" s="1"/>
      <c r="M390" s="1"/>
      <c r="N390" s="1"/>
      <c r="O390" s="1"/>
      <c r="P390" s="181"/>
      <c r="Q390" s="201"/>
      <c r="R390" s="20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31"/>
      <c r="F391" s="131"/>
      <c r="G391" s="131"/>
      <c r="H391" s="1"/>
      <c r="I391" s="1"/>
      <c r="J391" s="1"/>
      <c r="K391" s="1"/>
      <c r="L391" s="1"/>
      <c r="M391" s="1"/>
      <c r="N391" s="1"/>
      <c r="O391" s="1"/>
      <c r="P391" s="181"/>
      <c r="Q391" s="201"/>
      <c r="R391" s="20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31"/>
      <c r="F392" s="131"/>
      <c r="G392" s="131"/>
      <c r="H392" s="1"/>
      <c r="I392" s="1"/>
      <c r="J392" s="1"/>
      <c r="K392" s="1"/>
      <c r="L392" s="1"/>
      <c r="M392" s="1"/>
      <c r="N392" s="1"/>
      <c r="O392" s="1"/>
      <c r="P392" s="181"/>
      <c r="Q392" s="201"/>
      <c r="R392" s="20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31"/>
      <c r="F393" s="131"/>
      <c r="G393" s="131"/>
      <c r="H393" s="1"/>
      <c r="I393" s="1"/>
      <c r="J393" s="1"/>
      <c r="K393" s="1"/>
      <c r="L393" s="1"/>
      <c r="M393" s="1"/>
      <c r="N393" s="1"/>
      <c r="O393" s="1"/>
      <c r="P393" s="181"/>
      <c r="Q393" s="201"/>
      <c r="R393" s="20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31"/>
      <c r="F394" s="131"/>
      <c r="G394" s="131"/>
      <c r="H394" s="1"/>
      <c r="I394" s="1"/>
      <c r="J394" s="1"/>
      <c r="K394" s="1"/>
      <c r="L394" s="1"/>
      <c r="M394" s="1"/>
      <c r="N394" s="1"/>
      <c r="O394" s="1"/>
      <c r="P394" s="181"/>
      <c r="Q394" s="201"/>
      <c r="R394" s="20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31"/>
      <c r="F395" s="131"/>
      <c r="G395" s="131"/>
      <c r="H395" s="1"/>
      <c r="I395" s="1"/>
      <c r="J395" s="1"/>
      <c r="K395" s="1"/>
      <c r="L395" s="1"/>
      <c r="M395" s="1"/>
      <c r="N395" s="1"/>
      <c r="O395" s="1"/>
      <c r="P395" s="181"/>
      <c r="Q395" s="201"/>
      <c r="R395" s="20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31"/>
      <c r="F396" s="131"/>
      <c r="G396" s="131"/>
      <c r="H396" s="1"/>
      <c r="I396" s="1"/>
      <c r="J396" s="1"/>
      <c r="K396" s="1"/>
      <c r="L396" s="1"/>
      <c r="M396" s="1"/>
      <c r="N396" s="1"/>
      <c r="O396" s="1"/>
      <c r="P396" s="181"/>
      <c r="Q396" s="201"/>
      <c r="R396" s="20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31"/>
      <c r="F397" s="131"/>
      <c r="G397" s="131"/>
      <c r="H397" s="1"/>
      <c r="I397" s="1"/>
      <c r="J397" s="1"/>
      <c r="K397" s="1"/>
      <c r="L397" s="1"/>
      <c r="M397" s="1"/>
      <c r="N397" s="1"/>
      <c r="O397" s="1"/>
      <c r="P397" s="181"/>
      <c r="Q397" s="201"/>
      <c r="R397" s="20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31"/>
      <c r="F398" s="131"/>
      <c r="G398" s="131"/>
      <c r="H398" s="1"/>
      <c r="I398" s="1"/>
      <c r="J398" s="1"/>
      <c r="K398" s="1"/>
      <c r="L398" s="1"/>
      <c r="M398" s="1"/>
      <c r="N398" s="1"/>
      <c r="O398" s="1"/>
      <c r="P398" s="181"/>
      <c r="Q398" s="201"/>
      <c r="R398" s="20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31"/>
      <c r="F399" s="131"/>
      <c r="G399" s="131"/>
      <c r="H399" s="1"/>
      <c r="I399" s="1"/>
      <c r="J399" s="1"/>
      <c r="K399" s="1"/>
      <c r="L399" s="1"/>
      <c r="M399" s="1"/>
      <c r="N399" s="1"/>
      <c r="O399" s="1"/>
      <c r="P399" s="181"/>
      <c r="Q399" s="201"/>
      <c r="R399" s="20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31"/>
      <c r="F400" s="131"/>
      <c r="G400" s="131"/>
      <c r="H400" s="1"/>
      <c r="I400" s="1"/>
      <c r="J400" s="1"/>
      <c r="K400" s="1"/>
      <c r="L400" s="1"/>
      <c r="M400" s="1"/>
      <c r="N400" s="1"/>
      <c r="O400" s="1"/>
      <c r="P400" s="181"/>
      <c r="Q400" s="201"/>
      <c r="R400" s="20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31"/>
      <c r="F401" s="131"/>
      <c r="G401" s="131"/>
      <c r="H401" s="1"/>
      <c r="I401" s="1"/>
      <c r="J401" s="1"/>
      <c r="K401" s="1"/>
      <c r="L401" s="1"/>
      <c r="M401" s="1"/>
      <c r="N401" s="1"/>
      <c r="O401" s="1"/>
      <c r="P401" s="181"/>
      <c r="Q401" s="201"/>
      <c r="R401" s="20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31"/>
      <c r="F402" s="131"/>
      <c r="G402" s="131"/>
      <c r="H402" s="1"/>
      <c r="I402" s="1"/>
      <c r="J402" s="1"/>
      <c r="K402" s="1"/>
      <c r="L402" s="1"/>
      <c r="M402" s="1"/>
      <c r="N402" s="1"/>
      <c r="O402" s="1"/>
      <c r="P402" s="181"/>
      <c r="Q402" s="201"/>
      <c r="R402" s="20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31"/>
      <c r="F403" s="131"/>
      <c r="G403" s="131"/>
      <c r="H403" s="1"/>
      <c r="I403" s="1"/>
      <c r="J403" s="1"/>
      <c r="K403" s="1"/>
      <c r="L403" s="1"/>
      <c r="M403" s="1"/>
      <c r="N403" s="1"/>
      <c r="O403" s="1"/>
      <c r="P403" s="181"/>
      <c r="Q403" s="201"/>
      <c r="R403" s="20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31"/>
      <c r="F404" s="131"/>
      <c r="G404" s="131"/>
      <c r="H404" s="1"/>
      <c r="I404" s="1"/>
      <c r="J404" s="1"/>
      <c r="K404" s="1"/>
      <c r="L404" s="1"/>
      <c r="M404" s="1"/>
      <c r="N404" s="1"/>
      <c r="O404" s="1"/>
      <c r="P404" s="181"/>
      <c r="Q404" s="201"/>
      <c r="R404" s="20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31"/>
      <c r="F405" s="131"/>
      <c r="G405" s="131"/>
      <c r="H405" s="1"/>
      <c r="I405" s="1"/>
      <c r="J405" s="1"/>
      <c r="K405" s="1"/>
      <c r="L405" s="1"/>
      <c r="M405" s="1"/>
      <c r="N405" s="1"/>
      <c r="O405" s="1"/>
      <c r="P405" s="181"/>
      <c r="Q405" s="201"/>
      <c r="R405" s="20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31"/>
      <c r="F406" s="131"/>
      <c r="G406" s="131"/>
      <c r="H406" s="1"/>
      <c r="I406" s="1"/>
      <c r="J406" s="1"/>
      <c r="K406" s="1"/>
      <c r="L406" s="1"/>
      <c r="M406" s="1"/>
      <c r="N406" s="1"/>
      <c r="O406" s="1"/>
      <c r="P406" s="181"/>
      <c r="Q406" s="201"/>
      <c r="R406" s="20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31"/>
      <c r="F407" s="131"/>
      <c r="G407" s="131"/>
      <c r="H407" s="1"/>
      <c r="I407" s="1"/>
      <c r="J407" s="1"/>
      <c r="K407" s="1"/>
      <c r="L407" s="1"/>
      <c r="M407" s="1"/>
      <c r="N407" s="1"/>
      <c r="O407" s="1"/>
      <c r="P407" s="181"/>
      <c r="Q407" s="201"/>
      <c r="R407" s="20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31"/>
      <c r="F408" s="131"/>
      <c r="G408" s="131"/>
      <c r="H408" s="1"/>
      <c r="I408" s="1"/>
      <c r="J408" s="1"/>
      <c r="K408" s="1"/>
      <c r="L408" s="1"/>
      <c r="M408" s="1"/>
      <c r="N408" s="1"/>
      <c r="O408" s="1"/>
      <c r="P408" s="181"/>
      <c r="Q408" s="201"/>
      <c r="R408" s="20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31"/>
      <c r="F409" s="131"/>
      <c r="G409" s="131"/>
      <c r="H409" s="1"/>
      <c r="I409" s="1"/>
      <c r="J409" s="1"/>
      <c r="K409" s="1"/>
      <c r="L409" s="1"/>
      <c r="M409" s="1"/>
      <c r="N409" s="1"/>
      <c r="O409" s="1"/>
      <c r="P409" s="181"/>
      <c r="Q409" s="201"/>
      <c r="R409" s="20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31"/>
      <c r="F410" s="131"/>
      <c r="G410" s="131"/>
      <c r="H410" s="1"/>
      <c r="I410" s="1"/>
      <c r="J410" s="1"/>
      <c r="K410" s="1"/>
      <c r="L410" s="1"/>
      <c r="M410" s="1"/>
      <c r="N410" s="1"/>
      <c r="O410" s="1"/>
      <c r="P410" s="181"/>
      <c r="Q410" s="201"/>
      <c r="R410" s="20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31"/>
      <c r="F411" s="131"/>
      <c r="G411" s="131"/>
      <c r="H411" s="1"/>
      <c r="I411" s="1"/>
      <c r="J411" s="1"/>
      <c r="K411" s="1"/>
      <c r="L411" s="1"/>
      <c r="M411" s="1"/>
      <c r="N411" s="1"/>
      <c r="O411" s="1"/>
      <c r="P411" s="181"/>
      <c r="Q411" s="201"/>
      <c r="R411" s="20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31"/>
      <c r="F412" s="131"/>
      <c r="G412" s="131"/>
      <c r="H412" s="1"/>
      <c r="I412" s="1"/>
      <c r="J412" s="1"/>
      <c r="K412" s="1"/>
      <c r="L412" s="1"/>
      <c r="M412" s="1"/>
      <c r="N412" s="1"/>
      <c r="O412" s="1"/>
      <c r="P412" s="181"/>
      <c r="Q412" s="201"/>
      <c r="R412" s="20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31"/>
      <c r="F413" s="131"/>
      <c r="G413" s="131"/>
      <c r="H413" s="1"/>
      <c r="I413" s="1"/>
      <c r="J413" s="1"/>
      <c r="K413" s="1"/>
      <c r="L413" s="1"/>
      <c r="M413" s="1"/>
      <c r="N413" s="1"/>
      <c r="O413" s="1"/>
      <c r="P413" s="181"/>
      <c r="Q413" s="201"/>
      <c r="R413" s="20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31"/>
      <c r="F414" s="131"/>
      <c r="G414" s="131"/>
      <c r="H414" s="1"/>
      <c r="I414" s="1"/>
      <c r="J414" s="1"/>
      <c r="K414" s="1"/>
      <c r="L414" s="1"/>
      <c r="M414" s="1"/>
      <c r="N414" s="1"/>
      <c r="O414" s="1"/>
      <c r="P414" s="181"/>
      <c r="Q414" s="201"/>
      <c r="R414" s="20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31"/>
      <c r="F415" s="131"/>
      <c r="G415" s="131"/>
      <c r="H415" s="1"/>
      <c r="I415" s="1"/>
      <c r="J415" s="1"/>
      <c r="K415" s="1"/>
      <c r="L415" s="1"/>
      <c r="M415" s="1"/>
      <c r="N415" s="1"/>
      <c r="O415" s="1"/>
      <c r="P415" s="181"/>
      <c r="Q415" s="201"/>
      <c r="R415" s="20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31"/>
      <c r="F416" s="131"/>
      <c r="G416" s="131"/>
      <c r="H416" s="1"/>
      <c r="I416" s="1"/>
      <c r="J416" s="1"/>
      <c r="K416" s="1"/>
      <c r="L416" s="1"/>
      <c r="M416" s="1"/>
      <c r="N416" s="1"/>
      <c r="O416" s="1"/>
      <c r="P416" s="181"/>
      <c r="Q416" s="201"/>
      <c r="R416" s="20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31"/>
      <c r="F417" s="131"/>
      <c r="G417" s="131"/>
      <c r="H417" s="1"/>
      <c r="I417" s="1"/>
      <c r="J417" s="1"/>
      <c r="K417" s="1"/>
      <c r="L417" s="1"/>
      <c r="M417" s="1"/>
      <c r="N417" s="1"/>
      <c r="O417" s="1"/>
      <c r="P417" s="181"/>
      <c r="Q417" s="201"/>
      <c r="R417" s="20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31"/>
      <c r="F418" s="131"/>
      <c r="G418" s="131"/>
      <c r="H418" s="1"/>
      <c r="I418" s="1"/>
      <c r="J418" s="1"/>
      <c r="K418" s="1"/>
      <c r="L418" s="1"/>
      <c r="M418" s="1"/>
      <c r="N418" s="1"/>
      <c r="O418" s="1"/>
      <c r="P418" s="181"/>
      <c r="Q418" s="201"/>
      <c r="R418" s="20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31"/>
      <c r="F419" s="131"/>
      <c r="G419" s="131"/>
      <c r="H419" s="1"/>
      <c r="I419" s="1"/>
      <c r="J419" s="1"/>
      <c r="K419" s="1"/>
      <c r="L419" s="1"/>
      <c r="M419" s="1"/>
      <c r="N419" s="1"/>
      <c r="O419" s="1"/>
      <c r="P419" s="181"/>
      <c r="Q419" s="201"/>
      <c r="R419" s="20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31"/>
      <c r="F420" s="131"/>
      <c r="G420" s="131"/>
      <c r="H420" s="1"/>
      <c r="I420" s="1"/>
      <c r="J420" s="1"/>
      <c r="K420" s="1"/>
      <c r="L420" s="1"/>
      <c r="M420" s="1"/>
      <c r="N420" s="1"/>
      <c r="O420" s="1"/>
      <c r="P420" s="181"/>
      <c r="Q420" s="201"/>
      <c r="R420" s="20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31"/>
      <c r="F421" s="131"/>
      <c r="G421" s="131"/>
      <c r="H421" s="1"/>
      <c r="I421" s="1"/>
      <c r="J421" s="1"/>
      <c r="K421" s="1"/>
      <c r="L421" s="1"/>
      <c r="M421" s="1"/>
      <c r="N421" s="1"/>
      <c r="O421" s="1"/>
      <c r="P421" s="181"/>
      <c r="Q421" s="201"/>
      <c r="R421" s="20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31"/>
      <c r="F422" s="131"/>
      <c r="G422" s="131"/>
      <c r="H422" s="1"/>
      <c r="I422" s="1"/>
      <c r="J422" s="1"/>
      <c r="K422" s="1"/>
      <c r="L422" s="1"/>
      <c r="M422" s="1"/>
      <c r="N422" s="1"/>
      <c r="O422" s="1"/>
      <c r="P422" s="181"/>
      <c r="Q422" s="201"/>
      <c r="R422" s="20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31"/>
      <c r="F423" s="131"/>
      <c r="G423" s="131"/>
      <c r="H423" s="1"/>
      <c r="I423" s="1"/>
      <c r="J423" s="1"/>
      <c r="K423" s="1"/>
      <c r="L423" s="1"/>
      <c r="M423" s="1"/>
      <c r="N423" s="1"/>
      <c r="O423" s="1"/>
      <c r="P423" s="181"/>
      <c r="Q423" s="201"/>
      <c r="R423" s="20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31"/>
      <c r="F424" s="131"/>
      <c r="G424" s="131"/>
      <c r="H424" s="1"/>
      <c r="I424" s="1"/>
      <c r="J424" s="1"/>
      <c r="K424" s="1"/>
      <c r="L424" s="1"/>
      <c r="M424" s="1"/>
      <c r="N424" s="1"/>
      <c r="O424" s="1"/>
      <c r="P424" s="181"/>
      <c r="Q424" s="201"/>
      <c r="R424" s="20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31"/>
      <c r="F425" s="131"/>
      <c r="G425" s="131"/>
      <c r="H425" s="1"/>
      <c r="I425" s="1"/>
      <c r="J425" s="1"/>
      <c r="K425" s="1"/>
      <c r="L425" s="1"/>
      <c r="M425" s="1"/>
      <c r="N425" s="1"/>
      <c r="O425" s="1"/>
      <c r="P425" s="181"/>
      <c r="Q425" s="201"/>
      <c r="R425" s="20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31"/>
      <c r="F426" s="131"/>
      <c r="G426" s="131"/>
      <c r="H426" s="1"/>
      <c r="I426" s="1"/>
      <c r="J426" s="1"/>
      <c r="K426" s="1"/>
      <c r="L426" s="1"/>
      <c r="M426" s="1"/>
      <c r="N426" s="1"/>
      <c r="O426" s="1"/>
      <c r="P426" s="181"/>
      <c r="Q426" s="201"/>
      <c r="R426" s="20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31"/>
      <c r="F427" s="131"/>
      <c r="G427" s="131"/>
      <c r="H427" s="1"/>
      <c r="I427" s="1"/>
      <c r="J427" s="1"/>
      <c r="K427" s="1"/>
      <c r="L427" s="1"/>
      <c r="M427" s="1"/>
      <c r="N427" s="1"/>
      <c r="O427" s="1"/>
      <c r="P427" s="181"/>
      <c r="Q427" s="201"/>
      <c r="R427" s="20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31"/>
      <c r="F428" s="131"/>
      <c r="G428" s="131"/>
      <c r="H428" s="1"/>
      <c r="I428" s="1"/>
      <c r="J428" s="1"/>
      <c r="K428" s="1"/>
      <c r="L428" s="1"/>
      <c r="M428" s="1"/>
      <c r="N428" s="1"/>
      <c r="O428" s="1"/>
      <c r="P428" s="181"/>
      <c r="Q428" s="201"/>
      <c r="R428" s="20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31"/>
      <c r="F429" s="131"/>
      <c r="G429" s="131"/>
      <c r="H429" s="1"/>
      <c r="I429" s="1"/>
      <c r="J429" s="1"/>
      <c r="K429" s="1"/>
      <c r="L429" s="1"/>
      <c r="M429" s="1"/>
      <c r="N429" s="1"/>
      <c r="O429" s="1"/>
      <c r="P429" s="181"/>
      <c r="Q429" s="201"/>
      <c r="R429" s="20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31"/>
      <c r="F430" s="131"/>
      <c r="G430" s="131"/>
      <c r="H430" s="1"/>
      <c r="I430" s="1"/>
      <c r="J430" s="1"/>
      <c r="K430" s="1"/>
      <c r="L430" s="1"/>
      <c r="M430" s="1"/>
      <c r="N430" s="1"/>
      <c r="O430" s="1"/>
      <c r="P430" s="181"/>
      <c r="Q430" s="201"/>
      <c r="R430" s="20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31"/>
      <c r="F431" s="131"/>
      <c r="G431" s="131"/>
      <c r="H431" s="1"/>
      <c r="I431" s="1"/>
      <c r="J431" s="1"/>
      <c r="K431" s="1"/>
      <c r="L431" s="1"/>
      <c r="M431" s="1"/>
      <c r="N431" s="1"/>
      <c r="O431" s="1"/>
      <c r="P431" s="181"/>
      <c r="Q431" s="201"/>
      <c r="R431" s="20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31"/>
      <c r="F432" s="131"/>
      <c r="G432" s="131"/>
      <c r="H432" s="1"/>
      <c r="I432" s="1"/>
      <c r="J432" s="1"/>
      <c r="K432" s="1"/>
      <c r="L432" s="1"/>
      <c r="M432" s="1"/>
      <c r="N432" s="1"/>
      <c r="O432" s="1"/>
      <c r="P432" s="181"/>
      <c r="Q432" s="201"/>
      <c r="R432" s="20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31"/>
      <c r="F433" s="131"/>
      <c r="G433" s="131"/>
      <c r="H433" s="1"/>
      <c r="I433" s="1"/>
      <c r="J433" s="1"/>
      <c r="K433" s="1"/>
      <c r="L433" s="1"/>
      <c r="M433" s="1"/>
      <c r="N433" s="1"/>
      <c r="O433" s="1"/>
      <c r="P433" s="181"/>
      <c r="Q433" s="201"/>
      <c r="R433" s="20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31"/>
      <c r="F434" s="131"/>
      <c r="G434" s="131"/>
      <c r="H434" s="1"/>
      <c r="I434" s="1"/>
      <c r="J434" s="1"/>
      <c r="K434" s="1"/>
      <c r="L434" s="1"/>
      <c r="M434" s="1"/>
      <c r="N434" s="1"/>
      <c r="O434" s="1"/>
      <c r="P434" s="181"/>
      <c r="Q434" s="201"/>
      <c r="R434" s="20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31"/>
      <c r="F435" s="131"/>
      <c r="G435" s="131"/>
      <c r="H435" s="1"/>
      <c r="I435" s="1"/>
      <c r="J435" s="1"/>
      <c r="K435" s="1"/>
      <c r="L435" s="1"/>
      <c r="M435" s="1"/>
      <c r="N435" s="1"/>
      <c r="O435" s="1"/>
      <c r="P435" s="181"/>
      <c r="Q435" s="201"/>
      <c r="R435" s="20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31"/>
      <c r="F436" s="131"/>
      <c r="G436" s="131"/>
      <c r="H436" s="1"/>
      <c r="I436" s="1"/>
      <c r="J436" s="1"/>
      <c r="K436" s="1"/>
      <c r="L436" s="1"/>
      <c r="M436" s="1"/>
      <c r="N436" s="1"/>
      <c r="O436" s="1"/>
      <c r="P436" s="181"/>
      <c r="Q436" s="201"/>
      <c r="R436" s="20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31"/>
      <c r="F437" s="131"/>
      <c r="G437" s="131"/>
      <c r="H437" s="1"/>
      <c r="I437" s="1"/>
      <c r="J437" s="1"/>
      <c r="K437" s="1"/>
      <c r="L437" s="1"/>
      <c r="M437" s="1"/>
      <c r="N437" s="1"/>
      <c r="O437" s="1"/>
      <c r="P437" s="181"/>
      <c r="Q437" s="201"/>
      <c r="R437" s="20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31"/>
      <c r="F438" s="131"/>
      <c r="G438" s="131"/>
      <c r="H438" s="1"/>
      <c r="I438" s="1"/>
      <c r="J438" s="1"/>
      <c r="K438" s="1"/>
      <c r="L438" s="1"/>
      <c r="M438" s="1"/>
      <c r="N438" s="1"/>
      <c r="O438" s="1"/>
      <c r="P438" s="181"/>
      <c r="Q438" s="201"/>
      <c r="R438" s="20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31"/>
      <c r="F439" s="131"/>
      <c r="G439" s="131"/>
      <c r="H439" s="1"/>
      <c r="I439" s="1"/>
      <c r="J439" s="1"/>
      <c r="K439" s="1"/>
      <c r="L439" s="1"/>
      <c r="M439" s="1"/>
      <c r="N439" s="1"/>
      <c r="O439" s="1"/>
      <c r="P439" s="181"/>
      <c r="Q439" s="201"/>
      <c r="R439" s="20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31"/>
      <c r="F440" s="131"/>
      <c r="G440" s="131"/>
      <c r="H440" s="1"/>
      <c r="I440" s="1"/>
      <c r="J440" s="1"/>
      <c r="K440" s="1"/>
      <c r="L440" s="1"/>
      <c r="M440" s="1"/>
      <c r="N440" s="1"/>
      <c r="O440" s="1"/>
      <c r="P440" s="181"/>
      <c r="Q440" s="201"/>
      <c r="R440" s="20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31"/>
      <c r="F441" s="131"/>
      <c r="G441" s="131"/>
      <c r="H441" s="1"/>
      <c r="I441" s="1"/>
      <c r="J441" s="1"/>
      <c r="K441" s="1"/>
      <c r="L441" s="1"/>
      <c r="M441" s="1"/>
      <c r="N441" s="1"/>
      <c r="O441" s="1"/>
      <c r="P441" s="181"/>
      <c r="Q441" s="201"/>
      <c r="R441" s="20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31"/>
      <c r="F442" s="131"/>
      <c r="G442" s="131"/>
      <c r="H442" s="1"/>
      <c r="I442" s="1"/>
      <c r="J442" s="1"/>
      <c r="K442" s="1"/>
      <c r="L442" s="1"/>
      <c r="M442" s="1"/>
      <c r="N442" s="1"/>
      <c r="O442" s="1"/>
      <c r="P442" s="181"/>
      <c r="Q442" s="201"/>
      <c r="R442" s="20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31"/>
      <c r="F443" s="131"/>
      <c r="G443" s="131"/>
      <c r="H443" s="1"/>
      <c r="I443" s="1"/>
      <c r="J443" s="1"/>
      <c r="K443" s="1"/>
      <c r="L443" s="1"/>
      <c r="M443" s="1"/>
      <c r="N443" s="1"/>
      <c r="O443" s="1"/>
      <c r="P443" s="181"/>
      <c r="Q443" s="201"/>
      <c r="R443" s="20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31"/>
      <c r="F444" s="131"/>
      <c r="G444" s="131"/>
      <c r="H444" s="1"/>
      <c r="I444" s="1"/>
      <c r="J444" s="1"/>
      <c r="K444" s="1"/>
      <c r="L444" s="1"/>
      <c r="M444" s="1"/>
      <c r="N444" s="1"/>
      <c r="O444" s="1"/>
      <c r="P444" s="181"/>
      <c r="Q444" s="201"/>
      <c r="R444" s="20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31"/>
      <c r="F445" s="131"/>
      <c r="G445" s="131"/>
      <c r="H445" s="1"/>
      <c r="I445" s="1"/>
      <c r="J445" s="1"/>
      <c r="K445" s="1"/>
      <c r="L445" s="1"/>
      <c r="M445" s="1"/>
      <c r="N445" s="1"/>
      <c r="O445" s="1"/>
      <c r="P445" s="181"/>
      <c r="Q445" s="201"/>
      <c r="R445" s="20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31"/>
      <c r="F446" s="131"/>
      <c r="G446" s="131"/>
      <c r="H446" s="1"/>
      <c r="I446" s="1"/>
      <c r="J446" s="1"/>
      <c r="K446" s="1"/>
      <c r="L446" s="1"/>
      <c r="M446" s="1"/>
      <c r="N446" s="1"/>
      <c r="O446" s="1"/>
      <c r="P446" s="181"/>
      <c r="Q446" s="201"/>
      <c r="R446" s="20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31"/>
      <c r="F447" s="131"/>
      <c r="G447" s="131"/>
      <c r="H447" s="1"/>
      <c r="I447" s="1"/>
      <c r="J447" s="1"/>
      <c r="K447" s="1"/>
      <c r="L447" s="1"/>
      <c r="M447" s="1"/>
      <c r="N447" s="1"/>
      <c r="O447" s="1"/>
      <c r="P447" s="181"/>
      <c r="Q447" s="201"/>
      <c r="R447" s="20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31"/>
      <c r="F448" s="131"/>
      <c r="G448" s="131"/>
      <c r="H448" s="1"/>
      <c r="I448" s="1"/>
      <c r="J448" s="1"/>
      <c r="K448" s="1"/>
      <c r="L448" s="1"/>
      <c r="M448" s="1"/>
      <c r="N448" s="1"/>
      <c r="O448" s="1"/>
      <c r="P448" s="181"/>
      <c r="Q448" s="201"/>
      <c r="R448" s="20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31"/>
      <c r="F449" s="131"/>
      <c r="G449" s="131"/>
      <c r="H449" s="1"/>
      <c r="I449" s="1"/>
      <c r="J449" s="1"/>
      <c r="K449" s="1"/>
      <c r="L449" s="1"/>
      <c r="M449" s="1"/>
      <c r="N449" s="1"/>
      <c r="O449" s="1"/>
      <c r="P449" s="181"/>
      <c r="Q449" s="201"/>
      <c r="R449" s="20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31"/>
      <c r="F450" s="131"/>
      <c r="G450" s="131"/>
      <c r="H450" s="1"/>
      <c r="I450" s="1"/>
      <c r="J450" s="1"/>
      <c r="K450" s="1"/>
      <c r="L450" s="1"/>
      <c r="M450" s="1"/>
      <c r="N450" s="1"/>
      <c r="O450" s="1"/>
      <c r="P450" s="181"/>
      <c r="Q450" s="201"/>
      <c r="R450" s="20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31"/>
      <c r="F451" s="131"/>
      <c r="G451" s="131"/>
      <c r="H451" s="1"/>
      <c r="I451" s="1"/>
      <c r="J451" s="1"/>
      <c r="K451" s="1"/>
      <c r="L451" s="1"/>
      <c r="M451" s="1"/>
      <c r="N451" s="1"/>
      <c r="O451" s="1"/>
      <c r="P451" s="181"/>
      <c r="Q451" s="201"/>
      <c r="R451" s="20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31"/>
      <c r="F452" s="131"/>
      <c r="G452" s="131"/>
      <c r="H452" s="1"/>
      <c r="I452" s="1"/>
      <c r="J452" s="1"/>
      <c r="K452" s="1"/>
      <c r="L452" s="1"/>
      <c r="M452" s="1"/>
      <c r="N452" s="1"/>
      <c r="O452" s="1"/>
      <c r="P452" s="181"/>
      <c r="Q452" s="201"/>
      <c r="R452" s="20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31"/>
      <c r="F453" s="131"/>
      <c r="G453" s="131"/>
      <c r="H453" s="1"/>
      <c r="I453" s="1"/>
      <c r="J453" s="1"/>
      <c r="K453" s="1"/>
      <c r="L453" s="1"/>
      <c r="M453" s="1"/>
      <c r="N453" s="1"/>
      <c r="O453" s="1"/>
      <c r="P453" s="181"/>
      <c r="Q453" s="201"/>
      <c r="R453" s="20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31"/>
      <c r="F454" s="131"/>
      <c r="G454" s="131"/>
      <c r="H454" s="1"/>
      <c r="I454" s="1"/>
      <c r="J454" s="1"/>
      <c r="K454" s="1"/>
      <c r="L454" s="1"/>
      <c r="M454" s="1"/>
      <c r="N454" s="1"/>
      <c r="O454" s="1"/>
      <c r="P454" s="181"/>
      <c r="Q454" s="201"/>
      <c r="R454" s="20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31"/>
      <c r="F455" s="131"/>
      <c r="G455" s="131"/>
      <c r="H455" s="1"/>
      <c r="I455" s="1"/>
      <c r="J455" s="1"/>
      <c r="K455" s="1"/>
      <c r="L455" s="1"/>
      <c r="M455" s="1"/>
      <c r="N455" s="1"/>
      <c r="O455" s="1"/>
      <c r="P455" s="181"/>
      <c r="Q455" s="201"/>
      <c r="R455" s="20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31"/>
      <c r="F456" s="131"/>
      <c r="G456" s="131"/>
      <c r="H456" s="1"/>
      <c r="I456" s="1"/>
      <c r="J456" s="1"/>
      <c r="K456" s="1"/>
      <c r="L456" s="1"/>
      <c r="M456" s="1"/>
      <c r="N456" s="1"/>
      <c r="O456" s="1"/>
      <c r="P456" s="181"/>
      <c r="Q456" s="201"/>
      <c r="R456" s="20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31"/>
      <c r="F457" s="131"/>
      <c r="G457" s="131"/>
      <c r="H457" s="1"/>
      <c r="I457" s="1"/>
      <c r="J457" s="1"/>
      <c r="K457" s="1"/>
      <c r="L457" s="1"/>
      <c r="M457" s="1"/>
      <c r="N457" s="1"/>
      <c r="O457" s="1"/>
      <c r="P457" s="181"/>
      <c r="Q457" s="201"/>
      <c r="R457" s="20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31"/>
      <c r="F458" s="131"/>
      <c r="G458" s="131"/>
      <c r="H458" s="1"/>
      <c r="I458" s="1"/>
      <c r="J458" s="1"/>
      <c r="K458" s="1"/>
      <c r="L458" s="1"/>
      <c r="M458" s="1"/>
      <c r="N458" s="1"/>
      <c r="O458" s="1"/>
      <c r="P458" s="181"/>
      <c r="Q458" s="201"/>
      <c r="R458" s="20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31"/>
      <c r="F459" s="131"/>
      <c r="G459" s="131"/>
      <c r="H459" s="1"/>
      <c r="I459" s="1"/>
      <c r="J459" s="1"/>
      <c r="K459" s="1"/>
      <c r="L459" s="1"/>
      <c r="M459" s="1"/>
      <c r="N459" s="1"/>
      <c r="O459" s="1"/>
      <c r="P459" s="181"/>
      <c r="Q459" s="201"/>
      <c r="R459" s="20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31"/>
      <c r="F460" s="131"/>
      <c r="G460" s="131"/>
      <c r="H460" s="1"/>
      <c r="I460" s="1"/>
      <c r="J460" s="1"/>
      <c r="K460" s="1"/>
      <c r="L460" s="1"/>
      <c r="M460" s="1"/>
      <c r="N460" s="1"/>
      <c r="O460" s="1"/>
      <c r="P460" s="181"/>
      <c r="Q460" s="201"/>
      <c r="R460" s="20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31"/>
      <c r="F461" s="131"/>
      <c r="G461" s="131"/>
      <c r="H461" s="1"/>
      <c r="I461" s="1"/>
      <c r="J461" s="1"/>
      <c r="K461" s="1"/>
      <c r="L461" s="1"/>
      <c r="M461" s="1"/>
      <c r="N461" s="1"/>
      <c r="O461" s="1"/>
      <c r="P461" s="181"/>
      <c r="Q461" s="201"/>
      <c r="R461" s="20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31"/>
      <c r="F462" s="131"/>
      <c r="G462" s="131"/>
      <c r="H462" s="1"/>
      <c r="I462" s="1"/>
      <c r="J462" s="1"/>
      <c r="K462" s="1"/>
      <c r="L462" s="1"/>
      <c r="M462" s="1"/>
      <c r="N462" s="1"/>
      <c r="O462" s="1"/>
      <c r="P462" s="181"/>
      <c r="Q462" s="201"/>
      <c r="R462" s="20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31"/>
      <c r="F463" s="131"/>
      <c r="G463" s="131"/>
      <c r="H463" s="1"/>
      <c r="I463" s="1"/>
      <c r="J463" s="1"/>
      <c r="K463" s="1"/>
      <c r="L463" s="1"/>
      <c r="M463" s="1"/>
      <c r="N463" s="1"/>
      <c r="O463" s="1"/>
      <c r="P463" s="181"/>
      <c r="Q463" s="201"/>
      <c r="R463" s="20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31"/>
      <c r="F464" s="131"/>
      <c r="G464" s="131"/>
      <c r="H464" s="1"/>
      <c r="I464" s="1"/>
      <c r="J464" s="1"/>
      <c r="K464" s="1"/>
      <c r="L464" s="1"/>
      <c r="M464" s="1"/>
      <c r="N464" s="1"/>
      <c r="O464" s="1"/>
      <c r="P464" s="181"/>
      <c r="Q464" s="201"/>
      <c r="R464" s="20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31"/>
      <c r="F465" s="131"/>
      <c r="G465" s="131"/>
      <c r="H465" s="1"/>
      <c r="I465" s="1"/>
      <c r="J465" s="1"/>
      <c r="K465" s="1"/>
      <c r="L465" s="1"/>
      <c r="M465" s="1"/>
      <c r="N465" s="1"/>
      <c r="O465" s="1"/>
      <c r="P465" s="181"/>
      <c r="Q465" s="201"/>
      <c r="R465" s="20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31"/>
      <c r="F466" s="131"/>
      <c r="G466" s="131"/>
      <c r="H466" s="1"/>
      <c r="I466" s="1"/>
      <c r="J466" s="1"/>
      <c r="K466" s="1"/>
      <c r="L466" s="1"/>
      <c r="M466" s="1"/>
      <c r="N466" s="1"/>
      <c r="O466" s="1"/>
      <c r="P466" s="181"/>
      <c r="Q466" s="201"/>
      <c r="R466" s="20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31"/>
      <c r="F467" s="131"/>
      <c r="G467" s="131"/>
      <c r="H467" s="1"/>
      <c r="I467" s="1"/>
      <c r="J467" s="1"/>
      <c r="K467" s="1"/>
      <c r="L467" s="1"/>
      <c r="M467" s="1"/>
      <c r="N467" s="1"/>
      <c r="O467" s="1"/>
      <c r="P467" s="181"/>
      <c r="Q467" s="201"/>
      <c r="R467" s="20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31"/>
      <c r="F468" s="131"/>
      <c r="G468" s="131"/>
      <c r="H468" s="1"/>
      <c r="I468" s="1"/>
      <c r="J468" s="1"/>
      <c r="K468" s="1"/>
      <c r="L468" s="1"/>
      <c r="M468" s="1"/>
      <c r="N468" s="1"/>
      <c r="O468" s="1"/>
      <c r="P468" s="181"/>
      <c r="Q468" s="201"/>
      <c r="R468" s="20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31"/>
      <c r="F469" s="131"/>
      <c r="G469" s="131"/>
      <c r="H469" s="1"/>
      <c r="I469" s="1"/>
      <c r="J469" s="1"/>
      <c r="K469" s="1"/>
      <c r="L469" s="1"/>
      <c r="M469" s="1"/>
      <c r="N469" s="1"/>
      <c r="O469" s="1"/>
      <c r="P469" s="181"/>
      <c r="Q469" s="201"/>
      <c r="R469" s="20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31"/>
      <c r="F470" s="131"/>
      <c r="G470" s="131"/>
      <c r="H470" s="1"/>
      <c r="I470" s="1"/>
      <c r="J470" s="1"/>
      <c r="K470" s="1"/>
      <c r="L470" s="1"/>
      <c r="M470" s="1"/>
      <c r="N470" s="1"/>
      <c r="O470" s="1"/>
      <c r="P470" s="181"/>
      <c r="Q470" s="201"/>
      <c r="R470" s="20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31"/>
      <c r="F471" s="131"/>
      <c r="G471" s="131"/>
      <c r="H471" s="1"/>
      <c r="I471" s="1"/>
      <c r="J471" s="1"/>
      <c r="K471" s="1"/>
      <c r="L471" s="1"/>
      <c r="M471" s="1"/>
      <c r="N471" s="1"/>
      <c r="O471" s="1"/>
      <c r="P471" s="181"/>
      <c r="Q471" s="201"/>
      <c r="R471" s="20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31"/>
      <c r="F472" s="131"/>
      <c r="G472" s="131"/>
      <c r="H472" s="1"/>
      <c r="I472" s="1"/>
      <c r="J472" s="1"/>
      <c r="K472" s="1"/>
      <c r="L472" s="1"/>
      <c r="M472" s="1"/>
      <c r="N472" s="1"/>
      <c r="O472" s="1"/>
      <c r="P472" s="181"/>
      <c r="Q472" s="201"/>
      <c r="R472" s="20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31"/>
      <c r="F473" s="131"/>
      <c r="G473" s="131"/>
      <c r="H473" s="1"/>
      <c r="I473" s="1"/>
      <c r="J473" s="1"/>
      <c r="K473" s="1"/>
      <c r="L473" s="1"/>
      <c r="M473" s="1"/>
      <c r="N473" s="1"/>
      <c r="O473" s="1"/>
      <c r="P473" s="181"/>
      <c r="Q473" s="201"/>
      <c r="R473" s="20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31"/>
      <c r="F474" s="131"/>
      <c r="G474" s="131"/>
      <c r="H474" s="1"/>
      <c r="I474" s="1"/>
      <c r="J474" s="1"/>
      <c r="K474" s="1"/>
      <c r="L474" s="1"/>
      <c r="M474" s="1"/>
      <c r="N474" s="1"/>
      <c r="O474" s="1"/>
      <c r="P474" s="181"/>
      <c r="Q474" s="201"/>
      <c r="R474" s="20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31"/>
      <c r="F475" s="131"/>
      <c r="G475" s="131"/>
      <c r="H475" s="1"/>
      <c r="I475" s="1"/>
      <c r="J475" s="1"/>
      <c r="K475" s="1"/>
      <c r="L475" s="1"/>
      <c r="M475" s="1"/>
      <c r="N475" s="1"/>
      <c r="O475" s="1"/>
      <c r="P475" s="181"/>
      <c r="Q475" s="201"/>
      <c r="R475" s="20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31"/>
      <c r="F476" s="131"/>
      <c r="G476" s="131"/>
      <c r="H476" s="1"/>
      <c r="I476" s="1"/>
      <c r="J476" s="1"/>
      <c r="K476" s="1"/>
      <c r="L476" s="1"/>
      <c r="M476" s="1"/>
      <c r="N476" s="1"/>
      <c r="O476" s="1"/>
      <c r="P476" s="181"/>
      <c r="Q476" s="201"/>
      <c r="R476" s="20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31"/>
      <c r="F477" s="131"/>
      <c r="G477" s="131"/>
      <c r="H477" s="1"/>
      <c r="I477" s="1"/>
      <c r="J477" s="1"/>
      <c r="K477" s="1"/>
      <c r="L477" s="1"/>
      <c r="M477" s="1"/>
      <c r="N477" s="1"/>
      <c r="O477" s="1"/>
      <c r="P477" s="181"/>
      <c r="Q477" s="201"/>
      <c r="R477" s="20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31"/>
      <c r="F478" s="131"/>
      <c r="G478" s="131"/>
      <c r="H478" s="1"/>
      <c r="I478" s="1"/>
      <c r="J478" s="1"/>
      <c r="K478" s="1"/>
      <c r="L478" s="1"/>
      <c r="M478" s="1"/>
      <c r="N478" s="1"/>
      <c r="O478" s="1"/>
      <c r="P478" s="181"/>
      <c r="Q478" s="201"/>
      <c r="R478" s="20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31"/>
      <c r="F479" s="131"/>
      <c r="G479" s="131"/>
      <c r="H479" s="1"/>
      <c r="I479" s="1"/>
      <c r="J479" s="1"/>
      <c r="K479" s="1"/>
      <c r="L479" s="1"/>
      <c r="M479" s="1"/>
      <c r="N479" s="1"/>
      <c r="O479" s="1"/>
      <c r="P479" s="181"/>
      <c r="Q479" s="201"/>
      <c r="R479" s="20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31"/>
      <c r="F480" s="131"/>
      <c r="G480" s="131"/>
      <c r="H480" s="1"/>
      <c r="I480" s="1"/>
      <c r="J480" s="1"/>
      <c r="K480" s="1"/>
      <c r="L480" s="1"/>
      <c r="M480" s="1"/>
      <c r="N480" s="1"/>
      <c r="O480" s="1"/>
      <c r="P480" s="181"/>
      <c r="Q480" s="201"/>
      <c r="R480" s="20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31"/>
      <c r="F481" s="131"/>
      <c r="G481" s="131"/>
      <c r="H481" s="1"/>
      <c r="I481" s="1"/>
      <c r="J481" s="1"/>
      <c r="K481" s="1"/>
      <c r="L481" s="1"/>
      <c r="M481" s="1"/>
      <c r="N481" s="1"/>
      <c r="O481" s="1"/>
      <c r="P481" s="181"/>
      <c r="Q481" s="201"/>
      <c r="R481" s="20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31"/>
      <c r="F482" s="131"/>
      <c r="G482" s="131"/>
      <c r="H482" s="1"/>
      <c r="I482" s="1"/>
      <c r="J482" s="1"/>
      <c r="K482" s="1"/>
      <c r="L482" s="1"/>
      <c r="M482" s="1"/>
      <c r="N482" s="1"/>
      <c r="O482" s="1"/>
      <c r="P482" s="181"/>
      <c r="Q482" s="201"/>
      <c r="R482" s="20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31"/>
      <c r="F483" s="131"/>
      <c r="G483" s="131"/>
      <c r="H483" s="1"/>
      <c r="I483" s="1"/>
      <c r="J483" s="1"/>
      <c r="K483" s="1"/>
      <c r="L483" s="1"/>
      <c r="M483" s="1"/>
      <c r="N483" s="1"/>
      <c r="O483" s="1"/>
      <c r="P483" s="181"/>
      <c r="Q483" s="201"/>
      <c r="R483" s="20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31"/>
      <c r="F484" s="131"/>
      <c r="G484" s="131"/>
      <c r="H484" s="1"/>
      <c r="I484" s="1"/>
      <c r="J484" s="1"/>
      <c r="K484" s="1"/>
      <c r="L484" s="1"/>
      <c r="M484" s="1"/>
      <c r="N484" s="1"/>
      <c r="O484" s="1"/>
      <c r="P484" s="181"/>
      <c r="Q484" s="201"/>
      <c r="R484" s="20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31"/>
      <c r="F485" s="131"/>
      <c r="G485" s="131"/>
      <c r="H485" s="1"/>
      <c r="I485" s="1"/>
      <c r="J485" s="1"/>
      <c r="K485" s="1"/>
      <c r="L485" s="1"/>
      <c r="M485" s="1"/>
      <c r="N485" s="1"/>
      <c r="O485" s="1"/>
      <c r="P485" s="181"/>
      <c r="Q485" s="201"/>
      <c r="R485" s="20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31"/>
      <c r="F486" s="131"/>
      <c r="G486" s="131"/>
      <c r="H486" s="1"/>
      <c r="I486" s="1"/>
      <c r="J486" s="1"/>
      <c r="K486" s="1"/>
      <c r="L486" s="1"/>
      <c r="M486" s="1"/>
      <c r="N486" s="1"/>
      <c r="O486" s="1"/>
      <c r="P486" s="181"/>
      <c r="Q486" s="201"/>
      <c r="R486" s="20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31"/>
      <c r="F487" s="131"/>
      <c r="G487" s="131"/>
      <c r="H487" s="1"/>
      <c r="I487" s="1"/>
      <c r="J487" s="1"/>
      <c r="K487" s="1"/>
      <c r="L487" s="1"/>
      <c r="M487" s="1"/>
      <c r="N487" s="1"/>
      <c r="O487" s="1"/>
      <c r="P487" s="181"/>
      <c r="Q487" s="201"/>
      <c r="R487" s="20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31"/>
      <c r="F488" s="131"/>
      <c r="G488" s="131"/>
      <c r="H488" s="1"/>
      <c r="I488" s="1"/>
      <c r="J488" s="1"/>
      <c r="K488" s="1"/>
      <c r="L488" s="1"/>
      <c r="M488" s="1"/>
      <c r="N488" s="1"/>
      <c r="O488" s="1"/>
      <c r="P488" s="181"/>
      <c r="Q488" s="201"/>
      <c r="R488" s="20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31"/>
      <c r="F489" s="131"/>
      <c r="G489" s="131"/>
      <c r="H489" s="1"/>
      <c r="I489" s="1"/>
      <c r="J489" s="1"/>
      <c r="K489" s="1"/>
      <c r="L489" s="1"/>
      <c r="M489" s="1"/>
      <c r="N489" s="1"/>
      <c r="O489" s="1"/>
      <c r="P489" s="181"/>
      <c r="Q489" s="201"/>
      <c r="R489" s="20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31"/>
      <c r="F490" s="131"/>
      <c r="G490" s="131"/>
      <c r="H490" s="1"/>
      <c r="I490" s="1"/>
      <c r="J490" s="1"/>
      <c r="K490" s="1"/>
      <c r="L490" s="1"/>
      <c r="M490" s="1"/>
      <c r="N490" s="1"/>
      <c r="O490" s="1"/>
      <c r="P490" s="181"/>
      <c r="Q490" s="201"/>
      <c r="R490" s="20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31"/>
      <c r="F491" s="131"/>
      <c r="G491" s="131"/>
      <c r="H491" s="1"/>
      <c r="I491" s="1"/>
      <c r="J491" s="1"/>
      <c r="K491" s="1"/>
      <c r="L491" s="1"/>
      <c r="M491" s="1"/>
      <c r="N491" s="1"/>
      <c r="O491" s="1"/>
      <c r="P491" s="181"/>
      <c r="Q491" s="201"/>
      <c r="R491" s="20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31"/>
      <c r="F492" s="131"/>
      <c r="G492" s="131"/>
      <c r="H492" s="1"/>
      <c r="I492" s="1"/>
      <c r="J492" s="1"/>
      <c r="K492" s="1"/>
      <c r="L492" s="1"/>
      <c r="M492" s="1"/>
      <c r="N492" s="1"/>
      <c r="O492" s="1"/>
      <c r="P492" s="181"/>
      <c r="Q492" s="201"/>
      <c r="R492" s="20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31"/>
      <c r="F493" s="131"/>
      <c r="G493" s="131"/>
      <c r="H493" s="1"/>
      <c r="I493" s="1"/>
      <c r="J493" s="1"/>
      <c r="K493" s="1"/>
      <c r="L493" s="1"/>
      <c r="M493" s="1"/>
      <c r="N493" s="1"/>
      <c r="O493" s="1"/>
      <c r="P493" s="181"/>
      <c r="Q493" s="201"/>
      <c r="R493" s="20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31"/>
      <c r="F494" s="131"/>
      <c r="G494" s="131"/>
      <c r="H494" s="1"/>
      <c r="I494" s="1"/>
      <c r="J494" s="1"/>
      <c r="K494" s="1"/>
      <c r="L494" s="1"/>
      <c r="M494" s="1"/>
      <c r="N494" s="1"/>
      <c r="O494" s="1"/>
      <c r="P494" s="181"/>
      <c r="Q494" s="201"/>
      <c r="R494" s="20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31"/>
      <c r="F495" s="131"/>
      <c r="G495" s="131"/>
      <c r="H495" s="1"/>
      <c r="I495" s="1"/>
      <c r="J495" s="1"/>
      <c r="K495" s="1"/>
      <c r="L495" s="1"/>
      <c r="M495" s="1"/>
      <c r="N495" s="1"/>
      <c r="O495" s="1"/>
      <c r="P495" s="181"/>
      <c r="Q495" s="201"/>
      <c r="R495" s="20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31"/>
      <c r="F496" s="131"/>
      <c r="G496" s="131"/>
      <c r="H496" s="1"/>
      <c r="I496" s="1"/>
      <c r="J496" s="1"/>
      <c r="K496" s="1"/>
      <c r="L496" s="1"/>
      <c r="M496" s="1"/>
      <c r="N496" s="1"/>
      <c r="O496" s="1"/>
      <c r="P496" s="181"/>
      <c r="Q496" s="201"/>
      <c r="R496" s="20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31"/>
      <c r="F497" s="131"/>
      <c r="G497" s="131"/>
      <c r="H497" s="1"/>
      <c r="I497" s="1"/>
      <c r="J497" s="1"/>
      <c r="K497" s="1"/>
      <c r="L497" s="1"/>
      <c r="M497" s="1"/>
      <c r="N497" s="1"/>
      <c r="O497" s="1"/>
      <c r="P497" s="181"/>
      <c r="Q497" s="201"/>
      <c r="R497" s="20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31"/>
      <c r="F498" s="131"/>
      <c r="G498" s="131"/>
      <c r="H498" s="1"/>
      <c r="I498" s="1"/>
      <c r="J498" s="1"/>
      <c r="K498" s="1"/>
      <c r="L498" s="1"/>
      <c r="M498" s="1"/>
      <c r="N498" s="1"/>
      <c r="O498" s="1"/>
      <c r="P498" s="181"/>
      <c r="Q498" s="201"/>
      <c r="R498" s="20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31"/>
      <c r="F499" s="131"/>
      <c r="G499" s="131"/>
      <c r="H499" s="1"/>
      <c r="I499" s="1"/>
      <c r="J499" s="1"/>
      <c r="K499" s="1"/>
      <c r="L499" s="1"/>
      <c r="M499" s="1"/>
      <c r="N499" s="1"/>
      <c r="O499" s="1"/>
      <c r="P499" s="181"/>
      <c r="Q499" s="201"/>
      <c r="R499" s="20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31"/>
      <c r="F500" s="131"/>
      <c r="G500" s="131"/>
      <c r="H500" s="1"/>
      <c r="I500" s="1"/>
      <c r="J500" s="1"/>
      <c r="K500" s="1"/>
      <c r="L500" s="1"/>
      <c r="M500" s="1"/>
      <c r="N500" s="1"/>
      <c r="O500" s="1"/>
      <c r="P500" s="181"/>
      <c r="Q500" s="201"/>
      <c r="R500" s="20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31"/>
      <c r="F501" s="131"/>
      <c r="G501" s="131"/>
      <c r="H501" s="1"/>
      <c r="I501" s="1"/>
      <c r="J501" s="1"/>
      <c r="K501" s="1"/>
      <c r="L501" s="1"/>
      <c r="M501" s="1"/>
      <c r="N501" s="1"/>
      <c r="O501" s="1"/>
      <c r="P501" s="181"/>
      <c r="Q501" s="201"/>
      <c r="R501" s="20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31"/>
      <c r="F502" s="131"/>
      <c r="G502" s="131"/>
      <c r="H502" s="1"/>
      <c r="I502" s="1"/>
      <c r="J502" s="1"/>
      <c r="K502" s="1"/>
      <c r="L502" s="1"/>
      <c r="M502" s="1"/>
      <c r="N502" s="1"/>
      <c r="O502" s="1"/>
      <c r="P502" s="181"/>
      <c r="Q502" s="201"/>
      <c r="R502" s="20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31"/>
      <c r="F503" s="131"/>
      <c r="G503" s="131"/>
      <c r="H503" s="1"/>
      <c r="I503" s="1"/>
      <c r="J503" s="1"/>
      <c r="K503" s="1"/>
      <c r="L503" s="1"/>
      <c r="M503" s="1"/>
      <c r="N503" s="1"/>
      <c r="O503" s="1"/>
      <c r="P503" s="181"/>
      <c r="Q503" s="201"/>
      <c r="R503" s="20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31"/>
      <c r="F504" s="131"/>
      <c r="G504" s="131"/>
      <c r="H504" s="1"/>
      <c r="I504" s="1"/>
      <c r="J504" s="1"/>
      <c r="K504" s="1"/>
      <c r="L504" s="1"/>
      <c r="M504" s="1"/>
      <c r="N504" s="1"/>
      <c r="O504" s="1"/>
      <c r="P504" s="181"/>
      <c r="Q504" s="201"/>
      <c r="R504" s="20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31"/>
      <c r="F505" s="131"/>
      <c r="G505" s="131"/>
      <c r="H505" s="1"/>
      <c r="I505" s="1"/>
      <c r="J505" s="1"/>
      <c r="K505" s="1"/>
      <c r="L505" s="1"/>
      <c r="M505" s="1"/>
      <c r="N505" s="1"/>
      <c r="O505" s="1"/>
      <c r="P505" s="181"/>
      <c r="Q505" s="201"/>
      <c r="R505" s="20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31"/>
      <c r="F506" s="131"/>
      <c r="G506" s="131"/>
      <c r="H506" s="1"/>
      <c r="I506" s="1"/>
      <c r="J506" s="1"/>
      <c r="K506" s="1"/>
      <c r="L506" s="1"/>
      <c r="M506" s="1"/>
      <c r="N506" s="1"/>
      <c r="O506" s="1"/>
      <c r="P506" s="181"/>
      <c r="Q506" s="201"/>
      <c r="R506" s="20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31"/>
      <c r="F507" s="131"/>
      <c r="G507" s="131"/>
      <c r="H507" s="1"/>
      <c r="I507" s="1"/>
      <c r="J507" s="1"/>
      <c r="K507" s="1"/>
      <c r="L507" s="1"/>
      <c r="M507" s="1"/>
      <c r="N507" s="1"/>
      <c r="O507" s="1"/>
      <c r="P507" s="181"/>
      <c r="Q507" s="201"/>
      <c r="R507" s="20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31"/>
      <c r="F508" s="131"/>
      <c r="G508" s="131"/>
      <c r="H508" s="1"/>
      <c r="I508" s="1"/>
      <c r="J508" s="1"/>
      <c r="K508" s="1"/>
      <c r="L508" s="1"/>
      <c r="M508" s="1"/>
      <c r="N508" s="1"/>
      <c r="O508" s="1"/>
      <c r="P508" s="181"/>
      <c r="Q508" s="201"/>
      <c r="R508" s="20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31"/>
      <c r="F509" s="131"/>
      <c r="G509" s="131"/>
      <c r="H509" s="1"/>
      <c r="I509" s="1"/>
      <c r="J509" s="1"/>
      <c r="K509" s="1"/>
      <c r="L509" s="1"/>
      <c r="M509" s="1"/>
      <c r="N509" s="1"/>
      <c r="O509" s="1"/>
      <c r="P509" s="181"/>
      <c r="Q509" s="201"/>
      <c r="R509" s="20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31"/>
      <c r="F510" s="131"/>
      <c r="G510" s="131"/>
      <c r="H510" s="1"/>
      <c r="I510" s="1"/>
      <c r="J510" s="1"/>
      <c r="K510" s="1"/>
      <c r="L510" s="1"/>
      <c r="M510" s="1"/>
      <c r="N510" s="1"/>
      <c r="O510" s="1"/>
      <c r="P510" s="181"/>
      <c r="Q510" s="201"/>
      <c r="R510" s="20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31"/>
      <c r="F511" s="131"/>
      <c r="G511" s="131"/>
      <c r="H511" s="1"/>
      <c r="I511" s="1"/>
      <c r="J511" s="1"/>
      <c r="K511" s="1"/>
      <c r="L511" s="1"/>
      <c r="M511" s="1"/>
      <c r="N511" s="1"/>
      <c r="O511" s="1"/>
      <c r="P511" s="181"/>
      <c r="Q511" s="201"/>
      <c r="R511" s="20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31"/>
      <c r="F512" s="131"/>
      <c r="G512" s="131"/>
      <c r="H512" s="1"/>
      <c r="I512" s="1"/>
      <c r="J512" s="1"/>
      <c r="K512" s="1"/>
      <c r="L512" s="1"/>
      <c r="M512" s="1"/>
      <c r="N512" s="1"/>
      <c r="O512" s="1"/>
      <c r="P512" s="181"/>
      <c r="Q512" s="201"/>
      <c r="R512" s="20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31"/>
      <c r="F513" s="131"/>
      <c r="G513" s="131"/>
      <c r="H513" s="1"/>
      <c r="I513" s="1"/>
      <c r="J513" s="1"/>
      <c r="K513" s="1"/>
      <c r="L513" s="1"/>
      <c r="M513" s="1"/>
      <c r="N513" s="1"/>
      <c r="O513" s="1"/>
      <c r="P513" s="181"/>
      <c r="Q513" s="201"/>
      <c r="R513" s="20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31"/>
      <c r="F514" s="131"/>
      <c r="G514" s="131"/>
      <c r="H514" s="1"/>
      <c r="I514" s="1"/>
      <c r="J514" s="1"/>
      <c r="K514" s="1"/>
      <c r="L514" s="1"/>
      <c r="M514" s="1"/>
      <c r="N514" s="1"/>
      <c r="O514" s="1"/>
      <c r="P514" s="181"/>
      <c r="Q514" s="201"/>
      <c r="R514" s="20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31"/>
      <c r="F515" s="131"/>
      <c r="G515" s="131"/>
      <c r="H515" s="1"/>
      <c r="I515" s="1"/>
      <c r="J515" s="1"/>
      <c r="K515" s="1"/>
      <c r="L515" s="1"/>
      <c r="M515" s="1"/>
      <c r="N515" s="1"/>
      <c r="O515" s="1"/>
      <c r="P515" s="181"/>
      <c r="Q515" s="201"/>
      <c r="R515" s="20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31"/>
      <c r="F516" s="131"/>
      <c r="G516" s="131"/>
      <c r="H516" s="1"/>
      <c r="I516" s="1"/>
      <c r="J516" s="1"/>
      <c r="K516" s="1"/>
      <c r="L516" s="1"/>
      <c r="M516" s="1"/>
      <c r="N516" s="1"/>
      <c r="O516" s="1"/>
      <c r="P516" s="181"/>
      <c r="Q516" s="201"/>
      <c r="R516" s="20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31"/>
      <c r="F517" s="131"/>
      <c r="G517" s="131"/>
      <c r="H517" s="1"/>
      <c r="I517" s="1"/>
      <c r="J517" s="1"/>
      <c r="K517" s="1"/>
      <c r="L517" s="1"/>
      <c r="M517" s="1"/>
      <c r="N517" s="1"/>
      <c r="O517" s="1"/>
      <c r="P517" s="181"/>
      <c r="Q517" s="201"/>
      <c r="R517" s="20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31"/>
      <c r="F518" s="131"/>
      <c r="G518" s="131"/>
      <c r="H518" s="1"/>
      <c r="I518" s="1"/>
      <c r="J518" s="1"/>
      <c r="K518" s="1"/>
      <c r="L518" s="1"/>
      <c r="M518" s="1"/>
      <c r="N518" s="1"/>
      <c r="O518" s="1"/>
      <c r="P518" s="181"/>
      <c r="Q518" s="201"/>
      <c r="R518" s="20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31"/>
      <c r="F519" s="131"/>
      <c r="G519" s="131"/>
      <c r="H519" s="1"/>
      <c r="I519" s="1"/>
      <c r="J519" s="1"/>
      <c r="K519" s="1"/>
      <c r="L519" s="1"/>
      <c r="M519" s="1"/>
      <c r="N519" s="1"/>
      <c r="O519" s="1"/>
      <c r="P519" s="181"/>
      <c r="Q519" s="201"/>
      <c r="R519" s="20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31"/>
      <c r="F520" s="131"/>
      <c r="G520" s="131"/>
      <c r="H520" s="1"/>
      <c r="I520" s="1"/>
      <c r="J520" s="1"/>
      <c r="K520" s="1"/>
      <c r="L520" s="1"/>
      <c r="M520" s="1"/>
      <c r="N520" s="1"/>
      <c r="O520" s="1"/>
      <c r="P520" s="181"/>
      <c r="Q520" s="201"/>
      <c r="R520" s="20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31"/>
      <c r="F521" s="131"/>
      <c r="G521" s="131"/>
      <c r="H521" s="1"/>
      <c r="I521" s="1"/>
      <c r="J521" s="1"/>
      <c r="K521" s="1"/>
      <c r="L521" s="1"/>
      <c r="M521" s="1"/>
      <c r="N521" s="1"/>
      <c r="O521" s="1"/>
      <c r="P521" s="181"/>
      <c r="Q521" s="201"/>
      <c r="R521" s="20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31"/>
      <c r="F522" s="131"/>
      <c r="G522" s="131"/>
      <c r="H522" s="1"/>
      <c r="I522" s="1"/>
      <c r="J522" s="1"/>
      <c r="K522" s="1"/>
      <c r="L522" s="1"/>
      <c r="M522" s="1"/>
      <c r="N522" s="1"/>
      <c r="O522" s="1"/>
      <c r="P522" s="181"/>
      <c r="Q522" s="201"/>
      <c r="R522" s="20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31"/>
      <c r="F523" s="131"/>
      <c r="G523" s="131"/>
      <c r="H523" s="1"/>
      <c r="I523" s="1"/>
      <c r="J523" s="1"/>
      <c r="K523" s="1"/>
      <c r="L523" s="1"/>
      <c r="M523" s="1"/>
      <c r="N523" s="1"/>
      <c r="O523" s="1"/>
      <c r="P523" s="181"/>
      <c r="Q523" s="201"/>
      <c r="R523" s="20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31"/>
      <c r="F524" s="131"/>
      <c r="G524" s="131"/>
      <c r="H524" s="1"/>
      <c r="I524" s="1"/>
      <c r="J524" s="1"/>
      <c r="K524" s="1"/>
      <c r="L524" s="1"/>
      <c r="M524" s="1"/>
      <c r="N524" s="1"/>
      <c r="O524" s="1"/>
      <c r="P524" s="181"/>
      <c r="Q524" s="201"/>
      <c r="R524" s="20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31"/>
      <c r="F525" s="131"/>
      <c r="G525" s="131"/>
      <c r="H525" s="1"/>
      <c r="I525" s="1"/>
      <c r="J525" s="1"/>
      <c r="K525" s="1"/>
      <c r="L525" s="1"/>
      <c r="M525" s="1"/>
      <c r="N525" s="1"/>
      <c r="O525" s="1"/>
      <c r="P525" s="181"/>
      <c r="Q525" s="201"/>
      <c r="R525" s="20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31"/>
      <c r="F526" s="131"/>
      <c r="G526" s="131"/>
      <c r="H526" s="1"/>
      <c r="I526" s="1"/>
      <c r="J526" s="1"/>
      <c r="K526" s="1"/>
      <c r="L526" s="1"/>
      <c r="M526" s="1"/>
      <c r="N526" s="1"/>
      <c r="O526" s="1"/>
      <c r="P526" s="181"/>
      <c r="Q526" s="201"/>
      <c r="R526" s="20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31"/>
      <c r="F527" s="131"/>
      <c r="G527" s="131"/>
      <c r="H527" s="1"/>
      <c r="I527" s="1"/>
      <c r="J527" s="1"/>
      <c r="K527" s="1"/>
      <c r="L527" s="1"/>
      <c r="M527" s="1"/>
      <c r="N527" s="1"/>
      <c r="O527" s="1"/>
      <c r="P527" s="181"/>
      <c r="Q527" s="201"/>
      <c r="R527" s="20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31"/>
      <c r="F528" s="131"/>
      <c r="G528" s="131"/>
      <c r="H528" s="1"/>
      <c r="I528" s="1"/>
      <c r="J528" s="1"/>
      <c r="K528" s="1"/>
      <c r="L528" s="1"/>
      <c r="M528" s="1"/>
      <c r="N528" s="1"/>
      <c r="O528" s="1"/>
      <c r="P528" s="181"/>
      <c r="Q528" s="201"/>
      <c r="R528" s="20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31"/>
      <c r="F529" s="131"/>
      <c r="G529" s="131"/>
      <c r="H529" s="1"/>
      <c r="I529" s="1"/>
      <c r="J529" s="1"/>
      <c r="K529" s="1"/>
      <c r="L529" s="1"/>
      <c r="M529" s="1"/>
      <c r="N529" s="1"/>
      <c r="O529" s="1"/>
      <c r="P529" s="181"/>
      <c r="Q529" s="201"/>
      <c r="R529" s="20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31"/>
      <c r="F530" s="131"/>
      <c r="G530" s="131"/>
      <c r="H530" s="1"/>
      <c r="I530" s="1"/>
      <c r="J530" s="1"/>
      <c r="K530" s="1"/>
      <c r="L530" s="1"/>
      <c r="M530" s="1"/>
      <c r="N530" s="1"/>
      <c r="O530" s="1"/>
      <c r="P530" s="181"/>
      <c r="Q530" s="201"/>
      <c r="R530" s="20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31"/>
      <c r="F531" s="131"/>
      <c r="G531" s="131"/>
      <c r="H531" s="1"/>
      <c r="I531" s="1"/>
      <c r="J531" s="1"/>
      <c r="K531" s="1"/>
      <c r="L531" s="1"/>
      <c r="M531" s="1"/>
      <c r="N531" s="1"/>
      <c r="O531" s="1"/>
      <c r="P531" s="181"/>
      <c r="Q531" s="201"/>
      <c r="R531" s="20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31"/>
      <c r="F532" s="131"/>
      <c r="G532" s="131"/>
      <c r="H532" s="1"/>
      <c r="I532" s="1"/>
      <c r="J532" s="1"/>
      <c r="K532" s="1"/>
      <c r="L532" s="1"/>
      <c r="M532" s="1"/>
      <c r="N532" s="1"/>
      <c r="O532" s="1"/>
      <c r="P532" s="181"/>
      <c r="Q532" s="201"/>
      <c r="R532" s="20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31"/>
      <c r="F533" s="131"/>
      <c r="G533" s="131"/>
      <c r="H533" s="1"/>
      <c r="I533" s="1"/>
      <c r="J533" s="1"/>
      <c r="K533" s="1"/>
      <c r="L533" s="1"/>
      <c r="M533" s="1"/>
      <c r="N533" s="1"/>
      <c r="O533" s="1"/>
      <c r="P533" s="181"/>
      <c r="Q533" s="201"/>
      <c r="R533" s="20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31"/>
      <c r="F534" s="131"/>
      <c r="G534" s="131"/>
      <c r="H534" s="1"/>
      <c r="I534" s="1"/>
      <c r="J534" s="1"/>
      <c r="K534" s="1"/>
      <c r="L534" s="1"/>
      <c r="M534" s="1"/>
      <c r="N534" s="1"/>
      <c r="O534" s="1"/>
      <c r="P534" s="181"/>
      <c r="Q534" s="201"/>
      <c r="R534" s="20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31"/>
      <c r="F535" s="131"/>
      <c r="G535" s="131"/>
      <c r="H535" s="1"/>
      <c r="I535" s="1"/>
      <c r="J535" s="1"/>
      <c r="K535" s="1"/>
      <c r="L535" s="1"/>
      <c r="M535" s="1"/>
      <c r="N535" s="1"/>
      <c r="O535" s="1"/>
      <c r="P535" s="181"/>
      <c r="Q535" s="201"/>
      <c r="R535" s="20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31"/>
      <c r="F536" s="131"/>
      <c r="G536" s="131"/>
      <c r="H536" s="1"/>
      <c r="I536" s="1"/>
      <c r="J536" s="1"/>
      <c r="K536" s="1"/>
      <c r="L536" s="1"/>
      <c r="M536" s="1"/>
      <c r="N536" s="1"/>
      <c r="O536" s="1"/>
      <c r="P536" s="181"/>
      <c r="Q536" s="201"/>
      <c r="R536" s="20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31"/>
      <c r="F537" s="131"/>
      <c r="G537" s="131"/>
      <c r="H537" s="1"/>
      <c r="I537" s="1"/>
      <c r="J537" s="1"/>
      <c r="K537" s="1"/>
      <c r="L537" s="1"/>
      <c r="M537" s="1"/>
      <c r="N537" s="1"/>
      <c r="O537" s="1"/>
      <c r="P537" s="181"/>
      <c r="Q537" s="201"/>
      <c r="R537" s="20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31"/>
      <c r="F538" s="131"/>
      <c r="G538" s="131"/>
      <c r="H538" s="1"/>
      <c r="I538" s="1"/>
      <c r="J538" s="1"/>
      <c r="K538" s="1"/>
      <c r="L538" s="1"/>
      <c r="M538" s="1"/>
      <c r="N538" s="1"/>
      <c r="O538" s="1"/>
      <c r="P538" s="181"/>
      <c r="Q538" s="201"/>
      <c r="R538" s="20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31"/>
      <c r="F539" s="131"/>
      <c r="G539" s="131"/>
      <c r="H539" s="1"/>
      <c r="I539" s="1"/>
      <c r="J539" s="1"/>
      <c r="K539" s="1"/>
      <c r="L539" s="1"/>
      <c r="M539" s="1"/>
      <c r="N539" s="1"/>
      <c r="O539" s="1"/>
      <c r="P539" s="181"/>
      <c r="Q539" s="201"/>
      <c r="R539" s="20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31"/>
      <c r="F540" s="131"/>
      <c r="G540" s="131"/>
      <c r="H540" s="1"/>
      <c r="I540" s="1"/>
      <c r="J540" s="1"/>
      <c r="K540" s="1"/>
      <c r="L540" s="1"/>
      <c r="M540" s="1"/>
      <c r="N540" s="1"/>
      <c r="O540" s="1"/>
      <c r="P540" s="181"/>
      <c r="Q540" s="201"/>
      <c r="R540" s="20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31"/>
      <c r="F541" s="131"/>
      <c r="G541" s="131"/>
      <c r="H541" s="1"/>
      <c r="I541" s="1"/>
      <c r="J541" s="1"/>
      <c r="K541" s="1"/>
      <c r="L541" s="1"/>
      <c r="M541" s="1"/>
      <c r="N541" s="1"/>
      <c r="O541" s="1"/>
      <c r="P541" s="181"/>
      <c r="Q541" s="201"/>
      <c r="R541" s="20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31"/>
      <c r="F542" s="131"/>
      <c r="G542" s="131"/>
      <c r="H542" s="1"/>
      <c r="I542" s="1"/>
      <c r="J542" s="1"/>
      <c r="K542" s="1"/>
      <c r="L542" s="1"/>
      <c r="M542" s="1"/>
      <c r="N542" s="1"/>
      <c r="O542" s="1"/>
      <c r="P542" s="181"/>
      <c r="Q542" s="201"/>
      <c r="R542" s="20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31"/>
      <c r="F543" s="131"/>
      <c r="G543" s="131"/>
      <c r="H543" s="1"/>
      <c r="I543" s="1"/>
      <c r="J543" s="1"/>
      <c r="K543" s="1"/>
      <c r="L543" s="1"/>
      <c r="M543" s="1"/>
      <c r="N543" s="1"/>
      <c r="O543" s="1"/>
      <c r="P543" s="181"/>
      <c r="Q543" s="201"/>
      <c r="R543" s="20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31"/>
      <c r="F544" s="131"/>
      <c r="G544" s="131"/>
      <c r="H544" s="1"/>
      <c r="I544" s="1"/>
      <c r="J544" s="1"/>
      <c r="K544" s="1"/>
      <c r="L544" s="1"/>
      <c r="M544" s="1"/>
      <c r="N544" s="1"/>
      <c r="O544" s="1"/>
      <c r="P544" s="181"/>
      <c r="Q544" s="201"/>
      <c r="R544" s="20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31"/>
      <c r="F545" s="131"/>
      <c r="G545" s="131"/>
      <c r="H545" s="1"/>
      <c r="I545" s="1"/>
      <c r="J545" s="1"/>
      <c r="K545" s="1"/>
      <c r="L545" s="1"/>
      <c r="M545" s="1"/>
      <c r="N545" s="1"/>
      <c r="O545" s="1"/>
      <c r="P545" s="181"/>
      <c r="Q545" s="201"/>
      <c r="R545" s="20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31"/>
      <c r="F546" s="131"/>
      <c r="G546" s="131"/>
      <c r="H546" s="1"/>
      <c r="I546" s="1"/>
      <c r="J546" s="1"/>
      <c r="K546" s="1"/>
      <c r="L546" s="1"/>
      <c r="M546" s="1"/>
      <c r="N546" s="1"/>
      <c r="O546" s="1"/>
      <c r="P546" s="181"/>
      <c r="Q546" s="201"/>
      <c r="R546" s="20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31"/>
      <c r="F547" s="131"/>
      <c r="G547" s="131"/>
      <c r="H547" s="1"/>
      <c r="I547" s="1"/>
      <c r="J547" s="1"/>
      <c r="K547" s="1"/>
      <c r="L547" s="1"/>
      <c r="M547" s="1"/>
      <c r="N547" s="1"/>
      <c r="O547" s="1"/>
      <c r="P547" s="181"/>
      <c r="Q547" s="201"/>
      <c r="R547" s="20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31"/>
      <c r="F548" s="131"/>
      <c r="G548" s="131"/>
      <c r="H548" s="1"/>
      <c r="I548" s="1"/>
      <c r="J548" s="1"/>
      <c r="K548" s="1"/>
      <c r="L548" s="1"/>
      <c r="M548" s="1"/>
      <c r="N548" s="1"/>
      <c r="O548" s="1"/>
      <c r="P548" s="181"/>
      <c r="Q548" s="201"/>
      <c r="R548" s="20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31"/>
      <c r="F549" s="131"/>
      <c r="G549" s="131"/>
      <c r="H549" s="1"/>
      <c r="I549" s="1"/>
      <c r="J549" s="1"/>
      <c r="K549" s="1"/>
      <c r="L549" s="1"/>
      <c r="M549" s="1"/>
      <c r="N549" s="1"/>
      <c r="O549" s="1"/>
      <c r="P549" s="181"/>
      <c r="Q549" s="201"/>
      <c r="R549" s="20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31"/>
      <c r="F550" s="131"/>
      <c r="G550" s="131"/>
      <c r="H550" s="1"/>
      <c r="I550" s="1"/>
      <c r="J550" s="1"/>
      <c r="K550" s="1"/>
      <c r="L550" s="1"/>
      <c r="M550" s="1"/>
      <c r="N550" s="1"/>
      <c r="O550" s="1"/>
      <c r="P550" s="181"/>
      <c r="Q550" s="201"/>
      <c r="R550" s="20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31"/>
      <c r="F551" s="131"/>
      <c r="G551" s="131"/>
      <c r="H551" s="1"/>
      <c r="I551" s="1"/>
      <c r="J551" s="1"/>
      <c r="K551" s="1"/>
      <c r="L551" s="1"/>
      <c r="M551" s="1"/>
      <c r="N551" s="1"/>
      <c r="O551" s="1"/>
      <c r="P551" s="181"/>
      <c r="Q551" s="201"/>
      <c r="R551" s="20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31"/>
      <c r="F552" s="131"/>
      <c r="G552" s="131"/>
      <c r="H552" s="1"/>
      <c r="I552" s="1"/>
      <c r="J552" s="1"/>
      <c r="K552" s="1"/>
      <c r="L552" s="1"/>
      <c r="M552" s="1"/>
      <c r="N552" s="1"/>
      <c r="O552" s="1"/>
      <c r="P552" s="181"/>
      <c r="Q552" s="201"/>
      <c r="R552" s="20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31"/>
      <c r="F553" s="131"/>
      <c r="G553" s="131"/>
      <c r="H553" s="1"/>
      <c r="I553" s="1"/>
      <c r="J553" s="1"/>
      <c r="K553" s="1"/>
      <c r="L553" s="1"/>
      <c r="M553" s="1"/>
      <c r="N553" s="1"/>
      <c r="O553" s="1"/>
      <c r="P553" s="181"/>
      <c r="Q553" s="201"/>
      <c r="R553" s="20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31"/>
      <c r="F554" s="131"/>
      <c r="G554" s="131"/>
      <c r="H554" s="1"/>
      <c r="I554" s="1"/>
      <c r="J554" s="1"/>
      <c r="K554" s="1"/>
      <c r="L554" s="1"/>
      <c r="M554" s="1"/>
      <c r="N554" s="1"/>
      <c r="O554" s="1"/>
      <c r="P554" s="181"/>
      <c r="Q554" s="201"/>
      <c r="R554" s="20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31"/>
      <c r="F555" s="131"/>
      <c r="G555" s="131"/>
      <c r="H555" s="1"/>
      <c r="I555" s="1"/>
      <c r="J555" s="1"/>
      <c r="K555" s="1"/>
      <c r="L555" s="1"/>
      <c r="M555" s="1"/>
      <c r="N555" s="1"/>
      <c r="O555" s="1"/>
      <c r="P555" s="181"/>
      <c r="Q555" s="201"/>
      <c r="R555" s="20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31"/>
      <c r="F556" s="131"/>
      <c r="G556" s="131"/>
      <c r="H556" s="1"/>
      <c r="I556" s="1"/>
      <c r="J556" s="1"/>
      <c r="K556" s="1"/>
      <c r="L556" s="1"/>
      <c r="M556" s="1"/>
      <c r="N556" s="1"/>
      <c r="O556" s="1"/>
      <c r="P556" s="181"/>
      <c r="Q556" s="201"/>
      <c r="R556" s="20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31"/>
      <c r="F557" s="131"/>
      <c r="G557" s="131"/>
      <c r="H557" s="1"/>
      <c r="I557" s="1"/>
      <c r="J557" s="1"/>
      <c r="K557" s="1"/>
      <c r="L557" s="1"/>
      <c r="M557" s="1"/>
      <c r="N557" s="1"/>
      <c r="O557" s="1"/>
      <c r="P557" s="181"/>
      <c r="Q557" s="201"/>
      <c r="R557" s="20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31"/>
      <c r="F558" s="131"/>
      <c r="G558" s="131"/>
      <c r="H558" s="1"/>
      <c r="I558" s="1"/>
      <c r="J558" s="1"/>
      <c r="K558" s="1"/>
      <c r="L558" s="1"/>
      <c r="M558" s="1"/>
      <c r="N558" s="1"/>
      <c r="O558" s="1"/>
      <c r="P558" s="181"/>
      <c r="Q558" s="201"/>
      <c r="R558" s="20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31"/>
      <c r="F559" s="131"/>
      <c r="G559" s="131"/>
      <c r="H559" s="1"/>
      <c r="I559" s="1"/>
      <c r="J559" s="1"/>
      <c r="K559" s="1"/>
      <c r="L559" s="1"/>
      <c r="M559" s="1"/>
      <c r="N559" s="1"/>
      <c r="O559" s="1"/>
      <c r="P559" s="181"/>
      <c r="Q559" s="201"/>
      <c r="R559" s="20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31"/>
      <c r="F560" s="131"/>
      <c r="G560" s="131"/>
      <c r="H560" s="1"/>
      <c r="I560" s="1"/>
      <c r="J560" s="1"/>
      <c r="K560" s="1"/>
      <c r="L560" s="1"/>
      <c r="M560" s="1"/>
      <c r="N560" s="1"/>
      <c r="O560" s="1"/>
      <c r="P560" s="181"/>
      <c r="Q560" s="201"/>
      <c r="R560" s="20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31"/>
      <c r="F561" s="131"/>
      <c r="G561" s="131"/>
      <c r="H561" s="1"/>
      <c r="I561" s="1"/>
      <c r="J561" s="1"/>
      <c r="K561" s="1"/>
      <c r="L561" s="1"/>
      <c r="M561" s="1"/>
      <c r="N561" s="1"/>
      <c r="O561" s="1"/>
      <c r="P561" s="181"/>
      <c r="Q561" s="201"/>
      <c r="R561" s="20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31"/>
      <c r="F562" s="131"/>
      <c r="G562" s="131"/>
      <c r="H562" s="1"/>
      <c r="I562" s="1"/>
      <c r="J562" s="1"/>
      <c r="K562" s="1"/>
      <c r="L562" s="1"/>
      <c r="M562" s="1"/>
      <c r="N562" s="1"/>
      <c r="O562" s="1"/>
      <c r="P562" s="181"/>
      <c r="Q562" s="201"/>
      <c r="R562" s="20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31"/>
      <c r="F563" s="131"/>
      <c r="G563" s="131"/>
      <c r="H563" s="1"/>
      <c r="I563" s="1"/>
      <c r="J563" s="1"/>
      <c r="K563" s="1"/>
      <c r="L563" s="1"/>
      <c r="M563" s="1"/>
      <c r="N563" s="1"/>
      <c r="O563" s="1"/>
      <c r="P563" s="181"/>
      <c r="Q563" s="201"/>
      <c r="R563" s="20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31"/>
      <c r="F564" s="131"/>
      <c r="G564" s="131"/>
      <c r="H564" s="1"/>
      <c r="I564" s="1"/>
      <c r="J564" s="1"/>
      <c r="K564" s="1"/>
      <c r="L564" s="1"/>
      <c r="M564" s="1"/>
      <c r="N564" s="1"/>
      <c r="O564" s="1"/>
      <c r="P564" s="181"/>
      <c r="Q564" s="201"/>
      <c r="R564" s="20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31"/>
      <c r="F565" s="131"/>
      <c r="G565" s="131"/>
      <c r="H565" s="1"/>
      <c r="I565" s="1"/>
      <c r="J565" s="1"/>
      <c r="K565" s="1"/>
      <c r="L565" s="1"/>
      <c r="M565" s="1"/>
      <c r="N565" s="1"/>
      <c r="O565" s="1"/>
      <c r="P565" s="181"/>
      <c r="Q565" s="201"/>
      <c r="R565" s="20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31"/>
      <c r="F566" s="131"/>
      <c r="G566" s="131"/>
      <c r="H566" s="1"/>
      <c r="I566" s="1"/>
      <c r="J566" s="1"/>
      <c r="K566" s="1"/>
      <c r="L566" s="1"/>
      <c r="M566" s="1"/>
      <c r="N566" s="1"/>
      <c r="O566" s="1"/>
      <c r="P566" s="181"/>
      <c r="Q566" s="201"/>
      <c r="R566" s="20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31"/>
      <c r="F567" s="131"/>
      <c r="G567" s="131"/>
      <c r="H567" s="1"/>
      <c r="I567" s="1"/>
      <c r="J567" s="1"/>
      <c r="K567" s="1"/>
      <c r="L567" s="1"/>
      <c r="M567" s="1"/>
      <c r="N567" s="1"/>
      <c r="O567" s="1"/>
      <c r="P567" s="181"/>
      <c r="Q567" s="201"/>
      <c r="R567" s="20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31"/>
      <c r="F568" s="131"/>
      <c r="G568" s="131"/>
      <c r="H568" s="1"/>
      <c r="I568" s="1"/>
      <c r="J568" s="1"/>
      <c r="K568" s="1"/>
      <c r="L568" s="1"/>
      <c r="M568" s="1"/>
      <c r="N568" s="1"/>
      <c r="O568" s="1"/>
      <c r="P568" s="181"/>
      <c r="Q568" s="201"/>
      <c r="R568" s="20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31"/>
      <c r="F569" s="131"/>
      <c r="G569" s="131"/>
      <c r="H569" s="1"/>
      <c r="I569" s="1"/>
      <c r="J569" s="1"/>
      <c r="K569" s="1"/>
      <c r="L569" s="1"/>
      <c r="M569" s="1"/>
      <c r="N569" s="1"/>
      <c r="O569" s="1"/>
      <c r="P569" s="181"/>
      <c r="Q569" s="201"/>
      <c r="R569" s="20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31"/>
      <c r="F570" s="131"/>
      <c r="G570" s="131"/>
      <c r="H570" s="1"/>
      <c r="I570" s="1"/>
      <c r="J570" s="1"/>
      <c r="K570" s="1"/>
      <c r="L570" s="1"/>
      <c r="M570" s="1"/>
      <c r="N570" s="1"/>
      <c r="O570" s="1"/>
      <c r="P570" s="181"/>
      <c r="Q570" s="201"/>
      <c r="R570" s="20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31"/>
      <c r="F571" s="131"/>
      <c r="G571" s="131"/>
      <c r="H571" s="1"/>
      <c r="I571" s="1"/>
      <c r="J571" s="1"/>
      <c r="K571" s="1"/>
      <c r="L571" s="1"/>
      <c r="M571" s="1"/>
      <c r="N571" s="1"/>
      <c r="O571" s="1"/>
      <c r="P571" s="181"/>
      <c r="Q571" s="201"/>
      <c r="R571" s="20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31"/>
      <c r="F572" s="131"/>
      <c r="G572" s="131"/>
      <c r="H572" s="1"/>
      <c r="I572" s="1"/>
      <c r="J572" s="1"/>
      <c r="K572" s="1"/>
      <c r="L572" s="1"/>
      <c r="M572" s="1"/>
      <c r="N572" s="1"/>
      <c r="O572" s="1"/>
      <c r="P572" s="181"/>
      <c r="Q572" s="201"/>
      <c r="R572" s="20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31"/>
      <c r="F573" s="131"/>
      <c r="G573" s="131"/>
      <c r="H573" s="1"/>
      <c r="I573" s="1"/>
      <c r="J573" s="1"/>
      <c r="K573" s="1"/>
      <c r="L573" s="1"/>
      <c r="M573" s="1"/>
      <c r="N573" s="1"/>
      <c r="O573" s="1"/>
      <c r="P573" s="181"/>
      <c r="Q573" s="201"/>
      <c r="R573" s="20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31"/>
      <c r="F574" s="131"/>
      <c r="G574" s="131"/>
      <c r="H574" s="1"/>
      <c r="I574" s="1"/>
      <c r="J574" s="1"/>
      <c r="K574" s="1"/>
      <c r="L574" s="1"/>
      <c r="M574" s="1"/>
      <c r="N574" s="1"/>
      <c r="O574" s="1"/>
      <c r="P574" s="181"/>
      <c r="Q574" s="201"/>
      <c r="R574" s="20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31"/>
      <c r="F575" s="131"/>
      <c r="G575" s="131"/>
      <c r="H575" s="1"/>
      <c r="I575" s="1"/>
      <c r="J575" s="1"/>
      <c r="K575" s="1"/>
      <c r="L575" s="1"/>
      <c r="M575" s="1"/>
      <c r="N575" s="1"/>
      <c r="O575" s="1"/>
      <c r="P575" s="181"/>
      <c r="Q575" s="201"/>
      <c r="R575" s="20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31"/>
      <c r="F576" s="131"/>
      <c r="G576" s="131"/>
      <c r="H576" s="1"/>
      <c r="I576" s="1"/>
      <c r="J576" s="1"/>
      <c r="K576" s="1"/>
      <c r="L576" s="1"/>
      <c r="M576" s="1"/>
      <c r="N576" s="1"/>
      <c r="O576" s="1"/>
      <c r="P576" s="181"/>
      <c r="Q576" s="201"/>
      <c r="R576" s="20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31"/>
      <c r="F577" s="131"/>
      <c r="G577" s="131"/>
      <c r="H577" s="1"/>
      <c r="I577" s="1"/>
      <c r="J577" s="1"/>
      <c r="K577" s="1"/>
      <c r="L577" s="1"/>
      <c r="M577" s="1"/>
      <c r="N577" s="1"/>
      <c r="O577" s="1"/>
      <c r="P577" s="181"/>
      <c r="Q577" s="201"/>
      <c r="R577" s="20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31"/>
      <c r="F578" s="131"/>
      <c r="G578" s="131"/>
      <c r="H578" s="1"/>
      <c r="I578" s="1"/>
      <c r="J578" s="1"/>
      <c r="K578" s="1"/>
      <c r="L578" s="1"/>
      <c r="M578" s="1"/>
      <c r="N578" s="1"/>
      <c r="O578" s="1"/>
      <c r="P578" s="181"/>
      <c r="Q578" s="201"/>
      <c r="R578" s="20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31"/>
      <c r="F579" s="131"/>
      <c r="G579" s="131"/>
      <c r="H579" s="1"/>
      <c r="I579" s="1"/>
      <c r="J579" s="1"/>
      <c r="K579" s="1"/>
      <c r="L579" s="1"/>
      <c r="M579" s="1"/>
      <c r="N579" s="1"/>
      <c r="O579" s="1"/>
      <c r="P579" s="181"/>
      <c r="Q579" s="201"/>
      <c r="R579" s="20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31"/>
      <c r="F580" s="131"/>
      <c r="G580" s="131"/>
      <c r="H580" s="1"/>
      <c r="I580" s="1"/>
      <c r="J580" s="1"/>
      <c r="K580" s="1"/>
      <c r="L580" s="1"/>
      <c r="M580" s="1"/>
      <c r="N580" s="1"/>
      <c r="O580" s="1"/>
      <c r="P580" s="181"/>
      <c r="Q580" s="201"/>
      <c r="R580" s="20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31"/>
      <c r="F581" s="131"/>
      <c r="G581" s="131"/>
      <c r="H581" s="1"/>
      <c r="I581" s="1"/>
      <c r="J581" s="1"/>
      <c r="K581" s="1"/>
      <c r="L581" s="1"/>
      <c r="M581" s="1"/>
      <c r="N581" s="1"/>
      <c r="O581" s="1"/>
      <c r="P581" s="181"/>
      <c r="Q581" s="201"/>
      <c r="R581" s="20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31"/>
      <c r="F582" s="131"/>
      <c r="G582" s="131"/>
      <c r="H582" s="1"/>
      <c r="I582" s="1"/>
      <c r="J582" s="1"/>
      <c r="K582" s="1"/>
      <c r="L582" s="1"/>
      <c r="M582" s="1"/>
      <c r="N582" s="1"/>
      <c r="O582" s="1"/>
      <c r="P582" s="181"/>
      <c r="Q582" s="201"/>
      <c r="R582" s="20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31"/>
      <c r="F583" s="131"/>
      <c r="G583" s="131"/>
      <c r="H583" s="1"/>
      <c r="I583" s="1"/>
      <c r="J583" s="1"/>
      <c r="K583" s="1"/>
      <c r="L583" s="1"/>
      <c r="M583" s="1"/>
      <c r="N583" s="1"/>
      <c r="O583" s="1"/>
      <c r="P583" s="181"/>
      <c r="Q583" s="201"/>
      <c r="R583" s="20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31"/>
      <c r="F584" s="131"/>
      <c r="G584" s="131"/>
      <c r="H584" s="1"/>
      <c r="I584" s="1"/>
      <c r="J584" s="1"/>
      <c r="K584" s="1"/>
      <c r="L584" s="1"/>
      <c r="M584" s="1"/>
      <c r="N584" s="1"/>
      <c r="O584" s="1"/>
      <c r="P584" s="181"/>
      <c r="Q584" s="201"/>
      <c r="R584" s="20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31"/>
      <c r="F585" s="131"/>
      <c r="G585" s="131"/>
      <c r="H585" s="1"/>
      <c r="I585" s="1"/>
      <c r="J585" s="1"/>
      <c r="K585" s="1"/>
      <c r="L585" s="1"/>
      <c r="M585" s="1"/>
      <c r="N585" s="1"/>
      <c r="O585" s="1"/>
      <c r="P585" s="181"/>
      <c r="Q585" s="201"/>
      <c r="R585" s="20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31"/>
      <c r="F586" s="131"/>
      <c r="G586" s="131"/>
      <c r="H586" s="1"/>
      <c r="I586" s="1"/>
      <c r="J586" s="1"/>
      <c r="K586" s="1"/>
      <c r="L586" s="1"/>
      <c r="M586" s="1"/>
      <c r="N586" s="1"/>
      <c r="O586" s="1"/>
      <c r="P586" s="181"/>
      <c r="Q586" s="201"/>
      <c r="R586" s="20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31"/>
      <c r="F587" s="131"/>
      <c r="G587" s="131"/>
      <c r="H587" s="1"/>
      <c r="I587" s="1"/>
      <c r="J587" s="1"/>
      <c r="K587" s="1"/>
      <c r="L587" s="1"/>
      <c r="M587" s="1"/>
      <c r="N587" s="1"/>
      <c r="O587" s="1"/>
      <c r="P587" s="181"/>
      <c r="Q587" s="201"/>
      <c r="R587" s="20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31"/>
      <c r="F588" s="131"/>
      <c r="G588" s="131"/>
      <c r="H588" s="1"/>
      <c r="I588" s="1"/>
      <c r="J588" s="1"/>
      <c r="K588" s="1"/>
      <c r="L588" s="1"/>
      <c r="M588" s="1"/>
      <c r="N588" s="1"/>
      <c r="O588" s="1"/>
      <c r="P588" s="181"/>
      <c r="Q588" s="201"/>
      <c r="R588" s="20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31"/>
      <c r="F589" s="131"/>
      <c r="G589" s="131"/>
      <c r="H589" s="1"/>
      <c r="I589" s="1"/>
      <c r="J589" s="1"/>
      <c r="K589" s="1"/>
      <c r="L589" s="1"/>
      <c r="M589" s="1"/>
      <c r="N589" s="1"/>
      <c r="O589" s="1"/>
      <c r="P589" s="181"/>
      <c r="Q589" s="201"/>
      <c r="R589" s="20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31"/>
      <c r="F590" s="131"/>
      <c r="G590" s="131"/>
      <c r="H590" s="1"/>
      <c r="I590" s="1"/>
      <c r="J590" s="1"/>
      <c r="K590" s="1"/>
      <c r="L590" s="1"/>
      <c r="M590" s="1"/>
      <c r="N590" s="1"/>
      <c r="O590" s="1"/>
      <c r="P590" s="181"/>
      <c r="Q590" s="201"/>
      <c r="R590" s="20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31"/>
      <c r="F591" s="131"/>
      <c r="G591" s="131"/>
      <c r="H591" s="1"/>
      <c r="I591" s="1"/>
      <c r="J591" s="1"/>
      <c r="K591" s="1"/>
      <c r="L591" s="1"/>
      <c r="M591" s="1"/>
      <c r="N591" s="1"/>
      <c r="O591" s="1"/>
      <c r="P591" s="181"/>
      <c r="Q591" s="201"/>
      <c r="R591" s="20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31"/>
      <c r="F592" s="131"/>
      <c r="G592" s="131"/>
      <c r="H592" s="1"/>
      <c r="I592" s="1"/>
      <c r="J592" s="1"/>
      <c r="K592" s="1"/>
      <c r="L592" s="1"/>
      <c r="M592" s="1"/>
      <c r="N592" s="1"/>
      <c r="O592" s="1"/>
      <c r="P592" s="181"/>
      <c r="Q592" s="201"/>
      <c r="R592" s="20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31"/>
      <c r="F593" s="131"/>
      <c r="G593" s="131"/>
      <c r="H593" s="1"/>
      <c r="I593" s="1"/>
      <c r="J593" s="1"/>
      <c r="K593" s="1"/>
      <c r="L593" s="1"/>
      <c r="M593" s="1"/>
      <c r="N593" s="1"/>
      <c r="O593" s="1"/>
      <c r="P593" s="181"/>
      <c r="Q593" s="201"/>
      <c r="R593" s="20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31"/>
      <c r="F594" s="131"/>
      <c r="G594" s="131"/>
      <c r="H594" s="1"/>
      <c r="I594" s="1"/>
      <c r="J594" s="1"/>
      <c r="K594" s="1"/>
      <c r="L594" s="1"/>
      <c r="M594" s="1"/>
      <c r="N594" s="1"/>
      <c r="O594" s="1"/>
      <c r="P594" s="181"/>
      <c r="Q594" s="201"/>
      <c r="R594" s="20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31"/>
      <c r="F595" s="131"/>
      <c r="G595" s="131"/>
      <c r="H595" s="1"/>
      <c r="I595" s="1"/>
      <c r="J595" s="1"/>
      <c r="K595" s="1"/>
      <c r="L595" s="1"/>
      <c r="M595" s="1"/>
      <c r="N595" s="1"/>
      <c r="O595" s="1"/>
      <c r="P595" s="181"/>
      <c r="Q595" s="201"/>
      <c r="R595" s="20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31"/>
      <c r="F596" s="131"/>
      <c r="G596" s="131"/>
      <c r="H596" s="1"/>
      <c r="I596" s="1"/>
      <c r="J596" s="1"/>
      <c r="K596" s="1"/>
      <c r="L596" s="1"/>
      <c r="M596" s="1"/>
      <c r="N596" s="1"/>
      <c r="O596" s="1"/>
      <c r="P596" s="181"/>
      <c r="Q596" s="201"/>
      <c r="R596" s="20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31"/>
      <c r="F597" s="131"/>
      <c r="G597" s="131"/>
      <c r="H597" s="1"/>
      <c r="I597" s="1"/>
      <c r="J597" s="1"/>
      <c r="K597" s="1"/>
      <c r="L597" s="1"/>
      <c r="M597" s="1"/>
      <c r="N597" s="1"/>
      <c r="O597" s="1"/>
      <c r="P597" s="181"/>
      <c r="Q597" s="201"/>
      <c r="R597" s="20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31"/>
      <c r="F598" s="131"/>
      <c r="G598" s="131"/>
      <c r="H598" s="1"/>
      <c r="I598" s="1"/>
      <c r="J598" s="1"/>
      <c r="K598" s="1"/>
      <c r="L598" s="1"/>
      <c r="M598" s="1"/>
      <c r="N598" s="1"/>
      <c r="O598" s="1"/>
      <c r="P598" s="181"/>
      <c r="Q598" s="201"/>
      <c r="R598" s="20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31"/>
      <c r="F599" s="131"/>
      <c r="G599" s="131"/>
      <c r="H599" s="1"/>
      <c r="I599" s="1"/>
      <c r="J599" s="1"/>
      <c r="K599" s="1"/>
      <c r="L599" s="1"/>
      <c r="M599" s="1"/>
      <c r="N599" s="1"/>
      <c r="O599" s="1"/>
      <c r="P599" s="181"/>
      <c r="Q599" s="201"/>
      <c r="R599" s="20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31"/>
      <c r="F600" s="131"/>
      <c r="G600" s="131"/>
      <c r="H600" s="1"/>
      <c r="I600" s="1"/>
      <c r="J600" s="1"/>
      <c r="K600" s="1"/>
      <c r="L600" s="1"/>
      <c r="M600" s="1"/>
      <c r="N600" s="1"/>
      <c r="O600" s="1"/>
      <c r="P600" s="181"/>
      <c r="Q600" s="201"/>
      <c r="R600" s="20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31"/>
      <c r="F601" s="131"/>
      <c r="G601" s="131"/>
      <c r="H601" s="1"/>
      <c r="I601" s="1"/>
      <c r="J601" s="1"/>
      <c r="K601" s="1"/>
      <c r="L601" s="1"/>
      <c r="M601" s="1"/>
      <c r="N601" s="1"/>
      <c r="O601" s="1"/>
      <c r="P601" s="181"/>
      <c r="Q601" s="201"/>
      <c r="R601" s="20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31"/>
      <c r="F602" s="131"/>
      <c r="G602" s="131"/>
      <c r="H602" s="1"/>
      <c r="I602" s="1"/>
      <c r="J602" s="1"/>
      <c r="K602" s="1"/>
      <c r="L602" s="1"/>
      <c r="M602" s="1"/>
      <c r="N602" s="1"/>
      <c r="O602" s="1"/>
      <c r="P602" s="181"/>
      <c r="Q602" s="201"/>
      <c r="R602" s="20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31"/>
      <c r="F603" s="131"/>
      <c r="G603" s="131"/>
      <c r="H603" s="1"/>
      <c r="I603" s="1"/>
      <c r="J603" s="1"/>
      <c r="K603" s="1"/>
      <c r="L603" s="1"/>
      <c r="M603" s="1"/>
      <c r="N603" s="1"/>
      <c r="O603" s="1"/>
      <c r="P603" s="181"/>
      <c r="Q603" s="201"/>
      <c r="R603" s="20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31"/>
      <c r="F604" s="131"/>
      <c r="G604" s="131"/>
      <c r="H604" s="1"/>
      <c r="I604" s="1"/>
      <c r="J604" s="1"/>
      <c r="K604" s="1"/>
      <c r="L604" s="1"/>
      <c r="M604" s="1"/>
      <c r="N604" s="1"/>
      <c r="O604" s="1"/>
      <c r="P604" s="181"/>
      <c r="Q604" s="201"/>
      <c r="R604" s="20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31"/>
      <c r="F605" s="131"/>
      <c r="G605" s="131"/>
      <c r="H605" s="1"/>
      <c r="I605" s="1"/>
      <c r="J605" s="1"/>
      <c r="K605" s="1"/>
      <c r="L605" s="1"/>
      <c r="M605" s="1"/>
      <c r="N605" s="1"/>
      <c r="O605" s="1"/>
      <c r="P605" s="181"/>
      <c r="Q605" s="201"/>
      <c r="R605" s="20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31"/>
      <c r="F606" s="131"/>
      <c r="G606" s="131"/>
      <c r="H606" s="1"/>
      <c r="I606" s="1"/>
      <c r="J606" s="1"/>
      <c r="K606" s="1"/>
      <c r="L606" s="1"/>
      <c r="M606" s="1"/>
      <c r="N606" s="1"/>
      <c r="O606" s="1"/>
      <c r="P606" s="181"/>
      <c r="Q606" s="201"/>
      <c r="R606" s="20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31"/>
      <c r="F607" s="131"/>
      <c r="G607" s="131"/>
      <c r="H607" s="1"/>
      <c r="I607" s="1"/>
      <c r="J607" s="1"/>
      <c r="K607" s="1"/>
      <c r="L607" s="1"/>
      <c r="M607" s="1"/>
      <c r="N607" s="1"/>
      <c r="O607" s="1"/>
      <c r="P607" s="181"/>
      <c r="Q607" s="201"/>
      <c r="R607" s="20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31"/>
      <c r="F608" s="131"/>
      <c r="G608" s="131"/>
      <c r="H608" s="1"/>
      <c r="I608" s="1"/>
      <c r="J608" s="1"/>
      <c r="K608" s="1"/>
      <c r="L608" s="1"/>
      <c r="M608" s="1"/>
      <c r="N608" s="1"/>
      <c r="O608" s="1"/>
      <c r="P608" s="181"/>
      <c r="Q608" s="201"/>
      <c r="R608" s="20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31"/>
      <c r="F609" s="131"/>
      <c r="G609" s="131"/>
      <c r="H609" s="1"/>
      <c r="I609" s="1"/>
      <c r="J609" s="1"/>
      <c r="K609" s="1"/>
      <c r="L609" s="1"/>
      <c r="M609" s="1"/>
      <c r="N609" s="1"/>
      <c r="O609" s="1"/>
      <c r="P609" s="181"/>
      <c r="Q609" s="201"/>
      <c r="R609" s="20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31"/>
      <c r="F610" s="131"/>
      <c r="G610" s="131"/>
      <c r="H610" s="1"/>
      <c r="I610" s="1"/>
      <c r="J610" s="1"/>
      <c r="K610" s="1"/>
      <c r="L610" s="1"/>
      <c r="M610" s="1"/>
      <c r="N610" s="1"/>
      <c r="O610" s="1"/>
      <c r="P610" s="181"/>
      <c r="Q610" s="201"/>
      <c r="R610" s="20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31"/>
      <c r="F611" s="131"/>
      <c r="G611" s="131"/>
      <c r="H611" s="1"/>
      <c r="I611" s="1"/>
      <c r="J611" s="1"/>
      <c r="K611" s="1"/>
      <c r="L611" s="1"/>
      <c r="M611" s="1"/>
      <c r="N611" s="1"/>
      <c r="O611" s="1"/>
      <c r="P611" s="181"/>
      <c r="Q611" s="201"/>
      <c r="R611" s="20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31"/>
      <c r="F612" s="131"/>
      <c r="G612" s="131"/>
      <c r="H612" s="1"/>
      <c r="I612" s="1"/>
      <c r="J612" s="1"/>
      <c r="K612" s="1"/>
      <c r="L612" s="1"/>
      <c r="M612" s="1"/>
      <c r="N612" s="1"/>
      <c r="O612" s="1"/>
      <c r="P612" s="181"/>
      <c r="Q612" s="201"/>
      <c r="R612" s="20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31"/>
      <c r="F613" s="131"/>
      <c r="G613" s="131"/>
      <c r="H613" s="1"/>
      <c r="I613" s="1"/>
      <c r="J613" s="1"/>
      <c r="K613" s="1"/>
      <c r="L613" s="1"/>
      <c r="M613" s="1"/>
      <c r="N613" s="1"/>
      <c r="O613" s="1"/>
      <c r="P613" s="181"/>
      <c r="Q613" s="201"/>
      <c r="R613" s="20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31"/>
      <c r="F614" s="131"/>
      <c r="G614" s="131"/>
      <c r="H614" s="1"/>
      <c r="I614" s="1"/>
      <c r="J614" s="1"/>
      <c r="K614" s="1"/>
      <c r="L614" s="1"/>
      <c r="M614" s="1"/>
      <c r="N614" s="1"/>
      <c r="O614" s="1"/>
      <c r="P614" s="181"/>
      <c r="Q614" s="201"/>
      <c r="R614" s="20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31"/>
      <c r="F615" s="131"/>
      <c r="G615" s="131"/>
      <c r="H615" s="1"/>
      <c r="I615" s="1"/>
      <c r="J615" s="1"/>
      <c r="K615" s="1"/>
      <c r="L615" s="1"/>
      <c r="M615" s="1"/>
      <c r="N615" s="1"/>
      <c r="O615" s="1"/>
      <c r="P615" s="181"/>
      <c r="Q615" s="201"/>
      <c r="R615" s="20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31"/>
      <c r="F616" s="131"/>
      <c r="G616" s="131"/>
      <c r="H616" s="1"/>
      <c r="I616" s="1"/>
      <c r="J616" s="1"/>
      <c r="K616" s="1"/>
      <c r="L616" s="1"/>
      <c r="M616" s="1"/>
      <c r="N616" s="1"/>
      <c r="O616" s="1"/>
      <c r="P616" s="181"/>
      <c r="Q616" s="201"/>
      <c r="R616" s="20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31"/>
      <c r="F617" s="131"/>
      <c r="G617" s="131"/>
      <c r="H617" s="1"/>
      <c r="I617" s="1"/>
      <c r="J617" s="1"/>
      <c r="K617" s="1"/>
      <c r="L617" s="1"/>
      <c r="M617" s="1"/>
      <c r="N617" s="1"/>
      <c r="O617" s="1"/>
      <c r="P617" s="181"/>
      <c r="Q617" s="201"/>
      <c r="R617" s="20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31"/>
      <c r="F618" s="131"/>
      <c r="G618" s="131"/>
      <c r="H618" s="1"/>
      <c r="I618" s="1"/>
      <c r="J618" s="1"/>
      <c r="K618" s="1"/>
      <c r="L618" s="1"/>
      <c r="M618" s="1"/>
      <c r="N618" s="1"/>
      <c r="O618" s="1"/>
      <c r="P618" s="181"/>
      <c r="Q618" s="201"/>
      <c r="R618" s="20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31"/>
      <c r="F619" s="131"/>
      <c r="G619" s="131"/>
      <c r="H619" s="1"/>
      <c r="I619" s="1"/>
      <c r="J619" s="1"/>
      <c r="K619" s="1"/>
      <c r="L619" s="1"/>
      <c r="M619" s="1"/>
      <c r="N619" s="1"/>
      <c r="O619" s="1"/>
      <c r="P619" s="181"/>
      <c r="Q619" s="201"/>
      <c r="R619" s="20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31"/>
      <c r="F620" s="131"/>
      <c r="G620" s="131"/>
      <c r="H620" s="1"/>
      <c r="I620" s="1"/>
      <c r="J620" s="1"/>
      <c r="K620" s="1"/>
      <c r="L620" s="1"/>
      <c r="M620" s="1"/>
      <c r="N620" s="1"/>
      <c r="O620" s="1"/>
      <c r="P620" s="181"/>
      <c r="Q620" s="201"/>
      <c r="R620" s="20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31"/>
      <c r="F621" s="131"/>
      <c r="G621" s="131"/>
      <c r="H621" s="1"/>
      <c r="I621" s="1"/>
      <c r="J621" s="1"/>
      <c r="K621" s="1"/>
      <c r="L621" s="1"/>
      <c r="M621" s="1"/>
      <c r="N621" s="1"/>
      <c r="O621" s="1"/>
      <c r="P621" s="181"/>
      <c r="Q621" s="201"/>
      <c r="R621" s="20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31"/>
      <c r="F622" s="131"/>
      <c r="G622" s="131"/>
      <c r="H622" s="1"/>
      <c r="I622" s="1"/>
      <c r="J622" s="1"/>
      <c r="K622" s="1"/>
      <c r="L622" s="1"/>
      <c r="M622" s="1"/>
      <c r="N622" s="1"/>
      <c r="O622" s="1"/>
      <c r="P622" s="181"/>
      <c r="Q622" s="201"/>
      <c r="R622" s="20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31"/>
      <c r="F623" s="131"/>
      <c r="G623" s="131"/>
      <c r="H623" s="1"/>
      <c r="I623" s="1"/>
      <c r="J623" s="1"/>
      <c r="K623" s="1"/>
      <c r="L623" s="1"/>
      <c r="M623" s="1"/>
      <c r="N623" s="1"/>
      <c r="O623" s="1"/>
      <c r="P623" s="181"/>
      <c r="Q623" s="201"/>
      <c r="R623" s="20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31"/>
      <c r="F624" s="131"/>
      <c r="G624" s="131"/>
      <c r="H624" s="1"/>
      <c r="I624" s="1"/>
      <c r="J624" s="1"/>
      <c r="K624" s="1"/>
      <c r="L624" s="1"/>
      <c r="M624" s="1"/>
      <c r="N624" s="1"/>
      <c r="O624" s="1"/>
      <c r="P624" s="181"/>
      <c r="Q624" s="201"/>
      <c r="R624" s="20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31"/>
      <c r="F625" s="131"/>
      <c r="G625" s="131"/>
      <c r="H625" s="1"/>
      <c r="I625" s="1"/>
      <c r="J625" s="1"/>
      <c r="K625" s="1"/>
      <c r="L625" s="1"/>
      <c r="M625" s="1"/>
      <c r="N625" s="1"/>
      <c r="O625" s="1"/>
      <c r="P625" s="181"/>
      <c r="Q625" s="201"/>
      <c r="R625" s="20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31"/>
      <c r="F626" s="131"/>
      <c r="G626" s="131"/>
      <c r="H626" s="1"/>
      <c r="I626" s="1"/>
      <c r="J626" s="1"/>
      <c r="K626" s="1"/>
      <c r="L626" s="1"/>
      <c r="M626" s="1"/>
      <c r="N626" s="1"/>
      <c r="O626" s="1"/>
      <c r="P626" s="181"/>
      <c r="Q626" s="201"/>
      <c r="R626" s="20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31"/>
      <c r="F627" s="131"/>
      <c r="G627" s="131"/>
      <c r="H627" s="1"/>
      <c r="I627" s="1"/>
      <c r="J627" s="1"/>
      <c r="K627" s="1"/>
      <c r="L627" s="1"/>
      <c r="M627" s="1"/>
      <c r="N627" s="1"/>
      <c r="O627" s="1"/>
      <c r="P627" s="181"/>
      <c r="Q627" s="201"/>
      <c r="R627" s="20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31"/>
      <c r="F628" s="131"/>
      <c r="G628" s="131"/>
      <c r="H628" s="1"/>
      <c r="I628" s="1"/>
      <c r="J628" s="1"/>
      <c r="K628" s="1"/>
      <c r="L628" s="1"/>
      <c r="M628" s="1"/>
      <c r="N628" s="1"/>
      <c r="O628" s="1"/>
      <c r="P628" s="181"/>
      <c r="Q628" s="201"/>
      <c r="R628" s="20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31"/>
      <c r="F629" s="131"/>
      <c r="G629" s="131"/>
      <c r="H629" s="1"/>
      <c r="I629" s="1"/>
      <c r="J629" s="1"/>
      <c r="K629" s="1"/>
      <c r="L629" s="1"/>
      <c r="M629" s="1"/>
      <c r="N629" s="1"/>
      <c r="O629" s="1"/>
      <c r="P629" s="181"/>
      <c r="Q629" s="201"/>
      <c r="R629" s="20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31"/>
      <c r="F630" s="131"/>
      <c r="G630" s="131"/>
      <c r="H630" s="1"/>
      <c r="I630" s="1"/>
      <c r="J630" s="1"/>
      <c r="K630" s="1"/>
      <c r="L630" s="1"/>
      <c r="M630" s="1"/>
      <c r="N630" s="1"/>
      <c r="O630" s="1"/>
      <c r="P630" s="181"/>
      <c r="Q630" s="201"/>
      <c r="R630" s="20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31"/>
      <c r="F631" s="131"/>
      <c r="G631" s="131"/>
      <c r="H631" s="1"/>
      <c r="I631" s="1"/>
      <c r="J631" s="1"/>
      <c r="K631" s="1"/>
      <c r="L631" s="1"/>
      <c r="M631" s="1"/>
      <c r="N631" s="1"/>
      <c r="O631" s="1"/>
      <c r="P631" s="181"/>
      <c r="Q631" s="201"/>
      <c r="R631" s="20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31"/>
      <c r="F632" s="131"/>
      <c r="G632" s="131"/>
      <c r="H632" s="1"/>
      <c r="I632" s="1"/>
      <c r="J632" s="1"/>
      <c r="K632" s="1"/>
      <c r="L632" s="1"/>
      <c r="M632" s="1"/>
      <c r="N632" s="1"/>
      <c r="O632" s="1"/>
      <c r="P632" s="181"/>
      <c r="Q632" s="201"/>
      <c r="R632" s="20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31"/>
      <c r="F633" s="131"/>
      <c r="G633" s="131"/>
      <c r="H633" s="1"/>
      <c r="I633" s="1"/>
      <c r="J633" s="1"/>
      <c r="K633" s="1"/>
      <c r="L633" s="1"/>
      <c r="M633" s="1"/>
      <c r="N633" s="1"/>
      <c r="O633" s="1"/>
      <c r="P633" s="181"/>
      <c r="Q633" s="201"/>
      <c r="R633" s="20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31"/>
      <c r="F634" s="131"/>
      <c r="G634" s="131"/>
      <c r="H634" s="1"/>
      <c r="I634" s="1"/>
      <c r="J634" s="1"/>
      <c r="K634" s="1"/>
      <c r="L634" s="1"/>
      <c r="M634" s="1"/>
      <c r="N634" s="1"/>
      <c r="O634" s="1"/>
      <c r="P634" s="181"/>
      <c r="Q634" s="201"/>
      <c r="R634" s="20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31"/>
      <c r="F635" s="131"/>
      <c r="G635" s="131"/>
      <c r="H635" s="1"/>
      <c r="I635" s="1"/>
      <c r="J635" s="1"/>
      <c r="K635" s="1"/>
      <c r="L635" s="1"/>
      <c r="M635" s="1"/>
      <c r="N635" s="1"/>
      <c r="O635" s="1"/>
      <c r="P635" s="181"/>
      <c r="Q635" s="201"/>
      <c r="R635" s="20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31"/>
      <c r="F636" s="131"/>
      <c r="G636" s="131"/>
      <c r="H636" s="1"/>
      <c r="I636" s="1"/>
      <c r="J636" s="1"/>
      <c r="K636" s="1"/>
      <c r="L636" s="1"/>
      <c r="M636" s="1"/>
      <c r="N636" s="1"/>
      <c r="O636" s="1"/>
      <c r="P636" s="181"/>
      <c r="Q636" s="201"/>
      <c r="R636" s="20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31"/>
      <c r="F637" s="131"/>
      <c r="G637" s="131"/>
      <c r="H637" s="1"/>
      <c r="I637" s="1"/>
      <c r="J637" s="1"/>
      <c r="K637" s="1"/>
      <c r="L637" s="1"/>
      <c r="M637" s="1"/>
      <c r="N637" s="1"/>
      <c r="O637" s="1"/>
      <c r="P637" s="181"/>
      <c r="Q637" s="201"/>
      <c r="R637" s="20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31"/>
      <c r="F638" s="131"/>
      <c r="G638" s="131"/>
      <c r="H638" s="1"/>
      <c r="I638" s="1"/>
      <c r="J638" s="1"/>
      <c r="K638" s="1"/>
      <c r="L638" s="1"/>
      <c r="M638" s="1"/>
      <c r="N638" s="1"/>
      <c r="O638" s="1"/>
      <c r="P638" s="181"/>
      <c r="Q638" s="201"/>
      <c r="R638" s="20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31"/>
      <c r="F639" s="131"/>
      <c r="G639" s="131"/>
      <c r="H639" s="1"/>
      <c r="I639" s="1"/>
      <c r="J639" s="1"/>
      <c r="K639" s="1"/>
      <c r="L639" s="1"/>
      <c r="M639" s="1"/>
      <c r="N639" s="1"/>
      <c r="O639" s="1"/>
      <c r="P639" s="181"/>
      <c r="Q639" s="201"/>
      <c r="R639" s="20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31"/>
      <c r="F640" s="131"/>
      <c r="G640" s="131"/>
      <c r="H640" s="1"/>
      <c r="I640" s="1"/>
      <c r="J640" s="1"/>
      <c r="K640" s="1"/>
      <c r="L640" s="1"/>
      <c r="M640" s="1"/>
      <c r="N640" s="1"/>
      <c r="O640" s="1"/>
      <c r="P640" s="181"/>
      <c r="Q640" s="201"/>
      <c r="R640" s="20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31"/>
      <c r="F641" s="131"/>
      <c r="G641" s="131"/>
      <c r="H641" s="1"/>
      <c r="I641" s="1"/>
      <c r="J641" s="1"/>
      <c r="K641" s="1"/>
      <c r="L641" s="1"/>
      <c r="M641" s="1"/>
      <c r="N641" s="1"/>
      <c r="O641" s="1"/>
      <c r="P641" s="181"/>
      <c r="Q641" s="201"/>
      <c r="R641" s="20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31"/>
      <c r="F642" s="131"/>
      <c r="G642" s="131"/>
      <c r="H642" s="1"/>
      <c r="I642" s="1"/>
      <c r="J642" s="1"/>
      <c r="K642" s="1"/>
      <c r="L642" s="1"/>
      <c r="M642" s="1"/>
      <c r="N642" s="1"/>
      <c r="O642" s="1"/>
      <c r="P642" s="181"/>
      <c r="Q642" s="201"/>
      <c r="R642" s="20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31"/>
      <c r="F643" s="131"/>
      <c r="G643" s="131"/>
      <c r="H643" s="1"/>
      <c r="I643" s="1"/>
      <c r="J643" s="1"/>
      <c r="K643" s="1"/>
      <c r="L643" s="1"/>
      <c r="M643" s="1"/>
      <c r="N643" s="1"/>
      <c r="O643" s="1"/>
      <c r="P643" s="181"/>
      <c r="Q643" s="201"/>
      <c r="R643" s="20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31"/>
      <c r="F644" s="131"/>
      <c r="G644" s="131"/>
      <c r="H644" s="1"/>
      <c r="I644" s="1"/>
      <c r="J644" s="1"/>
      <c r="K644" s="1"/>
      <c r="L644" s="1"/>
      <c r="M644" s="1"/>
      <c r="N644" s="1"/>
      <c r="O644" s="1"/>
      <c r="P644" s="181"/>
      <c r="Q644" s="201"/>
      <c r="R644" s="20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31"/>
      <c r="F645" s="131"/>
      <c r="G645" s="131"/>
      <c r="H645" s="1"/>
      <c r="I645" s="1"/>
      <c r="J645" s="1"/>
      <c r="K645" s="1"/>
      <c r="L645" s="1"/>
      <c r="M645" s="1"/>
      <c r="N645" s="1"/>
      <c r="O645" s="1"/>
      <c r="P645" s="181"/>
      <c r="Q645" s="201"/>
      <c r="R645" s="20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31"/>
      <c r="F646" s="131"/>
      <c r="G646" s="131"/>
      <c r="H646" s="1"/>
      <c r="I646" s="1"/>
      <c r="J646" s="1"/>
      <c r="K646" s="1"/>
      <c r="L646" s="1"/>
      <c r="M646" s="1"/>
      <c r="N646" s="1"/>
      <c r="O646" s="1"/>
      <c r="P646" s="181"/>
      <c r="Q646" s="201"/>
      <c r="R646" s="20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31"/>
      <c r="F647" s="131"/>
      <c r="G647" s="131"/>
      <c r="H647" s="1"/>
      <c r="I647" s="1"/>
      <c r="J647" s="1"/>
      <c r="K647" s="1"/>
      <c r="L647" s="1"/>
      <c r="M647" s="1"/>
      <c r="N647" s="1"/>
      <c r="O647" s="1"/>
      <c r="P647" s="181"/>
      <c r="Q647" s="201"/>
      <c r="R647" s="20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31"/>
      <c r="F648" s="131"/>
      <c r="G648" s="131"/>
      <c r="H648" s="1"/>
      <c r="I648" s="1"/>
      <c r="J648" s="1"/>
      <c r="K648" s="1"/>
      <c r="L648" s="1"/>
      <c r="M648" s="1"/>
      <c r="N648" s="1"/>
      <c r="O648" s="1"/>
      <c r="P648" s="181"/>
      <c r="Q648" s="201"/>
      <c r="R648" s="20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31"/>
      <c r="F649" s="131"/>
      <c r="G649" s="131"/>
      <c r="H649" s="1"/>
      <c r="I649" s="1"/>
      <c r="J649" s="1"/>
      <c r="K649" s="1"/>
      <c r="L649" s="1"/>
      <c r="M649" s="1"/>
      <c r="N649" s="1"/>
      <c r="O649" s="1"/>
      <c r="P649" s="181"/>
      <c r="Q649" s="201"/>
      <c r="R649" s="20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31"/>
      <c r="F650" s="131"/>
      <c r="G650" s="131"/>
      <c r="H650" s="1"/>
      <c r="I650" s="1"/>
      <c r="J650" s="1"/>
      <c r="K650" s="1"/>
      <c r="L650" s="1"/>
      <c r="M650" s="1"/>
      <c r="N650" s="1"/>
      <c r="O650" s="1"/>
      <c r="P650" s="181"/>
      <c r="Q650" s="201"/>
      <c r="R650" s="20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31"/>
      <c r="F651" s="131"/>
      <c r="G651" s="131"/>
      <c r="H651" s="1"/>
      <c r="I651" s="1"/>
      <c r="J651" s="1"/>
      <c r="K651" s="1"/>
      <c r="L651" s="1"/>
      <c r="M651" s="1"/>
      <c r="N651" s="1"/>
      <c r="O651" s="1"/>
      <c r="P651" s="181"/>
      <c r="Q651" s="201"/>
      <c r="R651" s="20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31"/>
      <c r="F652" s="131"/>
      <c r="G652" s="131"/>
      <c r="H652" s="1"/>
      <c r="I652" s="1"/>
      <c r="J652" s="1"/>
      <c r="K652" s="1"/>
      <c r="L652" s="1"/>
      <c r="M652" s="1"/>
      <c r="N652" s="1"/>
      <c r="O652" s="1"/>
      <c r="P652" s="181"/>
      <c r="Q652" s="201"/>
      <c r="R652" s="20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31"/>
      <c r="F653" s="131"/>
      <c r="G653" s="131"/>
      <c r="H653" s="1"/>
      <c r="I653" s="1"/>
      <c r="J653" s="1"/>
      <c r="K653" s="1"/>
      <c r="L653" s="1"/>
      <c r="M653" s="1"/>
      <c r="N653" s="1"/>
      <c r="O653" s="1"/>
      <c r="P653" s="181"/>
      <c r="Q653" s="201"/>
      <c r="R653" s="20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31"/>
      <c r="F654" s="131"/>
      <c r="G654" s="131"/>
      <c r="H654" s="1"/>
      <c r="I654" s="1"/>
      <c r="J654" s="1"/>
      <c r="K654" s="1"/>
      <c r="L654" s="1"/>
      <c r="M654" s="1"/>
      <c r="N654" s="1"/>
      <c r="O654" s="1"/>
      <c r="P654" s="181"/>
      <c r="Q654" s="201"/>
      <c r="R654" s="20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31"/>
      <c r="F655" s="131"/>
      <c r="G655" s="131"/>
      <c r="H655" s="1"/>
      <c r="I655" s="1"/>
      <c r="J655" s="1"/>
      <c r="K655" s="1"/>
      <c r="L655" s="1"/>
      <c r="M655" s="1"/>
      <c r="N655" s="1"/>
      <c r="O655" s="1"/>
      <c r="P655" s="181"/>
      <c r="Q655" s="201"/>
      <c r="R655" s="20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31"/>
      <c r="F656" s="131"/>
      <c r="G656" s="131"/>
      <c r="H656" s="1"/>
      <c r="I656" s="1"/>
      <c r="J656" s="1"/>
      <c r="K656" s="1"/>
      <c r="L656" s="1"/>
      <c r="M656" s="1"/>
      <c r="N656" s="1"/>
      <c r="O656" s="1"/>
      <c r="P656" s="181"/>
      <c r="Q656" s="201"/>
      <c r="R656" s="20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31"/>
      <c r="F657" s="131"/>
      <c r="G657" s="131"/>
      <c r="H657" s="1"/>
      <c r="I657" s="1"/>
      <c r="J657" s="1"/>
      <c r="K657" s="1"/>
      <c r="L657" s="1"/>
      <c r="M657" s="1"/>
      <c r="N657" s="1"/>
      <c r="O657" s="1"/>
      <c r="P657" s="181"/>
      <c r="Q657" s="201"/>
      <c r="R657" s="20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31"/>
      <c r="F658" s="131"/>
      <c r="G658" s="131"/>
      <c r="H658" s="1"/>
      <c r="I658" s="1"/>
      <c r="J658" s="1"/>
      <c r="K658" s="1"/>
      <c r="L658" s="1"/>
      <c r="M658" s="1"/>
      <c r="N658" s="1"/>
      <c r="O658" s="1"/>
      <c r="P658" s="181"/>
      <c r="Q658" s="201"/>
      <c r="R658" s="20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31"/>
      <c r="F659" s="131"/>
      <c r="G659" s="131"/>
      <c r="H659" s="1"/>
      <c r="I659" s="1"/>
      <c r="J659" s="1"/>
      <c r="K659" s="1"/>
      <c r="L659" s="1"/>
      <c r="M659" s="1"/>
      <c r="N659" s="1"/>
      <c r="O659" s="1"/>
      <c r="P659" s="181"/>
      <c r="Q659" s="201"/>
      <c r="R659" s="20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31"/>
      <c r="F660" s="131"/>
      <c r="G660" s="131"/>
      <c r="H660" s="1"/>
      <c r="I660" s="1"/>
      <c r="J660" s="1"/>
      <c r="K660" s="1"/>
      <c r="L660" s="1"/>
      <c r="M660" s="1"/>
      <c r="N660" s="1"/>
      <c r="O660" s="1"/>
      <c r="P660" s="181"/>
      <c r="Q660" s="201"/>
      <c r="R660" s="20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31"/>
      <c r="F661" s="131"/>
      <c r="G661" s="131"/>
      <c r="H661" s="1"/>
      <c r="I661" s="1"/>
      <c r="J661" s="1"/>
      <c r="K661" s="1"/>
      <c r="L661" s="1"/>
      <c r="M661" s="1"/>
      <c r="N661" s="1"/>
      <c r="O661" s="1"/>
      <c r="P661" s="181"/>
      <c r="Q661" s="201"/>
      <c r="R661" s="20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31"/>
      <c r="F662" s="131"/>
      <c r="G662" s="131"/>
      <c r="H662" s="1"/>
      <c r="I662" s="1"/>
      <c r="J662" s="1"/>
      <c r="K662" s="1"/>
      <c r="L662" s="1"/>
      <c r="M662" s="1"/>
      <c r="N662" s="1"/>
      <c r="O662" s="1"/>
      <c r="P662" s="181"/>
      <c r="Q662" s="201"/>
      <c r="R662" s="20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31"/>
      <c r="F663" s="131"/>
      <c r="G663" s="131"/>
      <c r="H663" s="1"/>
      <c r="I663" s="1"/>
      <c r="J663" s="1"/>
      <c r="K663" s="1"/>
      <c r="L663" s="1"/>
      <c r="M663" s="1"/>
      <c r="N663" s="1"/>
      <c r="O663" s="1"/>
      <c r="P663" s="181"/>
      <c r="Q663" s="201"/>
      <c r="R663" s="20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31"/>
      <c r="F664" s="131"/>
      <c r="G664" s="131"/>
      <c r="H664" s="1"/>
      <c r="I664" s="1"/>
      <c r="J664" s="1"/>
      <c r="K664" s="1"/>
      <c r="L664" s="1"/>
      <c r="M664" s="1"/>
      <c r="N664" s="1"/>
      <c r="O664" s="1"/>
      <c r="P664" s="181"/>
      <c r="Q664" s="201"/>
      <c r="R664" s="20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31"/>
      <c r="F665" s="131"/>
      <c r="G665" s="131"/>
      <c r="H665" s="1"/>
      <c r="I665" s="1"/>
      <c r="J665" s="1"/>
      <c r="K665" s="1"/>
      <c r="L665" s="1"/>
      <c r="M665" s="1"/>
      <c r="N665" s="1"/>
      <c r="O665" s="1"/>
      <c r="P665" s="181"/>
      <c r="Q665" s="201"/>
      <c r="R665" s="20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31"/>
      <c r="F666" s="131"/>
      <c r="G666" s="131"/>
      <c r="H666" s="1"/>
      <c r="I666" s="1"/>
      <c r="J666" s="1"/>
      <c r="K666" s="1"/>
      <c r="L666" s="1"/>
      <c r="M666" s="1"/>
      <c r="N666" s="1"/>
      <c r="O666" s="1"/>
      <c r="P666" s="181"/>
      <c r="Q666" s="201"/>
      <c r="R666" s="20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31"/>
      <c r="F667" s="131"/>
      <c r="G667" s="131"/>
      <c r="H667" s="1"/>
      <c r="I667" s="1"/>
      <c r="J667" s="1"/>
      <c r="K667" s="1"/>
      <c r="L667" s="1"/>
      <c r="M667" s="1"/>
      <c r="N667" s="1"/>
      <c r="O667" s="1"/>
      <c r="P667" s="181"/>
      <c r="Q667" s="201"/>
      <c r="R667" s="20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31"/>
      <c r="F668" s="131"/>
      <c r="G668" s="131"/>
      <c r="H668" s="1"/>
      <c r="I668" s="1"/>
      <c r="J668" s="1"/>
      <c r="K668" s="1"/>
      <c r="L668" s="1"/>
      <c r="M668" s="1"/>
      <c r="N668" s="1"/>
      <c r="O668" s="1"/>
      <c r="P668" s="181"/>
      <c r="Q668" s="201"/>
      <c r="R668" s="20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31"/>
      <c r="F669" s="131"/>
      <c r="G669" s="131"/>
      <c r="H669" s="1"/>
      <c r="I669" s="1"/>
      <c r="J669" s="1"/>
      <c r="K669" s="1"/>
      <c r="L669" s="1"/>
      <c r="M669" s="1"/>
      <c r="N669" s="1"/>
      <c r="O669" s="1"/>
      <c r="P669" s="181"/>
      <c r="Q669" s="201"/>
      <c r="R669" s="20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31"/>
      <c r="F670" s="131"/>
      <c r="G670" s="131"/>
      <c r="H670" s="1"/>
      <c r="I670" s="1"/>
      <c r="J670" s="1"/>
      <c r="K670" s="1"/>
      <c r="L670" s="1"/>
      <c r="M670" s="1"/>
      <c r="N670" s="1"/>
      <c r="O670" s="1"/>
      <c r="P670" s="181"/>
      <c r="Q670" s="201"/>
      <c r="R670" s="20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31"/>
      <c r="F671" s="131"/>
      <c r="G671" s="131"/>
      <c r="H671" s="1"/>
      <c r="I671" s="1"/>
      <c r="J671" s="1"/>
      <c r="K671" s="1"/>
      <c r="L671" s="1"/>
      <c r="M671" s="1"/>
      <c r="N671" s="1"/>
      <c r="O671" s="1"/>
      <c r="P671" s="181"/>
      <c r="Q671" s="201"/>
      <c r="R671" s="20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31"/>
      <c r="F672" s="131"/>
      <c r="G672" s="131"/>
      <c r="H672" s="1"/>
      <c r="I672" s="1"/>
      <c r="J672" s="1"/>
      <c r="K672" s="1"/>
      <c r="L672" s="1"/>
      <c r="M672" s="1"/>
      <c r="N672" s="1"/>
      <c r="O672" s="1"/>
      <c r="P672" s="181"/>
      <c r="Q672" s="201"/>
      <c r="R672" s="20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31"/>
      <c r="F673" s="131"/>
      <c r="G673" s="131"/>
      <c r="H673" s="1"/>
      <c r="I673" s="1"/>
      <c r="J673" s="1"/>
      <c r="K673" s="1"/>
      <c r="L673" s="1"/>
      <c r="M673" s="1"/>
      <c r="N673" s="1"/>
      <c r="O673" s="1"/>
      <c r="P673" s="181"/>
      <c r="Q673" s="201"/>
      <c r="R673" s="20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31"/>
      <c r="F674" s="131"/>
      <c r="G674" s="131"/>
      <c r="H674" s="1"/>
      <c r="I674" s="1"/>
      <c r="J674" s="1"/>
      <c r="K674" s="1"/>
      <c r="L674" s="1"/>
      <c r="M674" s="1"/>
      <c r="N674" s="1"/>
      <c r="O674" s="1"/>
      <c r="P674" s="181"/>
      <c r="Q674" s="201"/>
      <c r="R674" s="20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31"/>
      <c r="F675" s="131"/>
      <c r="G675" s="131"/>
      <c r="H675" s="1"/>
      <c r="I675" s="1"/>
      <c r="J675" s="1"/>
      <c r="K675" s="1"/>
      <c r="L675" s="1"/>
      <c r="M675" s="1"/>
      <c r="N675" s="1"/>
      <c r="O675" s="1"/>
      <c r="P675" s="181"/>
      <c r="Q675" s="201"/>
      <c r="R675" s="20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31"/>
      <c r="F676" s="131"/>
      <c r="G676" s="131"/>
      <c r="H676" s="1"/>
      <c r="I676" s="1"/>
      <c r="J676" s="1"/>
      <c r="K676" s="1"/>
      <c r="L676" s="1"/>
      <c r="M676" s="1"/>
      <c r="N676" s="1"/>
      <c r="O676" s="1"/>
      <c r="P676" s="181"/>
      <c r="Q676" s="201"/>
      <c r="R676" s="20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31"/>
      <c r="F677" s="131"/>
      <c r="G677" s="131"/>
      <c r="H677" s="1"/>
      <c r="I677" s="1"/>
      <c r="J677" s="1"/>
      <c r="K677" s="1"/>
      <c r="L677" s="1"/>
      <c r="M677" s="1"/>
      <c r="N677" s="1"/>
      <c r="O677" s="1"/>
      <c r="P677" s="181"/>
      <c r="Q677" s="201"/>
      <c r="R677" s="20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31"/>
      <c r="F678" s="131"/>
      <c r="G678" s="131"/>
      <c r="H678" s="1"/>
      <c r="I678" s="1"/>
      <c r="J678" s="1"/>
      <c r="K678" s="1"/>
      <c r="L678" s="1"/>
      <c r="M678" s="1"/>
      <c r="N678" s="1"/>
      <c r="O678" s="1"/>
      <c r="P678" s="181"/>
      <c r="Q678" s="201"/>
      <c r="R678" s="20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31"/>
      <c r="F679" s="131"/>
      <c r="G679" s="131"/>
      <c r="H679" s="1"/>
      <c r="I679" s="1"/>
      <c r="J679" s="1"/>
      <c r="K679" s="1"/>
      <c r="L679" s="1"/>
      <c r="M679" s="1"/>
      <c r="N679" s="1"/>
      <c r="O679" s="1"/>
      <c r="P679" s="181"/>
      <c r="Q679" s="201"/>
      <c r="R679" s="20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31"/>
      <c r="F680" s="131"/>
      <c r="G680" s="131"/>
      <c r="H680" s="1"/>
      <c r="I680" s="1"/>
      <c r="J680" s="1"/>
      <c r="K680" s="1"/>
      <c r="L680" s="1"/>
      <c r="M680" s="1"/>
      <c r="N680" s="1"/>
      <c r="O680" s="1"/>
      <c r="P680" s="181"/>
      <c r="Q680" s="201"/>
      <c r="R680" s="20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31"/>
      <c r="F681" s="131"/>
      <c r="G681" s="131"/>
      <c r="H681" s="1"/>
      <c r="I681" s="1"/>
      <c r="J681" s="1"/>
      <c r="K681" s="1"/>
      <c r="L681" s="1"/>
      <c r="M681" s="1"/>
      <c r="N681" s="1"/>
      <c r="O681" s="1"/>
      <c r="P681" s="181"/>
      <c r="Q681" s="201"/>
      <c r="R681" s="20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31"/>
      <c r="F682" s="131"/>
      <c r="G682" s="131"/>
      <c r="H682" s="1"/>
      <c r="I682" s="1"/>
      <c r="J682" s="1"/>
      <c r="K682" s="1"/>
      <c r="L682" s="1"/>
      <c r="M682" s="1"/>
      <c r="N682" s="1"/>
      <c r="O682" s="1"/>
      <c r="P682" s="181"/>
      <c r="Q682" s="201"/>
      <c r="R682" s="20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31"/>
      <c r="F683" s="131"/>
      <c r="G683" s="131"/>
      <c r="H683" s="1"/>
      <c r="I683" s="1"/>
      <c r="J683" s="1"/>
      <c r="K683" s="1"/>
      <c r="L683" s="1"/>
      <c r="M683" s="1"/>
      <c r="N683" s="1"/>
      <c r="O683" s="1"/>
      <c r="P683" s="181"/>
      <c r="Q683" s="201"/>
      <c r="R683" s="20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31"/>
      <c r="F684" s="131"/>
      <c r="G684" s="131"/>
      <c r="H684" s="1"/>
      <c r="I684" s="1"/>
      <c r="J684" s="1"/>
      <c r="K684" s="1"/>
      <c r="L684" s="1"/>
      <c r="M684" s="1"/>
      <c r="N684" s="1"/>
      <c r="O684" s="1"/>
      <c r="P684" s="181"/>
      <c r="Q684" s="201"/>
      <c r="R684" s="20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31"/>
      <c r="F685" s="131"/>
      <c r="G685" s="131"/>
      <c r="H685" s="1"/>
      <c r="I685" s="1"/>
      <c r="J685" s="1"/>
      <c r="K685" s="1"/>
      <c r="L685" s="1"/>
      <c r="M685" s="1"/>
      <c r="N685" s="1"/>
      <c r="O685" s="1"/>
      <c r="P685" s="181"/>
      <c r="Q685" s="201"/>
      <c r="R685" s="20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31"/>
      <c r="F686" s="131"/>
      <c r="G686" s="131"/>
      <c r="H686" s="1"/>
      <c r="I686" s="1"/>
      <c r="J686" s="1"/>
      <c r="K686" s="1"/>
      <c r="L686" s="1"/>
      <c r="M686" s="1"/>
      <c r="N686" s="1"/>
      <c r="O686" s="1"/>
      <c r="P686" s="181"/>
      <c r="Q686" s="201"/>
      <c r="R686" s="20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31"/>
      <c r="F687" s="131"/>
      <c r="G687" s="131"/>
      <c r="H687" s="1"/>
      <c r="I687" s="1"/>
      <c r="J687" s="1"/>
      <c r="K687" s="1"/>
      <c r="L687" s="1"/>
      <c r="M687" s="1"/>
      <c r="N687" s="1"/>
      <c r="O687" s="1"/>
      <c r="P687" s="181"/>
      <c r="Q687" s="201"/>
      <c r="R687" s="20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31"/>
      <c r="F688" s="131"/>
      <c r="G688" s="131"/>
      <c r="H688" s="1"/>
      <c r="I688" s="1"/>
      <c r="J688" s="1"/>
      <c r="K688" s="1"/>
      <c r="L688" s="1"/>
      <c r="M688" s="1"/>
      <c r="N688" s="1"/>
      <c r="O688" s="1"/>
      <c r="P688" s="181"/>
      <c r="Q688" s="201"/>
      <c r="R688" s="20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31"/>
      <c r="F689" s="131"/>
      <c r="G689" s="131"/>
      <c r="H689" s="1"/>
      <c r="I689" s="1"/>
      <c r="J689" s="1"/>
      <c r="K689" s="1"/>
      <c r="L689" s="1"/>
      <c r="M689" s="1"/>
      <c r="N689" s="1"/>
      <c r="O689" s="1"/>
      <c r="P689" s="181"/>
      <c r="Q689" s="201"/>
      <c r="R689" s="20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31"/>
      <c r="F690" s="131"/>
      <c r="G690" s="131"/>
      <c r="H690" s="1"/>
      <c r="I690" s="1"/>
      <c r="J690" s="1"/>
      <c r="K690" s="1"/>
      <c r="L690" s="1"/>
      <c r="M690" s="1"/>
      <c r="N690" s="1"/>
      <c r="O690" s="1"/>
      <c r="P690" s="181"/>
      <c r="Q690" s="201"/>
      <c r="R690" s="20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31"/>
      <c r="F691" s="131"/>
      <c r="G691" s="131"/>
      <c r="H691" s="1"/>
      <c r="I691" s="1"/>
      <c r="J691" s="1"/>
      <c r="K691" s="1"/>
      <c r="L691" s="1"/>
      <c r="M691" s="1"/>
      <c r="N691" s="1"/>
      <c r="O691" s="1"/>
      <c r="P691" s="181"/>
      <c r="Q691" s="201"/>
      <c r="R691" s="20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31"/>
      <c r="F692" s="131"/>
      <c r="G692" s="131"/>
      <c r="H692" s="1"/>
      <c r="I692" s="1"/>
      <c r="J692" s="1"/>
      <c r="K692" s="1"/>
      <c r="L692" s="1"/>
      <c r="M692" s="1"/>
      <c r="N692" s="1"/>
      <c r="O692" s="1"/>
      <c r="P692" s="181"/>
      <c r="Q692" s="201"/>
      <c r="R692" s="20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31"/>
      <c r="F693" s="131"/>
      <c r="G693" s="131"/>
      <c r="H693" s="1"/>
      <c r="I693" s="1"/>
      <c r="J693" s="1"/>
      <c r="K693" s="1"/>
      <c r="L693" s="1"/>
      <c r="M693" s="1"/>
      <c r="N693" s="1"/>
      <c r="O693" s="1"/>
      <c r="P693" s="181"/>
      <c r="Q693" s="201"/>
      <c r="R693" s="20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31"/>
      <c r="F694" s="131"/>
      <c r="G694" s="131"/>
      <c r="H694" s="1"/>
      <c r="I694" s="1"/>
      <c r="J694" s="1"/>
      <c r="K694" s="1"/>
      <c r="L694" s="1"/>
      <c r="M694" s="1"/>
      <c r="N694" s="1"/>
      <c r="O694" s="1"/>
      <c r="P694" s="181"/>
      <c r="Q694" s="201"/>
      <c r="R694" s="20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31"/>
      <c r="F695" s="131"/>
      <c r="G695" s="131"/>
      <c r="H695" s="1"/>
      <c r="I695" s="1"/>
      <c r="J695" s="1"/>
      <c r="K695" s="1"/>
      <c r="L695" s="1"/>
      <c r="M695" s="1"/>
      <c r="N695" s="1"/>
      <c r="O695" s="1"/>
      <c r="P695" s="181"/>
      <c r="Q695" s="201"/>
      <c r="R695" s="20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31"/>
      <c r="F696" s="131"/>
      <c r="G696" s="131"/>
      <c r="H696" s="1"/>
      <c r="I696" s="1"/>
      <c r="J696" s="1"/>
      <c r="K696" s="1"/>
      <c r="L696" s="1"/>
      <c r="M696" s="1"/>
      <c r="N696" s="1"/>
      <c r="O696" s="1"/>
      <c r="P696" s="181"/>
      <c r="Q696" s="201"/>
      <c r="R696" s="20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31"/>
      <c r="F697" s="131"/>
      <c r="G697" s="131"/>
      <c r="H697" s="1"/>
      <c r="I697" s="1"/>
      <c r="J697" s="1"/>
      <c r="K697" s="1"/>
      <c r="L697" s="1"/>
      <c r="M697" s="1"/>
      <c r="N697" s="1"/>
      <c r="O697" s="1"/>
      <c r="P697" s="181"/>
      <c r="Q697" s="201"/>
      <c r="R697" s="20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31"/>
      <c r="F698" s="131"/>
      <c r="G698" s="131"/>
      <c r="H698" s="1"/>
      <c r="I698" s="1"/>
      <c r="J698" s="1"/>
      <c r="K698" s="1"/>
      <c r="L698" s="1"/>
      <c r="M698" s="1"/>
      <c r="N698" s="1"/>
      <c r="O698" s="1"/>
      <c r="P698" s="181"/>
      <c r="Q698" s="201"/>
      <c r="R698" s="20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31"/>
      <c r="F699" s="131"/>
      <c r="G699" s="131"/>
      <c r="H699" s="1"/>
      <c r="I699" s="1"/>
      <c r="J699" s="1"/>
      <c r="K699" s="1"/>
      <c r="L699" s="1"/>
      <c r="M699" s="1"/>
      <c r="N699" s="1"/>
      <c r="O699" s="1"/>
      <c r="P699" s="181"/>
      <c r="Q699" s="201"/>
      <c r="R699" s="20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31"/>
      <c r="F700" s="131"/>
      <c r="G700" s="131"/>
      <c r="H700" s="1"/>
      <c r="I700" s="1"/>
      <c r="J700" s="1"/>
      <c r="K700" s="1"/>
      <c r="L700" s="1"/>
      <c r="M700" s="1"/>
      <c r="N700" s="1"/>
      <c r="O700" s="1"/>
      <c r="P700" s="181"/>
      <c r="Q700" s="201"/>
      <c r="R700" s="20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31"/>
      <c r="F701" s="131"/>
      <c r="G701" s="131"/>
      <c r="H701" s="1"/>
      <c r="I701" s="1"/>
      <c r="J701" s="1"/>
      <c r="K701" s="1"/>
      <c r="L701" s="1"/>
      <c r="M701" s="1"/>
      <c r="N701" s="1"/>
      <c r="O701" s="1"/>
      <c r="P701" s="181"/>
      <c r="Q701" s="201"/>
      <c r="R701" s="20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31"/>
      <c r="F702" s="131"/>
      <c r="G702" s="131"/>
      <c r="H702" s="1"/>
      <c r="I702" s="1"/>
      <c r="J702" s="1"/>
      <c r="K702" s="1"/>
      <c r="L702" s="1"/>
      <c r="M702" s="1"/>
      <c r="N702" s="1"/>
      <c r="O702" s="1"/>
      <c r="P702" s="181"/>
      <c r="Q702" s="201"/>
      <c r="R702" s="20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31"/>
      <c r="F703" s="131"/>
      <c r="G703" s="131"/>
      <c r="H703" s="1"/>
      <c r="I703" s="1"/>
      <c r="J703" s="1"/>
      <c r="K703" s="1"/>
      <c r="L703" s="1"/>
      <c r="M703" s="1"/>
      <c r="N703" s="1"/>
      <c r="O703" s="1"/>
      <c r="P703" s="181"/>
      <c r="Q703" s="201"/>
      <c r="R703" s="20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31"/>
      <c r="F704" s="131"/>
      <c r="G704" s="131"/>
      <c r="H704" s="1"/>
      <c r="I704" s="1"/>
      <c r="J704" s="1"/>
      <c r="K704" s="1"/>
      <c r="L704" s="1"/>
      <c r="M704" s="1"/>
      <c r="N704" s="1"/>
      <c r="O704" s="1"/>
      <c r="P704" s="181"/>
      <c r="Q704" s="201"/>
      <c r="R704" s="20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31"/>
      <c r="F705" s="131"/>
      <c r="G705" s="131"/>
      <c r="H705" s="1"/>
      <c r="I705" s="1"/>
      <c r="J705" s="1"/>
      <c r="K705" s="1"/>
      <c r="L705" s="1"/>
      <c r="M705" s="1"/>
      <c r="N705" s="1"/>
      <c r="O705" s="1"/>
      <c r="P705" s="181"/>
      <c r="Q705" s="201"/>
      <c r="R705" s="20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31"/>
      <c r="F706" s="131"/>
      <c r="G706" s="131"/>
      <c r="H706" s="1"/>
      <c r="I706" s="1"/>
      <c r="J706" s="1"/>
      <c r="K706" s="1"/>
      <c r="L706" s="1"/>
      <c r="M706" s="1"/>
      <c r="N706" s="1"/>
      <c r="O706" s="1"/>
      <c r="P706" s="181"/>
      <c r="Q706" s="201"/>
      <c r="R706" s="20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31"/>
      <c r="F707" s="131"/>
      <c r="G707" s="131"/>
      <c r="H707" s="1"/>
      <c r="I707" s="1"/>
      <c r="J707" s="1"/>
      <c r="K707" s="1"/>
      <c r="L707" s="1"/>
      <c r="M707" s="1"/>
      <c r="N707" s="1"/>
      <c r="O707" s="1"/>
      <c r="P707" s="181"/>
      <c r="Q707" s="201"/>
      <c r="R707" s="20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31"/>
      <c r="F708" s="131"/>
      <c r="G708" s="131"/>
      <c r="H708" s="1"/>
      <c r="I708" s="1"/>
      <c r="J708" s="1"/>
      <c r="K708" s="1"/>
      <c r="L708" s="1"/>
      <c r="M708" s="1"/>
      <c r="N708" s="1"/>
      <c r="O708" s="1"/>
      <c r="P708" s="181"/>
      <c r="Q708" s="201"/>
      <c r="R708" s="20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31"/>
      <c r="F709" s="131"/>
      <c r="G709" s="131"/>
      <c r="H709" s="1"/>
      <c r="I709" s="1"/>
      <c r="J709" s="1"/>
      <c r="K709" s="1"/>
      <c r="L709" s="1"/>
      <c r="M709" s="1"/>
      <c r="N709" s="1"/>
      <c r="O709" s="1"/>
      <c r="P709" s="181"/>
      <c r="Q709" s="201"/>
      <c r="R709" s="20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31"/>
      <c r="F710" s="131"/>
      <c r="G710" s="131"/>
      <c r="H710" s="1"/>
      <c r="I710" s="1"/>
      <c r="J710" s="1"/>
      <c r="K710" s="1"/>
      <c r="L710" s="1"/>
      <c r="M710" s="1"/>
      <c r="N710" s="1"/>
      <c r="O710" s="1"/>
      <c r="P710" s="181"/>
      <c r="Q710" s="201"/>
      <c r="R710" s="20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31"/>
      <c r="F711" s="131"/>
      <c r="G711" s="131"/>
      <c r="H711" s="1"/>
      <c r="I711" s="1"/>
      <c r="J711" s="1"/>
      <c r="K711" s="1"/>
      <c r="L711" s="1"/>
      <c r="M711" s="1"/>
      <c r="N711" s="1"/>
      <c r="O711" s="1"/>
      <c r="P711" s="181"/>
      <c r="Q711" s="201"/>
      <c r="R711" s="20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31"/>
      <c r="F712" s="131"/>
      <c r="G712" s="131"/>
      <c r="H712" s="1"/>
      <c r="I712" s="1"/>
      <c r="J712" s="1"/>
      <c r="K712" s="1"/>
      <c r="L712" s="1"/>
      <c r="M712" s="1"/>
      <c r="N712" s="1"/>
      <c r="O712" s="1"/>
      <c r="P712" s="181"/>
      <c r="Q712" s="201"/>
      <c r="R712" s="20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31"/>
      <c r="F713" s="131"/>
      <c r="G713" s="131"/>
      <c r="H713" s="1"/>
      <c r="I713" s="1"/>
      <c r="J713" s="1"/>
      <c r="K713" s="1"/>
      <c r="L713" s="1"/>
      <c r="M713" s="1"/>
      <c r="N713" s="1"/>
      <c r="O713" s="1"/>
      <c r="P713" s="181"/>
      <c r="Q713" s="201"/>
      <c r="R713" s="20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31"/>
      <c r="F714" s="131"/>
      <c r="G714" s="131"/>
      <c r="H714" s="1"/>
      <c r="I714" s="1"/>
      <c r="J714" s="1"/>
      <c r="K714" s="1"/>
      <c r="L714" s="1"/>
      <c r="M714" s="1"/>
      <c r="N714" s="1"/>
      <c r="O714" s="1"/>
      <c r="P714" s="181"/>
      <c r="Q714" s="201"/>
      <c r="R714" s="20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31"/>
      <c r="F715" s="131"/>
      <c r="G715" s="131"/>
      <c r="H715" s="1"/>
      <c r="I715" s="1"/>
      <c r="J715" s="1"/>
      <c r="K715" s="1"/>
      <c r="L715" s="1"/>
      <c r="M715" s="1"/>
      <c r="N715" s="1"/>
      <c r="O715" s="1"/>
      <c r="P715" s="181"/>
      <c r="Q715" s="201"/>
      <c r="R715" s="20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31"/>
      <c r="F716" s="131"/>
      <c r="G716" s="131"/>
      <c r="H716" s="1"/>
      <c r="I716" s="1"/>
      <c r="J716" s="1"/>
      <c r="K716" s="1"/>
      <c r="L716" s="1"/>
      <c r="M716" s="1"/>
      <c r="N716" s="1"/>
      <c r="O716" s="1"/>
      <c r="P716" s="181"/>
      <c r="Q716" s="201"/>
      <c r="R716" s="20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31"/>
      <c r="F717" s="131"/>
      <c r="G717" s="131"/>
      <c r="H717" s="1"/>
      <c r="I717" s="1"/>
      <c r="J717" s="1"/>
      <c r="K717" s="1"/>
      <c r="L717" s="1"/>
      <c r="M717" s="1"/>
      <c r="N717" s="1"/>
      <c r="O717" s="1"/>
      <c r="P717" s="181"/>
      <c r="Q717" s="201"/>
      <c r="R717" s="20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31"/>
      <c r="F718" s="131"/>
      <c r="G718" s="131"/>
      <c r="H718" s="1"/>
      <c r="I718" s="1"/>
      <c r="J718" s="1"/>
      <c r="K718" s="1"/>
      <c r="L718" s="1"/>
      <c r="M718" s="1"/>
      <c r="N718" s="1"/>
      <c r="O718" s="1"/>
      <c r="P718" s="181"/>
      <c r="Q718" s="201"/>
      <c r="R718" s="20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31"/>
      <c r="F719" s="131"/>
      <c r="G719" s="131"/>
      <c r="H719" s="1"/>
      <c r="I719" s="1"/>
      <c r="J719" s="1"/>
      <c r="K719" s="1"/>
      <c r="L719" s="1"/>
      <c r="M719" s="1"/>
      <c r="N719" s="1"/>
      <c r="O719" s="1"/>
      <c r="P719" s="181"/>
      <c r="Q719" s="201"/>
      <c r="R719" s="20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31"/>
      <c r="F720" s="131"/>
      <c r="G720" s="131"/>
      <c r="H720" s="1"/>
      <c r="I720" s="1"/>
      <c r="J720" s="1"/>
      <c r="K720" s="1"/>
      <c r="L720" s="1"/>
      <c r="M720" s="1"/>
      <c r="N720" s="1"/>
      <c r="O720" s="1"/>
      <c r="P720" s="181"/>
      <c r="Q720" s="201"/>
      <c r="R720" s="20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31"/>
      <c r="F721" s="131"/>
      <c r="G721" s="131"/>
      <c r="H721" s="1"/>
      <c r="I721" s="1"/>
      <c r="J721" s="1"/>
      <c r="K721" s="1"/>
      <c r="L721" s="1"/>
      <c r="M721" s="1"/>
      <c r="N721" s="1"/>
      <c r="O721" s="1"/>
      <c r="P721" s="181"/>
      <c r="Q721" s="201"/>
      <c r="R721" s="20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31"/>
      <c r="F722" s="131"/>
      <c r="G722" s="131"/>
      <c r="H722" s="1"/>
      <c r="I722" s="1"/>
      <c r="J722" s="1"/>
      <c r="K722" s="1"/>
      <c r="L722" s="1"/>
      <c r="M722" s="1"/>
      <c r="N722" s="1"/>
      <c r="O722" s="1"/>
      <c r="P722" s="181"/>
      <c r="Q722" s="201"/>
      <c r="R722" s="20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31"/>
      <c r="F723" s="131"/>
      <c r="G723" s="131"/>
      <c r="H723" s="1"/>
      <c r="I723" s="1"/>
      <c r="J723" s="1"/>
      <c r="K723" s="1"/>
      <c r="L723" s="1"/>
      <c r="M723" s="1"/>
      <c r="N723" s="1"/>
      <c r="O723" s="1"/>
      <c r="P723" s="181"/>
      <c r="Q723" s="201"/>
      <c r="R723" s="20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31"/>
      <c r="F724" s="131"/>
      <c r="G724" s="131"/>
      <c r="H724" s="1"/>
      <c r="I724" s="1"/>
      <c r="J724" s="1"/>
      <c r="K724" s="1"/>
      <c r="L724" s="1"/>
      <c r="M724" s="1"/>
      <c r="N724" s="1"/>
      <c r="O724" s="1"/>
      <c r="P724" s="181"/>
      <c r="Q724" s="201"/>
      <c r="R724" s="20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31"/>
      <c r="F725" s="131"/>
      <c r="G725" s="131"/>
      <c r="H725" s="1"/>
      <c r="I725" s="1"/>
      <c r="J725" s="1"/>
      <c r="K725" s="1"/>
      <c r="L725" s="1"/>
      <c r="M725" s="1"/>
      <c r="N725" s="1"/>
      <c r="O725" s="1"/>
      <c r="P725" s="181"/>
      <c r="Q725" s="201"/>
      <c r="R725" s="20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31"/>
      <c r="F726" s="131"/>
      <c r="G726" s="131"/>
      <c r="H726" s="1"/>
      <c r="I726" s="1"/>
      <c r="J726" s="1"/>
      <c r="K726" s="1"/>
      <c r="L726" s="1"/>
      <c r="M726" s="1"/>
      <c r="N726" s="1"/>
      <c r="O726" s="1"/>
      <c r="P726" s="181"/>
      <c r="Q726" s="201"/>
      <c r="R726" s="20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31"/>
      <c r="F727" s="131"/>
      <c r="G727" s="131"/>
      <c r="H727" s="1"/>
      <c r="I727" s="1"/>
      <c r="J727" s="1"/>
      <c r="K727" s="1"/>
      <c r="L727" s="1"/>
      <c r="M727" s="1"/>
      <c r="N727" s="1"/>
      <c r="O727" s="1"/>
      <c r="P727" s="181"/>
      <c r="Q727" s="201"/>
      <c r="R727" s="20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31"/>
      <c r="F728" s="131"/>
      <c r="G728" s="131"/>
      <c r="H728" s="1"/>
      <c r="I728" s="1"/>
      <c r="J728" s="1"/>
      <c r="K728" s="1"/>
      <c r="L728" s="1"/>
      <c r="M728" s="1"/>
      <c r="N728" s="1"/>
      <c r="O728" s="1"/>
      <c r="P728" s="181"/>
      <c r="Q728" s="201"/>
      <c r="R728" s="20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31"/>
      <c r="F729" s="131"/>
      <c r="G729" s="131"/>
      <c r="H729" s="1"/>
      <c r="I729" s="1"/>
      <c r="J729" s="1"/>
      <c r="K729" s="1"/>
      <c r="L729" s="1"/>
      <c r="M729" s="1"/>
      <c r="N729" s="1"/>
      <c r="O729" s="1"/>
      <c r="P729" s="181"/>
      <c r="Q729" s="201"/>
      <c r="R729" s="20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31"/>
      <c r="F730" s="131"/>
      <c r="G730" s="131"/>
      <c r="H730" s="1"/>
      <c r="I730" s="1"/>
      <c r="J730" s="1"/>
      <c r="K730" s="1"/>
      <c r="L730" s="1"/>
      <c r="M730" s="1"/>
      <c r="N730" s="1"/>
      <c r="O730" s="1"/>
      <c r="P730" s="181"/>
      <c r="Q730" s="201"/>
      <c r="R730" s="20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31"/>
      <c r="F731" s="131"/>
      <c r="G731" s="131"/>
      <c r="H731" s="1"/>
      <c r="I731" s="1"/>
      <c r="J731" s="1"/>
      <c r="K731" s="1"/>
      <c r="L731" s="1"/>
      <c r="M731" s="1"/>
      <c r="N731" s="1"/>
      <c r="O731" s="1"/>
      <c r="P731" s="181"/>
      <c r="Q731" s="201"/>
      <c r="R731" s="20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31"/>
      <c r="F732" s="131"/>
      <c r="G732" s="131"/>
      <c r="H732" s="1"/>
      <c r="I732" s="1"/>
      <c r="J732" s="1"/>
      <c r="K732" s="1"/>
      <c r="L732" s="1"/>
      <c r="M732" s="1"/>
      <c r="N732" s="1"/>
      <c r="O732" s="1"/>
      <c r="P732" s="181"/>
      <c r="Q732" s="201"/>
      <c r="R732" s="20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31"/>
      <c r="F733" s="131"/>
      <c r="G733" s="131"/>
      <c r="H733" s="1"/>
      <c r="I733" s="1"/>
      <c r="J733" s="1"/>
      <c r="K733" s="1"/>
      <c r="L733" s="1"/>
      <c r="M733" s="1"/>
      <c r="N733" s="1"/>
      <c r="O733" s="1"/>
      <c r="P733" s="181"/>
      <c r="Q733" s="201"/>
      <c r="R733" s="20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31"/>
      <c r="F734" s="131"/>
      <c r="G734" s="131"/>
      <c r="H734" s="1"/>
      <c r="I734" s="1"/>
      <c r="J734" s="1"/>
      <c r="K734" s="1"/>
      <c r="L734" s="1"/>
      <c r="M734" s="1"/>
      <c r="N734" s="1"/>
      <c r="O734" s="1"/>
      <c r="P734" s="181"/>
      <c r="Q734" s="201"/>
      <c r="R734" s="20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31"/>
      <c r="F735" s="131"/>
      <c r="G735" s="131"/>
      <c r="H735" s="1"/>
      <c r="I735" s="1"/>
      <c r="J735" s="1"/>
      <c r="K735" s="1"/>
      <c r="L735" s="1"/>
      <c r="M735" s="1"/>
      <c r="N735" s="1"/>
      <c r="O735" s="1"/>
      <c r="P735" s="181"/>
      <c r="Q735" s="201"/>
      <c r="R735" s="20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31"/>
      <c r="F736" s="131"/>
      <c r="G736" s="131"/>
      <c r="H736" s="1"/>
      <c r="I736" s="1"/>
      <c r="J736" s="1"/>
      <c r="K736" s="1"/>
      <c r="L736" s="1"/>
      <c r="M736" s="1"/>
      <c r="N736" s="1"/>
      <c r="O736" s="1"/>
      <c r="P736" s="181"/>
      <c r="Q736" s="201"/>
      <c r="R736" s="20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31"/>
      <c r="F737" s="131"/>
      <c r="G737" s="131"/>
      <c r="H737" s="1"/>
      <c r="I737" s="1"/>
      <c r="J737" s="1"/>
      <c r="K737" s="1"/>
      <c r="L737" s="1"/>
      <c r="M737" s="1"/>
      <c r="N737" s="1"/>
      <c r="O737" s="1"/>
      <c r="P737" s="181"/>
      <c r="Q737" s="201"/>
      <c r="R737" s="20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31"/>
      <c r="F738" s="131"/>
      <c r="G738" s="131"/>
      <c r="H738" s="1"/>
      <c r="I738" s="1"/>
      <c r="J738" s="1"/>
      <c r="K738" s="1"/>
      <c r="L738" s="1"/>
      <c r="M738" s="1"/>
      <c r="N738" s="1"/>
      <c r="O738" s="1"/>
      <c r="P738" s="181"/>
      <c r="Q738" s="201"/>
      <c r="R738" s="20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31"/>
      <c r="F739" s="131"/>
      <c r="G739" s="131"/>
      <c r="H739" s="1"/>
      <c r="I739" s="1"/>
      <c r="J739" s="1"/>
      <c r="K739" s="1"/>
      <c r="L739" s="1"/>
      <c r="M739" s="1"/>
      <c r="N739" s="1"/>
      <c r="O739" s="1"/>
      <c r="P739" s="181"/>
      <c r="Q739" s="201"/>
      <c r="R739" s="20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31"/>
      <c r="F740" s="131"/>
      <c r="G740" s="131"/>
      <c r="H740" s="1"/>
      <c r="I740" s="1"/>
      <c r="J740" s="1"/>
      <c r="K740" s="1"/>
      <c r="L740" s="1"/>
      <c r="M740" s="1"/>
      <c r="N740" s="1"/>
      <c r="O740" s="1"/>
      <c r="P740" s="181"/>
      <c r="Q740" s="201"/>
      <c r="R740" s="20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31"/>
      <c r="F741" s="131"/>
      <c r="G741" s="131"/>
      <c r="H741" s="1"/>
      <c r="I741" s="1"/>
      <c r="J741" s="1"/>
      <c r="K741" s="1"/>
      <c r="L741" s="1"/>
      <c r="M741" s="1"/>
      <c r="N741" s="1"/>
      <c r="O741" s="1"/>
      <c r="P741" s="181"/>
      <c r="Q741" s="201"/>
      <c r="R741" s="20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31"/>
      <c r="F742" s="131"/>
      <c r="G742" s="131"/>
      <c r="H742" s="1"/>
      <c r="I742" s="1"/>
      <c r="J742" s="1"/>
      <c r="K742" s="1"/>
      <c r="L742" s="1"/>
      <c r="M742" s="1"/>
      <c r="N742" s="1"/>
      <c r="O742" s="1"/>
      <c r="P742" s="181"/>
      <c r="Q742" s="201"/>
      <c r="R742" s="20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31"/>
      <c r="F743" s="131"/>
      <c r="G743" s="131"/>
      <c r="H743" s="1"/>
      <c r="I743" s="1"/>
      <c r="J743" s="1"/>
      <c r="K743" s="1"/>
      <c r="L743" s="1"/>
      <c r="M743" s="1"/>
      <c r="N743" s="1"/>
      <c r="O743" s="1"/>
      <c r="P743" s="181"/>
      <c r="Q743" s="201"/>
      <c r="R743" s="20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31"/>
      <c r="F744" s="131"/>
      <c r="G744" s="131"/>
      <c r="H744" s="1"/>
      <c r="I744" s="1"/>
      <c r="J744" s="1"/>
      <c r="K744" s="1"/>
      <c r="L744" s="1"/>
      <c r="M744" s="1"/>
      <c r="N744" s="1"/>
      <c r="O744" s="1"/>
      <c r="P744" s="181"/>
      <c r="Q744" s="201"/>
      <c r="R744" s="20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31"/>
      <c r="F745" s="131"/>
      <c r="G745" s="131"/>
      <c r="H745" s="1"/>
      <c r="I745" s="1"/>
      <c r="J745" s="1"/>
      <c r="K745" s="1"/>
      <c r="L745" s="1"/>
      <c r="M745" s="1"/>
      <c r="N745" s="1"/>
      <c r="O745" s="1"/>
      <c r="P745" s="181"/>
      <c r="Q745" s="201"/>
      <c r="R745" s="20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31"/>
      <c r="F746" s="131"/>
      <c r="G746" s="131"/>
      <c r="H746" s="1"/>
      <c r="I746" s="1"/>
      <c r="J746" s="1"/>
      <c r="K746" s="1"/>
      <c r="L746" s="1"/>
      <c r="M746" s="1"/>
      <c r="N746" s="1"/>
      <c r="O746" s="1"/>
      <c r="P746" s="181"/>
      <c r="Q746" s="201"/>
      <c r="R746" s="20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31"/>
      <c r="F747" s="131"/>
      <c r="G747" s="131"/>
      <c r="H747" s="1"/>
      <c r="I747" s="1"/>
      <c r="J747" s="1"/>
      <c r="K747" s="1"/>
      <c r="L747" s="1"/>
      <c r="M747" s="1"/>
      <c r="N747" s="1"/>
      <c r="O747" s="1"/>
      <c r="P747" s="181"/>
      <c r="Q747" s="201"/>
      <c r="R747" s="20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31"/>
      <c r="F748" s="131"/>
      <c r="G748" s="131"/>
      <c r="H748" s="1"/>
      <c r="I748" s="1"/>
      <c r="J748" s="1"/>
      <c r="K748" s="1"/>
      <c r="L748" s="1"/>
      <c r="M748" s="1"/>
      <c r="N748" s="1"/>
      <c r="O748" s="1"/>
      <c r="P748" s="181"/>
      <c r="Q748" s="201"/>
      <c r="R748" s="20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31"/>
      <c r="F749" s="131"/>
      <c r="G749" s="131"/>
      <c r="H749" s="1"/>
      <c r="I749" s="1"/>
      <c r="J749" s="1"/>
      <c r="K749" s="1"/>
      <c r="L749" s="1"/>
      <c r="M749" s="1"/>
      <c r="N749" s="1"/>
      <c r="O749" s="1"/>
      <c r="P749" s="181"/>
      <c r="Q749" s="201"/>
      <c r="R749" s="20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31"/>
      <c r="F750" s="131"/>
      <c r="G750" s="131"/>
      <c r="H750" s="1"/>
      <c r="I750" s="1"/>
      <c r="J750" s="1"/>
      <c r="K750" s="1"/>
      <c r="L750" s="1"/>
      <c r="M750" s="1"/>
      <c r="N750" s="1"/>
      <c r="O750" s="1"/>
      <c r="P750" s="181"/>
      <c r="Q750" s="201"/>
      <c r="R750" s="20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31"/>
      <c r="F751" s="131"/>
      <c r="G751" s="131"/>
      <c r="H751" s="1"/>
      <c r="I751" s="1"/>
      <c r="J751" s="1"/>
      <c r="K751" s="1"/>
      <c r="L751" s="1"/>
      <c r="M751" s="1"/>
      <c r="N751" s="1"/>
      <c r="O751" s="1"/>
      <c r="P751" s="181"/>
      <c r="Q751" s="201"/>
      <c r="R751" s="20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31"/>
      <c r="F752" s="131"/>
      <c r="G752" s="131"/>
      <c r="H752" s="1"/>
      <c r="I752" s="1"/>
      <c r="J752" s="1"/>
      <c r="K752" s="1"/>
      <c r="L752" s="1"/>
      <c r="M752" s="1"/>
      <c r="N752" s="1"/>
      <c r="O752" s="1"/>
      <c r="P752" s="181"/>
      <c r="Q752" s="201"/>
      <c r="R752" s="20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31"/>
      <c r="F753" s="131"/>
      <c r="G753" s="131"/>
      <c r="H753" s="1"/>
      <c r="I753" s="1"/>
      <c r="J753" s="1"/>
      <c r="K753" s="1"/>
      <c r="L753" s="1"/>
      <c r="M753" s="1"/>
      <c r="N753" s="1"/>
      <c r="O753" s="1"/>
      <c r="P753" s="181"/>
      <c r="Q753" s="201"/>
      <c r="R753" s="20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31"/>
      <c r="F754" s="131"/>
      <c r="G754" s="131"/>
      <c r="H754" s="1"/>
      <c r="I754" s="1"/>
      <c r="J754" s="1"/>
      <c r="K754" s="1"/>
      <c r="L754" s="1"/>
      <c r="M754" s="1"/>
      <c r="N754" s="1"/>
      <c r="O754" s="1"/>
      <c r="P754" s="181"/>
      <c r="Q754" s="201"/>
      <c r="R754" s="20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31"/>
      <c r="F755" s="131"/>
      <c r="G755" s="131"/>
      <c r="H755" s="1"/>
      <c r="I755" s="1"/>
      <c r="J755" s="1"/>
      <c r="K755" s="1"/>
      <c r="L755" s="1"/>
      <c r="M755" s="1"/>
      <c r="N755" s="1"/>
      <c r="O755" s="1"/>
      <c r="P755" s="181"/>
      <c r="Q755" s="201"/>
      <c r="R755" s="20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31"/>
      <c r="F756" s="131"/>
      <c r="G756" s="131"/>
      <c r="H756" s="1"/>
      <c r="I756" s="1"/>
      <c r="J756" s="1"/>
      <c r="K756" s="1"/>
      <c r="L756" s="1"/>
      <c r="M756" s="1"/>
      <c r="N756" s="1"/>
      <c r="O756" s="1"/>
      <c r="P756" s="181"/>
      <c r="Q756" s="201"/>
      <c r="R756" s="20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31"/>
      <c r="F757" s="131"/>
      <c r="G757" s="131"/>
      <c r="H757" s="1"/>
      <c r="I757" s="1"/>
      <c r="J757" s="1"/>
      <c r="K757" s="1"/>
      <c r="L757" s="1"/>
      <c r="M757" s="1"/>
      <c r="N757" s="1"/>
      <c r="O757" s="1"/>
      <c r="P757" s="181"/>
      <c r="Q757" s="201"/>
      <c r="R757" s="20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31"/>
      <c r="F758" s="131"/>
      <c r="G758" s="131"/>
      <c r="H758" s="1"/>
      <c r="I758" s="1"/>
      <c r="J758" s="1"/>
      <c r="K758" s="1"/>
      <c r="L758" s="1"/>
      <c r="M758" s="1"/>
      <c r="N758" s="1"/>
      <c r="O758" s="1"/>
      <c r="P758" s="181"/>
      <c r="Q758" s="201"/>
      <c r="R758" s="20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31"/>
      <c r="F759" s="131"/>
      <c r="G759" s="131"/>
      <c r="H759" s="1"/>
      <c r="I759" s="1"/>
      <c r="J759" s="1"/>
      <c r="K759" s="1"/>
      <c r="L759" s="1"/>
      <c r="M759" s="1"/>
      <c r="N759" s="1"/>
      <c r="O759" s="1"/>
      <c r="P759" s="181"/>
      <c r="Q759" s="201"/>
      <c r="R759" s="20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31"/>
      <c r="F760" s="131"/>
      <c r="G760" s="131"/>
      <c r="H760" s="1"/>
      <c r="I760" s="1"/>
      <c r="J760" s="1"/>
      <c r="K760" s="1"/>
      <c r="L760" s="1"/>
      <c r="M760" s="1"/>
      <c r="N760" s="1"/>
      <c r="O760" s="1"/>
      <c r="P760" s="181"/>
      <c r="Q760" s="201"/>
      <c r="R760" s="20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31"/>
      <c r="F761" s="131"/>
      <c r="G761" s="131"/>
      <c r="H761" s="1"/>
      <c r="I761" s="1"/>
      <c r="J761" s="1"/>
      <c r="K761" s="1"/>
      <c r="L761" s="1"/>
      <c r="M761" s="1"/>
      <c r="N761" s="1"/>
      <c r="O761" s="1"/>
      <c r="P761" s="181"/>
      <c r="Q761" s="201"/>
      <c r="R761" s="20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31"/>
      <c r="F762" s="131"/>
      <c r="G762" s="131"/>
      <c r="H762" s="1"/>
      <c r="I762" s="1"/>
      <c r="J762" s="1"/>
      <c r="K762" s="1"/>
      <c r="L762" s="1"/>
      <c r="M762" s="1"/>
      <c r="N762" s="1"/>
      <c r="O762" s="1"/>
      <c r="P762" s="181"/>
      <c r="Q762" s="201"/>
      <c r="R762" s="20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31"/>
      <c r="F763" s="131"/>
      <c r="G763" s="131"/>
      <c r="H763" s="1"/>
      <c r="I763" s="1"/>
      <c r="J763" s="1"/>
      <c r="K763" s="1"/>
      <c r="L763" s="1"/>
      <c r="M763" s="1"/>
      <c r="N763" s="1"/>
      <c r="O763" s="1"/>
      <c r="P763" s="181"/>
      <c r="Q763" s="201"/>
      <c r="R763" s="20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31"/>
      <c r="F764" s="131"/>
      <c r="G764" s="131"/>
      <c r="H764" s="1"/>
      <c r="I764" s="1"/>
      <c r="J764" s="1"/>
      <c r="K764" s="1"/>
      <c r="L764" s="1"/>
      <c r="M764" s="1"/>
      <c r="N764" s="1"/>
      <c r="O764" s="1"/>
      <c r="P764" s="181"/>
      <c r="Q764" s="201"/>
      <c r="R764" s="20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31"/>
      <c r="F765" s="131"/>
      <c r="G765" s="131"/>
      <c r="H765" s="1"/>
      <c r="I765" s="1"/>
      <c r="J765" s="1"/>
      <c r="K765" s="1"/>
      <c r="L765" s="1"/>
      <c r="M765" s="1"/>
      <c r="N765" s="1"/>
      <c r="O765" s="1"/>
      <c r="P765" s="181"/>
      <c r="Q765" s="201"/>
      <c r="R765" s="20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31"/>
      <c r="F766" s="131"/>
      <c r="G766" s="131"/>
      <c r="H766" s="1"/>
      <c r="I766" s="1"/>
      <c r="J766" s="1"/>
      <c r="K766" s="1"/>
      <c r="L766" s="1"/>
      <c r="M766" s="1"/>
      <c r="N766" s="1"/>
      <c r="O766" s="1"/>
      <c r="P766" s="181"/>
      <c r="Q766" s="201"/>
      <c r="R766" s="20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31"/>
      <c r="F767" s="131"/>
      <c r="G767" s="131"/>
      <c r="H767" s="1"/>
      <c r="I767" s="1"/>
      <c r="J767" s="1"/>
      <c r="K767" s="1"/>
      <c r="L767" s="1"/>
      <c r="M767" s="1"/>
      <c r="N767" s="1"/>
      <c r="O767" s="1"/>
      <c r="P767" s="181"/>
      <c r="Q767" s="201"/>
      <c r="R767" s="20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31"/>
      <c r="F768" s="131"/>
      <c r="G768" s="131"/>
      <c r="H768" s="1"/>
      <c r="I768" s="1"/>
      <c r="J768" s="1"/>
      <c r="K768" s="1"/>
      <c r="L768" s="1"/>
      <c r="M768" s="1"/>
      <c r="N768" s="1"/>
      <c r="O768" s="1"/>
      <c r="P768" s="181"/>
      <c r="Q768" s="201"/>
      <c r="R768" s="20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31"/>
      <c r="F769" s="131"/>
      <c r="G769" s="131"/>
      <c r="H769" s="1"/>
      <c r="I769" s="1"/>
      <c r="J769" s="1"/>
      <c r="K769" s="1"/>
      <c r="L769" s="1"/>
      <c r="M769" s="1"/>
      <c r="N769" s="1"/>
      <c r="O769" s="1"/>
      <c r="P769" s="181"/>
      <c r="Q769" s="201"/>
      <c r="R769" s="20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31"/>
      <c r="F770" s="131"/>
      <c r="G770" s="131"/>
      <c r="H770" s="1"/>
      <c r="I770" s="1"/>
      <c r="J770" s="1"/>
      <c r="K770" s="1"/>
      <c r="L770" s="1"/>
      <c r="M770" s="1"/>
      <c r="N770" s="1"/>
      <c r="O770" s="1"/>
      <c r="P770" s="181"/>
      <c r="Q770" s="201"/>
      <c r="R770" s="20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31"/>
      <c r="F771" s="131"/>
      <c r="G771" s="131"/>
      <c r="H771" s="1"/>
      <c r="I771" s="1"/>
      <c r="J771" s="1"/>
      <c r="K771" s="1"/>
      <c r="L771" s="1"/>
      <c r="M771" s="1"/>
      <c r="N771" s="1"/>
      <c r="O771" s="1"/>
      <c r="P771" s="181"/>
      <c r="Q771" s="201"/>
      <c r="R771" s="20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31"/>
      <c r="F772" s="131"/>
      <c r="G772" s="131"/>
      <c r="H772" s="1"/>
      <c r="I772" s="1"/>
      <c r="J772" s="1"/>
      <c r="K772" s="1"/>
      <c r="L772" s="1"/>
      <c r="M772" s="1"/>
      <c r="N772" s="1"/>
      <c r="O772" s="1"/>
      <c r="P772" s="181"/>
      <c r="Q772" s="201"/>
      <c r="R772" s="20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31"/>
      <c r="F773" s="131"/>
      <c r="G773" s="131"/>
      <c r="H773" s="1"/>
      <c r="I773" s="1"/>
      <c r="J773" s="1"/>
      <c r="K773" s="1"/>
      <c r="L773" s="1"/>
      <c r="M773" s="1"/>
      <c r="N773" s="1"/>
      <c r="O773" s="1"/>
      <c r="P773" s="181"/>
      <c r="Q773" s="201"/>
      <c r="R773" s="20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31"/>
      <c r="F774" s="131"/>
      <c r="G774" s="131"/>
      <c r="H774" s="1"/>
      <c r="I774" s="1"/>
      <c r="J774" s="1"/>
      <c r="K774" s="1"/>
      <c r="L774" s="1"/>
      <c r="M774" s="1"/>
      <c r="N774" s="1"/>
      <c r="O774" s="1"/>
      <c r="P774" s="181"/>
      <c r="Q774" s="201"/>
      <c r="R774" s="20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31"/>
      <c r="F775" s="131"/>
      <c r="G775" s="131"/>
      <c r="H775" s="1"/>
      <c r="I775" s="1"/>
      <c r="J775" s="1"/>
      <c r="K775" s="1"/>
      <c r="L775" s="1"/>
      <c r="M775" s="1"/>
      <c r="N775" s="1"/>
      <c r="O775" s="1"/>
      <c r="P775" s="181"/>
      <c r="Q775" s="201"/>
      <c r="R775" s="20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31"/>
      <c r="F776" s="131"/>
      <c r="G776" s="131"/>
      <c r="H776" s="1"/>
      <c r="I776" s="1"/>
      <c r="J776" s="1"/>
      <c r="K776" s="1"/>
      <c r="L776" s="1"/>
      <c r="M776" s="1"/>
      <c r="N776" s="1"/>
      <c r="O776" s="1"/>
      <c r="P776" s="181"/>
      <c r="Q776" s="201"/>
      <c r="R776" s="20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31"/>
      <c r="F777" s="131"/>
      <c r="G777" s="131"/>
      <c r="H777" s="1"/>
      <c r="I777" s="1"/>
      <c r="J777" s="1"/>
      <c r="K777" s="1"/>
      <c r="L777" s="1"/>
      <c r="M777" s="1"/>
      <c r="N777" s="1"/>
      <c r="O777" s="1"/>
      <c r="P777" s="181"/>
      <c r="Q777" s="201"/>
      <c r="R777" s="20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31"/>
      <c r="F778" s="131"/>
      <c r="G778" s="131"/>
      <c r="H778" s="1"/>
      <c r="I778" s="1"/>
      <c r="J778" s="1"/>
      <c r="K778" s="1"/>
      <c r="L778" s="1"/>
      <c r="M778" s="1"/>
      <c r="N778" s="1"/>
      <c r="O778" s="1"/>
      <c r="P778" s="181"/>
      <c r="Q778" s="201"/>
      <c r="R778" s="20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31"/>
      <c r="F779" s="131"/>
      <c r="G779" s="131"/>
      <c r="H779" s="1"/>
      <c r="I779" s="1"/>
      <c r="J779" s="1"/>
      <c r="K779" s="1"/>
      <c r="L779" s="1"/>
      <c r="M779" s="1"/>
      <c r="N779" s="1"/>
      <c r="O779" s="1"/>
      <c r="P779" s="181"/>
      <c r="Q779" s="201"/>
      <c r="R779" s="20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81"/>
      <c r="Q780" s="181"/>
      <c r="R780" s="18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81"/>
      <c r="Q781" s="181"/>
      <c r="R781" s="18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81"/>
      <c r="Q782" s="181"/>
      <c r="R782" s="18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81"/>
      <c r="Q783" s="181"/>
      <c r="R783" s="18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81"/>
      <c r="Q784" s="181"/>
      <c r="R784" s="18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81"/>
      <c r="Q785" s="181"/>
      <c r="R785" s="18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81"/>
      <c r="Q786" s="181"/>
      <c r="R786" s="18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81"/>
      <c r="Q787" s="181"/>
      <c r="R787" s="18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81"/>
      <c r="Q788" s="181"/>
      <c r="R788" s="18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81"/>
      <c r="Q789" s="181"/>
      <c r="R789" s="18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81"/>
      <c r="Q790" s="181"/>
      <c r="R790" s="18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81"/>
      <c r="Q791" s="181"/>
      <c r="R791" s="18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81"/>
      <c r="Q792" s="181"/>
      <c r="R792" s="18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81"/>
      <c r="Q793" s="181"/>
      <c r="R793" s="18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81"/>
      <c r="Q794" s="181"/>
      <c r="R794" s="18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81"/>
      <c r="Q795" s="181"/>
      <c r="R795" s="18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81"/>
      <c r="Q796" s="181"/>
      <c r="R796" s="18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81"/>
      <c r="Q797" s="181"/>
      <c r="R797" s="18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81"/>
      <c r="Q798" s="181"/>
      <c r="R798" s="18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81"/>
      <c r="Q799" s="181"/>
      <c r="R799" s="18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81"/>
      <c r="Q800" s="181"/>
      <c r="R800" s="18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81"/>
      <c r="Q801" s="181"/>
      <c r="R801" s="18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81"/>
      <c r="Q802" s="181"/>
      <c r="R802" s="18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81"/>
      <c r="Q803" s="181"/>
      <c r="R803" s="18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81"/>
      <c r="Q804" s="181"/>
      <c r="R804" s="18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81"/>
      <c r="Q805" s="181"/>
      <c r="R805" s="18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81"/>
      <c r="Q806" s="181"/>
      <c r="R806" s="18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81"/>
      <c r="Q807" s="181"/>
      <c r="R807" s="18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81"/>
      <c r="Q808" s="181"/>
      <c r="R808" s="18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81"/>
      <c r="Q809" s="181"/>
      <c r="R809" s="18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81"/>
      <c r="Q810" s="181"/>
      <c r="R810" s="18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81"/>
      <c r="Q811" s="181"/>
      <c r="R811" s="18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81"/>
      <c r="Q812" s="181"/>
      <c r="R812" s="18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81"/>
      <c r="Q813" s="181"/>
      <c r="R813" s="18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81"/>
      <c r="Q814" s="181"/>
      <c r="R814" s="18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81"/>
      <c r="Q815" s="181"/>
      <c r="R815" s="18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81"/>
      <c r="Q816" s="181"/>
      <c r="R816" s="18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81"/>
      <c r="Q817" s="181"/>
      <c r="R817" s="18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81"/>
      <c r="Q818" s="181"/>
      <c r="R818" s="18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81"/>
      <c r="Q819" s="181"/>
      <c r="R819" s="18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81"/>
      <c r="Q820" s="181"/>
      <c r="R820" s="18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81"/>
      <c r="Q821" s="181"/>
      <c r="R821" s="18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81"/>
      <c r="Q822" s="181"/>
      <c r="R822" s="18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81"/>
      <c r="Q823" s="181"/>
      <c r="R823" s="18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81"/>
      <c r="Q824" s="181"/>
      <c r="R824" s="18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81"/>
      <c r="Q825" s="181"/>
      <c r="R825" s="18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81"/>
      <c r="Q826" s="181"/>
      <c r="R826" s="18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81"/>
      <c r="Q827" s="181"/>
      <c r="R827" s="18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81"/>
      <c r="Q828" s="181"/>
      <c r="R828" s="18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81"/>
      <c r="Q829" s="181"/>
      <c r="R829" s="18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81"/>
      <c r="Q830" s="181"/>
      <c r="R830" s="18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81"/>
      <c r="Q831" s="181"/>
      <c r="R831" s="18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81"/>
      <c r="Q832" s="181"/>
      <c r="R832" s="18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81"/>
      <c r="Q833" s="181"/>
      <c r="R833" s="18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81"/>
      <c r="Q834" s="181"/>
      <c r="R834" s="18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81"/>
      <c r="Q835" s="181"/>
      <c r="R835" s="18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81"/>
      <c r="Q836" s="181"/>
      <c r="R836" s="18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81"/>
      <c r="Q837" s="181"/>
      <c r="R837" s="18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81"/>
      <c r="Q838" s="181"/>
      <c r="R838" s="18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81"/>
      <c r="Q839" s="181"/>
      <c r="R839" s="18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81"/>
      <c r="Q840" s="181"/>
      <c r="R840" s="18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81"/>
      <c r="Q841" s="181"/>
      <c r="R841" s="18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81"/>
      <c r="Q842" s="181"/>
      <c r="R842" s="18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81"/>
      <c r="Q843" s="181"/>
      <c r="R843" s="18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81"/>
      <c r="Q844" s="181"/>
      <c r="R844" s="18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81"/>
      <c r="Q845" s="181"/>
      <c r="R845" s="18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81"/>
      <c r="Q846" s="181"/>
      <c r="R846" s="18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81"/>
      <c r="Q847" s="181"/>
      <c r="R847" s="18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81"/>
      <c r="Q848" s="181"/>
      <c r="R848" s="18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81"/>
      <c r="Q849" s="181"/>
      <c r="R849" s="18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81"/>
      <c r="Q850" s="181"/>
      <c r="R850" s="18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81"/>
      <c r="Q851" s="181"/>
      <c r="R851" s="18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81"/>
      <c r="Q852" s="181"/>
      <c r="R852" s="18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81"/>
      <c r="Q853" s="181"/>
      <c r="R853" s="18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81"/>
      <c r="Q854" s="181"/>
      <c r="R854" s="18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81"/>
      <c r="Q855" s="181"/>
      <c r="R855" s="18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81"/>
      <c r="Q856" s="181"/>
      <c r="R856" s="18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81"/>
      <c r="Q857" s="181"/>
      <c r="R857" s="18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81"/>
      <c r="Q858" s="181"/>
      <c r="R858" s="18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81"/>
      <c r="Q859" s="181"/>
      <c r="R859" s="18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81"/>
      <c r="Q860" s="181"/>
      <c r="R860" s="18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81"/>
      <c r="Q861" s="181"/>
      <c r="R861" s="18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81"/>
      <c r="Q862" s="181"/>
      <c r="R862" s="18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81"/>
      <c r="Q863" s="181"/>
      <c r="R863" s="18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81"/>
      <c r="Q864" s="181"/>
      <c r="R864" s="18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81"/>
      <c r="Q865" s="181"/>
      <c r="R865" s="18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81"/>
      <c r="Q866" s="181"/>
      <c r="R866" s="18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81"/>
      <c r="Q867" s="181"/>
      <c r="R867" s="18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81"/>
      <c r="Q868" s="181"/>
      <c r="R868" s="18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81"/>
      <c r="Q869" s="181"/>
      <c r="R869" s="18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81"/>
      <c r="Q870" s="181"/>
      <c r="R870" s="18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81"/>
      <c r="Q871" s="181"/>
      <c r="R871" s="18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81"/>
      <c r="Q872" s="181"/>
      <c r="R872" s="18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81"/>
      <c r="Q873" s="181"/>
      <c r="R873" s="18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81"/>
      <c r="Q874" s="181"/>
      <c r="R874" s="18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81"/>
      <c r="Q875" s="181"/>
      <c r="R875" s="18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81"/>
      <c r="Q876" s="181"/>
      <c r="R876" s="18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81"/>
      <c r="Q877" s="181"/>
      <c r="R877" s="18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81"/>
      <c r="Q878" s="181"/>
      <c r="R878" s="18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81"/>
      <c r="Q879" s="181"/>
      <c r="R879" s="18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81"/>
      <c r="Q880" s="181"/>
      <c r="R880" s="18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81"/>
      <c r="Q881" s="181"/>
      <c r="R881" s="18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81"/>
      <c r="Q882" s="181"/>
      <c r="R882" s="18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81"/>
      <c r="Q883" s="181"/>
      <c r="R883" s="18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81"/>
      <c r="Q884" s="181"/>
      <c r="R884" s="18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81"/>
      <c r="Q885" s="181"/>
      <c r="R885" s="18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81"/>
      <c r="Q886" s="181"/>
      <c r="R886" s="18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81"/>
      <c r="Q887" s="181"/>
      <c r="R887" s="18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81"/>
      <c r="Q888" s="181"/>
      <c r="R888" s="18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81"/>
      <c r="Q889" s="181"/>
      <c r="R889" s="18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81"/>
      <c r="Q890" s="181"/>
      <c r="R890" s="18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81"/>
      <c r="Q891" s="181"/>
      <c r="R891" s="18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81"/>
      <c r="Q892" s="181"/>
      <c r="R892" s="18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81"/>
      <c r="Q893" s="181"/>
      <c r="R893" s="18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81"/>
      <c r="Q894" s="181"/>
      <c r="R894" s="18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81"/>
      <c r="Q895" s="181"/>
      <c r="R895" s="18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81"/>
      <c r="Q896" s="181"/>
      <c r="R896" s="18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81"/>
      <c r="Q897" s="181"/>
      <c r="R897" s="18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81"/>
      <c r="Q898" s="181"/>
      <c r="R898" s="18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81"/>
      <c r="Q899" s="181"/>
      <c r="R899" s="18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81"/>
      <c r="Q900" s="181"/>
      <c r="R900" s="18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81"/>
      <c r="Q901" s="181"/>
      <c r="R901" s="18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81"/>
      <c r="Q902" s="181"/>
      <c r="R902" s="18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81"/>
      <c r="Q903" s="181"/>
      <c r="R903" s="18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81"/>
      <c r="Q904" s="181"/>
      <c r="R904" s="18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81"/>
      <c r="Q905" s="181"/>
      <c r="R905" s="18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81"/>
      <c r="Q906" s="181"/>
      <c r="R906" s="18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81"/>
      <c r="Q907" s="181"/>
      <c r="R907" s="18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81"/>
      <c r="Q908" s="181"/>
      <c r="R908" s="18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81"/>
      <c r="Q909" s="181"/>
      <c r="R909" s="18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81"/>
      <c r="Q910" s="181"/>
      <c r="R910" s="18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81"/>
      <c r="Q911" s="181"/>
      <c r="R911" s="18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81"/>
      <c r="Q912" s="181"/>
      <c r="R912" s="18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81"/>
      <c r="Q913" s="181"/>
      <c r="R913" s="18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81"/>
      <c r="Q914" s="181"/>
      <c r="R914" s="18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81"/>
      <c r="Q915" s="181"/>
      <c r="R915" s="18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81"/>
      <c r="Q916" s="181"/>
      <c r="R916" s="18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81"/>
      <c r="Q917" s="181"/>
      <c r="R917" s="18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81"/>
      <c r="Q918" s="181"/>
      <c r="R918" s="18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81"/>
      <c r="Q919" s="181"/>
      <c r="R919" s="18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81"/>
      <c r="Q920" s="181"/>
      <c r="R920" s="18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81"/>
      <c r="Q921" s="181"/>
      <c r="R921" s="18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81"/>
      <c r="Q922" s="181"/>
      <c r="R922" s="18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81"/>
      <c r="Q923" s="181"/>
      <c r="R923" s="18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81"/>
      <c r="Q924" s="181"/>
      <c r="R924" s="18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81"/>
      <c r="Q925" s="181"/>
      <c r="R925" s="18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81"/>
      <c r="Q926" s="181"/>
      <c r="R926" s="18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81"/>
      <c r="Q927" s="181"/>
      <c r="R927" s="18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81"/>
      <c r="Q928" s="181"/>
      <c r="R928" s="18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81"/>
      <c r="Q929" s="181"/>
      <c r="R929" s="18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81"/>
      <c r="Q930" s="181"/>
      <c r="R930" s="18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81"/>
      <c r="Q931" s="181"/>
      <c r="R931" s="18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81"/>
      <c r="Q932" s="181"/>
      <c r="R932" s="18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81"/>
      <c r="Q933" s="181"/>
      <c r="R933" s="18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81"/>
      <c r="Q934" s="181"/>
      <c r="R934" s="18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81"/>
      <c r="Q935" s="181"/>
      <c r="R935" s="18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81"/>
      <c r="Q936" s="181"/>
      <c r="R936" s="18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81"/>
      <c r="Q937" s="181"/>
      <c r="R937" s="18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81"/>
      <c r="Q938" s="181"/>
      <c r="R938" s="18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81"/>
      <c r="Q939" s="181"/>
      <c r="R939" s="18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81"/>
      <c r="Q940" s="181"/>
      <c r="R940" s="18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81"/>
      <c r="Q941" s="181"/>
      <c r="R941" s="18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81"/>
      <c r="Q942" s="181"/>
      <c r="R942" s="18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81"/>
      <c r="Q943" s="181"/>
      <c r="R943" s="18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81"/>
      <c r="Q944" s="181"/>
      <c r="R944" s="18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81"/>
      <c r="Q945" s="181"/>
      <c r="R945" s="18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81"/>
      <c r="Q946" s="181"/>
      <c r="R946" s="18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81"/>
      <c r="Q947" s="181"/>
      <c r="R947" s="18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81"/>
      <c r="Q948" s="181"/>
      <c r="R948" s="18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81"/>
      <c r="Q949" s="181"/>
      <c r="R949" s="18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81"/>
      <c r="Q950" s="181"/>
      <c r="R950" s="18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81"/>
      <c r="Q951" s="181"/>
      <c r="R951" s="18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81"/>
      <c r="Q952" s="181"/>
      <c r="R952" s="18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81"/>
      <c r="Q953" s="181"/>
      <c r="R953" s="18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81"/>
      <c r="Q954" s="181"/>
      <c r="R954" s="18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81"/>
      <c r="Q955" s="181"/>
      <c r="R955" s="18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81"/>
      <c r="Q956" s="181"/>
      <c r="R956" s="18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81"/>
      <c r="Q957" s="181"/>
      <c r="R957" s="18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81"/>
      <c r="Q958" s="181"/>
      <c r="R958" s="18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81"/>
      <c r="Q959" s="181"/>
      <c r="R959" s="18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81"/>
      <c r="Q960" s="181"/>
      <c r="R960" s="18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81"/>
      <c r="Q961" s="181"/>
      <c r="R961" s="18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81"/>
      <c r="Q962" s="181"/>
      <c r="R962" s="18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81"/>
      <c r="Q963" s="181"/>
      <c r="R963" s="18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81"/>
      <c r="Q964" s="181"/>
      <c r="R964" s="18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81"/>
      <c r="Q965" s="181"/>
      <c r="R965" s="18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81"/>
      <c r="Q966" s="181"/>
      <c r="R966" s="18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81"/>
      <c r="Q967" s="181"/>
      <c r="R967" s="18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81"/>
      <c r="Q968" s="181"/>
      <c r="R968" s="18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81"/>
      <c r="Q969" s="181"/>
      <c r="R969" s="18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81"/>
      <c r="Q970" s="181"/>
      <c r="R970" s="18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81"/>
      <c r="Q971" s="181"/>
      <c r="R971" s="18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81"/>
      <c r="Q972" s="181"/>
      <c r="R972" s="18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81"/>
      <c r="Q973" s="181"/>
      <c r="R973" s="18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81"/>
      <c r="Q974" s="181"/>
      <c r="R974" s="18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81"/>
      <c r="Q975" s="181"/>
      <c r="R975" s="18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81"/>
      <c r="Q976" s="181"/>
      <c r="R976" s="18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81"/>
      <c r="Q977" s="181"/>
      <c r="R977" s="18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81"/>
      <c r="Q978" s="181"/>
      <c r="R978" s="18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81"/>
      <c r="Q979" s="181"/>
      <c r="R979" s="18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81"/>
      <c r="Q980" s="181"/>
      <c r="R980" s="18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81"/>
      <c r="Q981" s="181"/>
      <c r="R981" s="18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81"/>
      <c r="Q982" s="181"/>
      <c r="R982" s="18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81"/>
      <c r="Q983" s="181"/>
      <c r="R983" s="18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81"/>
      <c r="Q984" s="181"/>
      <c r="R984" s="18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81"/>
      <c r="Q985" s="181"/>
      <c r="R985" s="18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81"/>
      <c r="Q986" s="181"/>
      <c r="R986" s="18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81"/>
      <c r="Q987" s="181"/>
      <c r="R987" s="18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81"/>
      <c r="Q988" s="181"/>
      <c r="R988" s="18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</sheetData>
  <mergeCells count="38">
    <mergeCell ref="N2:N3"/>
    <mergeCell ref="O2:O3"/>
    <mergeCell ref="B1:B3"/>
    <mergeCell ref="C1:C3"/>
    <mergeCell ref="D1:D3"/>
    <mergeCell ref="H1:H3"/>
    <mergeCell ref="I1:I2"/>
    <mergeCell ref="J1:L1"/>
    <mergeCell ref="M1:O1"/>
    <mergeCell ref="E43:E51"/>
    <mergeCell ref="F43:F51"/>
    <mergeCell ref="G43:G47"/>
    <mergeCell ref="G48:G50"/>
    <mergeCell ref="E73:E79"/>
    <mergeCell ref="F73:F79"/>
    <mergeCell ref="G77:G78"/>
    <mergeCell ref="K2:K3"/>
    <mergeCell ref="L2:L3"/>
    <mergeCell ref="E22:E30"/>
    <mergeCell ref="F22:F30"/>
    <mergeCell ref="G22:G25"/>
    <mergeCell ref="E37:E39"/>
    <mergeCell ref="F37:F39"/>
    <mergeCell ref="P37:P39"/>
    <mergeCell ref="P44:P50"/>
    <mergeCell ref="Q44:Q50"/>
    <mergeCell ref="R44:R47"/>
    <mergeCell ref="R48:R50"/>
    <mergeCell ref="P74:P78"/>
    <mergeCell ref="Q74:Q78"/>
    <mergeCell ref="R77:R78"/>
    <mergeCell ref="P1:P2"/>
    <mergeCell ref="Q1:Q2"/>
    <mergeCell ref="R2:R3"/>
    <mergeCell ref="P22:P30"/>
    <mergeCell ref="Q22:Q30"/>
    <mergeCell ref="R22:R25"/>
    <mergeCell ref="Q37:Q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8.5"/>
    <col customWidth="1" min="3" max="3" width="11.25"/>
    <col customWidth="1" min="4" max="4" width="16.75"/>
    <col customWidth="1" min="5" max="5" width="19.25"/>
    <col customWidth="1" min="6" max="6" width="18.88"/>
    <col customWidth="1" min="7" max="7" width="19.25"/>
    <col customWidth="1" min="8" max="8" width="40.25"/>
    <col customWidth="1" min="9" max="10" width="14.25"/>
    <col customWidth="1" min="11" max="11" width="16.88"/>
    <col customWidth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33.13"/>
  </cols>
  <sheetData>
    <row r="1">
      <c r="A1" s="132" t="s">
        <v>113</v>
      </c>
      <c r="B1" s="2"/>
      <c r="C1" s="2"/>
      <c r="D1" s="2"/>
      <c r="E1" s="180"/>
      <c r="F1" s="180"/>
      <c r="G1" s="180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8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42"/>
      <c r="F3" s="42"/>
      <c r="G3" s="42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49" t="s">
        <v>114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115</v>
      </c>
      <c r="C4" s="53" t="s">
        <v>116</v>
      </c>
      <c r="D4" s="56"/>
      <c r="E4" s="59"/>
      <c r="F4" s="60"/>
      <c r="G4" s="60"/>
      <c r="H4" s="62" t="s">
        <v>43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185" t="s">
        <v>121</v>
      </c>
      <c r="F5" s="185" t="s">
        <v>122</v>
      </c>
      <c r="G5" s="185" t="s">
        <v>123</v>
      </c>
      <c r="H5" s="76" t="s">
        <v>124</v>
      </c>
      <c r="I5" s="84">
        <f>11900/1.07</f>
        <v>11121.49533</v>
      </c>
      <c r="J5" s="90">
        <v>5500.0</v>
      </c>
      <c r="K5" s="94">
        <f>sum(I5:I6)-J5</f>
        <v>12350.46729</v>
      </c>
      <c r="L5" s="96">
        <f>K5/SUM(I5:I6)</f>
        <v>0.6918848168</v>
      </c>
      <c r="M5" s="86">
        <v>4000.0</v>
      </c>
      <c r="N5" s="87">
        <f t="shared" ref="N5:N10" si="1">I5-M5</f>
        <v>7121.495327</v>
      </c>
      <c r="O5" s="88">
        <f t="shared" ref="O5:O10" si="2">N5/I5</f>
        <v>0.6403361345</v>
      </c>
      <c r="P5" s="55" t="s">
        <v>76</v>
      </c>
      <c r="Q5" s="97">
        <v>46220.0</v>
      </c>
      <c r="R5" s="187" t="s">
        <v>82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23"/>
      <c r="F6" s="23"/>
      <c r="G6" s="23"/>
      <c r="H6" s="76" t="s">
        <v>125</v>
      </c>
      <c r="I6" s="84">
        <f>7200/1.07</f>
        <v>6728.971963</v>
      </c>
      <c r="J6" s="101"/>
      <c r="K6" s="101"/>
      <c r="L6" s="101"/>
      <c r="M6" s="86">
        <v>2500.0</v>
      </c>
      <c r="N6" s="87">
        <f t="shared" si="1"/>
        <v>4228.971963</v>
      </c>
      <c r="O6" s="88">
        <f t="shared" si="2"/>
        <v>0.6284722222</v>
      </c>
      <c r="P6" s="23"/>
      <c r="Q6" s="23"/>
      <c r="R6" s="2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23"/>
      <c r="F7" s="23"/>
      <c r="G7" s="23"/>
      <c r="H7" s="76" t="s">
        <v>126</v>
      </c>
      <c r="I7" s="84">
        <f>6000/1.07</f>
        <v>5607.476636</v>
      </c>
      <c r="J7" s="90">
        <v>5200.0</v>
      </c>
      <c r="K7" s="94">
        <f>sum(I7:I8)-J7</f>
        <v>3771.962617</v>
      </c>
      <c r="L7" s="96">
        <f>K7/SUM(I7:I8)</f>
        <v>0.4204166667</v>
      </c>
      <c r="M7" s="86">
        <v>2500.0</v>
      </c>
      <c r="N7" s="87">
        <f t="shared" si="1"/>
        <v>3107.476636</v>
      </c>
      <c r="O7" s="88">
        <f t="shared" si="2"/>
        <v>0.5541666667</v>
      </c>
      <c r="P7" s="23"/>
      <c r="Q7" s="23"/>
      <c r="R7" s="2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23"/>
      <c r="F8" s="23"/>
      <c r="G8" s="23"/>
      <c r="H8" s="76" t="s">
        <v>127</v>
      </c>
      <c r="I8" s="84">
        <f>3600/1.07</f>
        <v>3364.485981</v>
      </c>
      <c r="J8" s="101"/>
      <c r="K8" s="101"/>
      <c r="L8" s="101"/>
      <c r="M8" s="86">
        <v>1500.0</v>
      </c>
      <c r="N8" s="87">
        <f t="shared" si="1"/>
        <v>1864.485981</v>
      </c>
      <c r="O8" s="88">
        <f t="shared" si="2"/>
        <v>0.5541666667</v>
      </c>
      <c r="P8" s="23"/>
      <c r="Q8" s="23"/>
      <c r="R8" s="2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23"/>
      <c r="F9" s="23"/>
      <c r="G9" s="23"/>
      <c r="H9" s="76" t="s">
        <v>128</v>
      </c>
      <c r="I9" s="84">
        <f>15000/1.07</f>
        <v>14018.69159</v>
      </c>
      <c r="J9" s="86">
        <v>5000.0</v>
      </c>
      <c r="K9" s="87">
        <f t="shared" ref="K9:K10" si="3">I9-J9</f>
        <v>9018.691589</v>
      </c>
      <c r="L9" s="88">
        <f t="shared" ref="L9:L10" si="4">K9/I9</f>
        <v>0.6433333333</v>
      </c>
      <c r="M9" s="86">
        <v>8000.0</v>
      </c>
      <c r="N9" s="87">
        <f t="shared" si="1"/>
        <v>6018.691589</v>
      </c>
      <c r="O9" s="88">
        <f t="shared" si="2"/>
        <v>0.4293333333</v>
      </c>
      <c r="P9" s="23"/>
      <c r="Q9" s="23"/>
      <c r="R9" s="2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23"/>
      <c r="F10" s="23"/>
      <c r="G10" s="101"/>
      <c r="H10" s="76" t="s">
        <v>129</v>
      </c>
      <c r="I10" s="84">
        <v>0.0</v>
      </c>
      <c r="J10" s="86">
        <v>2500.0</v>
      </c>
      <c r="K10" s="87">
        <f t="shared" si="3"/>
        <v>-2500</v>
      </c>
      <c r="L10" s="88" t="str">
        <f t="shared" si="4"/>
        <v>#DIV/0!</v>
      </c>
      <c r="M10" s="86">
        <v>4000.0</v>
      </c>
      <c r="N10" s="87">
        <f t="shared" si="1"/>
        <v>-4000</v>
      </c>
      <c r="O10" s="88" t="str">
        <f t="shared" si="2"/>
        <v>#DIV/0!</v>
      </c>
      <c r="P10" s="23"/>
      <c r="Q10" s="23"/>
      <c r="R10" s="10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23"/>
      <c r="F11" s="23"/>
      <c r="G11" s="105"/>
      <c r="H11" s="62"/>
      <c r="I11" s="84"/>
      <c r="J11" s="106">
        <v>-200.0</v>
      </c>
      <c r="K11" s="87"/>
      <c r="L11" s="74"/>
      <c r="M11" s="86"/>
      <c r="N11" s="87"/>
      <c r="O11" s="88"/>
      <c r="P11" s="23"/>
      <c r="Q11" s="23"/>
      <c r="R11" s="18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23"/>
      <c r="F12" s="23"/>
      <c r="G12" s="105"/>
      <c r="H12" s="62" t="s">
        <v>135</v>
      </c>
      <c r="I12" s="84"/>
      <c r="J12" s="86"/>
      <c r="K12" s="87"/>
      <c r="L12" s="74"/>
      <c r="M12" s="86"/>
      <c r="N12" s="87"/>
      <c r="O12" s="88"/>
      <c r="P12" s="23"/>
      <c r="Q12" s="23"/>
      <c r="R12" s="18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23"/>
      <c r="F13" s="23"/>
      <c r="G13" s="188" t="s">
        <v>136</v>
      </c>
      <c r="H13" s="76" t="s">
        <v>137</v>
      </c>
      <c r="I13" s="84">
        <f>28300/1.07</f>
        <v>26448.59813</v>
      </c>
      <c r="J13" s="86">
        <v>9975.0</v>
      </c>
      <c r="K13" s="87">
        <f t="shared" ref="K13:K14" si="5">I13-J13</f>
        <v>16473.59813</v>
      </c>
      <c r="L13" s="88">
        <f t="shared" ref="L13:L14" si="6">K13/I13</f>
        <v>0.6228533569</v>
      </c>
      <c r="M13" s="86">
        <v>15000.0</v>
      </c>
      <c r="N13" s="87">
        <f t="shared" ref="N13:N14" si="7">I13-M13</f>
        <v>11448.59813</v>
      </c>
      <c r="O13" s="88">
        <f t="shared" ref="O13:O14" si="8">N13/I13</f>
        <v>0.4328621908</v>
      </c>
      <c r="P13" s="23"/>
      <c r="Q13" s="23"/>
      <c r="R13" s="186" t="s">
        <v>140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23"/>
      <c r="F14" s="23"/>
      <c r="G14" s="188" t="s">
        <v>141</v>
      </c>
      <c r="H14" s="76" t="s">
        <v>142</v>
      </c>
      <c r="I14" s="84">
        <v>0.0</v>
      </c>
      <c r="J14" s="86">
        <v>4200.0</v>
      </c>
      <c r="K14" s="87">
        <f t="shared" si="5"/>
        <v>-4200</v>
      </c>
      <c r="L14" s="88" t="str">
        <f t="shared" si="6"/>
        <v>#DIV/0!</v>
      </c>
      <c r="M14" s="86">
        <v>0.0</v>
      </c>
      <c r="N14" s="87">
        <f t="shared" si="7"/>
        <v>0</v>
      </c>
      <c r="O14" s="88" t="str">
        <f t="shared" si="8"/>
        <v>#DIV/0!</v>
      </c>
      <c r="P14" s="23"/>
      <c r="Q14" s="23"/>
      <c r="R14" s="186" t="s">
        <v>144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23"/>
      <c r="F15" s="23"/>
      <c r="G15" s="105"/>
      <c r="H15" s="109"/>
      <c r="I15" s="102">
        <f>-14400/1.07</f>
        <v>-13457.94393</v>
      </c>
      <c r="J15" s="87"/>
      <c r="K15" s="87"/>
      <c r="L15" s="74"/>
      <c r="M15" s="87"/>
      <c r="N15" s="86"/>
      <c r="O15" s="103"/>
      <c r="P15" s="23"/>
      <c r="Q15" s="23"/>
      <c r="R15" s="18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01"/>
      <c r="F16" s="101"/>
      <c r="G16" s="105"/>
      <c r="H16" s="109"/>
      <c r="I16" s="102">
        <f>-3000/1.07</f>
        <v>-2803.738318</v>
      </c>
      <c r="J16" s="87"/>
      <c r="K16" s="87"/>
      <c r="L16" s="74"/>
      <c r="M16" s="87"/>
      <c r="N16" s="86"/>
      <c r="O16" s="103"/>
      <c r="P16" s="101"/>
      <c r="Q16" s="101"/>
      <c r="R16" s="18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105"/>
      <c r="F17" s="105"/>
      <c r="G17" s="105"/>
      <c r="H17" s="109"/>
      <c r="I17" s="114"/>
      <c r="J17" s="87"/>
      <c r="K17" s="87"/>
      <c r="L17" s="74"/>
      <c r="M17" s="87"/>
      <c r="N17" s="86"/>
      <c r="O17" s="103"/>
      <c r="P17" s="59"/>
      <c r="Q17" s="105"/>
      <c r="R17" s="18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05"/>
      <c r="F18" s="105"/>
      <c r="G18" s="105"/>
      <c r="H18" s="109"/>
      <c r="I18" s="114"/>
      <c r="J18" s="87"/>
      <c r="K18" s="87"/>
      <c r="L18" s="74"/>
      <c r="M18" s="87"/>
      <c r="N18" s="86"/>
      <c r="O18" s="103"/>
      <c r="P18" s="59"/>
      <c r="Q18" s="105"/>
      <c r="R18" s="18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71"/>
      <c r="C19" s="73"/>
      <c r="D19" s="74"/>
      <c r="E19" s="105"/>
      <c r="F19" s="105"/>
      <c r="G19" s="105"/>
      <c r="H19" s="109"/>
      <c r="I19" s="114"/>
      <c r="J19" s="87"/>
      <c r="K19" s="87"/>
      <c r="L19" s="74"/>
      <c r="M19" s="87"/>
      <c r="N19" s="86"/>
      <c r="O19" s="103"/>
      <c r="P19" s="59"/>
      <c r="Q19" s="105"/>
      <c r="R19" s="18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1"/>
      <c r="C20" s="73"/>
      <c r="D20" s="74"/>
      <c r="E20" s="105"/>
      <c r="F20" s="105"/>
      <c r="G20" s="105"/>
      <c r="H20" s="109"/>
      <c r="I20" s="114"/>
      <c r="J20" s="87"/>
      <c r="K20" s="87"/>
      <c r="L20" s="74"/>
      <c r="M20" s="87"/>
      <c r="N20" s="86"/>
      <c r="O20" s="103"/>
      <c r="P20" s="59"/>
      <c r="Q20" s="105"/>
      <c r="R20" s="18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13" t="str">
        <f t="shared" ref="B21:C21" si="9">B4</f>
        <v>Origin Place Phetkasem</v>
      </c>
      <c r="C21" s="113" t="str">
        <f t="shared" si="9"/>
        <v>Room 919</v>
      </c>
      <c r="D21" s="115">
        <f>SUM(D4:D20)</f>
        <v>0</v>
      </c>
      <c r="E21" s="121"/>
      <c r="F21" s="121"/>
      <c r="G21" s="121"/>
      <c r="H21" s="117" t="s">
        <v>95</v>
      </c>
      <c r="I21" s="118">
        <f t="shared" ref="I21:J21" si="10">SUM(I4:I20)</f>
        <v>51028.03738</v>
      </c>
      <c r="J21" s="118">
        <f t="shared" si="10"/>
        <v>32175</v>
      </c>
      <c r="K21" s="118">
        <f>I21-J21</f>
        <v>18853.03738</v>
      </c>
      <c r="L21" s="119">
        <f>K21/I21</f>
        <v>0.3694642857</v>
      </c>
      <c r="M21" s="118">
        <f>SUM(M4:M20)</f>
        <v>37500</v>
      </c>
      <c r="N21" s="118">
        <f>I21-M21</f>
        <v>13528.03738</v>
      </c>
      <c r="O21" s="119">
        <f>N21/I21</f>
        <v>0.2651098901</v>
      </c>
      <c r="P21" s="120"/>
      <c r="Q21" s="121"/>
      <c r="R21" s="12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22"/>
      <c r="B22" s="123"/>
      <c r="C22" s="124"/>
      <c r="D22" s="124"/>
      <c r="E22" s="125"/>
      <c r="F22" s="125"/>
      <c r="G22" s="125"/>
      <c r="H22" s="126"/>
      <c r="I22" s="127"/>
      <c r="J22" s="127"/>
      <c r="K22" s="127"/>
      <c r="L22" s="128"/>
      <c r="M22" s="127"/>
      <c r="N22" s="127"/>
      <c r="O22" s="128"/>
      <c r="P22" s="125"/>
      <c r="Q22" s="125"/>
      <c r="R22" s="125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>
      <c r="A23" s="1"/>
      <c r="B23" s="51" t="s">
        <v>115</v>
      </c>
      <c r="C23" s="53" t="s">
        <v>152</v>
      </c>
      <c r="D23" s="54" t="s">
        <v>153</v>
      </c>
      <c r="E23" s="59"/>
      <c r="F23" s="60"/>
      <c r="G23" s="60"/>
      <c r="H23" s="62" t="s">
        <v>43</v>
      </c>
      <c r="I23" s="63"/>
      <c r="J23" s="65"/>
      <c r="K23" s="63"/>
      <c r="L23" s="67"/>
      <c r="M23" s="65"/>
      <c r="N23" s="63"/>
      <c r="O23" s="67"/>
      <c r="P23" s="59"/>
      <c r="Q23" s="59"/>
      <c r="R23" s="5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71"/>
      <c r="C24" s="73"/>
      <c r="D24" s="107" t="s">
        <v>154</v>
      </c>
      <c r="E24" s="185" t="s">
        <v>155</v>
      </c>
      <c r="F24" s="185" t="s">
        <v>157</v>
      </c>
      <c r="G24" s="185" t="s">
        <v>159</v>
      </c>
      <c r="H24" s="76" t="s">
        <v>160</v>
      </c>
      <c r="I24" s="84">
        <f>7200/1.07</f>
        <v>6728.971963</v>
      </c>
      <c r="J24" s="86">
        <v>3000.0</v>
      </c>
      <c r="K24" s="87">
        <f t="shared" ref="K24:K27" si="11">I24-J24</f>
        <v>3728.971963</v>
      </c>
      <c r="L24" s="88">
        <f t="shared" ref="L24:L27" si="12">K24/I24</f>
        <v>0.5541666667</v>
      </c>
      <c r="M24" s="86">
        <v>3000.0</v>
      </c>
      <c r="N24" s="87">
        <f t="shared" ref="N24:N27" si="13">I24-M24</f>
        <v>3728.971963</v>
      </c>
      <c r="O24" s="88">
        <f t="shared" ref="O24:O27" si="14">N24/I24</f>
        <v>0.5541666667</v>
      </c>
      <c r="P24" s="55" t="s">
        <v>76</v>
      </c>
      <c r="Q24" s="97">
        <v>46220.0</v>
      </c>
      <c r="R24" s="187" t="s">
        <v>82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71"/>
      <c r="C25" s="73"/>
      <c r="D25" s="74"/>
      <c r="E25" s="23"/>
      <c r="F25" s="23"/>
      <c r="G25" s="23"/>
      <c r="H25" s="76" t="s">
        <v>165</v>
      </c>
      <c r="I25" s="84">
        <f>4300/1.07</f>
        <v>4018.691589</v>
      </c>
      <c r="J25" s="86">
        <v>1800.0</v>
      </c>
      <c r="K25" s="87">
        <f t="shared" si="11"/>
        <v>2218.691589</v>
      </c>
      <c r="L25" s="88">
        <f t="shared" si="12"/>
        <v>0.5520930233</v>
      </c>
      <c r="M25" s="86">
        <v>1800.0</v>
      </c>
      <c r="N25" s="87">
        <f t="shared" si="13"/>
        <v>2218.691589</v>
      </c>
      <c r="O25" s="88">
        <f t="shared" si="14"/>
        <v>0.5520930233</v>
      </c>
      <c r="P25" s="23"/>
      <c r="Q25" s="23"/>
      <c r="R25" s="2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71"/>
      <c r="C26" s="73"/>
      <c r="D26" s="74"/>
      <c r="E26" s="23"/>
      <c r="F26" s="23"/>
      <c r="G26" s="23"/>
      <c r="H26" s="76" t="s">
        <v>168</v>
      </c>
      <c r="I26" s="84">
        <f>5300/1.07</f>
        <v>4953.271028</v>
      </c>
      <c r="J26" s="86">
        <v>2000.0</v>
      </c>
      <c r="K26" s="87">
        <f t="shared" si="11"/>
        <v>2953.271028</v>
      </c>
      <c r="L26" s="88">
        <f t="shared" si="12"/>
        <v>0.5962264151</v>
      </c>
      <c r="M26" s="86">
        <v>2200.0</v>
      </c>
      <c r="N26" s="87">
        <f t="shared" si="13"/>
        <v>2753.271028</v>
      </c>
      <c r="O26" s="88">
        <f t="shared" si="14"/>
        <v>0.5558490566</v>
      </c>
      <c r="P26" s="23"/>
      <c r="Q26" s="23"/>
      <c r="R26" s="2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1"/>
      <c r="C27" s="73"/>
      <c r="D27" s="74"/>
      <c r="E27" s="23"/>
      <c r="F27" s="23"/>
      <c r="G27" s="101"/>
      <c r="H27" s="76" t="s">
        <v>171</v>
      </c>
      <c r="I27" s="84">
        <v>0.0</v>
      </c>
      <c r="J27" s="86">
        <v>1500.0</v>
      </c>
      <c r="K27" s="87">
        <f t="shared" si="11"/>
        <v>-1500</v>
      </c>
      <c r="L27" s="88" t="str">
        <f t="shared" si="12"/>
        <v>#DIV/0!</v>
      </c>
      <c r="M27" s="86">
        <v>1500.0</v>
      </c>
      <c r="N27" s="87">
        <f t="shared" si="13"/>
        <v>-1500</v>
      </c>
      <c r="O27" s="88" t="str">
        <f t="shared" si="14"/>
        <v>#DIV/0!</v>
      </c>
      <c r="P27" s="23"/>
      <c r="Q27" s="23"/>
      <c r="R27" s="100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1"/>
      <c r="C28" s="73"/>
      <c r="D28" s="74"/>
      <c r="E28" s="23"/>
      <c r="F28" s="23"/>
      <c r="G28" s="105"/>
      <c r="H28" s="62"/>
      <c r="I28" s="84"/>
      <c r="J28" s="106">
        <v>-300.0</v>
      </c>
      <c r="K28" s="87"/>
      <c r="L28" s="74"/>
      <c r="M28" s="86"/>
      <c r="N28" s="87"/>
      <c r="O28" s="88"/>
      <c r="P28" s="23"/>
      <c r="Q28" s="23"/>
      <c r="R28" s="184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1"/>
      <c r="C29" s="73"/>
      <c r="D29" s="74"/>
      <c r="E29" s="23"/>
      <c r="F29" s="23"/>
      <c r="G29" s="105"/>
      <c r="H29" s="62" t="s">
        <v>135</v>
      </c>
      <c r="I29" s="84"/>
      <c r="J29" s="86"/>
      <c r="K29" s="87"/>
      <c r="L29" s="74"/>
      <c r="M29" s="86"/>
      <c r="N29" s="87"/>
      <c r="O29" s="88"/>
      <c r="P29" s="23"/>
      <c r="Q29" s="23"/>
      <c r="R29" s="18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1"/>
      <c r="C30" s="73"/>
      <c r="D30" s="74"/>
      <c r="E30" s="23"/>
      <c r="F30" s="23"/>
      <c r="G30" s="188" t="s">
        <v>173</v>
      </c>
      <c r="H30" s="76" t="s">
        <v>137</v>
      </c>
      <c r="I30" s="84">
        <f>19400/1.07</f>
        <v>18130.84112</v>
      </c>
      <c r="J30" s="86">
        <v>6175.0</v>
      </c>
      <c r="K30" s="87">
        <f t="shared" ref="K30:K31" si="15">I30-J30</f>
        <v>11955.84112</v>
      </c>
      <c r="L30" s="88">
        <f t="shared" ref="L30:L31" si="16">K30/I30</f>
        <v>0.6594201031</v>
      </c>
      <c r="M30" s="86">
        <v>8125.0</v>
      </c>
      <c r="N30" s="87">
        <f t="shared" ref="N30:N31" si="17">I30-M30</f>
        <v>10005.84112</v>
      </c>
      <c r="O30" s="88">
        <f t="shared" ref="O30:O31" si="18">N30/I30</f>
        <v>0.5518685567</v>
      </c>
      <c r="P30" s="23"/>
      <c r="Q30" s="23"/>
      <c r="R30" s="186" t="s">
        <v>140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1"/>
      <c r="C31" s="73"/>
      <c r="D31" s="74"/>
      <c r="E31" s="101"/>
      <c r="F31" s="101"/>
      <c r="G31" s="188" t="s">
        <v>174</v>
      </c>
      <c r="H31" s="76" t="s">
        <v>142</v>
      </c>
      <c r="I31" s="84">
        <v>0.0</v>
      </c>
      <c r="J31" s="86">
        <v>2600.0</v>
      </c>
      <c r="K31" s="87">
        <f t="shared" si="15"/>
        <v>-2600</v>
      </c>
      <c r="L31" s="88" t="str">
        <f t="shared" si="16"/>
        <v>#DIV/0!</v>
      </c>
      <c r="M31" s="86">
        <v>3400.0</v>
      </c>
      <c r="N31" s="87">
        <f t="shared" si="17"/>
        <v>-3400</v>
      </c>
      <c r="O31" s="88" t="str">
        <f t="shared" si="18"/>
        <v>#DIV/0!</v>
      </c>
      <c r="P31" s="23"/>
      <c r="Q31" s="23"/>
      <c r="R31" s="186" t="s">
        <v>144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1"/>
      <c r="C32" s="73"/>
      <c r="D32" s="74"/>
      <c r="E32" s="105"/>
      <c r="F32" s="105"/>
      <c r="G32" s="105"/>
      <c r="H32" s="190" t="s">
        <v>92</v>
      </c>
      <c r="I32" s="102">
        <f>-3620/1.07</f>
        <v>-3383.17757</v>
      </c>
      <c r="J32" s="87"/>
      <c r="K32" s="87"/>
      <c r="L32" s="74"/>
      <c r="M32" s="87"/>
      <c r="N32" s="86"/>
      <c r="O32" s="103"/>
      <c r="P32" s="23"/>
      <c r="Q32" s="23"/>
      <c r="R32" s="18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1"/>
      <c r="C33" s="73"/>
      <c r="D33" s="74"/>
      <c r="E33" s="105"/>
      <c r="F33" s="105"/>
      <c r="G33" s="105"/>
      <c r="H33" s="109"/>
      <c r="I33" s="102">
        <f>-3000/1.07</f>
        <v>-2803.738318</v>
      </c>
      <c r="J33" s="87"/>
      <c r="K33" s="87"/>
      <c r="L33" s="74"/>
      <c r="M33" s="87"/>
      <c r="N33" s="86"/>
      <c r="O33" s="103"/>
      <c r="P33" s="101"/>
      <c r="Q33" s="101"/>
      <c r="R33" s="184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1"/>
      <c r="C34" s="73"/>
      <c r="D34" s="74"/>
      <c r="E34" s="105"/>
      <c r="F34" s="105"/>
      <c r="G34" s="105"/>
      <c r="H34" s="109"/>
      <c r="I34" s="114"/>
      <c r="J34" s="87"/>
      <c r="K34" s="87"/>
      <c r="L34" s="74"/>
      <c r="M34" s="87"/>
      <c r="N34" s="86"/>
      <c r="O34" s="103"/>
      <c r="P34" s="59"/>
      <c r="Q34" s="105"/>
      <c r="R34" s="18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1"/>
      <c r="C35" s="73"/>
      <c r="D35" s="74"/>
      <c r="E35" s="105"/>
      <c r="F35" s="105"/>
      <c r="G35" s="105"/>
      <c r="H35" s="109"/>
      <c r="I35" s="114"/>
      <c r="J35" s="87"/>
      <c r="K35" s="87"/>
      <c r="L35" s="74"/>
      <c r="M35" s="87"/>
      <c r="N35" s="86"/>
      <c r="O35" s="103"/>
      <c r="P35" s="59"/>
      <c r="Q35" s="105"/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1"/>
      <c r="C36" s="73"/>
      <c r="D36" s="74"/>
      <c r="E36" s="105"/>
      <c r="F36" s="105"/>
      <c r="G36" s="105"/>
      <c r="H36" s="109"/>
      <c r="I36" s="114"/>
      <c r="J36" s="87"/>
      <c r="K36" s="87"/>
      <c r="L36" s="74"/>
      <c r="M36" s="87"/>
      <c r="N36" s="86"/>
      <c r="O36" s="103"/>
      <c r="P36" s="59"/>
      <c r="Q36" s="105"/>
      <c r="R36" s="18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1"/>
      <c r="C37" s="73"/>
      <c r="D37" s="74"/>
      <c r="E37" s="105"/>
      <c r="F37" s="105"/>
      <c r="G37" s="105"/>
      <c r="H37" s="109"/>
      <c r="I37" s="114"/>
      <c r="J37" s="87"/>
      <c r="K37" s="87"/>
      <c r="L37" s="74"/>
      <c r="M37" s="87"/>
      <c r="N37" s="86"/>
      <c r="O37" s="103"/>
      <c r="P37" s="59"/>
      <c r="Q37" s="105"/>
      <c r="R37" s="18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13" t="str">
        <f t="shared" ref="B38:C38" si="19">B23</f>
        <v>Origin Place Phetkasem</v>
      </c>
      <c r="C38" s="113" t="str">
        <f t="shared" si="19"/>
        <v>Room 818</v>
      </c>
      <c r="D38" s="115">
        <f>SUM(D23:D37)</f>
        <v>0</v>
      </c>
      <c r="E38" s="121"/>
      <c r="F38" s="121"/>
      <c r="G38" s="121"/>
      <c r="H38" s="117" t="s">
        <v>95</v>
      </c>
      <c r="I38" s="118">
        <f t="shared" ref="I38:J38" si="20">SUM(I23:I37)</f>
        <v>27644.85981</v>
      </c>
      <c r="J38" s="118">
        <f t="shared" si="20"/>
        <v>16775</v>
      </c>
      <c r="K38" s="118">
        <f>I38-J38</f>
        <v>10869.85981</v>
      </c>
      <c r="L38" s="119">
        <f>K38/I38</f>
        <v>0.3931964165</v>
      </c>
      <c r="M38" s="118">
        <f>SUM(M23:M37)</f>
        <v>20025</v>
      </c>
      <c r="N38" s="118">
        <f>I38-M38</f>
        <v>7619.859813</v>
      </c>
      <c r="O38" s="119">
        <f>N38/I38</f>
        <v>0.2756338742</v>
      </c>
      <c r="P38" s="120"/>
      <c r="Q38" s="121"/>
      <c r="R38" s="12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22"/>
      <c r="B39" s="123"/>
      <c r="C39" s="124"/>
      <c r="D39" s="124"/>
      <c r="E39" s="125"/>
      <c r="F39" s="125"/>
      <c r="G39" s="125"/>
      <c r="H39" s="126"/>
      <c r="I39" s="127"/>
      <c r="J39" s="127"/>
      <c r="K39" s="127"/>
      <c r="L39" s="128"/>
      <c r="M39" s="127"/>
      <c r="N39" s="127"/>
      <c r="O39" s="128"/>
      <c r="P39" s="125"/>
      <c r="Q39" s="125"/>
      <c r="R39" s="125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</row>
    <row r="40">
      <c r="A40" s="1"/>
      <c r="B40" s="51" t="s">
        <v>115</v>
      </c>
      <c r="C40" s="53" t="s">
        <v>184</v>
      </c>
      <c r="D40" s="54"/>
      <c r="E40" s="59"/>
      <c r="F40" s="60"/>
      <c r="G40" s="60"/>
      <c r="H40" s="62" t="s">
        <v>48</v>
      </c>
      <c r="I40" s="63"/>
      <c r="J40" s="65"/>
      <c r="K40" s="63"/>
      <c r="L40" s="67"/>
      <c r="M40" s="65"/>
      <c r="N40" s="63"/>
      <c r="O40" s="67"/>
      <c r="P40" s="59"/>
      <c r="Q40" s="59"/>
      <c r="R40" s="59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1"/>
      <c r="C41" s="73"/>
      <c r="D41" s="107"/>
      <c r="E41" s="59"/>
      <c r="F41" s="60"/>
      <c r="G41" s="60"/>
      <c r="H41" s="76" t="s">
        <v>185</v>
      </c>
      <c r="I41" s="84">
        <f>486200/1.07</f>
        <v>454392.5234</v>
      </c>
      <c r="J41" s="84">
        <f>246450-3000</f>
        <v>243450</v>
      </c>
      <c r="K41" s="87"/>
      <c r="L41" s="88"/>
      <c r="M41" s="86">
        <f>295050/1.07</f>
        <v>275747.6636</v>
      </c>
      <c r="N41" s="87">
        <f t="shared" ref="N41:N42" si="21">I41-M41</f>
        <v>178644.8598</v>
      </c>
      <c r="O41" s="88">
        <f t="shared" ref="O41:O42" si="22">N41/I41</f>
        <v>0.3931509667</v>
      </c>
      <c r="P41" s="55" t="s">
        <v>76</v>
      </c>
      <c r="Q41" s="192">
        <v>46252.0</v>
      </c>
      <c r="R41" s="59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1"/>
      <c r="C42" s="73"/>
      <c r="D42" s="74"/>
      <c r="E42" s="59"/>
      <c r="F42" s="60"/>
      <c r="G42" s="60"/>
      <c r="H42" s="76" t="s">
        <v>187</v>
      </c>
      <c r="I42" s="84">
        <f>20000/1.07</f>
        <v>18691.58879</v>
      </c>
      <c r="J42" s="86">
        <v>3000.0</v>
      </c>
      <c r="K42" s="87"/>
      <c r="L42" s="74"/>
      <c r="M42" s="86">
        <f>14000/1.07</f>
        <v>13084.11215</v>
      </c>
      <c r="N42" s="87">
        <f t="shared" si="21"/>
        <v>5607.476636</v>
      </c>
      <c r="O42" s="88">
        <f t="shared" si="22"/>
        <v>0.3</v>
      </c>
      <c r="P42" s="58"/>
      <c r="Q42" s="195"/>
      <c r="R42" s="59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1"/>
      <c r="C43" s="73"/>
      <c r="D43" s="74"/>
      <c r="E43" s="59"/>
      <c r="F43" s="60"/>
      <c r="G43" s="60"/>
      <c r="H43" s="62" t="s">
        <v>188</v>
      </c>
      <c r="I43" s="84"/>
      <c r="J43" s="86"/>
      <c r="K43" s="87"/>
      <c r="L43" s="88"/>
      <c r="M43" s="86"/>
      <c r="N43" s="87"/>
      <c r="O43" s="88"/>
      <c r="P43" s="58"/>
      <c r="Q43" s="195"/>
      <c r="R43" s="59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1"/>
      <c r="C44" s="73"/>
      <c r="D44" s="74"/>
      <c r="E44" s="59"/>
      <c r="F44" s="60"/>
      <c r="G44" s="60"/>
      <c r="H44" s="76" t="s">
        <v>189</v>
      </c>
      <c r="I44" s="84">
        <f>18000/1.07</f>
        <v>16822.42991</v>
      </c>
      <c r="J44" s="86"/>
      <c r="K44" s="87"/>
      <c r="L44" s="88"/>
      <c r="M44" s="86">
        <f>8000/1.07</f>
        <v>7476.635514</v>
      </c>
      <c r="N44" s="87">
        <f t="shared" ref="N44:N46" si="23">I44-M44</f>
        <v>9345.794393</v>
      </c>
      <c r="O44" s="88">
        <f t="shared" ref="O44:O46" si="24">N44/I44</f>
        <v>0.5555555556</v>
      </c>
      <c r="P44" s="58"/>
      <c r="Q44" s="195"/>
      <c r="R44" s="59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1"/>
      <c r="C45" s="73"/>
      <c r="D45" s="74"/>
      <c r="E45" s="59"/>
      <c r="F45" s="60"/>
      <c r="G45" s="60"/>
      <c r="H45" s="76" t="s">
        <v>190</v>
      </c>
      <c r="I45" s="84">
        <f>9600/1.07</f>
        <v>8971.962617</v>
      </c>
      <c r="J45" s="86"/>
      <c r="K45" s="87"/>
      <c r="L45" s="88"/>
      <c r="M45" s="86">
        <f>4000/1.07</f>
        <v>3738.317757</v>
      </c>
      <c r="N45" s="87">
        <f t="shared" si="23"/>
        <v>5233.64486</v>
      </c>
      <c r="O45" s="88">
        <f t="shared" si="24"/>
        <v>0.5833333333</v>
      </c>
      <c r="P45" s="58"/>
      <c r="Q45" s="195"/>
      <c r="R45" s="59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1"/>
      <c r="C46" s="73"/>
      <c r="D46" s="74"/>
      <c r="E46" s="59"/>
      <c r="F46" s="60"/>
      <c r="G46" s="60"/>
      <c r="H46" s="76" t="s">
        <v>191</v>
      </c>
      <c r="I46" s="84">
        <v>0.0</v>
      </c>
      <c r="J46" s="106"/>
      <c r="K46" s="87"/>
      <c r="L46" s="74"/>
      <c r="M46" s="86">
        <f>3000/1.07</f>
        <v>2803.738318</v>
      </c>
      <c r="N46" s="87">
        <f t="shared" si="23"/>
        <v>-2803.738318</v>
      </c>
      <c r="O46" s="88" t="str">
        <f t="shared" si="24"/>
        <v>#DIV/0!</v>
      </c>
      <c r="P46" s="58"/>
      <c r="Q46" s="195"/>
      <c r="R46" s="59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1"/>
      <c r="C47" s="73"/>
      <c r="D47" s="74"/>
      <c r="E47" s="59"/>
      <c r="F47" s="60"/>
      <c r="G47" s="60"/>
      <c r="H47" s="62" t="s">
        <v>192</v>
      </c>
      <c r="I47" s="84"/>
      <c r="J47" s="86"/>
      <c r="K47" s="87"/>
      <c r="L47" s="88"/>
      <c r="M47" s="86"/>
      <c r="N47" s="87"/>
      <c r="O47" s="88"/>
      <c r="P47" s="58"/>
      <c r="Q47" s="195"/>
      <c r="R47" s="59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1"/>
      <c r="C48" s="73"/>
      <c r="D48" s="74"/>
      <c r="E48" s="59"/>
      <c r="F48" s="60"/>
      <c r="G48" s="60"/>
      <c r="H48" s="76" t="s">
        <v>193</v>
      </c>
      <c r="I48" s="84">
        <f>28300/1.07</f>
        <v>26448.59813</v>
      </c>
      <c r="J48" s="86"/>
      <c r="K48" s="87"/>
      <c r="L48" s="88"/>
      <c r="M48" s="86">
        <f>11875/1.07</f>
        <v>11098.13084</v>
      </c>
      <c r="N48" s="87">
        <f t="shared" ref="N48:N49" si="25">I48-M48</f>
        <v>15350.46729</v>
      </c>
      <c r="O48" s="88">
        <f t="shared" ref="O48:O49" si="26">N48/I48</f>
        <v>0.5803886926</v>
      </c>
      <c r="P48" s="58"/>
      <c r="Q48" s="195"/>
      <c r="R48" s="59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1"/>
      <c r="C49" s="73"/>
      <c r="D49" s="74"/>
      <c r="E49" s="59"/>
      <c r="F49" s="60"/>
      <c r="G49" s="60"/>
      <c r="H49" s="76" t="s">
        <v>195</v>
      </c>
      <c r="I49" s="84">
        <v>0.0</v>
      </c>
      <c r="J49" s="87"/>
      <c r="K49" s="87"/>
      <c r="L49" s="74"/>
      <c r="M49" s="86">
        <f>5950/1.07</f>
        <v>5560.747664</v>
      </c>
      <c r="N49" s="87">
        <f t="shared" si="25"/>
        <v>-5560.747664</v>
      </c>
      <c r="O49" s="88" t="str">
        <f t="shared" si="26"/>
        <v>#DIV/0!</v>
      </c>
      <c r="P49" s="58"/>
      <c r="Q49" s="195"/>
      <c r="R49" s="59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1"/>
      <c r="C50" s="73"/>
      <c r="D50" s="74"/>
      <c r="E50" s="105"/>
      <c r="F50" s="196"/>
      <c r="G50" s="196"/>
      <c r="H50" s="62" t="s">
        <v>200</v>
      </c>
      <c r="I50" s="102"/>
      <c r="J50" s="87"/>
      <c r="K50" s="87"/>
      <c r="L50" s="74"/>
      <c r="M50" s="87"/>
      <c r="N50" s="86"/>
      <c r="O50" s="103"/>
      <c r="P50" s="58"/>
      <c r="Q50" s="195"/>
      <c r="R50" s="59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1"/>
      <c r="C51" s="73"/>
      <c r="D51" s="74"/>
      <c r="E51" s="105"/>
      <c r="F51" s="196"/>
      <c r="G51" s="196"/>
      <c r="H51" s="76" t="s">
        <v>201</v>
      </c>
      <c r="I51" s="84">
        <f>22400/1.07</f>
        <v>20934.57944</v>
      </c>
      <c r="J51" s="87"/>
      <c r="K51" s="87"/>
      <c r="L51" s="74"/>
      <c r="M51" s="86">
        <f>13600/1.07</f>
        <v>12710.28037</v>
      </c>
      <c r="N51" s="87">
        <f>I51-M51</f>
        <v>8224.299065</v>
      </c>
      <c r="O51" s="88">
        <f>N51/I51</f>
        <v>0.3928571429</v>
      </c>
      <c r="P51" s="58"/>
      <c r="Q51" s="195"/>
      <c r="R51" s="59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1"/>
      <c r="C52" s="73"/>
      <c r="D52" s="74"/>
      <c r="E52" s="105"/>
      <c r="F52" s="105"/>
      <c r="G52" s="105"/>
      <c r="H52" s="62" t="s">
        <v>202</v>
      </c>
      <c r="I52" s="102">
        <f>-70140/1.07</f>
        <v>-65551.40187</v>
      </c>
      <c r="J52" s="87"/>
      <c r="K52" s="87"/>
      <c r="L52" s="74"/>
      <c r="M52" s="87"/>
      <c r="N52" s="86"/>
      <c r="O52" s="103"/>
      <c r="P52" s="58"/>
      <c r="Q52" s="195"/>
      <c r="R52" s="59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1"/>
      <c r="C53" s="73"/>
      <c r="D53" s="74"/>
      <c r="E53" s="105"/>
      <c r="F53" s="105"/>
      <c r="G53" s="105"/>
      <c r="H53" s="76"/>
      <c r="I53" s="102">
        <f>-24360/1.07</f>
        <v>-22766.35514</v>
      </c>
      <c r="J53" s="87"/>
      <c r="K53" s="87"/>
      <c r="L53" s="74"/>
      <c r="M53" s="87"/>
      <c r="N53" s="86"/>
      <c r="O53" s="103"/>
      <c r="P53" s="197"/>
      <c r="Q53" s="198"/>
      <c r="R53" s="18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13" t="str">
        <f t="shared" ref="B54:C54" si="27">B40</f>
        <v>Origin Place Phetkasem</v>
      </c>
      <c r="C54" s="113" t="str">
        <f t="shared" si="27"/>
        <v>Room 502</v>
      </c>
      <c r="D54" s="115">
        <f>SUM(D40:D53)</f>
        <v>0</v>
      </c>
      <c r="E54" s="121"/>
      <c r="F54" s="121"/>
      <c r="G54" s="121"/>
      <c r="H54" s="117" t="s">
        <v>95</v>
      </c>
      <c r="I54" s="118">
        <f t="shared" ref="I54:J54" si="28">SUM(I40:I53)</f>
        <v>457943.9252</v>
      </c>
      <c r="J54" s="118">
        <f t="shared" si="28"/>
        <v>246450</v>
      </c>
      <c r="K54" s="118">
        <f>I54-J54</f>
        <v>211493.9252</v>
      </c>
      <c r="L54" s="119">
        <f>K54/I54</f>
        <v>0.4618336735</v>
      </c>
      <c r="M54" s="118">
        <f>SUM(M40:M53)</f>
        <v>332219.6262</v>
      </c>
      <c r="N54" s="118">
        <f>I54-M54</f>
        <v>125724.2991</v>
      </c>
      <c r="O54" s="119">
        <f>N54/I54</f>
        <v>0.2745408163</v>
      </c>
      <c r="P54" s="199"/>
      <c r="Q54" s="200"/>
      <c r="R54" s="12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201"/>
      <c r="F55" s="201"/>
      <c r="G55" s="201"/>
      <c r="H55" s="1"/>
      <c r="I55" s="1"/>
      <c r="J55" s="1"/>
      <c r="K55" s="1"/>
      <c r="L55" s="1"/>
      <c r="M55" s="1"/>
      <c r="N55" s="1"/>
      <c r="O55" s="1"/>
      <c r="P55" s="1"/>
      <c r="Q55" s="131"/>
      <c r="R55" s="18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201"/>
      <c r="F56" s="201"/>
      <c r="G56" s="201"/>
      <c r="H56" s="1"/>
      <c r="I56" s="1"/>
      <c r="J56" s="1"/>
      <c r="K56" s="1"/>
      <c r="L56" s="1"/>
      <c r="M56" s="1"/>
      <c r="N56" s="1"/>
      <c r="O56" s="1"/>
      <c r="P56" s="1"/>
      <c r="Q56" s="131"/>
      <c r="R56" s="18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201"/>
      <c r="F57" s="201"/>
      <c r="G57" s="201"/>
      <c r="H57" s="1"/>
      <c r="I57" s="1"/>
      <c r="J57" s="1"/>
      <c r="K57" s="1"/>
      <c r="L57" s="1"/>
      <c r="M57" s="1"/>
      <c r="N57" s="1"/>
      <c r="O57" s="1"/>
      <c r="P57" s="1"/>
      <c r="Q57" s="131"/>
      <c r="R57" s="18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201"/>
      <c r="F58" s="201"/>
      <c r="G58" s="201"/>
      <c r="H58" s="1"/>
      <c r="I58" s="1"/>
      <c r="J58" s="1"/>
      <c r="K58" s="1"/>
      <c r="L58" s="1"/>
      <c r="M58" s="1"/>
      <c r="N58" s="1"/>
      <c r="O58" s="1"/>
      <c r="P58" s="1"/>
      <c r="Q58" s="131"/>
      <c r="R58" s="18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201"/>
      <c r="F59" s="201"/>
      <c r="G59" s="201"/>
      <c r="H59" s="1"/>
      <c r="I59" s="1"/>
      <c r="J59" s="1"/>
      <c r="K59" s="1"/>
      <c r="L59" s="1"/>
      <c r="M59" s="1"/>
      <c r="N59" s="1"/>
      <c r="O59" s="1"/>
      <c r="P59" s="1"/>
      <c r="Q59" s="131"/>
      <c r="R59" s="18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201"/>
      <c r="F60" s="201"/>
      <c r="G60" s="201"/>
      <c r="H60" s="1"/>
      <c r="I60" s="1"/>
      <c r="J60" s="1"/>
      <c r="K60" s="1"/>
      <c r="L60" s="1"/>
      <c r="M60" s="1"/>
      <c r="N60" s="1"/>
      <c r="O60" s="1"/>
      <c r="P60" s="1"/>
      <c r="Q60" s="131"/>
      <c r="R60" s="18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201"/>
      <c r="F61" s="201"/>
      <c r="G61" s="201"/>
      <c r="H61" s="1"/>
      <c r="I61" s="1"/>
      <c r="J61" s="1"/>
      <c r="K61" s="1"/>
      <c r="L61" s="1"/>
      <c r="M61" s="1"/>
      <c r="N61" s="1"/>
      <c r="O61" s="1"/>
      <c r="P61" s="1"/>
      <c r="Q61" s="131"/>
      <c r="R61" s="18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201"/>
      <c r="F62" s="201"/>
      <c r="G62" s="201"/>
      <c r="H62" s="1"/>
      <c r="I62" s="1"/>
      <c r="J62" s="1"/>
      <c r="K62" s="1"/>
      <c r="L62" s="1"/>
      <c r="M62" s="1"/>
      <c r="N62" s="1"/>
      <c r="O62" s="1"/>
      <c r="P62" s="1"/>
      <c r="Q62" s="131"/>
      <c r="R62" s="18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201"/>
      <c r="F63" s="201"/>
      <c r="G63" s="201"/>
      <c r="H63" s="1"/>
      <c r="I63" s="1"/>
      <c r="J63" s="1"/>
      <c r="K63" s="1"/>
      <c r="L63" s="1"/>
      <c r="M63" s="1"/>
      <c r="N63" s="1"/>
      <c r="O63" s="1"/>
      <c r="P63" s="1"/>
      <c r="Q63" s="131"/>
      <c r="R63" s="18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201"/>
      <c r="F64" s="201"/>
      <c r="G64" s="201"/>
      <c r="H64" s="1"/>
      <c r="I64" s="1"/>
      <c r="J64" s="1"/>
      <c r="K64" s="1"/>
      <c r="L64" s="1"/>
      <c r="M64" s="1"/>
      <c r="N64" s="1"/>
      <c r="O64" s="1"/>
      <c r="P64" s="1"/>
      <c r="Q64" s="131"/>
      <c r="R64" s="18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201"/>
      <c r="F65" s="201"/>
      <c r="G65" s="201"/>
      <c r="H65" s="1"/>
      <c r="I65" s="1"/>
      <c r="J65" s="1"/>
      <c r="K65" s="1"/>
      <c r="L65" s="1"/>
      <c r="M65" s="1"/>
      <c r="N65" s="1"/>
      <c r="O65" s="1"/>
      <c r="P65" s="1"/>
      <c r="Q65" s="131"/>
      <c r="R65" s="18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201"/>
      <c r="F66" s="201"/>
      <c r="G66" s="201"/>
      <c r="H66" s="1"/>
      <c r="I66" s="1"/>
      <c r="J66" s="1"/>
      <c r="K66" s="1"/>
      <c r="L66" s="1"/>
      <c r="M66" s="1"/>
      <c r="N66" s="1"/>
      <c r="O66" s="1"/>
      <c r="P66" s="1"/>
      <c r="Q66" s="131"/>
      <c r="R66" s="18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201"/>
      <c r="F67" s="201"/>
      <c r="G67" s="201"/>
      <c r="H67" s="1"/>
      <c r="I67" s="1"/>
      <c r="J67" s="1"/>
      <c r="K67" s="1"/>
      <c r="L67" s="1"/>
      <c r="M67" s="1"/>
      <c r="N67" s="1"/>
      <c r="O67" s="1"/>
      <c r="P67" s="1"/>
      <c r="Q67" s="131"/>
      <c r="R67" s="18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201"/>
      <c r="F68" s="201"/>
      <c r="G68" s="201"/>
      <c r="H68" s="1"/>
      <c r="I68" s="1"/>
      <c r="J68" s="1"/>
      <c r="K68" s="1"/>
      <c r="L68" s="1"/>
      <c r="M68" s="1"/>
      <c r="N68" s="1"/>
      <c r="O68" s="1"/>
      <c r="P68" s="1"/>
      <c r="Q68" s="131"/>
      <c r="R68" s="18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201"/>
      <c r="F69" s="201"/>
      <c r="G69" s="201"/>
      <c r="H69" s="1"/>
      <c r="I69" s="1"/>
      <c r="J69" s="1"/>
      <c r="K69" s="1"/>
      <c r="L69" s="1"/>
      <c r="M69" s="1"/>
      <c r="N69" s="1"/>
      <c r="O69" s="1"/>
      <c r="P69" s="1"/>
      <c r="Q69" s="131"/>
      <c r="R69" s="18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201"/>
      <c r="F70" s="201"/>
      <c r="G70" s="201"/>
      <c r="H70" s="1"/>
      <c r="I70" s="1"/>
      <c r="J70" s="1"/>
      <c r="K70" s="1"/>
      <c r="L70" s="1"/>
      <c r="M70" s="1"/>
      <c r="N70" s="1"/>
      <c r="O70" s="1"/>
      <c r="P70" s="1"/>
      <c r="Q70" s="131"/>
      <c r="R70" s="18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201"/>
      <c r="F71" s="201"/>
      <c r="G71" s="201"/>
      <c r="H71" s="1"/>
      <c r="I71" s="1"/>
      <c r="J71" s="1"/>
      <c r="K71" s="1"/>
      <c r="L71" s="1"/>
      <c r="M71" s="1"/>
      <c r="N71" s="1"/>
      <c r="O71" s="1"/>
      <c r="P71" s="1"/>
      <c r="Q71" s="131"/>
      <c r="R71" s="18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201"/>
      <c r="F72" s="201"/>
      <c r="G72" s="201"/>
      <c r="H72" s="1"/>
      <c r="I72" s="1"/>
      <c r="J72" s="1"/>
      <c r="K72" s="1"/>
      <c r="L72" s="1"/>
      <c r="M72" s="1"/>
      <c r="N72" s="1"/>
      <c r="O72" s="1"/>
      <c r="P72" s="1"/>
      <c r="Q72" s="131"/>
      <c r="R72" s="18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201"/>
      <c r="F73" s="201"/>
      <c r="G73" s="201"/>
      <c r="H73" s="1"/>
      <c r="I73" s="1"/>
      <c r="J73" s="1"/>
      <c r="K73" s="1"/>
      <c r="L73" s="1"/>
      <c r="M73" s="1"/>
      <c r="N73" s="1"/>
      <c r="O73" s="1"/>
      <c r="P73" s="1"/>
      <c r="Q73" s="131"/>
      <c r="R73" s="18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201"/>
      <c r="F74" s="201"/>
      <c r="G74" s="201"/>
      <c r="H74" s="1"/>
      <c r="I74" s="1"/>
      <c r="J74" s="1"/>
      <c r="K74" s="1"/>
      <c r="L74" s="1"/>
      <c r="M74" s="1"/>
      <c r="N74" s="1"/>
      <c r="O74" s="1"/>
      <c r="P74" s="1"/>
      <c r="Q74" s="131"/>
      <c r="R74" s="18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201"/>
      <c r="F75" s="201"/>
      <c r="G75" s="201"/>
      <c r="H75" s="1"/>
      <c r="I75" s="1"/>
      <c r="J75" s="1"/>
      <c r="K75" s="1"/>
      <c r="L75" s="1"/>
      <c r="M75" s="1"/>
      <c r="N75" s="1"/>
      <c r="O75" s="1"/>
      <c r="P75" s="1"/>
      <c r="Q75" s="131"/>
      <c r="R75" s="18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201"/>
      <c r="F76" s="201"/>
      <c r="G76" s="201"/>
      <c r="H76" s="1"/>
      <c r="I76" s="1"/>
      <c r="J76" s="1"/>
      <c r="K76" s="1"/>
      <c r="L76" s="1"/>
      <c r="M76" s="1"/>
      <c r="N76" s="1"/>
      <c r="O76" s="1"/>
      <c r="P76" s="1"/>
      <c r="Q76" s="131"/>
      <c r="R76" s="18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201"/>
      <c r="F77" s="201"/>
      <c r="G77" s="201"/>
      <c r="H77" s="1"/>
      <c r="I77" s="1"/>
      <c r="J77" s="1"/>
      <c r="K77" s="1"/>
      <c r="L77" s="1"/>
      <c r="M77" s="1"/>
      <c r="N77" s="1"/>
      <c r="O77" s="1"/>
      <c r="P77" s="1"/>
      <c r="Q77" s="131"/>
      <c r="R77" s="18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201"/>
      <c r="F78" s="201"/>
      <c r="G78" s="201"/>
      <c r="H78" s="1"/>
      <c r="I78" s="1"/>
      <c r="J78" s="1"/>
      <c r="K78" s="1"/>
      <c r="L78" s="1"/>
      <c r="M78" s="1"/>
      <c r="N78" s="1"/>
      <c r="O78" s="1"/>
      <c r="P78" s="1"/>
      <c r="Q78" s="131"/>
      <c r="R78" s="18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201"/>
      <c r="F79" s="201"/>
      <c r="G79" s="201"/>
      <c r="H79" s="1"/>
      <c r="I79" s="1"/>
      <c r="J79" s="1"/>
      <c r="K79" s="1"/>
      <c r="L79" s="1"/>
      <c r="M79" s="1"/>
      <c r="N79" s="1"/>
      <c r="O79" s="1"/>
      <c r="P79" s="1"/>
      <c r="Q79" s="131"/>
      <c r="R79" s="18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201"/>
      <c r="F80" s="201"/>
      <c r="G80" s="201"/>
      <c r="H80" s="1"/>
      <c r="I80" s="1"/>
      <c r="J80" s="1"/>
      <c r="K80" s="1"/>
      <c r="L80" s="1"/>
      <c r="M80" s="1"/>
      <c r="N80" s="1"/>
      <c r="O80" s="1"/>
      <c r="P80" s="1"/>
      <c r="Q80" s="131"/>
      <c r="R80" s="18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201"/>
      <c r="F81" s="201"/>
      <c r="G81" s="201"/>
      <c r="H81" s="1"/>
      <c r="I81" s="1"/>
      <c r="J81" s="1"/>
      <c r="K81" s="1"/>
      <c r="L81" s="1"/>
      <c r="M81" s="1"/>
      <c r="N81" s="1"/>
      <c r="O81" s="1"/>
      <c r="P81" s="1"/>
      <c r="Q81" s="131"/>
      <c r="R81" s="18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201"/>
      <c r="F82" s="201"/>
      <c r="G82" s="201"/>
      <c r="H82" s="1"/>
      <c r="I82" s="1"/>
      <c r="J82" s="1"/>
      <c r="K82" s="1"/>
      <c r="L82" s="1"/>
      <c r="M82" s="1"/>
      <c r="N82" s="1"/>
      <c r="O82" s="1"/>
      <c r="P82" s="1"/>
      <c r="Q82" s="131"/>
      <c r="R82" s="18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201"/>
      <c r="F83" s="201"/>
      <c r="G83" s="201"/>
      <c r="H83" s="1"/>
      <c r="I83" s="1"/>
      <c r="J83" s="1"/>
      <c r="K83" s="1"/>
      <c r="L83" s="1"/>
      <c r="M83" s="1"/>
      <c r="N83" s="1"/>
      <c r="O83" s="1"/>
      <c r="P83" s="1"/>
      <c r="Q83" s="131"/>
      <c r="R83" s="18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201"/>
      <c r="F84" s="201"/>
      <c r="G84" s="201"/>
      <c r="H84" s="1"/>
      <c r="I84" s="1"/>
      <c r="J84" s="1"/>
      <c r="K84" s="1"/>
      <c r="L84" s="1"/>
      <c r="M84" s="1"/>
      <c r="N84" s="1"/>
      <c r="O84" s="1"/>
      <c r="P84" s="1"/>
      <c r="Q84" s="131"/>
      <c r="R84" s="18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201"/>
      <c r="F85" s="201"/>
      <c r="G85" s="201"/>
      <c r="H85" s="1"/>
      <c r="I85" s="1"/>
      <c r="J85" s="1"/>
      <c r="K85" s="1"/>
      <c r="L85" s="1"/>
      <c r="M85" s="1"/>
      <c r="N85" s="1"/>
      <c r="O85" s="1"/>
      <c r="P85" s="1"/>
      <c r="Q85" s="131"/>
      <c r="R85" s="18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201"/>
      <c r="F86" s="201"/>
      <c r="G86" s="201"/>
      <c r="H86" s="1"/>
      <c r="I86" s="1"/>
      <c r="J86" s="1"/>
      <c r="K86" s="1"/>
      <c r="L86" s="1"/>
      <c r="M86" s="1"/>
      <c r="N86" s="1"/>
      <c r="O86" s="1"/>
      <c r="P86" s="1"/>
      <c r="Q86" s="131"/>
      <c r="R86" s="18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201"/>
      <c r="F87" s="201"/>
      <c r="G87" s="201"/>
      <c r="H87" s="1"/>
      <c r="I87" s="1"/>
      <c r="J87" s="1"/>
      <c r="K87" s="1"/>
      <c r="L87" s="1"/>
      <c r="M87" s="1"/>
      <c r="N87" s="1"/>
      <c r="O87" s="1"/>
      <c r="P87" s="1"/>
      <c r="Q87" s="131"/>
      <c r="R87" s="18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201"/>
      <c r="F88" s="201"/>
      <c r="G88" s="201"/>
      <c r="H88" s="1"/>
      <c r="I88" s="1"/>
      <c r="J88" s="1"/>
      <c r="K88" s="1"/>
      <c r="L88" s="1"/>
      <c r="M88" s="1"/>
      <c r="N88" s="1"/>
      <c r="O88" s="1"/>
      <c r="P88" s="1"/>
      <c r="Q88" s="131"/>
      <c r="R88" s="18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201"/>
      <c r="F89" s="201"/>
      <c r="G89" s="201"/>
      <c r="H89" s="1"/>
      <c r="I89" s="1"/>
      <c r="J89" s="1"/>
      <c r="K89" s="1"/>
      <c r="L89" s="1"/>
      <c r="M89" s="1"/>
      <c r="N89" s="1"/>
      <c r="O89" s="1"/>
      <c r="P89" s="1"/>
      <c r="Q89" s="131"/>
      <c r="R89" s="18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201"/>
      <c r="F90" s="201"/>
      <c r="G90" s="201"/>
      <c r="H90" s="1"/>
      <c r="I90" s="1"/>
      <c r="J90" s="1"/>
      <c r="K90" s="1"/>
      <c r="L90" s="1"/>
      <c r="M90" s="1"/>
      <c r="N90" s="1"/>
      <c r="O90" s="1"/>
      <c r="P90" s="1"/>
      <c r="Q90" s="131"/>
      <c r="R90" s="18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201"/>
      <c r="F91" s="201"/>
      <c r="G91" s="201"/>
      <c r="H91" s="1"/>
      <c r="I91" s="1"/>
      <c r="J91" s="1"/>
      <c r="K91" s="1"/>
      <c r="L91" s="1"/>
      <c r="M91" s="1"/>
      <c r="N91" s="1"/>
      <c r="O91" s="1"/>
      <c r="P91" s="1"/>
      <c r="Q91" s="131"/>
      <c r="R91" s="18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201"/>
      <c r="F92" s="201"/>
      <c r="G92" s="201"/>
      <c r="H92" s="1"/>
      <c r="I92" s="1"/>
      <c r="J92" s="1"/>
      <c r="K92" s="1"/>
      <c r="L92" s="1"/>
      <c r="M92" s="1"/>
      <c r="N92" s="1"/>
      <c r="O92" s="1"/>
      <c r="P92" s="1"/>
      <c r="Q92" s="131"/>
      <c r="R92" s="18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201"/>
      <c r="F93" s="201"/>
      <c r="G93" s="201"/>
      <c r="H93" s="1"/>
      <c r="I93" s="1"/>
      <c r="J93" s="1"/>
      <c r="K93" s="1"/>
      <c r="L93" s="1"/>
      <c r="M93" s="1"/>
      <c r="N93" s="1"/>
      <c r="O93" s="1"/>
      <c r="P93" s="1"/>
      <c r="Q93" s="131"/>
      <c r="R93" s="18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201"/>
      <c r="F94" s="201"/>
      <c r="G94" s="201"/>
      <c r="H94" s="1"/>
      <c r="I94" s="1"/>
      <c r="J94" s="1"/>
      <c r="K94" s="1"/>
      <c r="L94" s="1"/>
      <c r="M94" s="1"/>
      <c r="N94" s="1"/>
      <c r="O94" s="1"/>
      <c r="P94" s="1"/>
      <c r="Q94" s="131"/>
      <c r="R94" s="18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201"/>
      <c r="F95" s="201"/>
      <c r="G95" s="201"/>
      <c r="H95" s="1"/>
      <c r="I95" s="1"/>
      <c r="J95" s="1"/>
      <c r="K95" s="1"/>
      <c r="L95" s="1"/>
      <c r="M95" s="1"/>
      <c r="N95" s="1"/>
      <c r="O95" s="1"/>
      <c r="P95" s="1"/>
      <c r="Q95" s="131"/>
      <c r="R95" s="18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201"/>
      <c r="F96" s="201"/>
      <c r="G96" s="201"/>
      <c r="H96" s="1"/>
      <c r="I96" s="1"/>
      <c r="J96" s="1"/>
      <c r="K96" s="1"/>
      <c r="L96" s="1"/>
      <c r="M96" s="1"/>
      <c r="N96" s="1"/>
      <c r="O96" s="1"/>
      <c r="P96" s="1"/>
      <c r="Q96" s="131"/>
      <c r="R96" s="18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201"/>
      <c r="F97" s="201"/>
      <c r="G97" s="201"/>
      <c r="H97" s="1"/>
      <c r="I97" s="1"/>
      <c r="J97" s="1"/>
      <c r="K97" s="1"/>
      <c r="L97" s="1"/>
      <c r="M97" s="1"/>
      <c r="N97" s="1"/>
      <c r="O97" s="1"/>
      <c r="P97" s="1"/>
      <c r="Q97" s="131"/>
      <c r="R97" s="18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201"/>
      <c r="F98" s="201"/>
      <c r="G98" s="201"/>
      <c r="H98" s="1"/>
      <c r="I98" s="1"/>
      <c r="J98" s="1"/>
      <c r="K98" s="1"/>
      <c r="L98" s="1"/>
      <c r="M98" s="1"/>
      <c r="N98" s="1"/>
      <c r="O98" s="1"/>
      <c r="P98" s="1"/>
      <c r="Q98" s="131"/>
      <c r="R98" s="18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201"/>
      <c r="F99" s="201"/>
      <c r="G99" s="201"/>
      <c r="H99" s="1"/>
      <c r="I99" s="1"/>
      <c r="J99" s="1"/>
      <c r="K99" s="1"/>
      <c r="L99" s="1"/>
      <c r="M99" s="1"/>
      <c r="N99" s="1"/>
      <c r="O99" s="1"/>
      <c r="P99" s="1"/>
      <c r="Q99" s="131"/>
      <c r="R99" s="18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201"/>
      <c r="F100" s="201"/>
      <c r="G100" s="201"/>
      <c r="H100" s="1"/>
      <c r="I100" s="1"/>
      <c r="J100" s="1"/>
      <c r="K100" s="1"/>
      <c r="L100" s="1"/>
      <c r="M100" s="1"/>
      <c r="N100" s="1"/>
      <c r="O100" s="1"/>
      <c r="P100" s="1"/>
      <c r="Q100" s="131"/>
      <c r="R100" s="18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201"/>
      <c r="F101" s="201"/>
      <c r="G101" s="201"/>
      <c r="H101" s="1"/>
      <c r="I101" s="1"/>
      <c r="J101" s="1"/>
      <c r="K101" s="1"/>
      <c r="L101" s="1"/>
      <c r="M101" s="1"/>
      <c r="N101" s="1"/>
      <c r="O101" s="1"/>
      <c r="P101" s="1"/>
      <c r="Q101" s="131"/>
      <c r="R101" s="18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201"/>
      <c r="F102" s="201"/>
      <c r="G102" s="201"/>
      <c r="H102" s="1"/>
      <c r="I102" s="1"/>
      <c r="J102" s="1"/>
      <c r="K102" s="1"/>
      <c r="L102" s="1"/>
      <c r="M102" s="1"/>
      <c r="N102" s="1"/>
      <c r="O102" s="1"/>
      <c r="P102" s="1"/>
      <c r="Q102" s="131"/>
      <c r="R102" s="18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201"/>
      <c r="F103" s="201"/>
      <c r="G103" s="201"/>
      <c r="H103" s="1"/>
      <c r="I103" s="1"/>
      <c r="J103" s="1"/>
      <c r="K103" s="1"/>
      <c r="L103" s="1"/>
      <c r="M103" s="1"/>
      <c r="N103" s="1"/>
      <c r="O103" s="1"/>
      <c r="P103" s="1"/>
      <c r="Q103" s="131"/>
      <c r="R103" s="18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201"/>
      <c r="F104" s="201"/>
      <c r="G104" s="201"/>
      <c r="H104" s="1"/>
      <c r="I104" s="1"/>
      <c r="J104" s="1"/>
      <c r="K104" s="1"/>
      <c r="L104" s="1"/>
      <c r="M104" s="1"/>
      <c r="N104" s="1"/>
      <c r="O104" s="1"/>
      <c r="P104" s="1"/>
      <c r="Q104" s="131"/>
      <c r="R104" s="18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201"/>
      <c r="F105" s="201"/>
      <c r="G105" s="201"/>
      <c r="H105" s="1"/>
      <c r="I105" s="1"/>
      <c r="J105" s="1"/>
      <c r="K105" s="1"/>
      <c r="L105" s="1"/>
      <c r="M105" s="1"/>
      <c r="N105" s="1"/>
      <c r="O105" s="1"/>
      <c r="P105" s="1"/>
      <c r="Q105" s="131"/>
      <c r="R105" s="18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201"/>
      <c r="F106" s="201"/>
      <c r="G106" s="201"/>
      <c r="H106" s="1"/>
      <c r="I106" s="1"/>
      <c r="J106" s="1"/>
      <c r="K106" s="1"/>
      <c r="L106" s="1"/>
      <c r="M106" s="1"/>
      <c r="N106" s="1"/>
      <c r="O106" s="1"/>
      <c r="P106" s="1"/>
      <c r="Q106" s="131"/>
      <c r="R106" s="18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201"/>
      <c r="F107" s="201"/>
      <c r="G107" s="201"/>
      <c r="H107" s="1"/>
      <c r="I107" s="1"/>
      <c r="J107" s="1"/>
      <c r="K107" s="1"/>
      <c r="L107" s="1"/>
      <c r="M107" s="1"/>
      <c r="N107" s="1"/>
      <c r="O107" s="1"/>
      <c r="P107" s="1"/>
      <c r="Q107" s="131"/>
      <c r="R107" s="18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201"/>
      <c r="F108" s="201"/>
      <c r="G108" s="201"/>
      <c r="H108" s="1"/>
      <c r="I108" s="1"/>
      <c r="J108" s="1"/>
      <c r="K108" s="1"/>
      <c r="L108" s="1"/>
      <c r="M108" s="1"/>
      <c r="N108" s="1"/>
      <c r="O108" s="1"/>
      <c r="P108" s="1"/>
      <c r="Q108" s="131"/>
      <c r="R108" s="18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201"/>
      <c r="F109" s="201"/>
      <c r="G109" s="201"/>
      <c r="H109" s="1"/>
      <c r="I109" s="1"/>
      <c r="J109" s="1"/>
      <c r="K109" s="1"/>
      <c r="L109" s="1"/>
      <c r="M109" s="1"/>
      <c r="N109" s="1"/>
      <c r="O109" s="1"/>
      <c r="P109" s="1"/>
      <c r="Q109" s="131"/>
      <c r="R109" s="18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201"/>
      <c r="F110" s="201"/>
      <c r="G110" s="201"/>
      <c r="H110" s="1"/>
      <c r="I110" s="1"/>
      <c r="J110" s="1"/>
      <c r="K110" s="1"/>
      <c r="L110" s="1"/>
      <c r="M110" s="1"/>
      <c r="N110" s="1"/>
      <c r="O110" s="1"/>
      <c r="P110" s="1"/>
      <c r="Q110" s="131"/>
      <c r="R110" s="18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201"/>
      <c r="F111" s="201"/>
      <c r="G111" s="201"/>
      <c r="H111" s="1"/>
      <c r="I111" s="1"/>
      <c r="J111" s="1"/>
      <c r="K111" s="1"/>
      <c r="L111" s="1"/>
      <c r="M111" s="1"/>
      <c r="N111" s="1"/>
      <c r="O111" s="1"/>
      <c r="P111" s="1"/>
      <c r="Q111" s="131"/>
      <c r="R111" s="18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201"/>
      <c r="F112" s="201"/>
      <c r="G112" s="201"/>
      <c r="H112" s="1"/>
      <c r="I112" s="1"/>
      <c r="J112" s="1"/>
      <c r="K112" s="1"/>
      <c r="L112" s="1"/>
      <c r="M112" s="1"/>
      <c r="N112" s="1"/>
      <c r="O112" s="1"/>
      <c r="P112" s="1"/>
      <c r="Q112" s="131"/>
      <c r="R112" s="18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201"/>
      <c r="F113" s="201"/>
      <c r="G113" s="201"/>
      <c r="H113" s="1"/>
      <c r="I113" s="1"/>
      <c r="J113" s="1"/>
      <c r="K113" s="1"/>
      <c r="L113" s="1"/>
      <c r="M113" s="1"/>
      <c r="N113" s="1"/>
      <c r="O113" s="1"/>
      <c r="P113" s="1"/>
      <c r="Q113" s="131"/>
      <c r="R113" s="18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201"/>
      <c r="F114" s="201"/>
      <c r="G114" s="201"/>
      <c r="H114" s="1"/>
      <c r="I114" s="1"/>
      <c r="J114" s="1"/>
      <c r="K114" s="1"/>
      <c r="L114" s="1"/>
      <c r="M114" s="1"/>
      <c r="N114" s="1"/>
      <c r="O114" s="1"/>
      <c r="P114" s="1"/>
      <c r="Q114" s="131"/>
      <c r="R114" s="18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201"/>
      <c r="F115" s="201"/>
      <c r="G115" s="201"/>
      <c r="H115" s="1"/>
      <c r="I115" s="1"/>
      <c r="J115" s="1"/>
      <c r="K115" s="1"/>
      <c r="L115" s="1"/>
      <c r="M115" s="1"/>
      <c r="N115" s="1"/>
      <c r="O115" s="1"/>
      <c r="P115" s="1"/>
      <c r="Q115" s="131"/>
      <c r="R115" s="18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201"/>
      <c r="F116" s="201"/>
      <c r="G116" s="201"/>
      <c r="H116" s="1"/>
      <c r="I116" s="1"/>
      <c r="J116" s="1"/>
      <c r="K116" s="1"/>
      <c r="L116" s="1"/>
      <c r="M116" s="1"/>
      <c r="N116" s="1"/>
      <c r="O116" s="1"/>
      <c r="P116" s="1"/>
      <c r="Q116" s="131"/>
      <c r="R116" s="18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201"/>
      <c r="F117" s="201"/>
      <c r="G117" s="201"/>
      <c r="H117" s="1"/>
      <c r="I117" s="1"/>
      <c r="J117" s="1"/>
      <c r="K117" s="1"/>
      <c r="L117" s="1"/>
      <c r="M117" s="1"/>
      <c r="N117" s="1"/>
      <c r="O117" s="1"/>
      <c r="P117" s="1"/>
      <c r="Q117" s="131"/>
      <c r="R117" s="18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201"/>
      <c r="F118" s="201"/>
      <c r="G118" s="201"/>
      <c r="H118" s="1"/>
      <c r="I118" s="1"/>
      <c r="J118" s="1"/>
      <c r="K118" s="1"/>
      <c r="L118" s="1"/>
      <c r="M118" s="1"/>
      <c r="N118" s="1"/>
      <c r="O118" s="1"/>
      <c r="P118" s="1"/>
      <c r="Q118" s="131"/>
      <c r="R118" s="18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201"/>
      <c r="F119" s="201"/>
      <c r="G119" s="201"/>
      <c r="H119" s="1"/>
      <c r="I119" s="1"/>
      <c r="J119" s="1"/>
      <c r="K119" s="1"/>
      <c r="L119" s="1"/>
      <c r="M119" s="1"/>
      <c r="N119" s="1"/>
      <c r="O119" s="1"/>
      <c r="P119" s="1"/>
      <c r="Q119" s="131"/>
      <c r="R119" s="18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201"/>
      <c r="F120" s="201"/>
      <c r="G120" s="201"/>
      <c r="H120" s="1"/>
      <c r="I120" s="1"/>
      <c r="J120" s="1"/>
      <c r="K120" s="1"/>
      <c r="L120" s="1"/>
      <c r="M120" s="1"/>
      <c r="N120" s="1"/>
      <c r="O120" s="1"/>
      <c r="P120" s="1"/>
      <c r="Q120" s="131"/>
      <c r="R120" s="18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201"/>
      <c r="F121" s="201"/>
      <c r="G121" s="201"/>
      <c r="H121" s="1"/>
      <c r="I121" s="1"/>
      <c r="J121" s="1"/>
      <c r="K121" s="1"/>
      <c r="L121" s="1"/>
      <c r="M121" s="1"/>
      <c r="N121" s="1"/>
      <c r="O121" s="1"/>
      <c r="P121" s="1"/>
      <c r="Q121" s="131"/>
      <c r="R121" s="18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201"/>
      <c r="F122" s="201"/>
      <c r="G122" s="201"/>
      <c r="H122" s="1"/>
      <c r="I122" s="1"/>
      <c r="J122" s="1"/>
      <c r="K122" s="1"/>
      <c r="L122" s="1"/>
      <c r="M122" s="1"/>
      <c r="N122" s="1"/>
      <c r="O122" s="1"/>
      <c r="P122" s="1"/>
      <c r="Q122" s="131"/>
      <c r="R122" s="18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201"/>
      <c r="F123" s="201"/>
      <c r="G123" s="201"/>
      <c r="H123" s="1"/>
      <c r="I123" s="1"/>
      <c r="J123" s="1"/>
      <c r="K123" s="1"/>
      <c r="L123" s="1"/>
      <c r="M123" s="1"/>
      <c r="N123" s="1"/>
      <c r="O123" s="1"/>
      <c r="P123" s="1"/>
      <c r="Q123" s="131"/>
      <c r="R123" s="18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201"/>
      <c r="F124" s="201"/>
      <c r="G124" s="201"/>
      <c r="H124" s="1"/>
      <c r="I124" s="1"/>
      <c r="J124" s="1"/>
      <c r="K124" s="1"/>
      <c r="L124" s="1"/>
      <c r="M124" s="1"/>
      <c r="N124" s="1"/>
      <c r="O124" s="1"/>
      <c r="P124" s="1"/>
      <c r="Q124" s="131"/>
      <c r="R124" s="18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201"/>
      <c r="F125" s="201"/>
      <c r="G125" s="201"/>
      <c r="H125" s="1"/>
      <c r="I125" s="1"/>
      <c r="J125" s="1"/>
      <c r="K125" s="1"/>
      <c r="L125" s="1"/>
      <c r="M125" s="1"/>
      <c r="N125" s="1"/>
      <c r="O125" s="1"/>
      <c r="P125" s="1"/>
      <c r="Q125" s="131"/>
      <c r="R125" s="18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201"/>
      <c r="F126" s="201"/>
      <c r="G126" s="201"/>
      <c r="H126" s="1"/>
      <c r="I126" s="1"/>
      <c r="J126" s="1"/>
      <c r="K126" s="1"/>
      <c r="L126" s="1"/>
      <c r="M126" s="1"/>
      <c r="N126" s="1"/>
      <c r="O126" s="1"/>
      <c r="P126" s="1"/>
      <c r="Q126" s="131"/>
      <c r="R126" s="18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201"/>
      <c r="F127" s="201"/>
      <c r="G127" s="201"/>
      <c r="H127" s="1"/>
      <c r="I127" s="1"/>
      <c r="J127" s="1"/>
      <c r="K127" s="1"/>
      <c r="L127" s="1"/>
      <c r="M127" s="1"/>
      <c r="N127" s="1"/>
      <c r="O127" s="1"/>
      <c r="P127" s="1"/>
      <c r="Q127" s="131"/>
      <c r="R127" s="18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201"/>
      <c r="F128" s="201"/>
      <c r="G128" s="201"/>
      <c r="H128" s="1"/>
      <c r="I128" s="1"/>
      <c r="J128" s="1"/>
      <c r="K128" s="1"/>
      <c r="L128" s="1"/>
      <c r="M128" s="1"/>
      <c r="N128" s="1"/>
      <c r="O128" s="1"/>
      <c r="P128" s="1"/>
      <c r="Q128" s="131"/>
      <c r="R128" s="18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201"/>
      <c r="F129" s="201"/>
      <c r="G129" s="201"/>
      <c r="H129" s="1"/>
      <c r="I129" s="1"/>
      <c r="J129" s="1"/>
      <c r="K129" s="1"/>
      <c r="L129" s="1"/>
      <c r="M129" s="1"/>
      <c r="N129" s="1"/>
      <c r="O129" s="1"/>
      <c r="P129" s="1"/>
      <c r="Q129" s="131"/>
      <c r="R129" s="18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201"/>
      <c r="F130" s="201"/>
      <c r="G130" s="201"/>
      <c r="H130" s="1"/>
      <c r="I130" s="1"/>
      <c r="J130" s="1"/>
      <c r="K130" s="1"/>
      <c r="L130" s="1"/>
      <c r="M130" s="1"/>
      <c r="N130" s="1"/>
      <c r="O130" s="1"/>
      <c r="P130" s="1"/>
      <c r="Q130" s="131"/>
      <c r="R130" s="18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201"/>
      <c r="F131" s="201"/>
      <c r="G131" s="201"/>
      <c r="H131" s="1"/>
      <c r="I131" s="1"/>
      <c r="J131" s="1"/>
      <c r="K131" s="1"/>
      <c r="L131" s="1"/>
      <c r="M131" s="1"/>
      <c r="N131" s="1"/>
      <c r="O131" s="1"/>
      <c r="P131" s="1"/>
      <c r="Q131" s="131"/>
      <c r="R131" s="18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201"/>
      <c r="F132" s="201"/>
      <c r="G132" s="201"/>
      <c r="H132" s="1"/>
      <c r="I132" s="1"/>
      <c r="J132" s="1"/>
      <c r="K132" s="1"/>
      <c r="L132" s="1"/>
      <c r="M132" s="1"/>
      <c r="N132" s="1"/>
      <c r="O132" s="1"/>
      <c r="P132" s="1"/>
      <c r="Q132" s="131"/>
      <c r="R132" s="18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201"/>
      <c r="F133" s="201"/>
      <c r="G133" s="201"/>
      <c r="H133" s="1"/>
      <c r="I133" s="1"/>
      <c r="J133" s="1"/>
      <c r="K133" s="1"/>
      <c r="L133" s="1"/>
      <c r="M133" s="1"/>
      <c r="N133" s="1"/>
      <c r="O133" s="1"/>
      <c r="P133" s="1"/>
      <c r="Q133" s="131"/>
      <c r="R133" s="18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201"/>
      <c r="F134" s="201"/>
      <c r="G134" s="201"/>
      <c r="H134" s="1"/>
      <c r="I134" s="1"/>
      <c r="J134" s="1"/>
      <c r="K134" s="1"/>
      <c r="L134" s="1"/>
      <c r="M134" s="1"/>
      <c r="N134" s="1"/>
      <c r="O134" s="1"/>
      <c r="P134" s="1"/>
      <c r="Q134" s="131"/>
      <c r="R134" s="18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201"/>
      <c r="F135" s="201"/>
      <c r="G135" s="201"/>
      <c r="H135" s="1"/>
      <c r="I135" s="1"/>
      <c r="J135" s="1"/>
      <c r="K135" s="1"/>
      <c r="L135" s="1"/>
      <c r="M135" s="1"/>
      <c r="N135" s="1"/>
      <c r="O135" s="1"/>
      <c r="P135" s="1"/>
      <c r="Q135" s="131"/>
      <c r="R135" s="18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201"/>
      <c r="F136" s="201"/>
      <c r="G136" s="201"/>
      <c r="H136" s="1"/>
      <c r="I136" s="1"/>
      <c r="J136" s="1"/>
      <c r="K136" s="1"/>
      <c r="L136" s="1"/>
      <c r="M136" s="1"/>
      <c r="N136" s="1"/>
      <c r="O136" s="1"/>
      <c r="P136" s="1"/>
      <c r="Q136" s="131"/>
      <c r="R136" s="18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201"/>
      <c r="F137" s="201"/>
      <c r="G137" s="201"/>
      <c r="H137" s="1"/>
      <c r="I137" s="1"/>
      <c r="J137" s="1"/>
      <c r="K137" s="1"/>
      <c r="L137" s="1"/>
      <c r="M137" s="1"/>
      <c r="N137" s="1"/>
      <c r="O137" s="1"/>
      <c r="P137" s="1"/>
      <c r="Q137" s="131"/>
      <c r="R137" s="18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201"/>
      <c r="F138" s="201"/>
      <c r="G138" s="201"/>
      <c r="H138" s="1"/>
      <c r="I138" s="1"/>
      <c r="J138" s="1"/>
      <c r="K138" s="1"/>
      <c r="L138" s="1"/>
      <c r="M138" s="1"/>
      <c r="N138" s="1"/>
      <c r="O138" s="1"/>
      <c r="P138" s="1"/>
      <c r="Q138" s="131"/>
      <c r="R138" s="18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201"/>
      <c r="F139" s="201"/>
      <c r="G139" s="201"/>
      <c r="H139" s="1"/>
      <c r="I139" s="1"/>
      <c r="J139" s="1"/>
      <c r="K139" s="1"/>
      <c r="L139" s="1"/>
      <c r="M139" s="1"/>
      <c r="N139" s="1"/>
      <c r="O139" s="1"/>
      <c r="P139" s="1"/>
      <c r="Q139" s="131"/>
      <c r="R139" s="18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201"/>
      <c r="F140" s="201"/>
      <c r="G140" s="201"/>
      <c r="H140" s="1"/>
      <c r="I140" s="1"/>
      <c r="J140" s="1"/>
      <c r="K140" s="1"/>
      <c r="L140" s="1"/>
      <c r="M140" s="1"/>
      <c r="N140" s="1"/>
      <c r="O140" s="1"/>
      <c r="P140" s="1"/>
      <c r="Q140" s="131"/>
      <c r="R140" s="18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201"/>
      <c r="F141" s="201"/>
      <c r="G141" s="201"/>
      <c r="H141" s="1"/>
      <c r="I141" s="1"/>
      <c r="J141" s="1"/>
      <c r="K141" s="1"/>
      <c r="L141" s="1"/>
      <c r="M141" s="1"/>
      <c r="N141" s="1"/>
      <c r="O141" s="1"/>
      <c r="P141" s="1"/>
      <c r="Q141" s="131"/>
      <c r="R141" s="18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201"/>
      <c r="F142" s="201"/>
      <c r="G142" s="201"/>
      <c r="H142" s="1"/>
      <c r="I142" s="1"/>
      <c r="J142" s="1"/>
      <c r="K142" s="1"/>
      <c r="L142" s="1"/>
      <c r="M142" s="1"/>
      <c r="N142" s="1"/>
      <c r="O142" s="1"/>
      <c r="P142" s="1"/>
      <c r="Q142" s="131"/>
      <c r="R142" s="18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201"/>
      <c r="F143" s="201"/>
      <c r="G143" s="201"/>
      <c r="H143" s="1"/>
      <c r="I143" s="1"/>
      <c r="J143" s="1"/>
      <c r="K143" s="1"/>
      <c r="L143" s="1"/>
      <c r="M143" s="1"/>
      <c r="N143" s="1"/>
      <c r="O143" s="1"/>
      <c r="P143" s="1"/>
      <c r="Q143" s="131"/>
      <c r="R143" s="18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201"/>
      <c r="F144" s="201"/>
      <c r="G144" s="201"/>
      <c r="H144" s="1"/>
      <c r="I144" s="1"/>
      <c r="J144" s="1"/>
      <c r="K144" s="1"/>
      <c r="L144" s="1"/>
      <c r="M144" s="1"/>
      <c r="N144" s="1"/>
      <c r="O144" s="1"/>
      <c r="P144" s="1"/>
      <c r="Q144" s="131"/>
      <c r="R144" s="18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201"/>
      <c r="F145" s="201"/>
      <c r="G145" s="201"/>
      <c r="H145" s="1"/>
      <c r="I145" s="1"/>
      <c r="J145" s="1"/>
      <c r="K145" s="1"/>
      <c r="L145" s="1"/>
      <c r="M145" s="1"/>
      <c r="N145" s="1"/>
      <c r="O145" s="1"/>
      <c r="P145" s="1"/>
      <c r="Q145" s="131"/>
      <c r="R145" s="18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201"/>
      <c r="F146" s="201"/>
      <c r="G146" s="201"/>
      <c r="H146" s="1"/>
      <c r="I146" s="1"/>
      <c r="J146" s="1"/>
      <c r="K146" s="1"/>
      <c r="L146" s="1"/>
      <c r="M146" s="1"/>
      <c r="N146" s="1"/>
      <c r="O146" s="1"/>
      <c r="P146" s="1"/>
      <c r="Q146" s="131"/>
      <c r="R146" s="18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201"/>
      <c r="F147" s="201"/>
      <c r="G147" s="201"/>
      <c r="H147" s="1"/>
      <c r="I147" s="1"/>
      <c r="J147" s="1"/>
      <c r="K147" s="1"/>
      <c r="L147" s="1"/>
      <c r="M147" s="1"/>
      <c r="N147" s="1"/>
      <c r="O147" s="1"/>
      <c r="P147" s="1"/>
      <c r="Q147" s="131"/>
      <c r="R147" s="18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201"/>
      <c r="F148" s="201"/>
      <c r="G148" s="201"/>
      <c r="H148" s="1"/>
      <c r="I148" s="1"/>
      <c r="J148" s="1"/>
      <c r="K148" s="1"/>
      <c r="L148" s="1"/>
      <c r="M148" s="1"/>
      <c r="N148" s="1"/>
      <c r="O148" s="1"/>
      <c r="P148" s="1"/>
      <c r="Q148" s="131"/>
      <c r="R148" s="18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201"/>
      <c r="F149" s="201"/>
      <c r="G149" s="201"/>
      <c r="H149" s="1"/>
      <c r="I149" s="1"/>
      <c r="J149" s="1"/>
      <c r="K149" s="1"/>
      <c r="L149" s="1"/>
      <c r="M149" s="1"/>
      <c r="N149" s="1"/>
      <c r="O149" s="1"/>
      <c r="P149" s="1"/>
      <c r="Q149" s="131"/>
      <c r="R149" s="18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201"/>
      <c r="F150" s="201"/>
      <c r="G150" s="201"/>
      <c r="H150" s="1"/>
      <c r="I150" s="1"/>
      <c r="J150" s="1"/>
      <c r="K150" s="1"/>
      <c r="L150" s="1"/>
      <c r="M150" s="1"/>
      <c r="N150" s="1"/>
      <c r="O150" s="1"/>
      <c r="P150" s="1"/>
      <c r="Q150" s="131"/>
      <c r="R150" s="18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201"/>
      <c r="F151" s="201"/>
      <c r="G151" s="201"/>
      <c r="H151" s="1"/>
      <c r="I151" s="1"/>
      <c r="J151" s="1"/>
      <c r="K151" s="1"/>
      <c r="L151" s="1"/>
      <c r="M151" s="1"/>
      <c r="N151" s="1"/>
      <c r="O151" s="1"/>
      <c r="P151" s="1"/>
      <c r="Q151" s="131"/>
      <c r="R151" s="18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201"/>
      <c r="F152" s="201"/>
      <c r="G152" s="201"/>
      <c r="H152" s="1"/>
      <c r="I152" s="1"/>
      <c r="J152" s="1"/>
      <c r="K152" s="1"/>
      <c r="L152" s="1"/>
      <c r="M152" s="1"/>
      <c r="N152" s="1"/>
      <c r="O152" s="1"/>
      <c r="P152" s="1"/>
      <c r="Q152" s="131"/>
      <c r="R152" s="18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201"/>
      <c r="F153" s="201"/>
      <c r="G153" s="201"/>
      <c r="H153" s="1"/>
      <c r="I153" s="1"/>
      <c r="J153" s="1"/>
      <c r="K153" s="1"/>
      <c r="L153" s="1"/>
      <c r="M153" s="1"/>
      <c r="N153" s="1"/>
      <c r="O153" s="1"/>
      <c r="P153" s="1"/>
      <c r="Q153" s="131"/>
      <c r="R153" s="18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201"/>
      <c r="F154" s="201"/>
      <c r="G154" s="201"/>
      <c r="H154" s="1"/>
      <c r="I154" s="1"/>
      <c r="J154" s="1"/>
      <c r="K154" s="1"/>
      <c r="L154" s="1"/>
      <c r="M154" s="1"/>
      <c r="N154" s="1"/>
      <c r="O154" s="1"/>
      <c r="P154" s="1"/>
      <c r="Q154" s="131"/>
      <c r="R154" s="18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201"/>
      <c r="F155" s="201"/>
      <c r="G155" s="201"/>
      <c r="H155" s="1"/>
      <c r="I155" s="1"/>
      <c r="J155" s="1"/>
      <c r="K155" s="1"/>
      <c r="L155" s="1"/>
      <c r="M155" s="1"/>
      <c r="N155" s="1"/>
      <c r="O155" s="1"/>
      <c r="P155" s="1"/>
      <c r="Q155" s="131"/>
      <c r="R155" s="18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201"/>
      <c r="F156" s="201"/>
      <c r="G156" s="201"/>
      <c r="H156" s="1"/>
      <c r="I156" s="1"/>
      <c r="J156" s="1"/>
      <c r="K156" s="1"/>
      <c r="L156" s="1"/>
      <c r="M156" s="1"/>
      <c r="N156" s="1"/>
      <c r="O156" s="1"/>
      <c r="P156" s="1"/>
      <c r="Q156" s="131"/>
      <c r="R156" s="18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201"/>
      <c r="F157" s="201"/>
      <c r="G157" s="201"/>
      <c r="H157" s="1"/>
      <c r="I157" s="1"/>
      <c r="J157" s="1"/>
      <c r="K157" s="1"/>
      <c r="L157" s="1"/>
      <c r="M157" s="1"/>
      <c r="N157" s="1"/>
      <c r="O157" s="1"/>
      <c r="P157" s="1"/>
      <c r="Q157" s="131"/>
      <c r="R157" s="18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201"/>
      <c r="F158" s="201"/>
      <c r="G158" s="201"/>
      <c r="H158" s="1"/>
      <c r="I158" s="1"/>
      <c r="J158" s="1"/>
      <c r="K158" s="1"/>
      <c r="L158" s="1"/>
      <c r="M158" s="1"/>
      <c r="N158" s="1"/>
      <c r="O158" s="1"/>
      <c r="P158" s="1"/>
      <c r="Q158" s="131"/>
      <c r="R158" s="18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201"/>
      <c r="F159" s="201"/>
      <c r="G159" s="201"/>
      <c r="H159" s="1"/>
      <c r="I159" s="1"/>
      <c r="J159" s="1"/>
      <c r="K159" s="1"/>
      <c r="L159" s="1"/>
      <c r="M159" s="1"/>
      <c r="N159" s="1"/>
      <c r="O159" s="1"/>
      <c r="P159" s="1"/>
      <c r="Q159" s="131"/>
      <c r="R159" s="18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201"/>
      <c r="F160" s="201"/>
      <c r="G160" s="201"/>
      <c r="H160" s="1"/>
      <c r="I160" s="1"/>
      <c r="J160" s="1"/>
      <c r="K160" s="1"/>
      <c r="L160" s="1"/>
      <c r="M160" s="1"/>
      <c r="N160" s="1"/>
      <c r="O160" s="1"/>
      <c r="P160" s="1"/>
      <c r="Q160" s="131"/>
      <c r="R160" s="18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201"/>
      <c r="F161" s="201"/>
      <c r="G161" s="201"/>
      <c r="H161" s="1"/>
      <c r="I161" s="1"/>
      <c r="J161" s="1"/>
      <c r="K161" s="1"/>
      <c r="L161" s="1"/>
      <c r="M161" s="1"/>
      <c r="N161" s="1"/>
      <c r="O161" s="1"/>
      <c r="P161" s="1"/>
      <c r="Q161" s="131"/>
      <c r="R161" s="18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201"/>
      <c r="F162" s="201"/>
      <c r="G162" s="201"/>
      <c r="H162" s="1"/>
      <c r="I162" s="1"/>
      <c r="J162" s="1"/>
      <c r="K162" s="1"/>
      <c r="L162" s="1"/>
      <c r="M162" s="1"/>
      <c r="N162" s="1"/>
      <c r="O162" s="1"/>
      <c r="P162" s="1"/>
      <c r="Q162" s="131"/>
      <c r="R162" s="18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201"/>
      <c r="F163" s="201"/>
      <c r="G163" s="201"/>
      <c r="H163" s="1"/>
      <c r="I163" s="1"/>
      <c r="J163" s="1"/>
      <c r="K163" s="1"/>
      <c r="L163" s="1"/>
      <c r="M163" s="1"/>
      <c r="N163" s="1"/>
      <c r="O163" s="1"/>
      <c r="P163" s="1"/>
      <c r="Q163" s="131"/>
      <c r="R163" s="18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201"/>
      <c r="F164" s="201"/>
      <c r="G164" s="201"/>
      <c r="H164" s="1"/>
      <c r="I164" s="1"/>
      <c r="J164" s="1"/>
      <c r="K164" s="1"/>
      <c r="L164" s="1"/>
      <c r="M164" s="1"/>
      <c r="N164" s="1"/>
      <c r="O164" s="1"/>
      <c r="P164" s="1"/>
      <c r="Q164" s="131"/>
      <c r="R164" s="18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201"/>
      <c r="F165" s="201"/>
      <c r="G165" s="201"/>
      <c r="H165" s="1"/>
      <c r="I165" s="1"/>
      <c r="J165" s="1"/>
      <c r="K165" s="1"/>
      <c r="L165" s="1"/>
      <c r="M165" s="1"/>
      <c r="N165" s="1"/>
      <c r="O165" s="1"/>
      <c r="P165" s="1"/>
      <c r="Q165" s="131"/>
      <c r="R165" s="18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201"/>
      <c r="F166" s="201"/>
      <c r="G166" s="201"/>
      <c r="H166" s="1"/>
      <c r="I166" s="1"/>
      <c r="J166" s="1"/>
      <c r="K166" s="1"/>
      <c r="L166" s="1"/>
      <c r="M166" s="1"/>
      <c r="N166" s="1"/>
      <c r="O166" s="1"/>
      <c r="P166" s="1"/>
      <c r="Q166" s="131"/>
      <c r="R166" s="18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201"/>
      <c r="F167" s="201"/>
      <c r="G167" s="201"/>
      <c r="H167" s="1"/>
      <c r="I167" s="1"/>
      <c r="J167" s="1"/>
      <c r="K167" s="1"/>
      <c r="L167" s="1"/>
      <c r="M167" s="1"/>
      <c r="N167" s="1"/>
      <c r="O167" s="1"/>
      <c r="P167" s="1"/>
      <c r="Q167" s="131"/>
      <c r="R167" s="18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201"/>
      <c r="F168" s="201"/>
      <c r="G168" s="201"/>
      <c r="H168" s="1"/>
      <c r="I168" s="1"/>
      <c r="J168" s="1"/>
      <c r="K168" s="1"/>
      <c r="L168" s="1"/>
      <c r="M168" s="1"/>
      <c r="N168" s="1"/>
      <c r="O168" s="1"/>
      <c r="P168" s="1"/>
      <c r="Q168" s="131"/>
      <c r="R168" s="18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201"/>
      <c r="F169" s="201"/>
      <c r="G169" s="201"/>
      <c r="H169" s="1"/>
      <c r="I169" s="1"/>
      <c r="J169" s="1"/>
      <c r="K169" s="1"/>
      <c r="L169" s="1"/>
      <c r="M169" s="1"/>
      <c r="N169" s="1"/>
      <c r="O169" s="1"/>
      <c r="P169" s="1"/>
      <c r="Q169" s="131"/>
      <c r="R169" s="18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201"/>
      <c r="F170" s="201"/>
      <c r="G170" s="201"/>
      <c r="H170" s="1"/>
      <c r="I170" s="1"/>
      <c r="J170" s="1"/>
      <c r="K170" s="1"/>
      <c r="L170" s="1"/>
      <c r="M170" s="1"/>
      <c r="N170" s="1"/>
      <c r="O170" s="1"/>
      <c r="P170" s="1"/>
      <c r="Q170" s="131"/>
      <c r="R170" s="18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201"/>
      <c r="F171" s="201"/>
      <c r="G171" s="201"/>
      <c r="H171" s="1"/>
      <c r="I171" s="1"/>
      <c r="J171" s="1"/>
      <c r="K171" s="1"/>
      <c r="L171" s="1"/>
      <c r="M171" s="1"/>
      <c r="N171" s="1"/>
      <c r="O171" s="1"/>
      <c r="P171" s="1"/>
      <c r="Q171" s="131"/>
      <c r="R171" s="18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201"/>
      <c r="F172" s="201"/>
      <c r="G172" s="201"/>
      <c r="H172" s="1"/>
      <c r="I172" s="1"/>
      <c r="J172" s="1"/>
      <c r="K172" s="1"/>
      <c r="L172" s="1"/>
      <c r="M172" s="1"/>
      <c r="N172" s="1"/>
      <c r="O172" s="1"/>
      <c r="P172" s="1"/>
      <c r="Q172" s="131"/>
      <c r="R172" s="18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201"/>
      <c r="F173" s="201"/>
      <c r="G173" s="201"/>
      <c r="H173" s="1"/>
      <c r="I173" s="1"/>
      <c r="J173" s="1"/>
      <c r="K173" s="1"/>
      <c r="L173" s="1"/>
      <c r="M173" s="1"/>
      <c r="N173" s="1"/>
      <c r="O173" s="1"/>
      <c r="P173" s="1"/>
      <c r="Q173" s="131"/>
      <c r="R173" s="18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201"/>
      <c r="F174" s="201"/>
      <c r="G174" s="201"/>
      <c r="H174" s="1"/>
      <c r="I174" s="1"/>
      <c r="J174" s="1"/>
      <c r="K174" s="1"/>
      <c r="L174" s="1"/>
      <c r="M174" s="1"/>
      <c r="N174" s="1"/>
      <c r="O174" s="1"/>
      <c r="P174" s="1"/>
      <c r="Q174" s="131"/>
      <c r="R174" s="18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201"/>
      <c r="F175" s="201"/>
      <c r="G175" s="201"/>
      <c r="H175" s="1"/>
      <c r="I175" s="1"/>
      <c r="J175" s="1"/>
      <c r="K175" s="1"/>
      <c r="L175" s="1"/>
      <c r="M175" s="1"/>
      <c r="N175" s="1"/>
      <c r="O175" s="1"/>
      <c r="P175" s="1"/>
      <c r="Q175" s="131"/>
      <c r="R175" s="18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201"/>
      <c r="F176" s="201"/>
      <c r="G176" s="201"/>
      <c r="H176" s="1"/>
      <c r="I176" s="1"/>
      <c r="J176" s="1"/>
      <c r="K176" s="1"/>
      <c r="L176" s="1"/>
      <c r="M176" s="1"/>
      <c r="N176" s="1"/>
      <c r="O176" s="1"/>
      <c r="P176" s="1"/>
      <c r="Q176" s="131"/>
      <c r="R176" s="18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201"/>
      <c r="F177" s="201"/>
      <c r="G177" s="201"/>
      <c r="H177" s="1"/>
      <c r="I177" s="1"/>
      <c r="J177" s="1"/>
      <c r="K177" s="1"/>
      <c r="L177" s="1"/>
      <c r="M177" s="1"/>
      <c r="N177" s="1"/>
      <c r="O177" s="1"/>
      <c r="P177" s="1"/>
      <c r="Q177" s="131"/>
      <c r="R177" s="18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201"/>
      <c r="F178" s="201"/>
      <c r="G178" s="201"/>
      <c r="H178" s="1"/>
      <c r="I178" s="1"/>
      <c r="J178" s="1"/>
      <c r="K178" s="1"/>
      <c r="L178" s="1"/>
      <c r="M178" s="1"/>
      <c r="N178" s="1"/>
      <c r="O178" s="1"/>
      <c r="P178" s="1"/>
      <c r="Q178" s="131"/>
      <c r="R178" s="18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201"/>
      <c r="F179" s="201"/>
      <c r="G179" s="201"/>
      <c r="H179" s="1"/>
      <c r="I179" s="1"/>
      <c r="J179" s="1"/>
      <c r="K179" s="1"/>
      <c r="L179" s="1"/>
      <c r="M179" s="1"/>
      <c r="N179" s="1"/>
      <c r="O179" s="1"/>
      <c r="P179" s="1"/>
      <c r="Q179" s="131"/>
      <c r="R179" s="18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201"/>
      <c r="F180" s="201"/>
      <c r="G180" s="201"/>
      <c r="H180" s="1"/>
      <c r="I180" s="1"/>
      <c r="J180" s="1"/>
      <c r="K180" s="1"/>
      <c r="L180" s="1"/>
      <c r="M180" s="1"/>
      <c r="N180" s="1"/>
      <c r="O180" s="1"/>
      <c r="P180" s="1"/>
      <c r="Q180" s="131"/>
      <c r="R180" s="18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201"/>
      <c r="F181" s="201"/>
      <c r="G181" s="201"/>
      <c r="H181" s="1"/>
      <c r="I181" s="1"/>
      <c r="J181" s="1"/>
      <c r="K181" s="1"/>
      <c r="L181" s="1"/>
      <c r="M181" s="1"/>
      <c r="N181" s="1"/>
      <c r="O181" s="1"/>
      <c r="P181" s="1"/>
      <c r="Q181" s="131"/>
      <c r="R181" s="18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201"/>
      <c r="F182" s="201"/>
      <c r="G182" s="201"/>
      <c r="H182" s="1"/>
      <c r="I182" s="1"/>
      <c r="J182" s="1"/>
      <c r="K182" s="1"/>
      <c r="L182" s="1"/>
      <c r="M182" s="1"/>
      <c r="N182" s="1"/>
      <c r="O182" s="1"/>
      <c r="P182" s="1"/>
      <c r="Q182" s="131"/>
      <c r="R182" s="18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201"/>
      <c r="F183" s="201"/>
      <c r="G183" s="201"/>
      <c r="H183" s="1"/>
      <c r="I183" s="1"/>
      <c r="J183" s="1"/>
      <c r="K183" s="1"/>
      <c r="L183" s="1"/>
      <c r="M183" s="1"/>
      <c r="N183" s="1"/>
      <c r="O183" s="1"/>
      <c r="P183" s="1"/>
      <c r="Q183" s="131"/>
      <c r="R183" s="18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201"/>
      <c r="F184" s="201"/>
      <c r="G184" s="201"/>
      <c r="H184" s="1"/>
      <c r="I184" s="1"/>
      <c r="J184" s="1"/>
      <c r="K184" s="1"/>
      <c r="L184" s="1"/>
      <c r="M184" s="1"/>
      <c r="N184" s="1"/>
      <c r="O184" s="1"/>
      <c r="P184" s="1"/>
      <c r="Q184" s="131"/>
      <c r="R184" s="18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201"/>
      <c r="F185" s="201"/>
      <c r="G185" s="201"/>
      <c r="H185" s="1"/>
      <c r="I185" s="1"/>
      <c r="J185" s="1"/>
      <c r="K185" s="1"/>
      <c r="L185" s="1"/>
      <c r="M185" s="1"/>
      <c r="N185" s="1"/>
      <c r="O185" s="1"/>
      <c r="P185" s="1"/>
      <c r="Q185" s="131"/>
      <c r="R185" s="18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201"/>
      <c r="F186" s="201"/>
      <c r="G186" s="201"/>
      <c r="H186" s="1"/>
      <c r="I186" s="1"/>
      <c r="J186" s="1"/>
      <c r="K186" s="1"/>
      <c r="L186" s="1"/>
      <c r="M186" s="1"/>
      <c r="N186" s="1"/>
      <c r="O186" s="1"/>
      <c r="P186" s="1"/>
      <c r="Q186" s="131"/>
      <c r="R186" s="18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201"/>
      <c r="F187" s="201"/>
      <c r="G187" s="201"/>
      <c r="H187" s="1"/>
      <c r="I187" s="1"/>
      <c r="J187" s="1"/>
      <c r="K187" s="1"/>
      <c r="L187" s="1"/>
      <c r="M187" s="1"/>
      <c r="N187" s="1"/>
      <c r="O187" s="1"/>
      <c r="P187" s="1"/>
      <c r="Q187" s="131"/>
      <c r="R187" s="18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201"/>
      <c r="F188" s="201"/>
      <c r="G188" s="201"/>
      <c r="H188" s="1"/>
      <c r="I188" s="1"/>
      <c r="J188" s="1"/>
      <c r="K188" s="1"/>
      <c r="L188" s="1"/>
      <c r="M188" s="1"/>
      <c r="N188" s="1"/>
      <c r="O188" s="1"/>
      <c r="P188" s="1"/>
      <c r="Q188" s="131"/>
      <c r="R188" s="18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201"/>
      <c r="F189" s="201"/>
      <c r="G189" s="201"/>
      <c r="H189" s="1"/>
      <c r="I189" s="1"/>
      <c r="J189" s="1"/>
      <c r="K189" s="1"/>
      <c r="L189" s="1"/>
      <c r="M189" s="1"/>
      <c r="N189" s="1"/>
      <c r="O189" s="1"/>
      <c r="P189" s="1"/>
      <c r="Q189" s="131"/>
      <c r="R189" s="18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201"/>
      <c r="F190" s="201"/>
      <c r="G190" s="201"/>
      <c r="H190" s="1"/>
      <c r="I190" s="1"/>
      <c r="J190" s="1"/>
      <c r="K190" s="1"/>
      <c r="L190" s="1"/>
      <c r="M190" s="1"/>
      <c r="N190" s="1"/>
      <c r="O190" s="1"/>
      <c r="P190" s="1"/>
      <c r="Q190" s="131"/>
      <c r="R190" s="18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201"/>
      <c r="F191" s="201"/>
      <c r="G191" s="201"/>
      <c r="H191" s="1"/>
      <c r="I191" s="1"/>
      <c r="J191" s="1"/>
      <c r="K191" s="1"/>
      <c r="L191" s="1"/>
      <c r="M191" s="1"/>
      <c r="N191" s="1"/>
      <c r="O191" s="1"/>
      <c r="P191" s="1"/>
      <c r="Q191" s="131"/>
      <c r="R191" s="18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201"/>
      <c r="F192" s="201"/>
      <c r="G192" s="201"/>
      <c r="H192" s="1"/>
      <c r="I192" s="1"/>
      <c r="J192" s="1"/>
      <c r="K192" s="1"/>
      <c r="L192" s="1"/>
      <c r="M192" s="1"/>
      <c r="N192" s="1"/>
      <c r="O192" s="1"/>
      <c r="P192" s="1"/>
      <c r="Q192" s="131"/>
      <c r="R192" s="18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201"/>
      <c r="F193" s="201"/>
      <c r="G193" s="201"/>
      <c r="H193" s="1"/>
      <c r="I193" s="1"/>
      <c r="J193" s="1"/>
      <c r="K193" s="1"/>
      <c r="L193" s="1"/>
      <c r="M193" s="1"/>
      <c r="N193" s="1"/>
      <c r="O193" s="1"/>
      <c r="P193" s="1"/>
      <c r="Q193" s="131"/>
      <c r="R193" s="18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201"/>
      <c r="F194" s="201"/>
      <c r="G194" s="201"/>
      <c r="H194" s="1"/>
      <c r="I194" s="1"/>
      <c r="J194" s="1"/>
      <c r="K194" s="1"/>
      <c r="L194" s="1"/>
      <c r="M194" s="1"/>
      <c r="N194" s="1"/>
      <c r="O194" s="1"/>
      <c r="P194" s="1"/>
      <c r="Q194" s="131"/>
      <c r="R194" s="18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201"/>
      <c r="F195" s="201"/>
      <c r="G195" s="201"/>
      <c r="H195" s="1"/>
      <c r="I195" s="1"/>
      <c r="J195" s="1"/>
      <c r="K195" s="1"/>
      <c r="L195" s="1"/>
      <c r="M195" s="1"/>
      <c r="N195" s="1"/>
      <c r="O195" s="1"/>
      <c r="P195" s="1"/>
      <c r="Q195" s="131"/>
      <c r="R195" s="18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201"/>
      <c r="F196" s="201"/>
      <c r="G196" s="201"/>
      <c r="H196" s="1"/>
      <c r="I196" s="1"/>
      <c r="J196" s="1"/>
      <c r="K196" s="1"/>
      <c r="L196" s="1"/>
      <c r="M196" s="1"/>
      <c r="N196" s="1"/>
      <c r="O196" s="1"/>
      <c r="P196" s="1"/>
      <c r="Q196" s="131"/>
      <c r="R196" s="18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201"/>
      <c r="F197" s="201"/>
      <c r="G197" s="201"/>
      <c r="H197" s="1"/>
      <c r="I197" s="1"/>
      <c r="J197" s="1"/>
      <c r="K197" s="1"/>
      <c r="L197" s="1"/>
      <c r="M197" s="1"/>
      <c r="N197" s="1"/>
      <c r="O197" s="1"/>
      <c r="P197" s="1"/>
      <c r="Q197" s="131"/>
      <c r="R197" s="18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201"/>
      <c r="F198" s="201"/>
      <c r="G198" s="201"/>
      <c r="H198" s="1"/>
      <c r="I198" s="1"/>
      <c r="J198" s="1"/>
      <c r="K198" s="1"/>
      <c r="L198" s="1"/>
      <c r="M198" s="1"/>
      <c r="N198" s="1"/>
      <c r="O198" s="1"/>
      <c r="P198" s="1"/>
      <c r="Q198" s="131"/>
      <c r="R198" s="18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201"/>
      <c r="F199" s="201"/>
      <c r="G199" s="201"/>
      <c r="H199" s="1"/>
      <c r="I199" s="1"/>
      <c r="J199" s="1"/>
      <c r="K199" s="1"/>
      <c r="L199" s="1"/>
      <c r="M199" s="1"/>
      <c r="N199" s="1"/>
      <c r="O199" s="1"/>
      <c r="P199" s="1"/>
      <c r="Q199" s="131"/>
      <c r="R199" s="18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201"/>
      <c r="F200" s="201"/>
      <c r="G200" s="201"/>
      <c r="H200" s="1"/>
      <c r="I200" s="1"/>
      <c r="J200" s="1"/>
      <c r="K200" s="1"/>
      <c r="L200" s="1"/>
      <c r="M200" s="1"/>
      <c r="N200" s="1"/>
      <c r="O200" s="1"/>
      <c r="P200" s="1"/>
      <c r="Q200" s="131"/>
      <c r="R200" s="18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201"/>
      <c r="F201" s="201"/>
      <c r="G201" s="201"/>
      <c r="H201" s="1"/>
      <c r="I201" s="1"/>
      <c r="J201" s="1"/>
      <c r="K201" s="1"/>
      <c r="L201" s="1"/>
      <c r="M201" s="1"/>
      <c r="N201" s="1"/>
      <c r="O201" s="1"/>
      <c r="P201" s="1"/>
      <c r="Q201" s="131"/>
      <c r="R201" s="18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201"/>
      <c r="F202" s="201"/>
      <c r="G202" s="201"/>
      <c r="H202" s="1"/>
      <c r="I202" s="1"/>
      <c r="J202" s="1"/>
      <c r="K202" s="1"/>
      <c r="L202" s="1"/>
      <c r="M202" s="1"/>
      <c r="N202" s="1"/>
      <c r="O202" s="1"/>
      <c r="P202" s="1"/>
      <c r="Q202" s="131"/>
      <c r="R202" s="18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201"/>
      <c r="F203" s="201"/>
      <c r="G203" s="201"/>
      <c r="H203" s="1"/>
      <c r="I203" s="1"/>
      <c r="J203" s="1"/>
      <c r="K203" s="1"/>
      <c r="L203" s="1"/>
      <c r="M203" s="1"/>
      <c r="N203" s="1"/>
      <c r="O203" s="1"/>
      <c r="P203" s="1"/>
      <c r="Q203" s="131"/>
      <c r="R203" s="18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201"/>
      <c r="F204" s="201"/>
      <c r="G204" s="201"/>
      <c r="H204" s="1"/>
      <c r="I204" s="1"/>
      <c r="J204" s="1"/>
      <c r="K204" s="1"/>
      <c r="L204" s="1"/>
      <c r="M204" s="1"/>
      <c r="N204" s="1"/>
      <c r="O204" s="1"/>
      <c r="P204" s="1"/>
      <c r="Q204" s="131"/>
      <c r="R204" s="18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201"/>
      <c r="F205" s="201"/>
      <c r="G205" s="201"/>
      <c r="H205" s="1"/>
      <c r="I205" s="1"/>
      <c r="J205" s="1"/>
      <c r="K205" s="1"/>
      <c r="L205" s="1"/>
      <c r="M205" s="1"/>
      <c r="N205" s="1"/>
      <c r="O205" s="1"/>
      <c r="P205" s="1"/>
      <c r="Q205" s="131"/>
      <c r="R205" s="18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201"/>
      <c r="F206" s="201"/>
      <c r="G206" s="201"/>
      <c r="H206" s="1"/>
      <c r="I206" s="1"/>
      <c r="J206" s="1"/>
      <c r="K206" s="1"/>
      <c r="L206" s="1"/>
      <c r="M206" s="1"/>
      <c r="N206" s="1"/>
      <c r="O206" s="1"/>
      <c r="P206" s="1"/>
      <c r="Q206" s="131"/>
      <c r="R206" s="18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201"/>
      <c r="F207" s="201"/>
      <c r="G207" s="201"/>
      <c r="H207" s="1"/>
      <c r="I207" s="1"/>
      <c r="J207" s="1"/>
      <c r="K207" s="1"/>
      <c r="L207" s="1"/>
      <c r="M207" s="1"/>
      <c r="N207" s="1"/>
      <c r="O207" s="1"/>
      <c r="P207" s="1"/>
      <c r="Q207" s="131"/>
      <c r="R207" s="18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201"/>
      <c r="F208" s="201"/>
      <c r="G208" s="201"/>
      <c r="H208" s="1"/>
      <c r="I208" s="1"/>
      <c r="J208" s="1"/>
      <c r="K208" s="1"/>
      <c r="L208" s="1"/>
      <c r="M208" s="1"/>
      <c r="N208" s="1"/>
      <c r="O208" s="1"/>
      <c r="P208" s="1"/>
      <c r="Q208" s="131"/>
      <c r="R208" s="18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201"/>
      <c r="F209" s="201"/>
      <c r="G209" s="201"/>
      <c r="H209" s="1"/>
      <c r="I209" s="1"/>
      <c r="J209" s="1"/>
      <c r="K209" s="1"/>
      <c r="L209" s="1"/>
      <c r="M209" s="1"/>
      <c r="N209" s="1"/>
      <c r="O209" s="1"/>
      <c r="P209" s="1"/>
      <c r="Q209" s="131"/>
      <c r="R209" s="18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201"/>
      <c r="F210" s="201"/>
      <c r="G210" s="201"/>
      <c r="H210" s="1"/>
      <c r="I210" s="1"/>
      <c r="J210" s="1"/>
      <c r="K210" s="1"/>
      <c r="L210" s="1"/>
      <c r="M210" s="1"/>
      <c r="N210" s="1"/>
      <c r="O210" s="1"/>
      <c r="P210" s="1"/>
      <c r="Q210" s="131"/>
      <c r="R210" s="18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201"/>
      <c r="F211" s="201"/>
      <c r="G211" s="201"/>
      <c r="H211" s="1"/>
      <c r="I211" s="1"/>
      <c r="J211" s="1"/>
      <c r="K211" s="1"/>
      <c r="L211" s="1"/>
      <c r="M211" s="1"/>
      <c r="N211" s="1"/>
      <c r="O211" s="1"/>
      <c r="P211" s="1"/>
      <c r="Q211" s="131"/>
      <c r="R211" s="18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201"/>
      <c r="F212" s="201"/>
      <c r="G212" s="201"/>
      <c r="H212" s="1"/>
      <c r="I212" s="1"/>
      <c r="J212" s="1"/>
      <c r="K212" s="1"/>
      <c r="L212" s="1"/>
      <c r="M212" s="1"/>
      <c r="N212" s="1"/>
      <c r="O212" s="1"/>
      <c r="P212" s="1"/>
      <c r="Q212" s="131"/>
      <c r="R212" s="18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201"/>
      <c r="F213" s="201"/>
      <c r="G213" s="201"/>
      <c r="H213" s="1"/>
      <c r="I213" s="1"/>
      <c r="J213" s="1"/>
      <c r="K213" s="1"/>
      <c r="L213" s="1"/>
      <c r="M213" s="1"/>
      <c r="N213" s="1"/>
      <c r="O213" s="1"/>
      <c r="P213" s="1"/>
      <c r="Q213" s="131"/>
      <c r="R213" s="18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201"/>
      <c r="F214" s="201"/>
      <c r="G214" s="201"/>
      <c r="H214" s="1"/>
      <c r="I214" s="1"/>
      <c r="J214" s="1"/>
      <c r="K214" s="1"/>
      <c r="L214" s="1"/>
      <c r="M214" s="1"/>
      <c r="N214" s="1"/>
      <c r="O214" s="1"/>
      <c r="P214" s="1"/>
      <c r="Q214" s="131"/>
      <c r="R214" s="18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201"/>
      <c r="F215" s="201"/>
      <c r="G215" s="201"/>
      <c r="H215" s="1"/>
      <c r="I215" s="1"/>
      <c r="J215" s="1"/>
      <c r="K215" s="1"/>
      <c r="L215" s="1"/>
      <c r="M215" s="1"/>
      <c r="N215" s="1"/>
      <c r="O215" s="1"/>
      <c r="P215" s="1"/>
      <c r="Q215" s="131"/>
      <c r="R215" s="18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201"/>
      <c r="F216" s="201"/>
      <c r="G216" s="201"/>
      <c r="H216" s="1"/>
      <c r="I216" s="1"/>
      <c r="J216" s="1"/>
      <c r="K216" s="1"/>
      <c r="L216" s="1"/>
      <c r="M216" s="1"/>
      <c r="N216" s="1"/>
      <c r="O216" s="1"/>
      <c r="P216" s="1"/>
      <c r="Q216" s="131"/>
      <c r="R216" s="18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201"/>
      <c r="F217" s="201"/>
      <c r="G217" s="201"/>
      <c r="H217" s="1"/>
      <c r="I217" s="1"/>
      <c r="J217" s="1"/>
      <c r="K217" s="1"/>
      <c r="L217" s="1"/>
      <c r="M217" s="1"/>
      <c r="N217" s="1"/>
      <c r="O217" s="1"/>
      <c r="P217" s="1"/>
      <c r="Q217" s="131"/>
      <c r="R217" s="18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201"/>
      <c r="F218" s="201"/>
      <c r="G218" s="201"/>
      <c r="H218" s="1"/>
      <c r="I218" s="1"/>
      <c r="J218" s="1"/>
      <c r="K218" s="1"/>
      <c r="L218" s="1"/>
      <c r="M218" s="1"/>
      <c r="N218" s="1"/>
      <c r="O218" s="1"/>
      <c r="P218" s="1"/>
      <c r="Q218" s="131"/>
      <c r="R218" s="18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201"/>
      <c r="F219" s="201"/>
      <c r="G219" s="201"/>
      <c r="H219" s="1"/>
      <c r="I219" s="1"/>
      <c r="J219" s="1"/>
      <c r="K219" s="1"/>
      <c r="L219" s="1"/>
      <c r="M219" s="1"/>
      <c r="N219" s="1"/>
      <c r="O219" s="1"/>
      <c r="P219" s="1"/>
      <c r="Q219" s="131"/>
      <c r="R219" s="18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201"/>
      <c r="F220" s="201"/>
      <c r="G220" s="201"/>
      <c r="H220" s="1"/>
      <c r="I220" s="1"/>
      <c r="J220" s="1"/>
      <c r="K220" s="1"/>
      <c r="L220" s="1"/>
      <c r="M220" s="1"/>
      <c r="N220" s="1"/>
      <c r="O220" s="1"/>
      <c r="P220" s="1"/>
      <c r="Q220" s="131"/>
      <c r="R220" s="18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201"/>
      <c r="F221" s="201"/>
      <c r="G221" s="201"/>
      <c r="H221" s="1"/>
      <c r="I221" s="1"/>
      <c r="J221" s="1"/>
      <c r="K221" s="1"/>
      <c r="L221" s="1"/>
      <c r="M221" s="1"/>
      <c r="N221" s="1"/>
      <c r="O221" s="1"/>
      <c r="P221" s="1"/>
      <c r="Q221" s="131"/>
      <c r="R221" s="18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201"/>
      <c r="F222" s="201"/>
      <c r="G222" s="201"/>
      <c r="H222" s="1"/>
      <c r="I222" s="1"/>
      <c r="J222" s="1"/>
      <c r="K222" s="1"/>
      <c r="L222" s="1"/>
      <c r="M222" s="1"/>
      <c r="N222" s="1"/>
      <c r="O222" s="1"/>
      <c r="P222" s="1"/>
      <c r="Q222" s="131"/>
      <c r="R222" s="18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201"/>
      <c r="F223" s="201"/>
      <c r="G223" s="201"/>
      <c r="H223" s="1"/>
      <c r="I223" s="1"/>
      <c r="J223" s="1"/>
      <c r="K223" s="1"/>
      <c r="L223" s="1"/>
      <c r="M223" s="1"/>
      <c r="N223" s="1"/>
      <c r="O223" s="1"/>
      <c r="P223" s="1"/>
      <c r="Q223" s="131"/>
      <c r="R223" s="18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201"/>
      <c r="F224" s="201"/>
      <c r="G224" s="201"/>
      <c r="H224" s="1"/>
      <c r="I224" s="1"/>
      <c r="J224" s="1"/>
      <c r="K224" s="1"/>
      <c r="L224" s="1"/>
      <c r="M224" s="1"/>
      <c r="N224" s="1"/>
      <c r="O224" s="1"/>
      <c r="P224" s="1"/>
      <c r="Q224" s="131"/>
      <c r="R224" s="18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201"/>
      <c r="F225" s="201"/>
      <c r="G225" s="201"/>
      <c r="H225" s="1"/>
      <c r="I225" s="1"/>
      <c r="J225" s="1"/>
      <c r="K225" s="1"/>
      <c r="L225" s="1"/>
      <c r="M225" s="1"/>
      <c r="N225" s="1"/>
      <c r="O225" s="1"/>
      <c r="P225" s="1"/>
      <c r="Q225" s="131"/>
      <c r="R225" s="18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201"/>
      <c r="F226" s="201"/>
      <c r="G226" s="201"/>
      <c r="H226" s="1"/>
      <c r="I226" s="1"/>
      <c r="J226" s="1"/>
      <c r="K226" s="1"/>
      <c r="L226" s="1"/>
      <c r="M226" s="1"/>
      <c r="N226" s="1"/>
      <c r="O226" s="1"/>
      <c r="P226" s="1"/>
      <c r="Q226" s="131"/>
      <c r="R226" s="18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201"/>
      <c r="F227" s="201"/>
      <c r="G227" s="201"/>
      <c r="H227" s="1"/>
      <c r="I227" s="1"/>
      <c r="J227" s="1"/>
      <c r="K227" s="1"/>
      <c r="L227" s="1"/>
      <c r="M227" s="1"/>
      <c r="N227" s="1"/>
      <c r="O227" s="1"/>
      <c r="P227" s="1"/>
      <c r="Q227" s="131"/>
      <c r="R227" s="18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201"/>
      <c r="F228" s="201"/>
      <c r="G228" s="201"/>
      <c r="H228" s="1"/>
      <c r="I228" s="1"/>
      <c r="J228" s="1"/>
      <c r="K228" s="1"/>
      <c r="L228" s="1"/>
      <c r="M228" s="1"/>
      <c r="N228" s="1"/>
      <c r="O228" s="1"/>
      <c r="P228" s="1"/>
      <c r="Q228" s="131"/>
      <c r="R228" s="18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201"/>
      <c r="F229" s="201"/>
      <c r="G229" s="201"/>
      <c r="H229" s="1"/>
      <c r="I229" s="1"/>
      <c r="J229" s="1"/>
      <c r="K229" s="1"/>
      <c r="L229" s="1"/>
      <c r="M229" s="1"/>
      <c r="N229" s="1"/>
      <c r="O229" s="1"/>
      <c r="P229" s="1"/>
      <c r="Q229" s="131"/>
      <c r="R229" s="18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201"/>
      <c r="F230" s="201"/>
      <c r="G230" s="201"/>
      <c r="H230" s="1"/>
      <c r="I230" s="1"/>
      <c r="J230" s="1"/>
      <c r="K230" s="1"/>
      <c r="L230" s="1"/>
      <c r="M230" s="1"/>
      <c r="N230" s="1"/>
      <c r="O230" s="1"/>
      <c r="P230" s="1"/>
      <c r="Q230" s="131"/>
      <c r="R230" s="18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201"/>
      <c r="F231" s="201"/>
      <c r="G231" s="201"/>
      <c r="H231" s="1"/>
      <c r="I231" s="1"/>
      <c r="J231" s="1"/>
      <c r="K231" s="1"/>
      <c r="L231" s="1"/>
      <c r="M231" s="1"/>
      <c r="N231" s="1"/>
      <c r="O231" s="1"/>
      <c r="P231" s="1"/>
      <c r="Q231" s="131"/>
      <c r="R231" s="18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201"/>
      <c r="F232" s="201"/>
      <c r="G232" s="201"/>
      <c r="H232" s="1"/>
      <c r="I232" s="1"/>
      <c r="J232" s="1"/>
      <c r="K232" s="1"/>
      <c r="L232" s="1"/>
      <c r="M232" s="1"/>
      <c r="N232" s="1"/>
      <c r="O232" s="1"/>
      <c r="P232" s="1"/>
      <c r="Q232" s="131"/>
      <c r="R232" s="18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201"/>
      <c r="F233" s="201"/>
      <c r="G233" s="201"/>
      <c r="H233" s="1"/>
      <c r="I233" s="1"/>
      <c r="J233" s="1"/>
      <c r="K233" s="1"/>
      <c r="L233" s="1"/>
      <c r="M233" s="1"/>
      <c r="N233" s="1"/>
      <c r="O233" s="1"/>
      <c r="P233" s="1"/>
      <c r="Q233" s="131"/>
      <c r="R233" s="18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201"/>
      <c r="F234" s="201"/>
      <c r="G234" s="201"/>
      <c r="H234" s="1"/>
      <c r="I234" s="1"/>
      <c r="J234" s="1"/>
      <c r="K234" s="1"/>
      <c r="L234" s="1"/>
      <c r="M234" s="1"/>
      <c r="N234" s="1"/>
      <c r="O234" s="1"/>
      <c r="P234" s="1"/>
      <c r="Q234" s="131"/>
      <c r="R234" s="18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201"/>
      <c r="F235" s="201"/>
      <c r="G235" s="201"/>
      <c r="H235" s="1"/>
      <c r="I235" s="1"/>
      <c r="J235" s="1"/>
      <c r="K235" s="1"/>
      <c r="L235" s="1"/>
      <c r="M235" s="1"/>
      <c r="N235" s="1"/>
      <c r="O235" s="1"/>
      <c r="P235" s="1"/>
      <c r="Q235" s="131"/>
      <c r="R235" s="18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201"/>
      <c r="F236" s="201"/>
      <c r="G236" s="201"/>
      <c r="H236" s="1"/>
      <c r="I236" s="1"/>
      <c r="J236" s="1"/>
      <c r="K236" s="1"/>
      <c r="L236" s="1"/>
      <c r="M236" s="1"/>
      <c r="N236" s="1"/>
      <c r="O236" s="1"/>
      <c r="P236" s="1"/>
      <c r="Q236" s="131"/>
      <c r="R236" s="18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201"/>
      <c r="F237" s="201"/>
      <c r="G237" s="201"/>
      <c r="H237" s="1"/>
      <c r="I237" s="1"/>
      <c r="J237" s="1"/>
      <c r="K237" s="1"/>
      <c r="L237" s="1"/>
      <c r="M237" s="1"/>
      <c r="N237" s="1"/>
      <c r="O237" s="1"/>
      <c r="P237" s="1"/>
      <c r="Q237" s="131"/>
      <c r="R237" s="18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201"/>
      <c r="F238" s="201"/>
      <c r="G238" s="201"/>
      <c r="H238" s="1"/>
      <c r="I238" s="1"/>
      <c r="J238" s="1"/>
      <c r="K238" s="1"/>
      <c r="L238" s="1"/>
      <c r="M238" s="1"/>
      <c r="N238" s="1"/>
      <c r="O238" s="1"/>
      <c r="P238" s="1"/>
      <c r="Q238" s="131"/>
      <c r="R238" s="18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201"/>
      <c r="F239" s="201"/>
      <c r="G239" s="201"/>
      <c r="H239" s="1"/>
      <c r="I239" s="1"/>
      <c r="J239" s="1"/>
      <c r="K239" s="1"/>
      <c r="L239" s="1"/>
      <c r="M239" s="1"/>
      <c r="N239" s="1"/>
      <c r="O239" s="1"/>
      <c r="P239" s="1"/>
      <c r="Q239" s="131"/>
      <c r="R239" s="18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201"/>
      <c r="F240" s="201"/>
      <c r="G240" s="201"/>
      <c r="H240" s="1"/>
      <c r="I240" s="1"/>
      <c r="J240" s="1"/>
      <c r="K240" s="1"/>
      <c r="L240" s="1"/>
      <c r="M240" s="1"/>
      <c r="N240" s="1"/>
      <c r="O240" s="1"/>
      <c r="P240" s="1"/>
      <c r="Q240" s="131"/>
      <c r="R240" s="18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201"/>
      <c r="F241" s="201"/>
      <c r="G241" s="201"/>
      <c r="H241" s="1"/>
      <c r="I241" s="1"/>
      <c r="J241" s="1"/>
      <c r="K241" s="1"/>
      <c r="L241" s="1"/>
      <c r="M241" s="1"/>
      <c r="N241" s="1"/>
      <c r="O241" s="1"/>
      <c r="P241" s="1"/>
      <c r="Q241" s="131"/>
      <c r="R241" s="18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201"/>
      <c r="F242" s="201"/>
      <c r="G242" s="201"/>
      <c r="H242" s="1"/>
      <c r="I242" s="1"/>
      <c r="J242" s="1"/>
      <c r="K242" s="1"/>
      <c r="L242" s="1"/>
      <c r="M242" s="1"/>
      <c r="N242" s="1"/>
      <c r="O242" s="1"/>
      <c r="P242" s="1"/>
      <c r="Q242" s="131"/>
      <c r="R242" s="18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201"/>
      <c r="F243" s="201"/>
      <c r="G243" s="201"/>
      <c r="H243" s="1"/>
      <c r="I243" s="1"/>
      <c r="J243" s="1"/>
      <c r="K243" s="1"/>
      <c r="L243" s="1"/>
      <c r="M243" s="1"/>
      <c r="N243" s="1"/>
      <c r="O243" s="1"/>
      <c r="P243" s="1"/>
      <c r="Q243" s="131"/>
      <c r="R243" s="18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201"/>
      <c r="F244" s="201"/>
      <c r="G244" s="201"/>
      <c r="H244" s="1"/>
      <c r="I244" s="1"/>
      <c r="J244" s="1"/>
      <c r="K244" s="1"/>
      <c r="L244" s="1"/>
      <c r="M244" s="1"/>
      <c r="N244" s="1"/>
      <c r="O244" s="1"/>
      <c r="P244" s="1"/>
      <c r="Q244" s="131"/>
      <c r="R244" s="18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201"/>
      <c r="F245" s="201"/>
      <c r="G245" s="201"/>
      <c r="H245" s="1"/>
      <c r="I245" s="1"/>
      <c r="J245" s="1"/>
      <c r="K245" s="1"/>
      <c r="L245" s="1"/>
      <c r="M245" s="1"/>
      <c r="N245" s="1"/>
      <c r="O245" s="1"/>
      <c r="P245" s="1"/>
      <c r="Q245" s="131"/>
      <c r="R245" s="18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201"/>
      <c r="F246" s="201"/>
      <c r="G246" s="201"/>
      <c r="H246" s="1"/>
      <c r="I246" s="1"/>
      <c r="J246" s="1"/>
      <c r="K246" s="1"/>
      <c r="L246" s="1"/>
      <c r="M246" s="1"/>
      <c r="N246" s="1"/>
      <c r="O246" s="1"/>
      <c r="P246" s="1"/>
      <c r="Q246" s="131"/>
      <c r="R246" s="18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201"/>
      <c r="F247" s="201"/>
      <c r="G247" s="201"/>
      <c r="H247" s="1"/>
      <c r="I247" s="1"/>
      <c r="J247" s="1"/>
      <c r="K247" s="1"/>
      <c r="L247" s="1"/>
      <c r="M247" s="1"/>
      <c r="N247" s="1"/>
      <c r="O247" s="1"/>
      <c r="P247" s="1"/>
      <c r="Q247" s="131"/>
      <c r="R247" s="18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201"/>
      <c r="F248" s="201"/>
      <c r="G248" s="201"/>
      <c r="H248" s="1"/>
      <c r="I248" s="1"/>
      <c r="J248" s="1"/>
      <c r="K248" s="1"/>
      <c r="L248" s="1"/>
      <c r="M248" s="1"/>
      <c r="N248" s="1"/>
      <c r="O248" s="1"/>
      <c r="P248" s="1"/>
      <c r="Q248" s="131"/>
      <c r="R248" s="18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201"/>
      <c r="F249" s="201"/>
      <c r="G249" s="201"/>
      <c r="H249" s="1"/>
      <c r="I249" s="1"/>
      <c r="J249" s="1"/>
      <c r="K249" s="1"/>
      <c r="L249" s="1"/>
      <c r="M249" s="1"/>
      <c r="N249" s="1"/>
      <c r="O249" s="1"/>
      <c r="P249" s="1"/>
      <c r="Q249" s="131"/>
      <c r="R249" s="18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201"/>
      <c r="F250" s="201"/>
      <c r="G250" s="201"/>
      <c r="H250" s="1"/>
      <c r="I250" s="1"/>
      <c r="J250" s="1"/>
      <c r="K250" s="1"/>
      <c r="L250" s="1"/>
      <c r="M250" s="1"/>
      <c r="N250" s="1"/>
      <c r="O250" s="1"/>
      <c r="P250" s="1"/>
      <c r="Q250" s="131"/>
      <c r="R250" s="18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201"/>
      <c r="F251" s="201"/>
      <c r="G251" s="201"/>
      <c r="H251" s="1"/>
      <c r="I251" s="1"/>
      <c r="J251" s="1"/>
      <c r="K251" s="1"/>
      <c r="L251" s="1"/>
      <c r="M251" s="1"/>
      <c r="N251" s="1"/>
      <c r="O251" s="1"/>
      <c r="P251" s="1"/>
      <c r="Q251" s="131"/>
      <c r="R251" s="18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201"/>
      <c r="F252" s="201"/>
      <c r="G252" s="201"/>
      <c r="H252" s="1"/>
      <c r="I252" s="1"/>
      <c r="J252" s="1"/>
      <c r="K252" s="1"/>
      <c r="L252" s="1"/>
      <c r="M252" s="1"/>
      <c r="N252" s="1"/>
      <c r="O252" s="1"/>
      <c r="P252" s="1"/>
      <c r="Q252" s="131"/>
      <c r="R252" s="18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201"/>
      <c r="F253" s="201"/>
      <c r="G253" s="201"/>
      <c r="H253" s="1"/>
      <c r="I253" s="1"/>
      <c r="J253" s="1"/>
      <c r="K253" s="1"/>
      <c r="L253" s="1"/>
      <c r="M253" s="1"/>
      <c r="N253" s="1"/>
      <c r="O253" s="1"/>
      <c r="P253" s="1"/>
      <c r="Q253" s="131"/>
      <c r="R253" s="18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201"/>
      <c r="F254" s="201"/>
      <c r="G254" s="201"/>
      <c r="H254" s="1"/>
      <c r="I254" s="1"/>
      <c r="J254" s="1"/>
      <c r="K254" s="1"/>
      <c r="L254" s="1"/>
      <c r="M254" s="1"/>
      <c r="N254" s="1"/>
      <c r="O254" s="1"/>
      <c r="P254" s="1"/>
      <c r="Q254" s="131"/>
      <c r="R254" s="18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201"/>
      <c r="F255" s="201"/>
      <c r="G255" s="201"/>
      <c r="H255" s="1"/>
      <c r="I255" s="1"/>
      <c r="J255" s="1"/>
      <c r="K255" s="1"/>
      <c r="L255" s="1"/>
      <c r="M255" s="1"/>
      <c r="N255" s="1"/>
      <c r="O255" s="1"/>
      <c r="P255" s="1"/>
      <c r="Q255" s="131"/>
      <c r="R255" s="18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201"/>
      <c r="F256" s="201"/>
      <c r="G256" s="201"/>
      <c r="H256" s="1"/>
      <c r="I256" s="1"/>
      <c r="J256" s="1"/>
      <c r="K256" s="1"/>
      <c r="L256" s="1"/>
      <c r="M256" s="1"/>
      <c r="N256" s="1"/>
      <c r="O256" s="1"/>
      <c r="P256" s="1"/>
      <c r="Q256" s="131"/>
      <c r="R256" s="18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201"/>
      <c r="F257" s="201"/>
      <c r="G257" s="201"/>
      <c r="H257" s="1"/>
      <c r="I257" s="1"/>
      <c r="J257" s="1"/>
      <c r="K257" s="1"/>
      <c r="L257" s="1"/>
      <c r="M257" s="1"/>
      <c r="N257" s="1"/>
      <c r="O257" s="1"/>
      <c r="P257" s="1"/>
      <c r="Q257" s="131"/>
      <c r="R257" s="18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201"/>
      <c r="F258" s="201"/>
      <c r="G258" s="201"/>
      <c r="H258" s="1"/>
      <c r="I258" s="1"/>
      <c r="J258" s="1"/>
      <c r="K258" s="1"/>
      <c r="L258" s="1"/>
      <c r="M258" s="1"/>
      <c r="N258" s="1"/>
      <c r="O258" s="1"/>
      <c r="P258" s="1"/>
      <c r="Q258" s="131"/>
      <c r="R258" s="18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201"/>
      <c r="F259" s="201"/>
      <c r="G259" s="201"/>
      <c r="H259" s="1"/>
      <c r="I259" s="1"/>
      <c r="J259" s="1"/>
      <c r="K259" s="1"/>
      <c r="L259" s="1"/>
      <c r="M259" s="1"/>
      <c r="N259" s="1"/>
      <c r="O259" s="1"/>
      <c r="P259" s="1"/>
      <c r="Q259" s="131"/>
      <c r="R259" s="18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201"/>
      <c r="F260" s="201"/>
      <c r="G260" s="201"/>
      <c r="H260" s="1"/>
      <c r="I260" s="1"/>
      <c r="J260" s="1"/>
      <c r="K260" s="1"/>
      <c r="L260" s="1"/>
      <c r="M260" s="1"/>
      <c r="N260" s="1"/>
      <c r="O260" s="1"/>
      <c r="P260" s="1"/>
      <c r="Q260" s="131"/>
      <c r="R260" s="18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201"/>
      <c r="F261" s="201"/>
      <c r="G261" s="201"/>
      <c r="H261" s="1"/>
      <c r="I261" s="1"/>
      <c r="J261" s="1"/>
      <c r="K261" s="1"/>
      <c r="L261" s="1"/>
      <c r="M261" s="1"/>
      <c r="N261" s="1"/>
      <c r="O261" s="1"/>
      <c r="P261" s="1"/>
      <c r="Q261" s="131"/>
      <c r="R261" s="18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201"/>
      <c r="F262" s="201"/>
      <c r="G262" s="201"/>
      <c r="H262" s="1"/>
      <c r="I262" s="1"/>
      <c r="J262" s="1"/>
      <c r="K262" s="1"/>
      <c r="L262" s="1"/>
      <c r="M262" s="1"/>
      <c r="N262" s="1"/>
      <c r="O262" s="1"/>
      <c r="P262" s="1"/>
      <c r="Q262" s="131"/>
      <c r="R262" s="18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201"/>
      <c r="F263" s="201"/>
      <c r="G263" s="201"/>
      <c r="H263" s="1"/>
      <c r="I263" s="1"/>
      <c r="J263" s="1"/>
      <c r="K263" s="1"/>
      <c r="L263" s="1"/>
      <c r="M263" s="1"/>
      <c r="N263" s="1"/>
      <c r="O263" s="1"/>
      <c r="P263" s="1"/>
      <c r="Q263" s="131"/>
      <c r="R263" s="18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201"/>
      <c r="F264" s="201"/>
      <c r="G264" s="201"/>
      <c r="H264" s="1"/>
      <c r="I264" s="1"/>
      <c r="J264" s="1"/>
      <c r="K264" s="1"/>
      <c r="L264" s="1"/>
      <c r="M264" s="1"/>
      <c r="N264" s="1"/>
      <c r="O264" s="1"/>
      <c r="P264" s="1"/>
      <c r="Q264" s="131"/>
      <c r="R264" s="18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201"/>
      <c r="F265" s="201"/>
      <c r="G265" s="201"/>
      <c r="H265" s="1"/>
      <c r="I265" s="1"/>
      <c r="J265" s="1"/>
      <c r="K265" s="1"/>
      <c r="L265" s="1"/>
      <c r="M265" s="1"/>
      <c r="N265" s="1"/>
      <c r="O265" s="1"/>
      <c r="P265" s="1"/>
      <c r="Q265" s="131"/>
      <c r="R265" s="18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201"/>
      <c r="F266" s="201"/>
      <c r="G266" s="201"/>
      <c r="H266" s="1"/>
      <c r="I266" s="1"/>
      <c r="J266" s="1"/>
      <c r="K266" s="1"/>
      <c r="L266" s="1"/>
      <c r="M266" s="1"/>
      <c r="N266" s="1"/>
      <c r="O266" s="1"/>
      <c r="P266" s="1"/>
      <c r="Q266" s="131"/>
      <c r="R266" s="18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201"/>
      <c r="F267" s="201"/>
      <c r="G267" s="201"/>
      <c r="H267" s="1"/>
      <c r="I267" s="1"/>
      <c r="J267" s="1"/>
      <c r="K267" s="1"/>
      <c r="L267" s="1"/>
      <c r="M267" s="1"/>
      <c r="N267" s="1"/>
      <c r="O267" s="1"/>
      <c r="P267" s="1"/>
      <c r="Q267" s="131"/>
      <c r="R267" s="18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201"/>
      <c r="F268" s="201"/>
      <c r="G268" s="201"/>
      <c r="H268" s="1"/>
      <c r="I268" s="1"/>
      <c r="J268" s="1"/>
      <c r="K268" s="1"/>
      <c r="L268" s="1"/>
      <c r="M268" s="1"/>
      <c r="N268" s="1"/>
      <c r="O268" s="1"/>
      <c r="P268" s="1"/>
      <c r="Q268" s="131"/>
      <c r="R268" s="18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201"/>
      <c r="F269" s="201"/>
      <c r="G269" s="201"/>
      <c r="H269" s="1"/>
      <c r="I269" s="1"/>
      <c r="J269" s="1"/>
      <c r="K269" s="1"/>
      <c r="L269" s="1"/>
      <c r="M269" s="1"/>
      <c r="N269" s="1"/>
      <c r="O269" s="1"/>
      <c r="P269" s="1"/>
      <c r="Q269" s="131"/>
      <c r="R269" s="18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201"/>
      <c r="F270" s="201"/>
      <c r="G270" s="201"/>
      <c r="H270" s="1"/>
      <c r="I270" s="1"/>
      <c r="J270" s="1"/>
      <c r="K270" s="1"/>
      <c r="L270" s="1"/>
      <c r="M270" s="1"/>
      <c r="N270" s="1"/>
      <c r="O270" s="1"/>
      <c r="P270" s="1"/>
      <c r="Q270" s="131"/>
      <c r="R270" s="18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201"/>
      <c r="F271" s="201"/>
      <c r="G271" s="201"/>
      <c r="H271" s="1"/>
      <c r="I271" s="1"/>
      <c r="J271" s="1"/>
      <c r="K271" s="1"/>
      <c r="L271" s="1"/>
      <c r="M271" s="1"/>
      <c r="N271" s="1"/>
      <c r="O271" s="1"/>
      <c r="P271" s="1"/>
      <c r="Q271" s="131"/>
      <c r="R271" s="18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201"/>
      <c r="F272" s="201"/>
      <c r="G272" s="201"/>
      <c r="H272" s="1"/>
      <c r="I272" s="1"/>
      <c r="J272" s="1"/>
      <c r="K272" s="1"/>
      <c r="L272" s="1"/>
      <c r="M272" s="1"/>
      <c r="N272" s="1"/>
      <c r="O272" s="1"/>
      <c r="P272" s="1"/>
      <c r="Q272" s="131"/>
      <c r="R272" s="18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201"/>
      <c r="F273" s="201"/>
      <c r="G273" s="201"/>
      <c r="H273" s="1"/>
      <c r="I273" s="1"/>
      <c r="J273" s="1"/>
      <c r="K273" s="1"/>
      <c r="L273" s="1"/>
      <c r="M273" s="1"/>
      <c r="N273" s="1"/>
      <c r="O273" s="1"/>
      <c r="P273" s="1"/>
      <c r="Q273" s="131"/>
      <c r="R273" s="18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201"/>
      <c r="F274" s="201"/>
      <c r="G274" s="201"/>
      <c r="H274" s="1"/>
      <c r="I274" s="1"/>
      <c r="J274" s="1"/>
      <c r="K274" s="1"/>
      <c r="L274" s="1"/>
      <c r="M274" s="1"/>
      <c r="N274" s="1"/>
      <c r="O274" s="1"/>
      <c r="P274" s="1"/>
      <c r="Q274" s="131"/>
      <c r="R274" s="18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201"/>
      <c r="F275" s="201"/>
      <c r="G275" s="201"/>
      <c r="H275" s="1"/>
      <c r="I275" s="1"/>
      <c r="J275" s="1"/>
      <c r="K275" s="1"/>
      <c r="L275" s="1"/>
      <c r="M275" s="1"/>
      <c r="N275" s="1"/>
      <c r="O275" s="1"/>
      <c r="P275" s="1"/>
      <c r="Q275" s="131"/>
      <c r="R275" s="18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201"/>
      <c r="F276" s="201"/>
      <c r="G276" s="201"/>
      <c r="H276" s="1"/>
      <c r="I276" s="1"/>
      <c r="J276" s="1"/>
      <c r="K276" s="1"/>
      <c r="L276" s="1"/>
      <c r="M276" s="1"/>
      <c r="N276" s="1"/>
      <c r="O276" s="1"/>
      <c r="P276" s="1"/>
      <c r="Q276" s="131"/>
      <c r="R276" s="18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201"/>
      <c r="F277" s="201"/>
      <c r="G277" s="201"/>
      <c r="H277" s="1"/>
      <c r="I277" s="1"/>
      <c r="J277" s="1"/>
      <c r="K277" s="1"/>
      <c r="L277" s="1"/>
      <c r="M277" s="1"/>
      <c r="N277" s="1"/>
      <c r="O277" s="1"/>
      <c r="P277" s="1"/>
      <c r="Q277" s="131"/>
      <c r="R277" s="18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201"/>
      <c r="F278" s="201"/>
      <c r="G278" s="201"/>
      <c r="H278" s="1"/>
      <c r="I278" s="1"/>
      <c r="J278" s="1"/>
      <c r="K278" s="1"/>
      <c r="L278" s="1"/>
      <c r="M278" s="1"/>
      <c r="N278" s="1"/>
      <c r="O278" s="1"/>
      <c r="P278" s="1"/>
      <c r="Q278" s="131"/>
      <c r="R278" s="18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201"/>
      <c r="F279" s="201"/>
      <c r="G279" s="201"/>
      <c r="H279" s="1"/>
      <c r="I279" s="1"/>
      <c r="J279" s="1"/>
      <c r="K279" s="1"/>
      <c r="L279" s="1"/>
      <c r="M279" s="1"/>
      <c r="N279" s="1"/>
      <c r="O279" s="1"/>
      <c r="P279" s="1"/>
      <c r="Q279" s="131"/>
      <c r="R279" s="18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201"/>
      <c r="F280" s="201"/>
      <c r="G280" s="201"/>
      <c r="H280" s="1"/>
      <c r="I280" s="1"/>
      <c r="J280" s="1"/>
      <c r="K280" s="1"/>
      <c r="L280" s="1"/>
      <c r="M280" s="1"/>
      <c r="N280" s="1"/>
      <c r="O280" s="1"/>
      <c r="P280" s="1"/>
      <c r="Q280" s="131"/>
      <c r="R280" s="18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201"/>
      <c r="F281" s="201"/>
      <c r="G281" s="201"/>
      <c r="H281" s="1"/>
      <c r="I281" s="1"/>
      <c r="J281" s="1"/>
      <c r="K281" s="1"/>
      <c r="L281" s="1"/>
      <c r="M281" s="1"/>
      <c r="N281" s="1"/>
      <c r="O281" s="1"/>
      <c r="P281" s="1"/>
      <c r="Q281" s="131"/>
      <c r="R281" s="18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201"/>
      <c r="F282" s="201"/>
      <c r="G282" s="201"/>
      <c r="H282" s="1"/>
      <c r="I282" s="1"/>
      <c r="J282" s="1"/>
      <c r="K282" s="1"/>
      <c r="L282" s="1"/>
      <c r="M282" s="1"/>
      <c r="N282" s="1"/>
      <c r="O282" s="1"/>
      <c r="P282" s="1"/>
      <c r="Q282" s="131"/>
      <c r="R282" s="18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201"/>
      <c r="F283" s="201"/>
      <c r="G283" s="201"/>
      <c r="H283" s="1"/>
      <c r="I283" s="1"/>
      <c r="J283" s="1"/>
      <c r="K283" s="1"/>
      <c r="L283" s="1"/>
      <c r="M283" s="1"/>
      <c r="N283" s="1"/>
      <c r="O283" s="1"/>
      <c r="P283" s="1"/>
      <c r="Q283" s="131"/>
      <c r="R283" s="18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201"/>
      <c r="F284" s="201"/>
      <c r="G284" s="201"/>
      <c r="H284" s="1"/>
      <c r="I284" s="1"/>
      <c r="J284" s="1"/>
      <c r="K284" s="1"/>
      <c r="L284" s="1"/>
      <c r="M284" s="1"/>
      <c r="N284" s="1"/>
      <c r="O284" s="1"/>
      <c r="P284" s="1"/>
      <c r="Q284" s="131"/>
      <c r="R284" s="18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201"/>
      <c r="F285" s="201"/>
      <c r="G285" s="201"/>
      <c r="H285" s="1"/>
      <c r="I285" s="1"/>
      <c r="J285" s="1"/>
      <c r="K285" s="1"/>
      <c r="L285" s="1"/>
      <c r="M285" s="1"/>
      <c r="N285" s="1"/>
      <c r="O285" s="1"/>
      <c r="P285" s="1"/>
      <c r="Q285" s="131"/>
      <c r="R285" s="18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201"/>
      <c r="F286" s="201"/>
      <c r="G286" s="201"/>
      <c r="H286" s="1"/>
      <c r="I286" s="1"/>
      <c r="J286" s="1"/>
      <c r="K286" s="1"/>
      <c r="L286" s="1"/>
      <c r="M286" s="1"/>
      <c r="N286" s="1"/>
      <c r="O286" s="1"/>
      <c r="P286" s="1"/>
      <c r="Q286" s="131"/>
      <c r="R286" s="18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201"/>
      <c r="F287" s="201"/>
      <c r="G287" s="201"/>
      <c r="H287" s="1"/>
      <c r="I287" s="1"/>
      <c r="J287" s="1"/>
      <c r="K287" s="1"/>
      <c r="L287" s="1"/>
      <c r="M287" s="1"/>
      <c r="N287" s="1"/>
      <c r="O287" s="1"/>
      <c r="P287" s="1"/>
      <c r="Q287" s="131"/>
      <c r="R287" s="18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201"/>
      <c r="F288" s="201"/>
      <c r="G288" s="201"/>
      <c r="H288" s="1"/>
      <c r="I288" s="1"/>
      <c r="J288" s="1"/>
      <c r="K288" s="1"/>
      <c r="L288" s="1"/>
      <c r="M288" s="1"/>
      <c r="N288" s="1"/>
      <c r="O288" s="1"/>
      <c r="P288" s="1"/>
      <c r="Q288" s="131"/>
      <c r="R288" s="18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201"/>
      <c r="F289" s="201"/>
      <c r="G289" s="201"/>
      <c r="H289" s="1"/>
      <c r="I289" s="1"/>
      <c r="J289" s="1"/>
      <c r="K289" s="1"/>
      <c r="L289" s="1"/>
      <c r="M289" s="1"/>
      <c r="N289" s="1"/>
      <c r="O289" s="1"/>
      <c r="P289" s="1"/>
      <c r="Q289" s="131"/>
      <c r="R289" s="18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201"/>
      <c r="F290" s="201"/>
      <c r="G290" s="201"/>
      <c r="H290" s="1"/>
      <c r="I290" s="1"/>
      <c r="J290" s="1"/>
      <c r="K290" s="1"/>
      <c r="L290" s="1"/>
      <c r="M290" s="1"/>
      <c r="N290" s="1"/>
      <c r="O290" s="1"/>
      <c r="P290" s="1"/>
      <c r="Q290" s="131"/>
      <c r="R290" s="18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201"/>
      <c r="F291" s="201"/>
      <c r="G291" s="201"/>
      <c r="H291" s="1"/>
      <c r="I291" s="1"/>
      <c r="J291" s="1"/>
      <c r="K291" s="1"/>
      <c r="L291" s="1"/>
      <c r="M291" s="1"/>
      <c r="N291" s="1"/>
      <c r="O291" s="1"/>
      <c r="P291" s="1"/>
      <c r="Q291" s="131"/>
      <c r="R291" s="18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201"/>
      <c r="F292" s="201"/>
      <c r="G292" s="201"/>
      <c r="H292" s="1"/>
      <c r="I292" s="1"/>
      <c r="J292" s="1"/>
      <c r="K292" s="1"/>
      <c r="L292" s="1"/>
      <c r="M292" s="1"/>
      <c r="N292" s="1"/>
      <c r="O292" s="1"/>
      <c r="P292" s="1"/>
      <c r="Q292" s="131"/>
      <c r="R292" s="18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201"/>
      <c r="F293" s="201"/>
      <c r="G293" s="201"/>
      <c r="H293" s="1"/>
      <c r="I293" s="1"/>
      <c r="J293" s="1"/>
      <c r="K293" s="1"/>
      <c r="L293" s="1"/>
      <c r="M293" s="1"/>
      <c r="N293" s="1"/>
      <c r="O293" s="1"/>
      <c r="P293" s="1"/>
      <c r="Q293" s="131"/>
      <c r="R293" s="18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201"/>
      <c r="F294" s="201"/>
      <c r="G294" s="201"/>
      <c r="H294" s="1"/>
      <c r="I294" s="1"/>
      <c r="J294" s="1"/>
      <c r="K294" s="1"/>
      <c r="L294" s="1"/>
      <c r="M294" s="1"/>
      <c r="N294" s="1"/>
      <c r="O294" s="1"/>
      <c r="P294" s="1"/>
      <c r="Q294" s="131"/>
      <c r="R294" s="18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201"/>
      <c r="F295" s="201"/>
      <c r="G295" s="201"/>
      <c r="H295" s="1"/>
      <c r="I295" s="1"/>
      <c r="J295" s="1"/>
      <c r="K295" s="1"/>
      <c r="L295" s="1"/>
      <c r="M295" s="1"/>
      <c r="N295" s="1"/>
      <c r="O295" s="1"/>
      <c r="P295" s="1"/>
      <c r="Q295" s="131"/>
      <c r="R295" s="18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201"/>
      <c r="F296" s="201"/>
      <c r="G296" s="201"/>
      <c r="H296" s="1"/>
      <c r="I296" s="1"/>
      <c r="J296" s="1"/>
      <c r="K296" s="1"/>
      <c r="L296" s="1"/>
      <c r="M296" s="1"/>
      <c r="N296" s="1"/>
      <c r="O296" s="1"/>
      <c r="P296" s="1"/>
      <c r="Q296" s="131"/>
      <c r="R296" s="18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201"/>
      <c r="F297" s="201"/>
      <c r="G297" s="201"/>
      <c r="H297" s="1"/>
      <c r="I297" s="1"/>
      <c r="J297" s="1"/>
      <c r="K297" s="1"/>
      <c r="L297" s="1"/>
      <c r="M297" s="1"/>
      <c r="N297" s="1"/>
      <c r="O297" s="1"/>
      <c r="P297" s="1"/>
      <c r="Q297" s="131"/>
      <c r="R297" s="18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201"/>
      <c r="F298" s="201"/>
      <c r="G298" s="201"/>
      <c r="H298" s="1"/>
      <c r="I298" s="1"/>
      <c r="J298" s="1"/>
      <c r="K298" s="1"/>
      <c r="L298" s="1"/>
      <c r="M298" s="1"/>
      <c r="N298" s="1"/>
      <c r="O298" s="1"/>
      <c r="P298" s="1"/>
      <c r="Q298" s="131"/>
      <c r="R298" s="18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201"/>
      <c r="F299" s="201"/>
      <c r="G299" s="201"/>
      <c r="H299" s="1"/>
      <c r="I299" s="1"/>
      <c r="J299" s="1"/>
      <c r="K299" s="1"/>
      <c r="L299" s="1"/>
      <c r="M299" s="1"/>
      <c r="N299" s="1"/>
      <c r="O299" s="1"/>
      <c r="P299" s="1"/>
      <c r="Q299" s="131"/>
      <c r="R299" s="18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201"/>
      <c r="F300" s="201"/>
      <c r="G300" s="201"/>
      <c r="H300" s="1"/>
      <c r="I300" s="1"/>
      <c r="J300" s="1"/>
      <c r="K300" s="1"/>
      <c r="L300" s="1"/>
      <c r="M300" s="1"/>
      <c r="N300" s="1"/>
      <c r="O300" s="1"/>
      <c r="P300" s="1"/>
      <c r="Q300" s="131"/>
      <c r="R300" s="18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201"/>
      <c r="F301" s="201"/>
      <c r="G301" s="201"/>
      <c r="H301" s="1"/>
      <c r="I301" s="1"/>
      <c r="J301" s="1"/>
      <c r="K301" s="1"/>
      <c r="L301" s="1"/>
      <c r="M301" s="1"/>
      <c r="N301" s="1"/>
      <c r="O301" s="1"/>
      <c r="P301" s="1"/>
      <c r="Q301" s="131"/>
      <c r="R301" s="18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201"/>
      <c r="F302" s="201"/>
      <c r="G302" s="201"/>
      <c r="H302" s="1"/>
      <c r="I302" s="1"/>
      <c r="J302" s="1"/>
      <c r="K302" s="1"/>
      <c r="L302" s="1"/>
      <c r="M302" s="1"/>
      <c r="N302" s="1"/>
      <c r="O302" s="1"/>
      <c r="P302" s="1"/>
      <c r="Q302" s="131"/>
      <c r="R302" s="18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201"/>
      <c r="F303" s="201"/>
      <c r="G303" s="201"/>
      <c r="H303" s="1"/>
      <c r="I303" s="1"/>
      <c r="J303" s="1"/>
      <c r="K303" s="1"/>
      <c r="L303" s="1"/>
      <c r="M303" s="1"/>
      <c r="N303" s="1"/>
      <c r="O303" s="1"/>
      <c r="P303" s="1"/>
      <c r="Q303" s="131"/>
      <c r="R303" s="18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201"/>
      <c r="F304" s="201"/>
      <c r="G304" s="201"/>
      <c r="H304" s="1"/>
      <c r="I304" s="1"/>
      <c r="J304" s="1"/>
      <c r="K304" s="1"/>
      <c r="L304" s="1"/>
      <c r="M304" s="1"/>
      <c r="N304" s="1"/>
      <c r="O304" s="1"/>
      <c r="P304" s="1"/>
      <c r="Q304" s="131"/>
      <c r="R304" s="18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201"/>
      <c r="F305" s="201"/>
      <c r="G305" s="201"/>
      <c r="H305" s="1"/>
      <c r="I305" s="1"/>
      <c r="J305" s="1"/>
      <c r="K305" s="1"/>
      <c r="L305" s="1"/>
      <c r="M305" s="1"/>
      <c r="N305" s="1"/>
      <c r="O305" s="1"/>
      <c r="P305" s="1"/>
      <c r="Q305" s="131"/>
      <c r="R305" s="18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201"/>
      <c r="F306" s="201"/>
      <c r="G306" s="201"/>
      <c r="H306" s="1"/>
      <c r="I306" s="1"/>
      <c r="J306" s="1"/>
      <c r="K306" s="1"/>
      <c r="L306" s="1"/>
      <c r="M306" s="1"/>
      <c r="N306" s="1"/>
      <c r="O306" s="1"/>
      <c r="P306" s="1"/>
      <c r="Q306" s="131"/>
      <c r="R306" s="18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201"/>
      <c r="F307" s="201"/>
      <c r="G307" s="201"/>
      <c r="H307" s="1"/>
      <c r="I307" s="1"/>
      <c r="J307" s="1"/>
      <c r="K307" s="1"/>
      <c r="L307" s="1"/>
      <c r="M307" s="1"/>
      <c r="N307" s="1"/>
      <c r="O307" s="1"/>
      <c r="P307" s="1"/>
      <c r="Q307" s="131"/>
      <c r="R307" s="18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201"/>
      <c r="F308" s="201"/>
      <c r="G308" s="201"/>
      <c r="H308" s="1"/>
      <c r="I308" s="1"/>
      <c r="J308" s="1"/>
      <c r="K308" s="1"/>
      <c r="L308" s="1"/>
      <c r="M308" s="1"/>
      <c r="N308" s="1"/>
      <c r="O308" s="1"/>
      <c r="P308" s="1"/>
      <c r="Q308" s="131"/>
      <c r="R308" s="18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201"/>
      <c r="F309" s="201"/>
      <c r="G309" s="201"/>
      <c r="H309" s="1"/>
      <c r="I309" s="1"/>
      <c r="J309" s="1"/>
      <c r="K309" s="1"/>
      <c r="L309" s="1"/>
      <c r="M309" s="1"/>
      <c r="N309" s="1"/>
      <c r="O309" s="1"/>
      <c r="P309" s="1"/>
      <c r="Q309" s="131"/>
      <c r="R309" s="18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201"/>
      <c r="F310" s="201"/>
      <c r="G310" s="201"/>
      <c r="H310" s="1"/>
      <c r="I310" s="1"/>
      <c r="J310" s="1"/>
      <c r="K310" s="1"/>
      <c r="L310" s="1"/>
      <c r="M310" s="1"/>
      <c r="N310" s="1"/>
      <c r="O310" s="1"/>
      <c r="P310" s="1"/>
      <c r="Q310" s="131"/>
      <c r="R310" s="18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201"/>
      <c r="F311" s="201"/>
      <c r="G311" s="201"/>
      <c r="H311" s="1"/>
      <c r="I311" s="1"/>
      <c r="J311" s="1"/>
      <c r="K311" s="1"/>
      <c r="L311" s="1"/>
      <c r="M311" s="1"/>
      <c r="N311" s="1"/>
      <c r="O311" s="1"/>
      <c r="P311" s="1"/>
      <c r="Q311" s="131"/>
      <c r="R311" s="18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201"/>
      <c r="F312" s="201"/>
      <c r="G312" s="201"/>
      <c r="H312" s="1"/>
      <c r="I312" s="1"/>
      <c r="J312" s="1"/>
      <c r="K312" s="1"/>
      <c r="L312" s="1"/>
      <c r="M312" s="1"/>
      <c r="N312" s="1"/>
      <c r="O312" s="1"/>
      <c r="P312" s="1"/>
      <c r="Q312" s="131"/>
      <c r="R312" s="18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201"/>
      <c r="F313" s="201"/>
      <c r="G313" s="201"/>
      <c r="H313" s="1"/>
      <c r="I313" s="1"/>
      <c r="J313" s="1"/>
      <c r="K313" s="1"/>
      <c r="L313" s="1"/>
      <c r="M313" s="1"/>
      <c r="N313" s="1"/>
      <c r="O313" s="1"/>
      <c r="P313" s="1"/>
      <c r="Q313" s="131"/>
      <c r="R313" s="18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201"/>
      <c r="F314" s="201"/>
      <c r="G314" s="201"/>
      <c r="H314" s="1"/>
      <c r="I314" s="1"/>
      <c r="J314" s="1"/>
      <c r="K314" s="1"/>
      <c r="L314" s="1"/>
      <c r="M314" s="1"/>
      <c r="N314" s="1"/>
      <c r="O314" s="1"/>
      <c r="P314" s="1"/>
      <c r="Q314" s="131"/>
      <c r="R314" s="18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201"/>
      <c r="F315" s="201"/>
      <c r="G315" s="201"/>
      <c r="H315" s="1"/>
      <c r="I315" s="1"/>
      <c r="J315" s="1"/>
      <c r="K315" s="1"/>
      <c r="L315" s="1"/>
      <c r="M315" s="1"/>
      <c r="N315" s="1"/>
      <c r="O315" s="1"/>
      <c r="P315" s="1"/>
      <c r="Q315" s="131"/>
      <c r="R315" s="18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201"/>
      <c r="F316" s="201"/>
      <c r="G316" s="201"/>
      <c r="H316" s="1"/>
      <c r="I316" s="1"/>
      <c r="J316" s="1"/>
      <c r="K316" s="1"/>
      <c r="L316" s="1"/>
      <c r="M316" s="1"/>
      <c r="N316" s="1"/>
      <c r="O316" s="1"/>
      <c r="P316" s="1"/>
      <c r="Q316" s="131"/>
      <c r="R316" s="18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201"/>
      <c r="F317" s="201"/>
      <c r="G317" s="201"/>
      <c r="H317" s="1"/>
      <c r="I317" s="1"/>
      <c r="J317" s="1"/>
      <c r="K317" s="1"/>
      <c r="L317" s="1"/>
      <c r="M317" s="1"/>
      <c r="N317" s="1"/>
      <c r="O317" s="1"/>
      <c r="P317" s="1"/>
      <c r="Q317" s="131"/>
      <c r="R317" s="18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201"/>
      <c r="F318" s="201"/>
      <c r="G318" s="201"/>
      <c r="H318" s="1"/>
      <c r="I318" s="1"/>
      <c r="J318" s="1"/>
      <c r="K318" s="1"/>
      <c r="L318" s="1"/>
      <c r="M318" s="1"/>
      <c r="N318" s="1"/>
      <c r="O318" s="1"/>
      <c r="P318" s="1"/>
      <c r="Q318" s="131"/>
      <c r="R318" s="18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201"/>
      <c r="F319" s="201"/>
      <c r="G319" s="201"/>
      <c r="H319" s="1"/>
      <c r="I319" s="1"/>
      <c r="J319" s="1"/>
      <c r="K319" s="1"/>
      <c r="L319" s="1"/>
      <c r="M319" s="1"/>
      <c r="N319" s="1"/>
      <c r="O319" s="1"/>
      <c r="P319" s="1"/>
      <c r="Q319" s="131"/>
      <c r="R319" s="18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201"/>
      <c r="F320" s="201"/>
      <c r="G320" s="201"/>
      <c r="H320" s="1"/>
      <c r="I320" s="1"/>
      <c r="J320" s="1"/>
      <c r="K320" s="1"/>
      <c r="L320" s="1"/>
      <c r="M320" s="1"/>
      <c r="N320" s="1"/>
      <c r="O320" s="1"/>
      <c r="P320" s="1"/>
      <c r="Q320" s="131"/>
      <c r="R320" s="18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201"/>
      <c r="F321" s="201"/>
      <c r="G321" s="201"/>
      <c r="H321" s="1"/>
      <c r="I321" s="1"/>
      <c r="J321" s="1"/>
      <c r="K321" s="1"/>
      <c r="L321" s="1"/>
      <c r="M321" s="1"/>
      <c r="N321" s="1"/>
      <c r="O321" s="1"/>
      <c r="P321" s="1"/>
      <c r="Q321" s="131"/>
      <c r="R321" s="18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201"/>
      <c r="F322" s="201"/>
      <c r="G322" s="201"/>
      <c r="H322" s="1"/>
      <c r="I322" s="1"/>
      <c r="J322" s="1"/>
      <c r="K322" s="1"/>
      <c r="L322" s="1"/>
      <c r="M322" s="1"/>
      <c r="N322" s="1"/>
      <c r="O322" s="1"/>
      <c r="P322" s="1"/>
      <c r="Q322" s="131"/>
      <c r="R322" s="18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201"/>
      <c r="F323" s="201"/>
      <c r="G323" s="201"/>
      <c r="H323" s="1"/>
      <c r="I323" s="1"/>
      <c r="J323" s="1"/>
      <c r="K323" s="1"/>
      <c r="L323" s="1"/>
      <c r="M323" s="1"/>
      <c r="N323" s="1"/>
      <c r="O323" s="1"/>
      <c r="P323" s="1"/>
      <c r="Q323" s="131"/>
      <c r="R323" s="18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201"/>
      <c r="F324" s="201"/>
      <c r="G324" s="201"/>
      <c r="H324" s="1"/>
      <c r="I324" s="1"/>
      <c r="J324" s="1"/>
      <c r="K324" s="1"/>
      <c r="L324" s="1"/>
      <c r="M324" s="1"/>
      <c r="N324" s="1"/>
      <c r="O324" s="1"/>
      <c r="P324" s="1"/>
      <c r="Q324" s="131"/>
      <c r="R324" s="18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201"/>
      <c r="F325" s="201"/>
      <c r="G325" s="201"/>
      <c r="H325" s="1"/>
      <c r="I325" s="1"/>
      <c r="J325" s="1"/>
      <c r="K325" s="1"/>
      <c r="L325" s="1"/>
      <c r="M325" s="1"/>
      <c r="N325" s="1"/>
      <c r="O325" s="1"/>
      <c r="P325" s="1"/>
      <c r="Q325" s="131"/>
      <c r="R325" s="18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201"/>
      <c r="F326" s="201"/>
      <c r="G326" s="201"/>
      <c r="H326" s="1"/>
      <c r="I326" s="1"/>
      <c r="J326" s="1"/>
      <c r="K326" s="1"/>
      <c r="L326" s="1"/>
      <c r="M326" s="1"/>
      <c r="N326" s="1"/>
      <c r="O326" s="1"/>
      <c r="P326" s="1"/>
      <c r="Q326" s="131"/>
      <c r="R326" s="18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201"/>
      <c r="F327" s="201"/>
      <c r="G327" s="201"/>
      <c r="H327" s="1"/>
      <c r="I327" s="1"/>
      <c r="J327" s="1"/>
      <c r="K327" s="1"/>
      <c r="L327" s="1"/>
      <c r="M327" s="1"/>
      <c r="N327" s="1"/>
      <c r="O327" s="1"/>
      <c r="P327" s="1"/>
      <c r="Q327" s="131"/>
      <c r="R327" s="18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201"/>
      <c r="F328" s="201"/>
      <c r="G328" s="201"/>
      <c r="H328" s="1"/>
      <c r="I328" s="1"/>
      <c r="J328" s="1"/>
      <c r="K328" s="1"/>
      <c r="L328" s="1"/>
      <c r="M328" s="1"/>
      <c r="N328" s="1"/>
      <c r="O328" s="1"/>
      <c r="P328" s="1"/>
      <c r="Q328" s="131"/>
      <c r="R328" s="18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201"/>
      <c r="F329" s="201"/>
      <c r="G329" s="201"/>
      <c r="H329" s="1"/>
      <c r="I329" s="1"/>
      <c r="J329" s="1"/>
      <c r="K329" s="1"/>
      <c r="L329" s="1"/>
      <c r="M329" s="1"/>
      <c r="N329" s="1"/>
      <c r="O329" s="1"/>
      <c r="P329" s="1"/>
      <c r="Q329" s="131"/>
      <c r="R329" s="18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201"/>
      <c r="F330" s="201"/>
      <c r="G330" s="201"/>
      <c r="H330" s="1"/>
      <c r="I330" s="1"/>
      <c r="J330" s="1"/>
      <c r="K330" s="1"/>
      <c r="L330" s="1"/>
      <c r="M330" s="1"/>
      <c r="N330" s="1"/>
      <c r="O330" s="1"/>
      <c r="P330" s="1"/>
      <c r="Q330" s="131"/>
      <c r="R330" s="18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201"/>
      <c r="F331" s="201"/>
      <c r="G331" s="201"/>
      <c r="H331" s="1"/>
      <c r="I331" s="1"/>
      <c r="J331" s="1"/>
      <c r="K331" s="1"/>
      <c r="L331" s="1"/>
      <c r="M331" s="1"/>
      <c r="N331" s="1"/>
      <c r="O331" s="1"/>
      <c r="P331" s="1"/>
      <c r="Q331" s="131"/>
      <c r="R331" s="18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201"/>
      <c r="F332" s="201"/>
      <c r="G332" s="201"/>
      <c r="H332" s="1"/>
      <c r="I332" s="1"/>
      <c r="J332" s="1"/>
      <c r="K332" s="1"/>
      <c r="L332" s="1"/>
      <c r="M332" s="1"/>
      <c r="N332" s="1"/>
      <c r="O332" s="1"/>
      <c r="P332" s="1"/>
      <c r="Q332" s="131"/>
      <c r="R332" s="18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201"/>
      <c r="F333" s="201"/>
      <c r="G333" s="201"/>
      <c r="H333" s="1"/>
      <c r="I333" s="1"/>
      <c r="J333" s="1"/>
      <c r="K333" s="1"/>
      <c r="L333" s="1"/>
      <c r="M333" s="1"/>
      <c r="N333" s="1"/>
      <c r="O333" s="1"/>
      <c r="P333" s="1"/>
      <c r="Q333" s="131"/>
      <c r="R333" s="18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201"/>
      <c r="F334" s="201"/>
      <c r="G334" s="201"/>
      <c r="H334" s="1"/>
      <c r="I334" s="1"/>
      <c r="J334" s="1"/>
      <c r="K334" s="1"/>
      <c r="L334" s="1"/>
      <c r="M334" s="1"/>
      <c r="N334" s="1"/>
      <c r="O334" s="1"/>
      <c r="P334" s="1"/>
      <c r="Q334" s="131"/>
      <c r="R334" s="18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201"/>
      <c r="F335" s="201"/>
      <c r="G335" s="201"/>
      <c r="H335" s="1"/>
      <c r="I335" s="1"/>
      <c r="J335" s="1"/>
      <c r="K335" s="1"/>
      <c r="L335" s="1"/>
      <c r="M335" s="1"/>
      <c r="N335" s="1"/>
      <c r="O335" s="1"/>
      <c r="P335" s="1"/>
      <c r="Q335" s="131"/>
      <c r="R335" s="18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201"/>
      <c r="F336" s="201"/>
      <c r="G336" s="201"/>
      <c r="H336" s="1"/>
      <c r="I336" s="1"/>
      <c r="J336" s="1"/>
      <c r="K336" s="1"/>
      <c r="L336" s="1"/>
      <c r="M336" s="1"/>
      <c r="N336" s="1"/>
      <c r="O336" s="1"/>
      <c r="P336" s="1"/>
      <c r="Q336" s="131"/>
      <c r="R336" s="18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201"/>
      <c r="F337" s="201"/>
      <c r="G337" s="201"/>
      <c r="H337" s="1"/>
      <c r="I337" s="1"/>
      <c r="J337" s="1"/>
      <c r="K337" s="1"/>
      <c r="L337" s="1"/>
      <c r="M337" s="1"/>
      <c r="N337" s="1"/>
      <c r="O337" s="1"/>
      <c r="P337" s="1"/>
      <c r="Q337" s="131"/>
      <c r="R337" s="18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201"/>
      <c r="F338" s="201"/>
      <c r="G338" s="201"/>
      <c r="H338" s="1"/>
      <c r="I338" s="1"/>
      <c r="J338" s="1"/>
      <c r="K338" s="1"/>
      <c r="L338" s="1"/>
      <c r="M338" s="1"/>
      <c r="N338" s="1"/>
      <c r="O338" s="1"/>
      <c r="P338" s="1"/>
      <c r="Q338" s="131"/>
      <c r="R338" s="18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201"/>
      <c r="F339" s="201"/>
      <c r="G339" s="201"/>
      <c r="H339" s="1"/>
      <c r="I339" s="1"/>
      <c r="J339" s="1"/>
      <c r="K339" s="1"/>
      <c r="L339" s="1"/>
      <c r="M339" s="1"/>
      <c r="N339" s="1"/>
      <c r="O339" s="1"/>
      <c r="P339" s="1"/>
      <c r="Q339" s="131"/>
      <c r="R339" s="18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201"/>
      <c r="F340" s="201"/>
      <c r="G340" s="201"/>
      <c r="H340" s="1"/>
      <c r="I340" s="1"/>
      <c r="J340" s="1"/>
      <c r="K340" s="1"/>
      <c r="L340" s="1"/>
      <c r="M340" s="1"/>
      <c r="N340" s="1"/>
      <c r="O340" s="1"/>
      <c r="P340" s="1"/>
      <c r="Q340" s="131"/>
      <c r="R340" s="18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201"/>
      <c r="F341" s="201"/>
      <c r="G341" s="201"/>
      <c r="H341" s="1"/>
      <c r="I341" s="1"/>
      <c r="J341" s="1"/>
      <c r="K341" s="1"/>
      <c r="L341" s="1"/>
      <c r="M341" s="1"/>
      <c r="N341" s="1"/>
      <c r="O341" s="1"/>
      <c r="P341" s="1"/>
      <c r="Q341" s="131"/>
      <c r="R341" s="18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201"/>
      <c r="F342" s="201"/>
      <c r="G342" s="201"/>
      <c r="H342" s="1"/>
      <c r="I342" s="1"/>
      <c r="J342" s="1"/>
      <c r="K342" s="1"/>
      <c r="L342" s="1"/>
      <c r="M342" s="1"/>
      <c r="N342" s="1"/>
      <c r="O342" s="1"/>
      <c r="P342" s="1"/>
      <c r="Q342" s="131"/>
      <c r="R342" s="18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201"/>
      <c r="F343" s="201"/>
      <c r="G343" s="201"/>
      <c r="H343" s="1"/>
      <c r="I343" s="1"/>
      <c r="J343" s="1"/>
      <c r="K343" s="1"/>
      <c r="L343" s="1"/>
      <c r="M343" s="1"/>
      <c r="N343" s="1"/>
      <c r="O343" s="1"/>
      <c r="P343" s="1"/>
      <c r="Q343" s="131"/>
      <c r="R343" s="18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201"/>
      <c r="F344" s="201"/>
      <c r="G344" s="201"/>
      <c r="H344" s="1"/>
      <c r="I344" s="1"/>
      <c r="J344" s="1"/>
      <c r="K344" s="1"/>
      <c r="L344" s="1"/>
      <c r="M344" s="1"/>
      <c r="N344" s="1"/>
      <c r="O344" s="1"/>
      <c r="P344" s="1"/>
      <c r="Q344" s="131"/>
      <c r="R344" s="18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201"/>
      <c r="F345" s="201"/>
      <c r="G345" s="201"/>
      <c r="H345" s="1"/>
      <c r="I345" s="1"/>
      <c r="J345" s="1"/>
      <c r="K345" s="1"/>
      <c r="L345" s="1"/>
      <c r="M345" s="1"/>
      <c r="N345" s="1"/>
      <c r="O345" s="1"/>
      <c r="P345" s="1"/>
      <c r="Q345" s="131"/>
      <c r="R345" s="18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201"/>
      <c r="F346" s="201"/>
      <c r="G346" s="201"/>
      <c r="H346" s="1"/>
      <c r="I346" s="1"/>
      <c r="J346" s="1"/>
      <c r="K346" s="1"/>
      <c r="L346" s="1"/>
      <c r="M346" s="1"/>
      <c r="N346" s="1"/>
      <c r="O346" s="1"/>
      <c r="P346" s="1"/>
      <c r="Q346" s="131"/>
      <c r="R346" s="18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201"/>
      <c r="F347" s="201"/>
      <c r="G347" s="201"/>
      <c r="H347" s="1"/>
      <c r="I347" s="1"/>
      <c r="J347" s="1"/>
      <c r="K347" s="1"/>
      <c r="L347" s="1"/>
      <c r="M347" s="1"/>
      <c r="N347" s="1"/>
      <c r="O347" s="1"/>
      <c r="P347" s="1"/>
      <c r="Q347" s="131"/>
      <c r="R347" s="18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201"/>
      <c r="F348" s="201"/>
      <c r="G348" s="201"/>
      <c r="H348" s="1"/>
      <c r="I348" s="1"/>
      <c r="J348" s="1"/>
      <c r="K348" s="1"/>
      <c r="L348" s="1"/>
      <c r="M348" s="1"/>
      <c r="N348" s="1"/>
      <c r="O348" s="1"/>
      <c r="P348" s="1"/>
      <c r="Q348" s="131"/>
      <c r="R348" s="18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201"/>
      <c r="F349" s="201"/>
      <c r="G349" s="201"/>
      <c r="H349" s="1"/>
      <c r="I349" s="1"/>
      <c r="J349" s="1"/>
      <c r="K349" s="1"/>
      <c r="L349" s="1"/>
      <c r="M349" s="1"/>
      <c r="N349" s="1"/>
      <c r="O349" s="1"/>
      <c r="P349" s="1"/>
      <c r="Q349" s="131"/>
      <c r="R349" s="18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201"/>
      <c r="F350" s="201"/>
      <c r="G350" s="201"/>
      <c r="H350" s="1"/>
      <c r="I350" s="1"/>
      <c r="J350" s="1"/>
      <c r="K350" s="1"/>
      <c r="L350" s="1"/>
      <c r="M350" s="1"/>
      <c r="N350" s="1"/>
      <c r="O350" s="1"/>
      <c r="P350" s="1"/>
      <c r="Q350" s="131"/>
      <c r="R350" s="18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201"/>
      <c r="F351" s="201"/>
      <c r="G351" s="201"/>
      <c r="H351" s="1"/>
      <c r="I351" s="1"/>
      <c r="J351" s="1"/>
      <c r="K351" s="1"/>
      <c r="L351" s="1"/>
      <c r="M351" s="1"/>
      <c r="N351" s="1"/>
      <c r="O351" s="1"/>
      <c r="P351" s="1"/>
      <c r="Q351" s="131"/>
      <c r="R351" s="18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201"/>
      <c r="F352" s="201"/>
      <c r="G352" s="201"/>
      <c r="H352" s="1"/>
      <c r="I352" s="1"/>
      <c r="J352" s="1"/>
      <c r="K352" s="1"/>
      <c r="L352" s="1"/>
      <c r="M352" s="1"/>
      <c r="N352" s="1"/>
      <c r="O352" s="1"/>
      <c r="P352" s="1"/>
      <c r="Q352" s="131"/>
      <c r="R352" s="18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201"/>
      <c r="F353" s="201"/>
      <c r="G353" s="201"/>
      <c r="H353" s="1"/>
      <c r="I353" s="1"/>
      <c r="J353" s="1"/>
      <c r="K353" s="1"/>
      <c r="L353" s="1"/>
      <c r="M353" s="1"/>
      <c r="N353" s="1"/>
      <c r="O353" s="1"/>
      <c r="P353" s="1"/>
      <c r="Q353" s="131"/>
      <c r="R353" s="18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201"/>
      <c r="F354" s="201"/>
      <c r="G354" s="201"/>
      <c r="H354" s="1"/>
      <c r="I354" s="1"/>
      <c r="J354" s="1"/>
      <c r="K354" s="1"/>
      <c r="L354" s="1"/>
      <c r="M354" s="1"/>
      <c r="N354" s="1"/>
      <c r="O354" s="1"/>
      <c r="P354" s="1"/>
      <c r="Q354" s="131"/>
      <c r="R354" s="18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201"/>
      <c r="F355" s="201"/>
      <c r="G355" s="201"/>
      <c r="H355" s="1"/>
      <c r="I355" s="1"/>
      <c r="J355" s="1"/>
      <c r="K355" s="1"/>
      <c r="L355" s="1"/>
      <c r="M355" s="1"/>
      <c r="N355" s="1"/>
      <c r="O355" s="1"/>
      <c r="P355" s="1"/>
      <c r="Q355" s="131"/>
      <c r="R355" s="18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201"/>
      <c r="F356" s="201"/>
      <c r="G356" s="201"/>
      <c r="H356" s="1"/>
      <c r="I356" s="1"/>
      <c r="J356" s="1"/>
      <c r="K356" s="1"/>
      <c r="L356" s="1"/>
      <c r="M356" s="1"/>
      <c r="N356" s="1"/>
      <c r="O356" s="1"/>
      <c r="P356" s="1"/>
      <c r="Q356" s="131"/>
      <c r="R356" s="18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201"/>
      <c r="F357" s="201"/>
      <c r="G357" s="201"/>
      <c r="H357" s="1"/>
      <c r="I357" s="1"/>
      <c r="J357" s="1"/>
      <c r="K357" s="1"/>
      <c r="L357" s="1"/>
      <c r="M357" s="1"/>
      <c r="N357" s="1"/>
      <c r="O357" s="1"/>
      <c r="P357" s="1"/>
      <c r="Q357" s="131"/>
      <c r="R357" s="18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201"/>
      <c r="F358" s="201"/>
      <c r="G358" s="201"/>
      <c r="H358" s="1"/>
      <c r="I358" s="1"/>
      <c r="J358" s="1"/>
      <c r="K358" s="1"/>
      <c r="L358" s="1"/>
      <c r="M358" s="1"/>
      <c r="N358" s="1"/>
      <c r="O358" s="1"/>
      <c r="P358" s="1"/>
      <c r="Q358" s="131"/>
      <c r="R358" s="18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201"/>
      <c r="F359" s="201"/>
      <c r="G359" s="201"/>
      <c r="H359" s="1"/>
      <c r="I359" s="1"/>
      <c r="J359" s="1"/>
      <c r="K359" s="1"/>
      <c r="L359" s="1"/>
      <c r="M359" s="1"/>
      <c r="N359" s="1"/>
      <c r="O359" s="1"/>
      <c r="P359" s="1"/>
      <c r="Q359" s="131"/>
      <c r="R359" s="18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201"/>
      <c r="F360" s="201"/>
      <c r="G360" s="201"/>
      <c r="H360" s="1"/>
      <c r="I360" s="1"/>
      <c r="J360" s="1"/>
      <c r="K360" s="1"/>
      <c r="L360" s="1"/>
      <c r="M360" s="1"/>
      <c r="N360" s="1"/>
      <c r="O360" s="1"/>
      <c r="P360" s="1"/>
      <c r="Q360" s="131"/>
      <c r="R360" s="18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201"/>
      <c r="F361" s="201"/>
      <c r="G361" s="201"/>
      <c r="H361" s="1"/>
      <c r="I361" s="1"/>
      <c r="J361" s="1"/>
      <c r="K361" s="1"/>
      <c r="L361" s="1"/>
      <c r="M361" s="1"/>
      <c r="N361" s="1"/>
      <c r="O361" s="1"/>
      <c r="P361" s="1"/>
      <c r="Q361" s="131"/>
      <c r="R361" s="18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201"/>
      <c r="F362" s="201"/>
      <c r="G362" s="201"/>
      <c r="H362" s="1"/>
      <c r="I362" s="1"/>
      <c r="J362" s="1"/>
      <c r="K362" s="1"/>
      <c r="L362" s="1"/>
      <c r="M362" s="1"/>
      <c r="N362" s="1"/>
      <c r="O362" s="1"/>
      <c r="P362" s="1"/>
      <c r="Q362" s="131"/>
      <c r="R362" s="18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201"/>
      <c r="F363" s="201"/>
      <c r="G363" s="201"/>
      <c r="H363" s="1"/>
      <c r="I363" s="1"/>
      <c r="J363" s="1"/>
      <c r="K363" s="1"/>
      <c r="L363" s="1"/>
      <c r="M363" s="1"/>
      <c r="N363" s="1"/>
      <c r="O363" s="1"/>
      <c r="P363" s="1"/>
      <c r="Q363" s="131"/>
      <c r="R363" s="18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201"/>
      <c r="F364" s="201"/>
      <c r="G364" s="201"/>
      <c r="H364" s="1"/>
      <c r="I364" s="1"/>
      <c r="J364" s="1"/>
      <c r="K364" s="1"/>
      <c r="L364" s="1"/>
      <c r="M364" s="1"/>
      <c r="N364" s="1"/>
      <c r="O364" s="1"/>
      <c r="P364" s="1"/>
      <c r="Q364" s="131"/>
      <c r="R364" s="18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201"/>
      <c r="F365" s="201"/>
      <c r="G365" s="201"/>
      <c r="H365" s="1"/>
      <c r="I365" s="1"/>
      <c r="J365" s="1"/>
      <c r="K365" s="1"/>
      <c r="L365" s="1"/>
      <c r="M365" s="1"/>
      <c r="N365" s="1"/>
      <c r="O365" s="1"/>
      <c r="P365" s="1"/>
      <c r="Q365" s="131"/>
      <c r="R365" s="18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201"/>
      <c r="F366" s="201"/>
      <c r="G366" s="201"/>
      <c r="H366" s="1"/>
      <c r="I366" s="1"/>
      <c r="J366" s="1"/>
      <c r="K366" s="1"/>
      <c r="L366" s="1"/>
      <c r="M366" s="1"/>
      <c r="N366" s="1"/>
      <c r="O366" s="1"/>
      <c r="P366" s="1"/>
      <c r="Q366" s="131"/>
      <c r="R366" s="18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201"/>
      <c r="F367" s="201"/>
      <c r="G367" s="201"/>
      <c r="H367" s="1"/>
      <c r="I367" s="1"/>
      <c r="J367" s="1"/>
      <c r="K367" s="1"/>
      <c r="L367" s="1"/>
      <c r="M367" s="1"/>
      <c r="N367" s="1"/>
      <c r="O367" s="1"/>
      <c r="P367" s="1"/>
      <c r="Q367" s="131"/>
      <c r="R367" s="18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201"/>
      <c r="F368" s="201"/>
      <c r="G368" s="201"/>
      <c r="H368" s="1"/>
      <c r="I368" s="1"/>
      <c r="J368" s="1"/>
      <c r="K368" s="1"/>
      <c r="L368" s="1"/>
      <c r="M368" s="1"/>
      <c r="N368" s="1"/>
      <c r="O368" s="1"/>
      <c r="P368" s="1"/>
      <c r="Q368" s="131"/>
      <c r="R368" s="18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201"/>
      <c r="F369" s="201"/>
      <c r="G369" s="201"/>
      <c r="H369" s="1"/>
      <c r="I369" s="1"/>
      <c r="J369" s="1"/>
      <c r="K369" s="1"/>
      <c r="L369" s="1"/>
      <c r="M369" s="1"/>
      <c r="N369" s="1"/>
      <c r="O369" s="1"/>
      <c r="P369" s="1"/>
      <c r="Q369" s="131"/>
      <c r="R369" s="18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201"/>
      <c r="F370" s="201"/>
      <c r="G370" s="201"/>
      <c r="H370" s="1"/>
      <c r="I370" s="1"/>
      <c r="J370" s="1"/>
      <c r="K370" s="1"/>
      <c r="L370" s="1"/>
      <c r="M370" s="1"/>
      <c r="N370" s="1"/>
      <c r="O370" s="1"/>
      <c r="P370" s="1"/>
      <c r="Q370" s="131"/>
      <c r="R370" s="18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201"/>
      <c r="F371" s="201"/>
      <c r="G371" s="201"/>
      <c r="H371" s="1"/>
      <c r="I371" s="1"/>
      <c r="J371" s="1"/>
      <c r="K371" s="1"/>
      <c r="L371" s="1"/>
      <c r="M371" s="1"/>
      <c r="N371" s="1"/>
      <c r="O371" s="1"/>
      <c r="P371" s="1"/>
      <c r="Q371" s="131"/>
      <c r="R371" s="18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201"/>
      <c r="F372" s="201"/>
      <c r="G372" s="201"/>
      <c r="H372" s="1"/>
      <c r="I372" s="1"/>
      <c r="J372" s="1"/>
      <c r="K372" s="1"/>
      <c r="L372" s="1"/>
      <c r="M372" s="1"/>
      <c r="N372" s="1"/>
      <c r="O372" s="1"/>
      <c r="P372" s="1"/>
      <c r="Q372" s="131"/>
      <c r="R372" s="18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201"/>
      <c r="F373" s="201"/>
      <c r="G373" s="201"/>
      <c r="H373" s="1"/>
      <c r="I373" s="1"/>
      <c r="J373" s="1"/>
      <c r="K373" s="1"/>
      <c r="L373" s="1"/>
      <c r="M373" s="1"/>
      <c r="N373" s="1"/>
      <c r="O373" s="1"/>
      <c r="P373" s="1"/>
      <c r="Q373" s="131"/>
      <c r="R373" s="18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201"/>
      <c r="F374" s="201"/>
      <c r="G374" s="201"/>
      <c r="H374" s="1"/>
      <c r="I374" s="1"/>
      <c r="J374" s="1"/>
      <c r="K374" s="1"/>
      <c r="L374" s="1"/>
      <c r="M374" s="1"/>
      <c r="N374" s="1"/>
      <c r="O374" s="1"/>
      <c r="P374" s="1"/>
      <c r="Q374" s="131"/>
      <c r="R374" s="18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201"/>
      <c r="F375" s="201"/>
      <c r="G375" s="201"/>
      <c r="H375" s="1"/>
      <c r="I375" s="1"/>
      <c r="J375" s="1"/>
      <c r="K375" s="1"/>
      <c r="L375" s="1"/>
      <c r="M375" s="1"/>
      <c r="N375" s="1"/>
      <c r="O375" s="1"/>
      <c r="P375" s="1"/>
      <c r="Q375" s="131"/>
      <c r="R375" s="18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201"/>
      <c r="F376" s="201"/>
      <c r="G376" s="201"/>
      <c r="H376" s="1"/>
      <c r="I376" s="1"/>
      <c r="J376" s="1"/>
      <c r="K376" s="1"/>
      <c r="L376" s="1"/>
      <c r="M376" s="1"/>
      <c r="N376" s="1"/>
      <c r="O376" s="1"/>
      <c r="P376" s="1"/>
      <c r="Q376" s="131"/>
      <c r="R376" s="18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201"/>
      <c r="F377" s="201"/>
      <c r="G377" s="201"/>
      <c r="H377" s="1"/>
      <c r="I377" s="1"/>
      <c r="J377" s="1"/>
      <c r="K377" s="1"/>
      <c r="L377" s="1"/>
      <c r="M377" s="1"/>
      <c r="N377" s="1"/>
      <c r="O377" s="1"/>
      <c r="P377" s="1"/>
      <c r="Q377" s="131"/>
      <c r="R377" s="18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201"/>
      <c r="F378" s="201"/>
      <c r="G378" s="201"/>
      <c r="H378" s="1"/>
      <c r="I378" s="1"/>
      <c r="J378" s="1"/>
      <c r="K378" s="1"/>
      <c r="L378" s="1"/>
      <c r="M378" s="1"/>
      <c r="N378" s="1"/>
      <c r="O378" s="1"/>
      <c r="P378" s="1"/>
      <c r="Q378" s="131"/>
      <c r="R378" s="18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201"/>
      <c r="F379" s="201"/>
      <c r="G379" s="201"/>
      <c r="H379" s="1"/>
      <c r="I379" s="1"/>
      <c r="J379" s="1"/>
      <c r="K379" s="1"/>
      <c r="L379" s="1"/>
      <c r="M379" s="1"/>
      <c r="N379" s="1"/>
      <c r="O379" s="1"/>
      <c r="P379" s="1"/>
      <c r="Q379" s="131"/>
      <c r="R379" s="18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201"/>
      <c r="F380" s="201"/>
      <c r="G380" s="201"/>
      <c r="H380" s="1"/>
      <c r="I380" s="1"/>
      <c r="J380" s="1"/>
      <c r="K380" s="1"/>
      <c r="L380" s="1"/>
      <c r="M380" s="1"/>
      <c r="N380" s="1"/>
      <c r="O380" s="1"/>
      <c r="P380" s="1"/>
      <c r="Q380" s="131"/>
      <c r="R380" s="18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201"/>
      <c r="F381" s="201"/>
      <c r="G381" s="201"/>
      <c r="H381" s="1"/>
      <c r="I381" s="1"/>
      <c r="J381" s="1"/>
      <c r="K381" s="1"/>
      <c r="L381" s="1"/>
      <c r="M381" s="1"/>
      <c r="N381" s="1"/>
      <c r="O381" s="1"/>
      <c r="P381" s="1"/>
      <c r="Q381" s="131"/>
      <c r="R381" s="18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201"/>
      <c r="F382" s="201"/>
      <c r="G382" s="201"/>
      <c r="H382" s="1"/>
      <c r="I382" s="1"/>
      <c r="J382" s="1"/>
      <c r="K382" s="1"/>
      <c r="L382" s="1"/>
      <c r="M382" s="1"/>
      <c r="N382" s="1"/>
      <c r="O382" s="1"/>
      <c r="P382" s="1"/>
      <c r="Q382" s="131"/>
      <c r="R382" s="18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201"/>
      <c r="F383" s="201"/>
      <c r="G383" s="201"/>
      <c r="H383" s="1"/>
      <c r="I383" s="1"/>
      <c r="J383" s="1"/>
      <c r="K383" s="1"/>
      <c r="L383" s="1"/>
      <c r="M383" s="1"/>
      <c r="N383" s="1"/>
      <c r="O383" s="1"/>
      <c r="P383" s="1"/>
      <c r="Q383" s="131"/>
      <c r="R383" s="18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201"/>
      <c r="F384" s="201"/>
      <c r="G384" s="201"/>
      <c r="H384" s="1"/>
      <c r="I384" s="1"/>
      <c r="J384" s="1"/>
      <c r="K384" s="1"/>
      <c r="L384" s="1"/>
      <c r="M384" s="1"/>
      <c r="N384" s="1"/>
      <c r="O384" s="1"/>
      <c r="P384" s="1"/>
      <c r="Q384" s="131"/>
      <c r="R384" s="18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201"/>
      <c r="F385" s="201"/>
      <c r="G385" s="201"/>
      <c r="H385" s="1"/>
      <c r="I385" s="1"/>
      <c r="J385" s="1"/>
      <c r="K385" s="1"/>
      <c r="L385" s="1"/>
      <c r="M385" s="1"/>
      <c r="N385" s="1"/>
      <c r="O385" s="1"/>
      <c r="P385" s="1"/>
      <c r="Q385" s="131"/>
      <c r="R385" s="18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201"/>
      <c r="F386" s="201"/>
      <c r="G386" s="201"/>
      <c r="H386" s="1"/>
      <c r="I386" s="1"/>
      <c r="J386" s="1"/>
      <c r="K386" s="1"/>
      <c r="L386" s="1"/>
      <c r="M386" s="1"/>
      <c r="N386" s="1"/>
      <c r="O386" s="1"/>
      <c r="P386" s="1"/>
      <c r="Q386" s="131"/>
      <c r="R386" s="18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201"/>
      <c r="F387" s="201"/>
      <c r="G387" s="201"/>
      <c r="H387" s="1"/>
      <c r="I387" s="1"/>
      <c r="J387" s="1"/>
      <c r="K387" s="1"/>
      <c r="L387" s="1"/>
      <c r="M387" s="1"/>
      <c r="N387" s="1"/>
      <c r="O387" s="1"/>
      <c r="P387" s="1"/>
      <c r="Q387" s="131"/>
      <c r="R387" s="18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201"/>
      <c r="F388" s="201"/>
      <c r="G388" s="201"/>
      <c r="H388" s="1"/>
      <c r="I388" s="1"/>
      <c r="J388" s="1"/>
      <c r="K388" s="1"/>
      <c r="L388" s="1"/>
      <c r="M388" s="1"/>
      <c r="N388" s="1"/>
      <c r="O388" s="1"/>
      <c r="P388" s="1"/>
      <c r="Q388" s="131"/>
      <c r="R388" s="18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201"/>
      <c r="F389" s="201"/>
      <c r="G389" s="201"/>
      <c r="H389" s="1"/>
      <c r="I389" s="1"/>
      <c r="J389" s="1"/>
      <c r="K389" s="1"/>
      <c r="L389" s="1"/>
      <c r="M389" s="1"/>
      <c r="N389" s="1"/>
      <c r="O389" s="1"/>
      <c r="P389" s="1"/>
      <c r="Q389" s="131"/>
      <c r="R389" s="18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201"/>
      <c r="F390" s="201"/>
      <c r="G390" s="201"/>
      <c r="H390" s="1"/>
      <c r="I390" s="1"/>
      <c r="J390" s="1"/>
      <c r="K390" s="1"/>
      <c r="L390" s="1"/>
      <c r="M390" s="1"/>
      <c r="N390" s="1"/>
      <c r="O390" s="1"/>
      <c r="P390" s="1"/>
      <c r="Q390" s="131"/>
      <c r="R390" s="18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201"/>
      <c r="F391" s="201"/>
      <c r="G391" s="201"/>
      <c r="H391" s="1"/>
      <c r="I391" s="1"/>
      <c r="J391" s="1"/>
      <c r="K391" s="1"/>
      <c r="L391" s="1"/>
      <c r="M391" s="1"/>
      <c r="N391" s="1"/>
      <c r="O391" s="1"/>
      <c r="P391" s="1"/>
      <c r="Q391" s="131"/>
      <c r="R391" s="18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201"/>
      <c r="F392" s="201"/>
      <c r="G392" s="201"/>
      <c r="H392" s="1"/>
      <c r="I392" s="1"/>
      <c r="J392" s="1"/>
      <c r="K392" s="1"/>
      <c r="L392" s="1"/>
      <c r="M392" s="1"/>
      <c r="N392" s="1"/>
      <c r="O392" s="1"/>
      <c r="P392" s="1"/>
      <c r="Q392" s="131"/>
      <c r="R392" s="18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201"/>
      <c r="F393" s="201"/>
      <c r="G393" s="201"/>
      <c r="H393" s="1"/>
      <c r="I393" s="1"/>
      <c r="J393" s="1"/>
      <c r="K393" s="1"/>
      <c r="L393" s="1"/>
      <c r="M393" s="1"/>
      <c r="N393" s="1"/>
      <c r="O393" s="1"/>
      <c r="P393" s="1"/>
      <c r="Q393" s="131"/>
      <c r="R393" s="18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201"/>
      <c r="F394" s="201"/>
      <c r="G394" s="201"/>
      <c r="H394" s="1"/>
      <c r="I394" s="1"/>
      <c r="J394" s="1"/>
      <c r="K394" s="1"/>
      <c r="L394" s="1"/>
      <c r="M394" s="1"/>
      <c r="N394" s="1"/>
      <c r="O394" s="1"/>
      <c r="P394" s="1"/>
      <c r="Q394" s="131"/>
      <c r="R394" s="18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201"/>
      <c r="F395" s="201"/>
      <c r="G395" s="201"/>
      <c r="H395" s="1"/>
      <c r="I395" s="1"/>
      <c r="J395" s="1"/>
      <c r="K395" s="1"/>
      <c r="L395" s="1"/>
      <c r="M395" s="1"/>
      <c r="N395" s="1"/>
      <c r="O395" s="1"/>
      <c r="P395" s="1"/>
      <c r="Q395" s="131"/>
      <c r="R395" s="18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201"/>
      <c r="F396" s="201"/>
      <c r="G396" s="201"/>
      <c r="H396" s="1"/>
      <c r="I396" s="1"/>
      <c r="J396" s="1"/>
      <c r="K396" s="1"/>
      <c r="L396" s="1"/>
      <c r="M396" s="1"/>
      <c r="N396" s="1"/>
      <c r="O396" s="1"/>
      <c r="P396" s="1"/>
      <c r="Q396" s="131"/>
      <c r="R396" s="18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201"/>
      <c r="F397" s="201"/>
      <c r="G397" s="201"/>
      <c r="H397" s="1"/>
      <c r="I397" s="1"/>
      <c r="J397" s="1"/>
      <c r="K397" s="1"/>
      <c r="L397" s="1"/>
      <c r="M397" s="1"/>
      <c r="N397" s="1"/>
      <c r="O397" s="1"/>
      <c r="P397" s="1"/>
      <c r="Q397" s="131"/>
      <c r="R397" s="18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201"/>
      <c r="F398" s="201"/>
      <c r="G398" s="201"/>
      <c r="H398" s="1"/>
      <c r="I398" s="1"/>
      <c r="J398" s="1"/>
      <c r="K398" s="1"/>
      <c r="L398" s="1"/>
      <c r="M398" s="1"/>
      <c r="N398" s="1"/>
      <c r="O398" s="1"/>
      <c r="P398" s="1"/>
      <c r="Q398" s="131"/>
      <c r="R398" s="18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201"/>
      <c r="F399" s="201"/>
      <c r="G399" s="201"/>
      <c r="H399" s="1"/>
      <c r="I399" s="1"/>
      <c r="J399" s="1"/>
      <c r="K399" s="1"/>
      <c r="L399" s="1"/>
      <c r="M399" s="1"/>
      <c r="N399" s="1"/>
      <c r="O399" s="1"/>
      <c r="P399" s="1"/>
      <c r="Q399" s="131"/>
      <c r="R399" s="18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201"/>
      <c r="F400" s="201"/>
      <c r="G400" s="201"/>
      <c r="H400" s="1"/>
      <c r="I400" s="1"/>
      <c r="J400" s="1"/>
      <c r="K400" s="1"/>
      <c r="L400" s="1"/>
      <c r="M400" s="1"/>
      <c r="N400" s="1"/>
      <c r="O400" s="1"/>
      <c r="P400" s="1"/>
      <c r="Q400" s="131"/>
      <c r="R400" s="18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201"/>
      <c r="F401" s="201"/>
      <c r="G401" s="201"/>
      <c r="H401" s="1"/>
      <c r="I401" s="1"/>
      <c r="J401" s="1"/>
      <c r="K401" s="1"/>
      <c r="L401" s="1"/>
      <c r="M401" s="1"/>
      <c r="N401" s="1"/>
      <c r="O401" s="1"/>
      <c r="P401" s="1"/>
      <c r="Q401" s="131"/>
      <c r="R401" s="18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201"/>
      <c r="F402" s="201"/>
      <c r="G402" s="201"/>
      <c r="H402" s="1"/>
      <c r="I402" s="1"/>
      <c r="J402" s="1"/>
      <c r="K402" s="1"/>
      <c r="L402" s="1"/>
      <c r="M402" s="1"/>
      <c r="N402" s="1"/>
      <c r="O402" s="1"/>
      <c r="P402" s="1"/>
      <c r="Q402" s="131"/>
      <c r="R402" s="18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201"/>
      <c r="F403" s="201"/>
      <c r="G403" s="201"/>
      <c r="H403" s="1"/>
      <c r="I403" s="1"/>
      <c r="J403" s="1"/>
      <c r="K403" s="1"/>
      <c r="L403" s="1"/>
      <c r="M403" s="1"/>
      <c r="N403" s="1"/>
      <c r="O403" s="1"/>
      <c r="P403" s="1"/>
      <c r="Q403" s="131"/>
      <c r="R403" s="18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201"/>
      <c r="F404" s="201"/>
      <c r="G404" s="201"/>
      <c r="H404" s="1"/>
      <c r="I404" s="1"/>
      <c r="J404" s="1"/>
      <c r="K404" s="1"/>
      <c r="L404" s="1"/>
      <c r="M404" s="1"/>
      <c r="N404" s="1"/>
      <c r="O404" s="1"/>
      <c r="P404" s="1"/>
      <c r="Q404" s="131"/>
      <c r="R404" s="18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201"/>
      <c r="F405" s="201"/>
      <c r="G405" s="201"/>
      <c r="H405" s="1"/>
      <c r="I405" s="1"/>
      <c r="J405" s="1"/>
      <c r="K405" s="1"/>
      <c r="L405" s="1"/>
      <c r="M405" s="1"/>
      <c r="N405" s="1"/>
      <c r="O405" s="1"/>
      <c r="P405" s="1"/>
      <c r="Q405" s="131"/>
      <c r="R405" s="18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201"/>
      <c r="F406" s="201"/>
      <c r="G406" s="201"/>
      <c r="H406" s="1"/>
      <c r="I406" s="1"/>
      <c r="J406" s="1"/>
      <c r="K406" s="1"/>
      <c r="L406" s="1"/>
      <c r="M406" s="1"/>
      <c r="N406" s="1"/>
      <c r="O406" s="1"/>
      <c r="P406" s="1"/>
      <c r="Q406" s="131"/>
      <c r="R406" s="18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201"/>
      <c r="F407" s="201"/>
      <c r="G407" s="201"/>
      <c r="H407" s="1"/>
      <c r="I407" s="1"/>
      <c r="J407" s="1"/>
      <c r="K407" s="1"/>
      <c r="L407" s="1"/>
      <c r="M407" s="1"/>
      <c r="N407" s="1"/>
      <c r="O407" s="1"/>
      <c r="P407" s="1"/>
      <c r="Q407" s="131"/>
      <c r="R407" s="18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201"/>
      <c r="F408" s="201"/>
      <c r="G408" s="201"/>
      <c r="H408" s="1"/>
      <c r="I408" s="1"/>
      <c r="J408" s="1"/>
      <c r="K408" s="1"/>
      <c r="L408" s="1"/>
      <c r="M408" s="1"/>
      <c r="N408" s="1"/>
      <c r="O408" s="1"/>
      <c r="P408" s="1"/>
      <c r="Q408" s="131"/>
      <c r="R408" s="18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201"/>
      <c r="F409" s="201"/>
      <c r="G409" s="201"/>
      <c r="H409" s="1"/>
      <c r="I409" s="1"/>
      <c r="J409" s="1"/>
      <c r="K409" s="1"/>
      <c r="L409" s="1"/>
      <c r="M409" s="1"/>
      <c r="N409" s="1"/>
      <c r="O409" s="1"/>
      <c r="P409" s="1"/>
      <c r="Q409" s="131"/>
      <c r="R409" s="18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201"/>
      <c r="F410" s="201"/>
      <c r="G410" s="201"/>
      <c r="H410" s="1"/>
      <c r="I410" s="1"/>
      <c r="J410" s="1"/>
      <c r="K410" s="1"/>
      <c r="L410" s="1"/>
      <c r="M410" s="1"/>
      <c r="N410" s="1"/>
      <c r="O410" s="1"/>
      <c r="P410" s="1"/>
      <c r="Q410" s="131"/>
      <c r="R410" s="18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201"/>
      <c r="F411" s="201"/>
      <c r="G411" s="201"/>
      <c r="H411" s="1"/>
      <c r="I411" s="1"/>
      <c r="J411" s="1"/>
      <c r="K411" s="1"/>
      <c r="L411" s="1"/>
      <c r="M411" s="1"/>
      <c r="N411" s="1"/>
      <c r="O411" s="1"/>
      <c r="P411" s="1"/>
      <c r="Q411" s="131"/>
      <c r="R411" s="18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201"/>
      <c r="F412" s="201"/>
      <c r="G412" s="201"/>
      <c r="H412" s="1"/>
      <c r="I412" s="1"/>
      <c r="J412" s="1"/>
      <c r="K412" s="1"/>
      <c r="L412" s="1"/>
      <c r="M412" s="1"/>
      <c r="N412" s="1"/>
      <c r="O412" s="1"/>
      <c r="P412" s="1"/>
      <c r="Q412" s="131"/>
      <c r="R412" s="18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201"/>
      <c r="F413" s="201"/>
      <c r="G413" s="201"/>
      <c r="H413" s="1"/>
      <c r="I413" s="1"/>
      <c r="J413" s="1"/>
      <c r="K413" s="1"/>
      <c r="L413" s="1"/>
      <c r="M413" s="1"/>
      <c r="N413" s="1"/>
      <c r="O413" s="1"/>
      <c r="P413" s="1"/>
      <c r="Q413" s="131"/>
      <c r="R413" s="18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201"/>
      <c r="F414" s="201"/>
      <c r="G414" s="201"/>
      <c r="H414" s="1"/>
      <c r="I414" s="1"/>
      <c r="J414" s="1"/>
      <c r="K414" s="1"/>
      <c r="L414" s="1"/>
      <c r="M414" s="1"/>
      <c r="N414" s="1"/>
      <c r="O414" s="1"/>
      <c r="P414" s="1"/>
      <c r="Q414" s="131"/>
      <c r="R414" s="18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201"/>
      <c r="F415" s="201"/>
      <c r="G415" s="201"/>
      <c r="H415" s="1"/>
      <c r="I415" s="1"/>
      <c r="J415" s="1"/>
      <c r="K415" s="1"/>
      <c r="L415" s="1"/>
      <c r="M415" s="1"/>
      <c r="N415" s="1"/>
      <c r="O415" s="1"/>
      <c r="P415" s="1"/>
      <c r="Q415" s="131"/>
      <c r="R415" s="18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201"/>
      <c r="F416" s="201"/>
      <c r="G416" s="201"/>
      <c r="H416" s="1"/>
      <c r="I416" s="1"/>
      <c r="J416" s="1"/>
      <c r="K416" s="1"/>
      <c r="L416" s="1"/>
      <c r="M416" s="1"/>
      <c r="N416" s="1"/>
      <c r="O416" s="1"/>
      <c r="P416" s="1"/>
      <c r="Q416" s="131"/>
      <c r="R416" s="18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201"/>
      <c r="F417" s="201"/>
      <c r="G417" s="201"/>
      <c r="H417" s="1"/>
      <c r="I417" s="1"/>
      <c r="J417" s="1"/>
      <c r="K417" s="1"/>
      <c r="L417" s="1"/>
      <c r="M417" s="1"/>
      <c r="N417" s="1"/>
      <c r="O417" s="1"/>
      <c r="P417" s="1"/>
      <c r="Q417" s="131"/>
      <c r="R417" s="18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201"/>
      <c r="F418" s="201"/>
      <c r="G418" s="201"/>
      <c r="H418" s="1"/>
      <c r="I418" s="1"/>
      <c r="J418" s="1"/>
      <c r="K418" s="1"/>
      <c r="L418" s="1"/>
      <c r="M418" s="1"/>
      <c r="N418" s="1"/>
      <c r="O418" s="1"/>
      <c r="P418" s="1"/>
      <c r="Q418" s="131"/>
      <c r="R418" s="18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201"/>
      <c r="F419" s="201"/>
      <c r="G419" s="201"/>
      <c r="H419" s="1"/>
      <c r="I419" s="1"/>
      <c r="J419" s="1"/>
      <c r="K419" s="1"/>
      <c r="L419" s="1"/>
      <c r="M419" s="1"/>
      <c r="N419" s="1"/>
      <c r="O419" s="1"/>
      <c r="P419" s="1"/>
      <c r="Q419" s="131"/>
      <c r="R419" s="18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201"/>
      <c r="F420" s="201"/>
      <c r="G420" s="201"/>
      <c r="H420" s="1"/>
      <c r="I420" s="1"/>
      <c r="J420" s="1"/>
      <c r="K420" s="1"/>
      <c r="L420" s="1"/>
      <c r="M420" s="1"/>
      <c r="N420" s="1"/>
      <c r="O420" s="1"/>
      <c r="P420" s="1"/>
      <c r="Q420" s="131"/>
      <c r="R420" s="18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201"/>
      <c r="F421" s="201"/>
      <c r="G421" s="201"/>
      <c r="H421" s="1"/>
      <c r="I421" s="1"/>
      <c r="J421" s="1"/>
      <c r="K421" s="1"/>
      <c r="L421" s="1"/>
      <c r="M421" s="1"/>
      <c r="N421" s="1"/>
      <c r="O421" s="1"/>
      <c r="P421" s="1"/>
      <c r="Q421" s="131"/>
      <c r="R421" s="18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201"/>
      <c r="F422" s="201"/>
      <c r="G422" s="201"/>
      <c r="H422" s="1"/>
      <c r="I422" s="1"/>
      <c r="J422" s="1"/>
      <c r="K422" s="1"/>
      <c r="L422" s="1"/>
      <c r="M422" s="1"/>
      <c r="N422" s="1"/>
      <c r="O422" s="1"/>
      <c r="P422" s="1"/>
      <c r="Q422" s="131"/>
      <c r="R422" s="18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201"/>
      <c r="F423" s="201"/>
      <c r="G423" s="201"/>
      <c r="H423" s="1"/>
      <c r="I423" s="1"/>
      <c r="J423" s="1"/>
      <c r="K423" s="1"/>
      <c r="L423" s="1"/>
      <c r="M423" s="1"/>
      <c r="N423" s="1"/>
      <c r="O423" s="1"/>
      <c r="P423" s="1"/>
      <c r="Q423" s="131"/>
      <c r="R423" s="18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201"/>
      <c r="F424" s="201"/>
      <c r="G424" s="201"/>
      <c r="H424" s="1"/>
      <c r="I424" s="1"/>
      <c r="J424" s="1"/>
      <c r="K424" s="1"/>
      <c r="L424" s="1"/>
      <c r="M424" s="1"/>
      <c r="N424" s="1"/>
      <c r="O424" s="1"/>
      <c r="P424" s="1"/>
      <c r="Q424" s="131"/>
      <c r="R424" s="18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201"/>
      <c r="F425" s="201"/>
      <c r="G425" s="201"/>
      <c r="H425" s="1"/>
      <c r="I425" s="1"/>
      <c r="J425" s="1"/>
      <c r="K425" s="1"/>
      <c r="L425" s="1"/>
      <c r="M425" s="1"/>
      <c r="N425" s="1"/>
      <c r="O425" s="1"/>
      <c r="P425" s="1"/>
      <c r="Q425" s="131"/>
      <c r="R425" s="18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201"/>
      <c r="F426" s="201"/>
      <c r="G426" s="201"/>
      <c r="H426" s="1"/>
      <c r="I426" s="1"/>
      <c r="J426" s="1"/>
      <c r="K426" s="1"/>
      <c r="L426" s="1"/>
      <c r="M426" s="1"/>
      <c r="N426" s="1"/>
      <c r="O426" s="1"/>
      <c r="P426" s="1"/>
      <c r="Q426" s="131"/>
      <c r="R426" s="18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201"/>
      <c r="F427" s="201"/>
      <c r="G427" s="201"/>
      <c r="H427" s="1"/>
      <c r="I427" s="1"/>
      <c r="J427" s="1"/>
      <c r="K427" s="1"/>
      <c r="L427" s="1"/>
      <c r="M427" s="1"/>
      <c r="N427" s="1"/>
      <c r="O427" s="1"/>
      <c r="P427" s="1"/>
      <c r="Q427" s="131"/>
      <c r="R427" s="18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201"/>
      <c r="F428" s="201"/>
      <c r="G428" s="201"/>
      <c r="H428" s="1"/>
      <c r="I428" s="1"/>
      <c r="J428" s="1"/>
      <c r="K428" s="1"/>
      <c r="L428" s="1"/>
      <c r="M428" s="1"/>
      <c r="N428" s="1"/>
      <c r="O428" s="1"/>
      <c r="P428" s="1"/>
      <c r="Q428" s="131"/>
      <c r="R428" s="18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201"/>
      <c r="F429" s="201"/>
      <c r="G429" s="201"/>
      <c r="H429" s="1"/>
      <c r="I429" s="1"/>
      <c r="J429" s="1"/>
      <c r="K429" s="1"/>
      <c r="L429" s="1"/>
      <c r="M429" s="1"/>
      <c r="N429" s="1"/>
      <c r="O429" s="1"/>
      <c r="P429" s="1"/>
      <c r="Q429" s="131"/>
      <c r="R429" s="18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201"/>
      <c r="F430" s="201"/>
      <c r="G430" s="201"/>
      <c r="H430" s="1"/>
      <c r="I430" s="1"/>
      <c r="J430" s="1"/>
      <c r="K430" s="1"/>
      <c r="L430" s="1"/>
      <c r="M430" s="1"/>
      <c r="N430" s="1"/>
      <c r="O430" s="1"/>
      <c r="P430" s="1"/>
      <c r="Q430" s="131"/>
      <c r="R430" s="18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201"/>
      <c r="F431" s="201"/>
      <c r="G431" s="201"/>
      <c r="H431" s="1"/>
      <c r="I431" s="1"/>
      <c r="J431" s="1"/>
      <c r="K431" s="1"/>
      <c r="L431" s="1"/>
      <c r="M431" s="1"/>
      <c r="N431" s="1"/>
      <c r="O431" s="1"/>
      <c r="P431" s="1"/>
      <c r="Q431" s="131"/>
      <c r="R431" s="18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201"/>
      <c r="F432" s="201"/>
      <c r="G432" s="201"/>
      <c r="H432" s="1"/>
      <c r="I432" s="1"/>
      <c r="J432" s="1"/>
      <c r="K432" s="1"/>
      <c r="L432" s="1"/>
      <c r="M432" s="1"/>
      <c r="N432" s="1"/>
      <c r="O432" s="1"/>
      <c r="P432" s="1"/>
      <c r="Q432" s="131"/>
      <c r="R432" s="18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201"/>
      <c r="F433" s="201"/>
      <c r="G433" s="201"/>
      <c r="H433" s="1"/>
      <c r="I433" s="1"/>
      <c r="J433" s="1"/>
      <c r="K433" s="1"/>
      <c r="L433" s="1"/>
      <c r="M433" s="1"/>
      <c r="N433" s="1"/>
      <c r="O433" s="1"/>
      <c r="P433" s="1"/>
      <c r="Q433" s="131"/>
      <c r="R433" s="18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201"/>
      <c r="F434" s="201"/>
      <c r="G434" s="201"/>
      <c r="H434" s="1"/>
      <c r="I434" s="1"/>
      <c r="J434" s="1"/>
      <c r="K434" s="1"/>
      <c r="L434" s="1"/>
      <c r="M434" s="1"/>
      <c r="N434" s="1"/>
      <c r="O434" s="1"/>
      <c r="P434" s="1"/>
      <c r="Q434" s="131"/>
      <c r="R434" s="18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201"/>
      <c r="F435" s="201"/>
      <c r="G435" s="201"/>
      <c r="H435" s="1"/>
      <c r="I435" s="1"/>
      <c r="J435" s="1"/>
      <c r="K435" s="1"/>
      <c r="L435" s="1"/>
      <c r="M435" s="1"/>
      <c r="N435" s="1"/>
      <c r="O435" s="1"/>
      <c r="P435" s="1"/>
      <c r="Q435" s="131"/>
      <c r="R435" s="18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201"/>
      <c r="F436" s="201"/>
      <c r="G436" s="201"/>
      <c r="H436" s="1"/>
      <c r="I436" s="1"/>
      <c r="J436" s="1"/>
      <c r="K436" s="1"/>
      <c r="L436" s="1"/>
      <c r="M436" s="1"/>
      <c r="N436" s="1"/>
      <c r="O436" s="1"/>
      <c r="P436" s="1"/>
      <c r="Q436" s="131"/>
      <c r="R436" s="18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201"/>
      <c r="F437" s="201"/>
      <c r="G437" s="201"/>
      <c r="H437" s="1"/>
      <c r="I437" s="1"/>
      <c r="J437" s="1"/>
      <c r="K437" s="1"/>
      <c r="L437" s="1"/>
      <c r="M437" s="1"/>
      <c r="N437" s="1"/>
      <c r="O437" s="1"/>
      <c r="P437" s="1"/>
      <c r="Q437" s="131"/>
      <c r="R437" s="18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201"/>
      <c r="F438" s="201"/>
      <c r="G438" s="201"/>
      <c r="H438" s="1"/>
      <c r="I438" s="1"/>
      <c r="J438" s="1"/>
      <c r="K438" s="1"/>
      <c r="L438" s="1"/>
      <c r="M438" s="1"/>
      <c r="N438" s="1"/>
      <c r="O438" s="1"/>
      <c r="P438" s="1"/>
      <c r="Q438" s="131"/>
      <c r="R438" s="18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201"/>
      <c r="F439" s="201"/>
      <c r="G439" s="201"/>
      <c r="H439" s="1"/>
      <c r="I439" s="1"/>
      <c r="J439" s="1"/>
      <c r="K439" s="1"/>
      <c r="L439" s="1"/>
      <c r="M439" s="1"/>
      <c r="N439" s="1"/>
      <c r="O439" s="1"/>
      <c r="P439" s="1"/>
      <c r="Q439" s="131"/>
      <c r="R439" s="18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201"/>
      <c r="F440" s="201"/>
      <c r="G440" s="201"/>
      <c r="H440" s="1"/>
      <c r="I440" s="1"/>
      <c r="J440" s="1"/>
      <c r="K440" s="1"/>
      <c r="L440" s="1"/>
      <c r="M440" s="1"/>
      <c r="N440" s="1"/>
      <c r="O440" s="1"/>
      <c r="P440" s="1"/>
      <c r="Q440" s="131"/>
      <c r="R440" s="18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201"/>
      <c r="F441" s="201"/>
      <c r="G441" s="201"/>
      <c r="H441" s="1"/>
      <c r="I441" s="1"/>
      <c r="J441" s="1"/>
      <c r="K441" s="1"/>
      <c r="L441" s="1"/>
      <c r="M441" s="1"/>
      <c r="N441" s="1"/>
      <c r="O441" s="1"/>
      <c r="P441" s="1"/>
      <c r="Q441" s="131"/>
      <c r="R441" s="18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201"/>
      <c r="F442" s="201"/>
      <c r="G442" s="201"/>
      <c r="H442" s="1"/>
      <c r="I442" s="1"/>
      <c r="J442" s="1"/>
      <c r="K442" s="1"/>
      <c r="L442" s="1"/>
      <c r="M442" s="1"/>
      <c r="N442" s="1"/>
      <c r="O442" s="1"/>
      <c r="P442" s="1"/>
      <c r="Q442" s="131"/>
      <c r="R442" s="18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201"/>
      <c r="F443" s="201"/>
      <c r="G443" s="201"/>
      <c r="H443" s="1"/>
      <c r="I443" s="1"/>
      <c r="J443" s="1"/>
      <c r="K443" s="1"/>
      <c r="L443" s="1"/>
      <c r="M443" s="1"/>
      <c r="N443" s="1"/>
      <c r="O443" s="1"/>
      <c r="P443" s="1"/>
      <c r="Q443" s="131"/>
      <c r="R443" s="18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201"/>
      <c r="F444" s="201"/>
      <c r="G444" s="201"/>
      <c r="H444" s="1"/>
      <c r="I444" s="1"/>
      <c r="J444" s="1"/>
      <c r="K444" s="1"/>
      <c r="L444" s="1"/>
      <c r="M444" s="1"/>
      <c r="N444" s="1"/>
      <c r="O444" s="1"/>
      <c r="P444" s="1"/>
      <c r="Q444" s="131"/>
      <c r="R444" s="18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201"/>
      <c r="F445" s="201"/>
      <c r="G445" s="201"/>
      <c r="H445" s="1"/>
      <c r="I445" s="1"/>
      <c r="J445" s="1"/>
      <c r="K445" s="1"/>
      <c r="L445" s="1"/>
      <c r="M445" s="1"/>
      <c r="N445" s="1"/>
      <c r="O445" s="1"/>
      <c r="P445" s="1"/>
      <c r="Q445" s="131"/>
      <c r="R445" s="18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201"/>
      <c r="F446" s="201"/>
      <c r="G446" s="201"/>
      <c r="H446" s="1"/>
      <c r="I446" s="1"/>
      <c r="J446" s="1"/>
      <c r="K446" s="1"/>
      <c r="L446" s="1"/>
      <c r="M446" s="1"/>
      <c r="N446" s="1"/>
      <c r="O446" s="1"/>
      <c r="P446" s="1"/>
      <c r="Q446" s="131"/>
      <c r="R446" s="18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201"/>
      <c r="F447" s="201"/>
      <c r="G447" s="201"/>
      <c r="H447" s="1"/>
      <c r="I447" s="1"/>
      <c r="J447" s="1"/>
      <c r="K447" s="1"/>
      <c r="L447" s="1"/>
      <c r="M447" s="1"/>
      <c r="N447" s="1"/>
      <c r="O447" s="1"/>
      <c r="P447" s="1"/>
      <c r="Q447" s="131"/>
      <c r="R447" s="18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201"/>
      <c r="F448" s="201"/>
      <c r="G448" s="201"/>
      <c r="H448" s="1"/>
      <c r="I448" s="1"/>
      <c r="J448" s="1"/>
      <c r="K448" s="1"/>
      <c r="L448" s="1"/>
      <c r="M448" s="1"/>
      <c r="N448" s="1"/>
      <c r="O448" s="1"/>
      <c r="P448" s="1"/>
      <c r="Q448" s="131"/>
      <c r="R448" s="18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201"/>
      <c r="F449" s="201"/>
      <c r="G449" s="201"/>
      <c r="H449" s="1"/>
      <c r="I449" s="1"/>
      <c r="J449" s="1"/>
      <c r="K449" s="1"/>
      <c r="L449" s="1"/>
      <c r="M449" s="1"/>
      <c r="N449" s="1"/>
      <c r="O449" s="1"/>
      <c r="P449" s="1"/>
      <c r="Q449" s="131"/>
      <c r="R449" s="18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201"/>
      <c r="F450" s="201"/>
      <c r="G450" s="201"/>
      <c r="H450" s="1"/>
      <c r="I450" s="1"/>
      <c r="J450" s="1"/>
      <c r="K450" s="1"/>
      <c r="L450" s="1"/>
      <c r="M450" s="1"/>
      <c r="N450" s="1"/>
      <c r="O450" s="1"/>
      <c r="P450" s="1"/>
      <c r="Q450" s="131"/>
      <c r="R450" s="18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201"/>
      <c r="F451" s="201"/>
      <c r="G451" s="201"/>
      <c r="H451" s="1"/>
      <c r="I451" s="1"/>
      <c r="J451" s="1"/>
      <c r="K451" s="1"/>
      <c r="L451" s="1"/>
      <c r="M451" s="1"/>
      <c r="N451" s="1"/>
      <c r="O451" s="1"/>
      <c r="P451" s="1"/>
      <c r="Q451" s="131"/>
      <c r="R451" s="18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201"/>
      <c r="F452" s="201"/>
      <c r="G452" s="201"/>
      <c r="H452" s="1"/>
      <c r="I452" s="1"/>
      <c r="J452" s="1"/>
      <c r="K452" s="1"/>
      <c r="L452" s="1"/>
      <c r="M452" s="1"/>
      <c r="N452" s="1"/>
      <c r="O452" s="1"/>
      <c r="P452" s="1"/>
      <c r="Q452" s="131"/>
      <c r="R452" s="18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201"/>
      <c r="F453" s="201"/>
      <c r="G453" s="201"/>
      <c r="H453" s="1"/>
      <c r="I453" s="1"/>
      <c r="J453" s="1"/>
      <c r="K453" s="1"/>
      <c r="L453" s="1"/>
      <c r="M453" s="1"/>
      <c r="N453" s="1"/>
      <c r="O453" s="1"/>
      <c r="P453" s="1"/>
      <c r="Q453" s="131"/>
      <c r="R453" s="18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201"/>
      <c r="F454" s="201"/>
      <c r="G454" s="201"/>
      <c r="H454" s="1"/>
      <c r="I454" s="1"/>
      <c r="J454" s="1"/>
      <c r="K454" s="1"/>
      <c r="L454" s="1"/>
      <c r="M454" s="1"/>
      <c r="N454" s="1"/>
      <c r="O454" s="1"/>
      <c r="P454" s="1"/>
      <c r="Q454" s="131"/>
      <c r="R454" s="18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201"/>
      <c r="F455" s="201"/>
      <c r="G455" s="201"/>
      <c r="H455" s="1"/>
      <c r="I455" s="1"/>
      <c r="J455" s="1"/>
      <c r="K455" s="1"/>
      <c r="L455" s="1"/>
      <c r="M455" s="1"/>
      <c r="N455" s="1"/>
      <c r="O455" s="1"/>
      <c r="P455" s="1"/>
      <c r="Q455" s="131"/>
      <c r="R455" s="18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201"/>
      <c r="F456" s="201"/>
      <c r="G456" s="201"/>
      <c r="H456" s="1"/>
      <c r="I456" s="1"/>
      <c r="J456" s="1"/>
      <c r="K456" s="1"/>
      <c r="L456" s="1"/>
      <c r="M456" s="1"/>
      <c r="N456" s="1"/>
      <c r="O456" s="1"/>
      <c r="P456" s="1"/>
      <c r="Q456" s="131"/>
      <c r="R456" s="18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201"/>
      <c r="F457" s="201"/>
      <c r="G457" s="201"/>
      <c r="H457" s="1"/>
      <c r="I457" s="1"/>
      <c r="J457" s="1"/>
      <c r="K457" s="1"/>
      <c r="L457" s="1"/>
      <c r="M457" s="1"/>
      <c r="N457" s="1"/>
      <c r="O457" s="1"/>
      <c r="P457" s="1"/>
      <c r="Q457" s="131"/>
      <c r="R457" s="18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201"/>
      <c r="F458" s="201"/>
      <c r="G458" s="201"/>
      <c r="H458" s="1"/>
      <c r="I458" s="1"/>
      <c r="J458" s="1"/>
      <c r="K458" s="1"/>
      <c r="L458" s="1"/>
      <c r="M458" s="1"/>
      <c r="N458" s="1"/>
      <c r="O458" s="1"/>
      <c r="P458" s="1"/>
      <c r="Q458" s="131"/>
      <c r="R458" s="18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201"/>
      <c r="F459" s="201"/>
      <c r="G459" s="201"/>
      <c r="H459" s="1"/>
      <c r="I459" s="1"/>
      <c r="J459" s="1"/>
      <c r="K459" s="1"/>
      <c r="L459" s="1"/>
      <c r="M459" s="1"/>
      <c r="N459" s="1"/>
      <c r="O459" s="1"/>
      <c r="P459" s="1"/>
      <c r="Q459" s="131"/>
      <c r="R459" s="18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201"/>
      <c r="F460" s="201"/>
      <c r="G460" s="201"/>
      <c r="H460" s="1"/>
      <c r="I460" s="1"/>
      <c r="J460" s="1"/>
      <c r="K460" s="1"/>
      <c r="L460" s="1"/>
      <c r="M460" s="1"/>
      <c r="N460" s="1"/>
      <c r="O460" s="1"/>
      <c r="P460" s="1"/>
      <c r="Q460" s="131"/>
      <c r="R460" s="18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201"/>
      <c r="F461" s="201"/>
      <c r="G461" s="201"/>
      <c r="H461" s="1"/>
      <c r="I461" s="1"/>
      <c r="J461" s="1"/>
      <c r="K461" s="1"/>
      <c r="L461" s="1"/>
      <c r="M461" s="1"/>
      <c r="N461" s="1"/>
      <c r="O461" s="1"/>
      <c r="P461" s="1"/>
      <c r="Q461" s="131"/>
      <c r="R461" s="18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201"/>
      <c r="F462" s="201"/>
      <c r="G462" s="201"/>
      <c r="H462" s="1"/>
      <c r="I462" s="1"/>
      <c r="J462" s="1"/>
      <c r="K462" s="1"/>
      <c r="L462" s="1"/>
      <c r="M462" s="1"/>
      <c r="N462" s="1"/>
      <c r="O462" s="1"/>
      <c r="P462" s="1"/>
      <c r="Q462" s="131"/>
      <c r="R462" s="18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201"/>
      <c r="F463" s="201"/>
      <c r="G463" s="201"/>
      <c r="H463" s="1"/>
      <c r="I463" s="1"/>
      <c r="J463" s="1"/>
      <c r="K463" s="1"/>
      <c r="L463" s="1"/>
      <c r="M463" s="1"/>
      <c r="N463" s="1"/>
      <c r="O463" s="1"/>
      <c r="P463" s="1"/>
      <c r="Q463" s="131"/>
      <c r="R463" s="18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201"/>
      <c r="F464" s="201"/>
      <c r="G464" s="201"/>
      <c r="H464" s="1"/>
      <c r="I464" s="1"/>
      <c r="J464" s="1"/>
      <c r="K464" s="1"/>
      <c r="L464" s="1"/>
      <c r="M464" s="1"/>
      <c r="N464" s="1"/>
      <c r="O464" s="1"/>
      <c r="P464" s="1"/>
      <c r="Q464" s="131"/>
      <c r="R464" s="18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201"/>
      <c r="F465" s="201"/>
      <c r="G465" s="201"/>
      <c r="H465" s="1"/>
      <c r="I465" s="1"/>
      <c r="J465" s="1"/>
      <c r="K465" s="1"/>
      <c r="L465" s="1"/>
      <c r="M465" s="1"/>
      <c r="N465" s="1"/>
      <c r="O465" s="1"/>
      <c r="P465" s="1"/>
      <c r="Q465" s="131"/>
      <c r="R465" s="18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201"/>
      <c r="F466" s="201"/>
      <c r="G466" s="201"/>
      <c r="H466" s="1"/>
      <c r="I466" s="1"/>
      <c r="J466" s="1"/>
      <c r="K466" s="1"/>
      <c r="L466" s="1"/>
      <c r="M466" s="1"/>
      <c r="N466" s="1"/>
      <c r="O466" s="1"/>
      <c r="P466" s="1"/>
      <c r="Q466" s="131"/>
      <c r="R466" s="18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201"/>
      <c r="F467" s="201"/>
      <c r="G467" s="201"/>
      <c r="H467" s="1"/>
      <c r="I467" s="1"/>
      <c r="J467" s="1"/>
      <c r="K467" s="1"/>
      <c r="L467" s="1"/>
      <c r="M467" s="1"/>
      <c r="N467" s="1"/>
      <c r="O467" s="1"/>
      <c r="P467" s="1"/>
      <c r="Q467" s="131"/>
      <c r="R467" s="18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201"/>
      <c r="F468" s="201"/>
      <c r="G468" s="201"/>
      <c r="H468" s="1"/>
      <c r="I468" s="1"/>
      <c r="J468" s="1"/>
      <c r="K468" s="1"/>
      <c r="L468" s="1"/>
      <c r="M468" s="1"/>
      <c r="N468" s="1"/>
      <c r="O468" s="1"/>
      <c r="P468" s="1"/>
      <c r="Q468" s="131"/>
      <c r="R468" s="18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201"/>
      <c r="F469" s="201"/>
      <c r="G469" s="201"/>
      <c r="H469" s="1"/>
      <c r="I469" s="1"/>
      <c r="J469" s="1"/>
      <c r="K469" s="1"/>
      <c r="L469" s="1"/>
      <c r="M469" s="1"/>
      <c r="N469" s="1"/>
      <c r="O469" s="1"/>
      <c r="P469" s="1"/>
      <c r="Q469" s="131"/>
      <c r="R469" s="18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201"/>
      <c r="F470" s="201"/>
      <c r="G470" s="201"/>
      <c r="H470" s="1"/>
      <c r="I470" s="1"/>
      <c r="J470" s="1"/>
      <c r="K470" s="1"/>
      <c r="L470" s="1"/>
      <c r="M470" s="1"/>
      <c r="N470" s="1"/>
      <c r="O470" s="1"/>
      <c r="P470" s="1"/>
      <c r="Q470" s="131"/>
      <c r="R470" s="18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201"/>
      <c r="F471" s="201"/>
      <c r="G471" s="201"/>
      <c r="H471" s="1"/>
      <c r="I471" s="1"/>
      <c r="J471" s="1"/>
      <c r="K471" s="1"/>
      <c r="L471" s="1"/>
      <c r="M471" s="1"/>
      <c r="N471" s="1"/>
      <c r="O471" s="1"/>
      <c r="P471" s="1"/>
      <c r="Q471" s="131"/>
      <c r="R471" s="18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201"/>
      <c r="F472" s="201"/>
      <c r="G472" s="201"/>
      <c r="H472" s="1"/>
      <c r="I472" s="1"/>
      <c r="J472" s="1"/>
      <c r="K472" s="1"/>
      <c r="L472" s="1"/>
      <c r="M472" s="1"/>
      <c r="N472" s="1"/>
      <c r="O472" s="1"/>
      <c r="P472" s="1"/>
      <c r="Q472" s="131"/>
      <c r="R472" s="18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201"/>
      <c r="F473" s="201"/>
      <c r="G473" s="201"/>
      <c r="H473" s="1"/>
      <c r="I473" s="1"/>
      <c r="J473" s="1"/>
      <c r="K473" s="1"/>
      <c r="L473" s="1"/>
      <c r="M473" s="1"/>
      <c r="N473" s="1"/>
      <c r="O473" s="1"/>
      <c r="P473" s="1"/>
      <c r="Q473" s="131"/>
      <c r="R473" s="18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201"/>
      <c r="F474" s="201"/>
      <c r="G474" s="201"/>
      <c r="H474" s="1"/>
      <c r="I474" s="1"/>
      <c r="J474" s="1"/>
      <c r="K474" s="1"/>
      <c r="L474" s="1"/>
      <c r="M474" s="1"/>
      <c r="N474" s="1"/>
      <c r="O474" s="1"/>
      <c r="P474" s="1"/>
      <c r="Q474" s="131"/>
      <c r="R474" s="18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201"/>
      <c r="F475" s="201"/>
      <c r="G475" s="201"/>
      <c r="H475" s="1"/>
      <c r="I475" s="1"/>
      <c r="J475" s="1"/>
      <c r="K475" s="1"/>
      <c r="L475" s="1"/>
      <c r="M475" s="1"/>
      <c r="N475" s="1"/>
      <c r="O475" s="1"/>
      <c r="P475" s="1"/>
      <c r="Q475" s="131"/>
      <c r="R475" s="18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201"/>
      <c r="F476" s="201"/>
      <c r="G476" s="201"/>
      <c r="H476" s="1"/>
      <c r="I476" s="1"/>
      <c r="J476" s="1"/>
      <c r="K476" s="1"/>
      <c r="L476" s="1"/>
      <c r="M476" s="1"/>
      <c r="N476" s="1"/>
      <c r="O476" s="1"/>
      <c r="P476" s="1"/>
      <c r="Q476" s="131"/>
      <c r="R476" s="18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201"/>
      <c r="F477" s="201"/>
      <c r="G477" s="201"/>
      <c r="H477" s="1"/>
      <c r="I477" s="1"/>
      <c r="J477" s="1"/>
      <c r="K477" s="1"/>
      <c r="L477" s="1"/>
      <c r="M477" s="1"/>
      <c r="N477" s="1"/>
      <c r="O477" s="1"/>
      <c r="P477" s="1"/>
      <c r="Q477" s="131"/>
      <c r="R477" s="18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201"/>
      <c r="F478" s="201"/>
      <c r="G478" s="201"/>
      <c r="H478" s="1"/>
      <c r="I478" s="1"/>
      <c r="J478" s="1"/>
      <c r="K478" s="1"/>
      <c r="L478" s="1"/>
      <c r="M478" s="1"/>
      <c r="N478" s="1"/>
      <c r="O478" s="1"/>
      <c r="P478" s="1"/>
      <c r="Q478" s="131"/>
      <c r="R478" s="18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201"/>
      <c r="F479" s="201"/>
      <c r="G479" s="201"/>
      <c r="H479" s="1"/>
      <c r="I479" s="1"/>
      <c r="J479" s="1"/>
      <c r="K479" s="1"/>
      <c r="L479" s="1"/>
      <c r="M479" s="1"/>
      <c r="N479" s="1"/>
      <c r="O479" s="1"/>
      <c r="P479" s="1"/>
      <c r="Q479" s="131"/>
      <c r="R479" s="18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201"/>
      <c r="F480" s="201"/>
      <c r="G480" s="201"/>
      <c r="H480" s="1"/>
      <c r="I480" s="1"/>
      <c r="J480" s="1"/>
      <c r="K480" s="1"/>
      <c r="L480" s="1"/>
      <c r="M480" s="1"/>
      <c r="N480" s="1"/>
      <c r="O480" s="1"/>
      <c r="P480" s="1"/>
      <c r="Q480" s="131"/>
      <c r="R480" s="18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201"/>
      <c r="F481" s="201"/>
      <c r="G481" s="201"/>
      <c r="H481" s="1"/>
      <c r="I481" s="1"/>
      <c r="J481" s="1"/>
      <c r="K481" s="1"/>
      <c r="L481" s="1"/>
      <c r="M481" s="1"/>
      <c r="N481" s="1"/>
      <c r="O481" s="1"/>
      <c r="P481" s="1"/>
      <c r="Q481" s="131"/>
      <c r="R481" s="18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201"/>
      <c r="F482" s="201"/>
      <c r="G482" s="201"/>
      <c r="H482" s="1"/>
      <c r="I482" s="1"/>
      <c r="J482" s="1"/>
      <c r="K482" s="1"/>
      <c r="L482" s="1"/>
      <c r="M482" s="1"/>
      <c r="N482" s="1"/>
      <c r="O482" s="1"/>
      <c r="P482" s="1"/>
      <c r="Q482" s="131"/>
      <c r="R482" s="18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201"/>
      <c r="F483" s="201"/>
      <c r="G483" s="201"/>
      <c r="H483" s="1"/>
      <c r="I483" s="1"/>
      <c r="J483" s="1"/>
      <c r="K483" s="1"/>
      <c r="L483" s="1"/>
      <c r="M483" s="1"/>
      <c r="N483" s="1"/>
      <c r="O483" s="1"/>
      <c r="P483" s="1"/>
      <c r="Q483" s="131"/>
      <c r="R483" s="18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201"/>
      <c r="F484" s="201"/>
      <c r="G484" s="201"/>
      <c r="H484" s="1"/>
      <c r="I484" s="1"/>
      <c r="J484" s="1"/>
      <c r="K484" s="1"/>
      <c r="L484" s="1"/>
      <c r="M484" s="1"/>
      <c r="N484" s="1"/>
      <c r="O484" s="1"/>
      <c r="P484" s="1"/>
      <c r="Q484" s="131"/>
      <c r="R484" s="18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201"/>
      <c r="F485" s="201"/>
      <c r="G485" s="201"/>
      <c r="H485" s="1"/>
      <c r="I485" s="1"/>
      <c r="J485" s="1"/>
      <c r="K485" s="1"/>
      <c r="L485" s="1"/>
      <c r="M485" s="1"/>
      <c r="N485" s="1"/>
      <c r="O485" s="1"/>
      <c r="P485" s="1"/>
      <c r="Q485" s="131"/>
      <c r="R485" s="18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201"/>
      <c r="F486" s="201"/>
      <c r="G486" s="201"/>
      <c r="H486" s="1"/>
      <c r="I486" s="1"/>
      <c r="J486" s="1"/>
      <c r="K486" s="1"/>
      <c r="L486" s="1"/>
      <c r="M486" s="1"/>
      <c r="N486" s="1"/>
      <c r="O486" s="1"/>
      <c r="P486" s="1"/>
      <c r="Q486" s="131"/>
      <c r="R486" s="18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201"/>
      <c r="F487" s="201"/>
      <c r="G487" s="201"/>
      <c r="H487" s="1"/>
      <c r="I487" s="1"/>
      <c r="J487" s="1"/>
      <c r="K487" s="1"/>
      <c r="L487" s="1"/>
      <c r="M487" s="1"/>
      <c r="N487" s="1"/>
      <c r="O487" s="1"/>
      <c r="P487" s="1"/>
      <c r="Q487" s="131"/>
      <c r="R487" s="18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201"/>
      <c r="F488" s="201"/>
      <c r="G488" s="201"/>
      <c r="H488" s="1"/>
      <c r="I488" s="1"/>
      <c r="J488" s="1"/>
      <c r="K488" s="1"/>
      <c r="L488" s="1"/>
      <c r="M488" s="1"/>
      <c r="N488" s="1"/>
      <c r="O488" s="1"/>
      <c r="P488" s="1"/>
      <c r="Q488" s="131"/>
      <c r="R488" s="18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201"/>
      <c r="F489" s="201"/>
      <c r="G489" s="201"/>
      <c r="H489" s="1"/>
      <c r="I489" s="1"/>
      <c r="J489" s="1"/>
      <c r="K489" s="1"/>
      <c r="L489" s="1"/>
      <c r="M489" s="1"/>
      <c r="N489" s="1"/>
      <c r="O489" s="1"/>
      <c r="P489" s="1"/>
      <c r="Q489" s="131"/>
      <c r="R489" s="18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201"/>
      <c r="F490" s="201"/>
      <c r="G490" s="201"/>
      <c r="H490" s="1"/>
      <c r="I490" s="1"/>
      <c r="J490" s="1"/>
      <c r="K490" s="1"/>
      <c r="L490" s="1"/>
      <c r="M490" s="1"/>
      <c r="N490" s="1"/>
      <c r="O490" s="1"/>
      <c r="P490" s="1"/>
      <c r="Q490" s="131"/>
      <c r="R490" s="18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201"/>
      <c r="F491" s="201"/>
      <c r="G491" s="201"/>
      <c r="H491" s="1"/>
      <c r="I491" s="1"/>
      <c r="J491" s="1"/>
      <c r="K491" s="1"/>
      <c r="L491" s="1"/>
      <c r="M491" s="1"/>
      <c r="N491" s="1"/>
      <c r="O491" s="1"/>
      <c r="P491" s="1"/>
      <c r="Q491" s="131"/>
      <c r="R491" s="18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201"/>
      <c r="F492" s="201"/>
      <c r="G492" s="201"/>
      <c r="H492" s="1"/>
      <c r="I492" s="1"/>
      <c r="J492" s="1"/>
      <c r="K492" s="1"/>
      <c r="L492" s="1"/>
      <c r="M492" s="1"/>
      <c r="N492" s="1"/>
      <c r="O492" s="1"/>
      <c r="P492" s="1"/>
      <c r="Q492" s="131"/>
      <c r="R492" s="18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201"/>
      <c r="F493" s="201"/>
      <c r="G493" s="201"/>
      <c r="H493" s="1"/>
      <c r="I493" s="1"/>
      <c r="J493" s="1"/>
      <c r="K493" s="1"/>
      <c r="L493" s="1"/>
      <c r="M493" s="1"/>
      <c r="N493" s="1"/>
      <c r="O493" s="1"/>
      <c r="P493" s="1"/>
      <c r="Q493" s="131"/>
      <c r="R493" s="18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201"/>
      <c r="F494" s="201"/>
      <c r="G494" s="201"/>
      <c r="H494" s="1"/>
      <c r="I494" s="1"/>
      <c r="J494" s="1"/>
      <c r="K494" s="1"/>
      <c r="L494" s="1"/>
      <c r="M494" s="1"/>
      <c r="N494" s="1"/>
      <c r="O494" s="1"/>
      <c r="P494" s="1"/>
      <c r="Q494" s="131"/>
      <c r="R494" s="18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201"/>
      <c r="F495" s="201"/>
      <c r="G495" s="201"/>
      <c r="H495" s="1"/>
      <c r="I495" s="1"/>
      <c r="J495" s="1"/>
      <c r="K495" s="1"/>
      <c r="L495" s="1"/>
      <c r="M495" s="1"/>
      <c r="N495" s="1"/>
      <c r="O495" s="1"/>
      <c r="P495" s="1"/>
      <c r="Q495" s="131"/>
      <c r="R495" s="18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201"/>
      <c r="F496" s="201"/>
      <c r="G496" s="201"/>
      <c r="H496" s="1"/>
      <c r="I496" s="1"/>
      <c r="J496" s="1"/>
      <c r="K496" s="1"/>
      <c r="L496" s="1"/>
      <c r="M496" s="1"/>
      <c r="N496" s="1"/>
      <c r="O496" s="1"/>
      <c r="P496" s="1"/>
      <c r="Q496" s="131"/>
      <c r="R496" s="18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201"/>
      <c r="F497" s="201"/>
      <c r="G497" s="201"/>
      <c r="H497" s="1"/>
      <c r="I497" s="1"/>
      <c r="J497" s="1"/>
      <c r="K497" s="1"/>
      <c r="L497" s="1"/>
      <c r="M497" s="1"/>
      <c r="N497" s="1"/>
      <c r="O497" s="1"/>
      <c r="P497" s="1"/>
      <c r="Q497" s="131"/>
      <c r="R497" s="18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201"/>
      <c r="F498" s="201"/>
      <c r="G498" s="201"/>
      <c r="H498" s="1"/>
      <c r="I498" s="1"/>
      <c r="J498" s="1"/>
      <c r="K498" s="1"/>
      <c r="L498" s="1"/>
      <c r="M498" s="1"/>
      <c r="N498" s="1"/>
      <c r="O498" s="1"/>
      <c r="P498" s="1"/>
      <c r="Q498" s="131"/>
      <c r="R498" s="18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201"/>
      <c r="F499" s="201"/>
      <c r="G499" s="201"/>
      <c r="H499" s="1"/>
      <c r="I499" s="1"/>
      <c r="J499" s="1"/>
      <c r="K499" s="1"/>
      <c r="L499" s="1"/>
      <c r="M499" s="1"/>
      <c r="N499" s="1"/>
      <c r="O499" s="1"/>
      <c r="P499" s="1"/>
      <c r="Q499" s="131"/>
      <c r="R499" s="18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201"/>
      <c r="F500" s="201"/>
      <c r="G500" s="201"/>
      <c r="H500" s="1"/>
      <c r="I500" s="1"/>
      <c r="J500" s="1"/>
      <c r="K500" s="1"/>
      <c r="L500" s="1"/>
      <c r="M500" s="1"/>
      <c r="N500" s="1"/>
      <c r="O500" s="1"/>
      <c r="P500" s="1"/>
      <c r="Q500" s="131"/>
      <c r="R500" s="18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201"/>
      <c r="F501" s="201"/>
      <c r="G501" s="201"/>
      <c r="H501" s="1"/>
      <c r="I501" s="1"/>
      <c r="J501" s="1"/>
      <c r="K501" s="1"/>
      <c r="L501" s="1"/>
      <c r="M501" s="1"/>
      <c r="N501" s="1"/>
      <c r="O501" s="1"/>
      <c r="P501" s="1"/>
      <c r="Q501" s="131"/>
      <c r="R501" s="18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201"/>
      <c r="F502" s="201"/>
      <c r="G502" s="201"/>
      <c r="H502" s="1"/>
      <c r="I502" s="1"/>
      <c r="J502" s="1"/>
      <c r="K502" s="1"/>
      <c r="L502" s="1"/>
      <c r="M502" s="1"/>
      <c r="N502" s="1"/>
      <c r="O502" s="1"/>
      <c r="P502" s="1"/>
      <c r="Q502" s="131"/>
      <c r="R502" s="18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201"/>
      <c r="F503" s="201"/>
      <c r="G503" s="201"/>
      <c r="H503" s="1"/>
      <c r="I503" s="1"/>
      <c r="J503" s="1"/>
      <c r="K503" s="1"/>
      <c r="L503" s="1"/>
      <c r="M503" s="1"/>
      <c r="N503" s="1"/>
      <c r="O503" s="1"/>
      <c r="P503" s="1"/>
      <c r="Q503" s="131"/>
      <c r="R503" s="18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201"/>
      <c r="F504" s="201"/>
      <c r="G504" s="201"/>
      <c r="H504" s="1"/>
      <c r="I504" s="1"/>
      <c r="J504" s="1"/>
      <c r="K504" s="1"/>
      <c r="L504" s="1"/>
      <c r="M504" s="1"/>
      <c r="N504" s="1"/>
      <c r="O504" s="1"/>
      <c r="P504" s="1"/>
      <c r="Q504" s="131"/>
      <c r="R504" s="18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201"/>
      <c r="F505" s="201"/>
      <c r="G505" s="201"/>
      <c r="H505" s="1"/>
      <c r="I505" s="1"/>
      <c r="J505" s="1"/>
      <c r="K505" s="1"/>
      <c r="L505" s="1"/>
      <c r="M505" s="1"/>
      <c r="N505" s="1"/>
      <c r="O505" s="1"/>
      <c r="P505" s="1"/>
      <c r="Q505" s="131"/>
      <c r="R505" s="18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201"/>
      <c r="F506" s="201"/>
      <c r="G506" s="201"/>
      <c r="H506" s="1"/>
      <c r="I506" s="1"/>
      <c r="J506" s="1"/>
      <c r="K506" s="1"/>
      <c r="L506" s="1"/>
      <c r="M506" s="1"/>
      <c r="N506" s="1"/>
      <c r="O506" s="1"/>
      <c r="P506" s="1"/>
      <c r="Q506" s="131"/>
      <c r="R506" s="18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201"/>
      <c r="F507" s="201"/>
      <c r="G507" s="201"/>
      <c r="H507" s="1"/>
      <c r="I507" s="1"/>
      <c r="J507" s="1"/>
      <c r="K507" s="1"/>
      <c r="L507" s="1"/>
      <c r="M507" s="1"/>
      <c r="N507" s="1"/>
      <c r="O507" s="1"/>
      <c r="P507" s="1"/>
      <c r="Q507" s="131"/>
      <c r="R507" s="18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201"/>
      <c r="F508" s="201"/>
      <c r="G508" s="201"/>
      <c r="H508" s="1"/>
      <c r="I508" s="1"/>
      <c r="J508" s="1"/>
      <c r="K508" s="1"/>
      <c r="L508" s="1"/>
      <c r="M508" s="1"/>
      <c r="N508" s="1"/>
      <c r="O508" s="1"/>
      <c r="P508" s="1"/>
      <c r="Q508" s="131"/>
      <c r="R508" s="18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201"/>
      <c r="F509" s="201"/>
      <c r="G509" s="201"/>
      <c r="H509" s="1"/>
      <c r="I509" s="1"/>
      <c r="J509" s="1"/>
      <c r="K509" s="1"/>
      <c r="L509" s="1"/>
      <c r="M509" s="1"/>
      <c r="N509" s="1"/>
      <c r="O509" s="1"/>
      <c r="P509" s="1"/>
      <c r="Q509" s="131"/>
      <c r="R509" s="18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201"/>
      <c r="F510" s="201"/>
      <c r="G510" s="201"/>
      <c r="H510" s="1"/>
      <c r="I510" s="1"/>
      <c r="J510" s="1"/>
      <c r="K510" s="1"/>
      <c r="L510" s="1"/>
      <c r="M510" s="1"/>
      <c r="N510" s="1"/>
      <c r="O510" s="1"/>
      <c r="P510" s="1"/>
      <c r="Q510" s="131"/>
      <c r="R510" s="18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201"/>
      <c r="F511" s="201"/>
      <c r="G511" s="201"/>
      <c r="H511" s="1"/>
      <c r="I511" s="1"/>
      <c r="J511" s="1"/>
      <c r="K511" s="1"/>
      <c r="L511" s="1"/>
      <c r="M511" s="1"/>
      <c r="N511" s="1"/>
      <c r="O511" s="1"/>
      <c r="P511" s="1"/>
      <c r="Q511" s="131"/>
      <c r="R511" s="18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201"/>
      <c r="F512" s="201"/>
      <c r="G512" s="201"/>
      <c r="H512" s="1"/>
      <c r="I512" s="1"/>
      <c r="J512" s="1"/>
      <c r="K512" s="1"/>
      <c r="L512" s="1"/>
      <c r="M512" s="1"/>
      <c r="N512" s="1"/>
      <c r="O512" s="1"/>
      <c r="P512" s="1"/>
      <c r="Q512" s="131"/>
      <c r="R512" s="18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201"/>
      <c r="F513" s="201"/>
      <c r="G513" s="201"/>
      <c r="H513" s="1"/>
      <c r="I513" s="1"/>
      <c r="J513" s="1"/>
      <c r="K513" s="1"/>
      <c r="L513" s="1"/>
      <c r="M513" s="1"/>
      <c r="N513" s="1"/>
      <c r="O513" s="1"/>
      <c r="P513" s="1"/>
      <c r="Q513" s="131"/>
      <c r="R513" s="18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201"/>
      <c r="F514" s="201"/>
      <c r="G514" s="201"/>
      <c r="H514" s="1"/>
      <c r="I514" s="1"/>
      <c r="J514" s="1"/>
      <c r="K514" s="1"/>
      <c r="L514" s="1"/>
      <c r="M514" s="1"/>
      <c r="N514" s="1"/>
      <c r="O514" s="1"/>
      <c r="P514" s="1"/>
      <c r="Q514" s="131"/>
      <c r="R514" s="18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201"/>
      <c r="F515" s="201"/>
      <c r="G515" s="201"/>
      <c r="H515" s="1"/>
      <c r="I515" s="1"/>
      <c r="J515" s="1"/>
      <c r="K515" s="1"/>
      <c r="L515" s="1"/>
      <c r="M515" s="1"/>
      <c r="N515" s="1"/>
      <c r="O515" s="1"/>
      <c r="P515" s="1"/>
      <c r="Q515" s="131"/>
      <c r="R515" s="18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201"/>
      <c r="F516" s="201"/>
      <c r="G516" s="201"/>
      <c r="H516" s="1"/>
      <c r="I516" s="1"/>
      <c r="J516" s="1"/>
      <c r="K516" s="1"/>
      <c r="L516" s="1"/>
      <c r="M516" s="1"/>
      <c r="N516" s="1"/>
      <c r="O516" s="1"/>
      <c r="P516" s="1"/>
      <c r="Q516" s="131"/>
      <c r="R516" s="18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201"/>
      <c r="F517" s="201"/>
      <c r="G517" s="201"/>
      <c r="H517" s="1"/>
      <c r="I517" s="1"/>
      <c r="J517" s="1"/>
      <c r="K517" s="1"/>
      <c r="L517" s="1"/>
      <c r="M517" s="1"/>
      <c r="N517" s="1"/>
      <c r="O517" s="1"/>
      <c r="P517" s="1"/>
      <c r="Q517" s="131"/>
      <c r="R517" s="18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201"/>
      <c r="F518" s="201"/>
      <c r="G518" s="201"/>
      <c r="H518" s="1"/>
      <c r="I518" s="1"/>
      <c r="J518" s="1"/>
      <c r="K518" s="1"/>
      <c r="L518" s="1"/>
      <c r="M518" s="1"/>
      <c r="N518" s="1"/>
      <c r="O518" s="1"/>
      <c r="P518" s="1"/>
      <c r="Q518" s="131"/>
      <c r="R518" s="18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201"/>
      <c r="F519" s="201"/>
      <c r="G519" s="201"/>
      <c r="H519" s="1"/>
      <c r="I519" s="1"/>
      <c r="J519" s="1"/>
      <c r="K519" s="1"/>
      <c r="L519" s="1"/>
      <c r="M519" s="1"/>
      <c r="N519" s="1"/>
      <c r="O519" s="1"/>
      <c r="P519" s="1"/>
      <c r="Q519" s="131"/>
      <c r="R519" s="18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201"/>
      <c r="F520" s="201"/>
      <c r="G520" s="201"/>
      <c r="H520" s="1"/>
      <c r="I520" s="1"/>
      <c r="J520" s="1"/>
      <c r="K520" s="1"/>
      <c r="L520" s="1"/>
      <c r="M520" s="1"/>
      <c r="N520" s="1"/>
      <c r="O520" s="1"/>
      <c r="P520" s="1"/>
      <c r="Q520" s="131"/>
      <c r="R520" s="18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201"/>
      <c r="F521" s="201"/>
      <c r="G521" s="201"/>
      <c r="H521" s="1"/>
      <c r="I521" s="1"/>
      <c r="J521" s="1"/>
      <c r="K521" s="1"/>
      <c r="L521" s="1"/>
      <c r="M521" s="1"/>
      <c r="N521" s="1"/>
      <c r="O521" s="1"/>
      <c r="P521" s="1"/>
      <c r="Q521" s="131"/>
      <c r="R521" s="18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201"/>
      <c r="F522" s="201"/>
      <c r="G522" s="201"/>
      <c r="H522" s="1"/>
      <c r="I522" s="1"/>
      <c r="J522" s="1"/>
      <c r="K522" s="1"/>
      <c r="L522" s="1"/>
      <c r="M522" s="1"/>
      <c r="N522" s="1"/>
      <c r="O522" s="1"/>
      <c r="P522" s="1"/>
      <c r="Q522" s="131"/>
      <c r="R522" s="18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201"/>
      <c r="F523" s="201"/>
      <c r="G523" s="201"/>
      <c r="H523" s="1"/>
      <c r="I523" s="1"/>
      <c r="J523" s="1"/>
      <c r="K523" s="1"/>
      <c r="L523" s="1"/>
      <c r="M523" s="1"/>
      <c r="N523" s="1"/>
      <c r="O523" s="1"/>
      <c r="P523" s="1"/>
      <c r="Q523" s="131"/>
      <c r="R523" s="18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201"/>
      <c r="F524" s="201"/>
      <c r="G524" s="201"/>
      <c r="H524" s="1"/>
      <c r="I524" s="1"/>
      <c r="J524" s="1"/>
      <c r="K524" s="1"/>
      <c r="L524" s="1"/>
      <c r="M524" s="1"/>
      <c r="N524" s="1"/>
      <c r="O524" s="1"/>
      <c r="P524" s="1"/>
      <c r="Q524" s="131"/>
      <c r="R524" s="18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201"/>
      <c r="F525" s="201"/>
      <c r="G525" s="201"/>
      <c r="H525" s="1"/>
      <c r="I525" s="1"/>
      <c r="J525" s="1"/>
      <c r="K525" s="1"/>
      <c r="L525" s="1"/>
      <c r="M525" s="1"/>
      <c r="N525" s="1"/>
      <c r="O525" s="1"/>
      <c r="P525" s="1"/>
      <c r="Q525" s="131"/>
      <c r="R525" s="18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201"/>
      <c r="F526" s="201"/>
      <c r="G526" s="201"/>
      <c r="H526" s="1"/>
      <c r="I526" s="1"/>
      <c r="J526" s="1"/>
      <c r="K526" s="1"/>
      <c r="L526" s="1"/>
      <c r="M526" s="1"/>
      <c r="N526" s="1"/>
      <c r="O526" s="1"/>
      <c r="P526" s="1"/>
      <c r="Q526" s="131"/>
      <c r="R526" s="18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201"/>
      <c r="F527" s="201"/>
      <c r="G527" s="201"/>
      <c r="H527" s="1"/>
      <c r="I527" s="1"/>
      <c r="J527" s="1"/>
      <c r="K527" s="1"/>
      <c r="L527" s="1"/>
      <c r="M527" s="1"/>
      <c r="N527" s="1"/>
      <c r="O527" s="1"/>
      <c r="P527" s="1"/>
      <c r="Q527" s="131"/>
      <c r="R527" s="18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201"/>
      <c r="F528" s="201"/>
      <c r="G528" s="201"/>
      <c r="H528" s="1"/>
      <c r="I528" s="1"/>
      <c r="J528" s="1"/>
      <c r="K528" s="1"/>
      <c r="L528" s="1"/>
      <c r="M528" s="1"/>
      <c r="N528" s="1"/>
      <c r="O528" s="1"/>
      <c r="P528" s="1"/>
      <c r="Q528" s="131"/>
      <c r="R528" s="18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201"/>
      <c r="F529" s="201"/>
      <c r="G529" s="201"/>
      <c r="H529" s="1"/>
      <c r="I529" s="1"/>
      <c r="J529" s="1"/>
      <c r="K529" s="1"/>
      <c r="L529" s="1"/>
      <c r="M529" s="1"/>
      <c r="N529" s="1"/>
      <c r="O529" s="1"/>
      <c r="P529" s="1"/>
      <c r="Q529" s="131"/>
      <c r="R529" s="18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201"/>
      <c r="F530" s="201"/>
      <c r="G530" s="201"/>
      <c r="H530" s="1"/>
      <c r="I530" s="1"/>
      <c r="J530" s="1"/>
      <c r="K530" s="1"/>
      <c r="L530" s="1"/>
      <c r="M530" s="1"/>
      <c r="N530" s="1"/>
      <c r="O530" s="1"/>
      <c r="P530" s="1"/>
      <c r="Q530" s="131"/>
      <c r="R530" s="18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201"/>
      <c r="F531" s="201"/>
      <c r="G531" s="201"/>
      <c r="H531" s="1"/>
      <c r="I531" s="1"/>
      <c r="J531" s="1"/>
      <c r="K531" s="1"/>
      <c r="L531" s="1"/>
      <c r="M531" s="1"/>
      <c r="N531" s="1"/>
      <c r="O531" s="1"/>
      <c r="P531" s="1"/>
      <c r="Q531" s="131"/>
      <c r="R531" s="18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201"/>
      <c r="F532" s="201"/>
      <c r="G532" s="201"/>
      <c r="H532" s="1"/>
      <c r="I532" s="1"/>
      <c r="J532" s="1"/>
      <c r="K532" s="1"/>
      <c r="L532" s="1"/>
      <c r="M532" s="1"/>
      <c r="N532" s="1"/>
      <c r="O532" s="1"/>
      <c r="P532" s="1"/>
      <c r="Q532" s="131"/>
      <c r="R532" s="18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201"/>
      <c r="F533" s="201"/>
      <c r="G533" s="201"/>
      <c r="H533" s="1"/>
      <c r="I533" s="1"/>
      <c r="J533" s="1"/>
      <c r="K533" s="1"/>
      <c r="L533" s="1"/>
      <c r="M533" s="1"/>
      <c r="N533" s="1"/>
      <c r="O533" s="1"/>
      <c r="P533" s="1"/>
      <c r="Q533" s="131"/>
      <c r="R533" s="18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201"/>
      <c r="F534" s="201"/>
      <c r="G534" s="201"/>
      <c r="H534" s="1"/>
      <c r="I534" s="1"/>
      <c r="J534" s="1"/>
      <c r="K534" s="1"/>
      <c r="L534" s="1"/>
      <c r="M534" s="1"/>
      <c r="N534" s="1"/>
      <c r="O534" s="1"/>
      <c r="P534" s="1"/>
      <c r="Q534" s="131"/>
      <c r="R534" s="18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201"/>
      <c r="F535" s="201"/>
      <c r="G535" s="201"/>
      <c r="H535" s="1"/>
      <c r="I535" s="1"/>
      <c r="J535" s="1"/>
      <c r="K535" s="1"/>
      <c r="L535" s="1"/>
      <c r="M535" s="1"/>
      <c r="N535" s="1"/>
      <c r="O535" s="1"/>
      <c r="P535" s="1"/>
      <c r="Q535" s="131"/>
      <c r="R535" s="18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201"/>
      <c r="F536" s="201"/>
      <c r="G536" s="201"/>
      <c r="H536" s="1"/>
      <c r="I536" s="1"/>
      <c r="J536" s="1"/>
      <c r="K536" s="1"/>
      <c r="L536" s="1"/>
      <c r="M536" s="1"/>
      <c r="N536" s="1"/>
      <c r="O536" s="1"/>
      <c r="P536" s="1"/>
      <c r="Q536" s="131"/>
      <c r="R536" s="18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201"/>
      <c r="F537" s="201"/>
      <c r="G537" s="201"/>
      <c r="H537" s="1"/>
      <c r="I537" s="1"/>
      <c r="J537" s="1"/>
      <c r="K537" s="1"/>
      <c r="L537" s="1"/>
      <c r="M537" s="1"/>
      <c r="N537" s="1"/>
      <c r="O537" s="1"/>
      <c r="P537" s="1"/>
      <c r="Q537" s="131"/>
      <c r="R537" s="18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201"/>
      <c r="F538" s="201"/>
      <c r="G538" s="201"/>
      <c r="H538" s="1"/>
      <c r="I538" s="1"/>
      <c r="J538" s="1"/>
      <c r="K538" s="1"/>
      <c r="L538" s="1"/>
      <c r="M538" s="1"/>
      <c r="N538" s="1"/>
      <c r="O538" s="1"/>
      <c r="P538" s="1"/>
      <c r="Q538" s="131"/>
      <c r="R538" s="18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201"/>
      <c r="F539" s="201"/>
      <c r="G539" s="201"/>
      <c r="H539" s="1"/>
      <c r="I539" s="1"/>
      <c r="J539" s="1"/>
      <c r="K539" s="1"/>
      <c r="L539" s="1"/>
      <c r="M539" s="1"/>
      <c r="N539" s="1"/>
      <c r="O539" s="1"/>
      <c r="P539" s="1"/>
      <c r="Q539" s="131"/>
      <c r="R539" s="18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201"/>
      <c r="F540" s="201"/>
      <c r="G540" s="201"/>
      <c r="H540" s="1"/>
      <c r="I540" s="1"/>
      <c r="J540" s="1"/>
      <c r="K540" s="1"/>
      <c r="L540" s="1"/>
      <c r="M540" s="1"/>
      <c r="N540" s="1"/>
      <c r="O540" s="1"/>
      <c r="P540" s="1"/>
      <c r="Q540" s="131"/>
      <c r="R540" s="18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201"/>
      <c r="F541" s="201"/>
      <c r="G541" s="201"/>
      <c r="H541" s="1"/>
      <c r="I541" s="1"/>
      <c r="J541" s="1"/>
      <c r="K541" s="1"/>
      <c r="L541" s="1"/>
      <c r="M541" s="1"/>
      <c r="N541" s="1"/>
      <c r="O541" s="1"/>
      <c r="P541" s="1"/>
      <c r="Q541" s="131"/>
      <c r="R541" s="18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201"/>
      <c r="F542" s="201"/>
      <c r="G542" s="201"/>
      <c r="H542" s="1"/>
      <c r="I542" s="1"/>
      <c r="J542" s="1"/>
      <c r="K542" s="1"/>
      <c r="L542" s="1"/>
      <c r="M542" s="1"/>
      <c r="N542" s="1"/>
      <c r="O542" s="1"/>
      <c r="P542" s="1"/>
      <c r="Q542" s="131"/>
      <c r="R542" s="18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201"/>
      <c r="F543" s="201"/>
      <c r="G543" s="201"/>
      <c r="H543" s="1"/>
      <c r="I543" s="1"/>
      <c r="J543" s="1"/>
      <c r="K543" s="1"/>
      <c r="L543" s="1"/>
      <c r="M543" s="1"/>
      <c r="N543" s="1"/>
      <c r="O543" s="1"/>
      <c r="P543" s="1"/>
      <c r="Q543" s="131"/>
      <c r="R543" s="18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201"/>
      <c r="F544" s="201"/>
      <c r="G544" s="201"/>
      <c r="H544" s="1"/>
      <c r="I544" s="1"/>
      <c r="J544" s="1"/>
      <c r="K544" s="1"/>
      <c r="L544" s="1"/>
      <c r="M544" s="1"/>
      <c r="N544" s="1"/>
      <c r="O544" s="1"/>
      <c r="P544" s="1"/>
      <c r="Q544" s="131"/>
      <c r="R544" s="18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201"/>
      <c r="F545" s="201"/>
      <c r="G545" s="201"/>
      <c r="H545" s="1"/>
      <c r="I545" s="1"/>
      <c r="J545" s="1"/>
      <c r="K545" s="1"/>
      <c r="L545" s="1"/>
      <c r="M545" s="1"/>
      <c r="N545" s="1"/>
      <c r="O545" s="1"/>
      <c r="P545" s="1"/>
      <c r="Q545" s="131"/>
      <c r="R545" s="18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201"/>
      <c r="F546" s="201"/>
      <c r="G546" s="201"/>
      <c r="H546" s="1"/>
      <c r="I546" s="1"/>
      <c r="J546" s="1"/>
      <c r="K546" s="1"/>
      <c r="L546" s="1"/>
      <c r="M546" s="1"/>
      <c r="N546" s="1"/>
      <c r="O546" s="1"/>
      <c r="P546" s="1"/>
      <c r="Q546" s="131"/>
      <c r="R546" s="18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201"/>
      <c r="F547" s="201"/>
      <c r="G547" s="201"/>
      <c r="H547" s="1"/>
      <c r="I547" s="1"/>
      <c r="J547" s="1"/>
      <c r="K547" s="1"/>
      <c r="L547" s="1"/>
      <c r="M547" s="1"/>
      <c r="N547" s="1"/>
      <c r="O547" s="1"/>
      <c r="P547" s="1"/>
      <c r="Q547" s="131"/>
      <c r="R547" s="18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201"/>
      <c r="F548" s="201"/>
      <c r="G548" s="201"/>
      <c r="H548" s="1"/>
      <c r="I548" s="1"/>
      <c r="J548" s="1"/>
      <c r="K548" s="1"/>
      <c r="L548" s="1"/>
      <c r="M548" s="1"/>
      <c r="N548" s="1"/>
      <c r="O548" s="1"/>
      <c r="P548" s="1"/>
      <c r="Q548" s="131"/>
      <c r="R548" s="18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201"/>
      <c r="F549" s="201"/>
      <c r="G549" s="201"/>
      <c r="H549" s="1"/>
      <c r="I549" s="1"/>
      <c r="J549" s="1"/>
      <c r="K549" s="1"/>
      <c r="L549" s="1"/>
      <c r="M549" s="1"/>
      <c r="N549" s="1"/>
      <c r="O549" s="1"/>
      <c r="P549" s="1"/>
      <c r="Q549" s="131"/>
      <c r="R549" s="18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201"/>
      <c r="F550" s="201"/>
      <c r="G550" s="201"/>
      <c r="H550" s="1"/>
      <c r="I550" s="1"/>
      <c r="J550" s="1"/>
      <c r="K550" s="1"/>
      <c r="L550" s="1"/>
      <c r="M550" s="1"/>
      <c r="N550" s="1"/>
      <c r="O550" s="1"/>
      <c r="P550" s="1"/>
      <c r="Q550" s="131"/>
      <c r="R550" s="18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201"/>
      <c r="F551" s="201"/>
      <c r="G551" s="201"/>
      <c r="H551" s="1"/>
      <c r="I551" s="1"/>
      <c r="J551" s="1"/>
      <c r="K551" s="1"/>
      <c r="L551" s="1"/>
      <c r="M551" s="1"/>
      <c r="N551" s="1"/>
      <c r="O551" s="1"/>
      <c r="P551" s="1"/>
      <c r="Q551" s="131"/>
      <c r="R551" s="18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201"/>
      <c r="F552" s="201"/>
      <c r="G552" s="201"/>
      <c r="H552" s="1"/>
      <c r="I552" s="1"/>
      <c r="J552" s="1"/>
      <c r="K552" s="1"/>
      <c r="L552" s="1"/>
      <c r="M552" s="1"/>
      <c r="N552" s="1"/>
      <c r="O552" s="1"/>
      <c r="P552" s="1"/>
      <c r="Q552" s="131"/>
      <c r="R552" s="18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201"/>
      <c r="F553" s="201"/>
      <c r="G553" s="201"/>
      <c r="H553" s="1"/>
      <c r="I553" s="1"/>
      <c r="J553" s="1"/>
      <c r="K553" s="1"/>
      <c r="L553" s="1"/>
      <c r="M553" s="1"/>
      <c r="N553" s="1"/>
      <c r="O553" s="1"/>
      <c r="P553" s="1"/>
      <c r="Q553" s="131"/>
      <c r="R553" s="18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201"/>
      <c r="F554" s="201"/>
      <c r="G554" s="201"/>
      <c r="H554" s="1"/>
      <c r="I554" s="1"/>
      <c r="J554" s="1"/>
      <c r="K554" s="1"/>
      <c r="L554" s="1"/>
      <c r="M554" s="1"/>
      <c r="N554" s="1"/>
      <c r="O554" s="1"/>
      <c r="P554" s="1"/>
      <c r="Q554" s="131"/>
      <c r="R554" s="18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201"/>
      <c r="F555" s="201"/>
      <c r="G555" s="201"/>
      <c r="H555" s="1"/>
      <c r="I555" s="1"/>
      <c r="J555" s="1"/>
      <c r="K555" s="1"/>
      <c r="L555" s="1"/>
      <c r="M555" s="1"/>
      <c r="N555" s="1"/>
      <c r="O555" s="1"/>
      <c r="P555" s="1"/>
      <c r="Q555" s="131"/>
      <c r="R555" s="18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201"/>
      <c r="F556" s="201"/>
      <c r="G556" s="201"/>
      <c r="H556" s="1"/>
      <c r="I556" s="1"/>
      <c r="J556" s="1"/>
      <c r="K556" s="1"/>
      <c r="L556" s="1"/>
      <c r="M556" s="1"/>
      <c r="N556" s="1"/>
      <c r="O556" s="1"/>
      <c r="P556" s="1"/>
      <c r="Q556" s="131"/>
      <c r="R556" s="18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201"/>
      <c r="F557" s="201"/>
      <c r="G557" s="201"/>
      <c r="H557" s="1"/>
      <c r="I557" s="1"/>
      <c r="J557" s="1"/>
      <c r="K557" s="1"/>
      <c r="L557" s="1"/>
      <c r="M557" s="1"/>
      <c r="N557" s="1"/>
      <c r="O557" s="1"/>
      <c r="P557" s="1"/>
      <c r="Q557" s="131"/>
      <c r="R557" s="18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201"/>
      <c r="F558" s="201"/>
      <c r="G558" s="201"/>
      <c r="H558" s="1"/>
      <c r="I558" s="1"/>
      <c r="J558" s="1"/>
      <c r="K558" s="1"/>
      <c r="L558" s="1"/>
      <c r="M558" s="1"/>
      <c r="N558" s="1"/>
      <c r="O558" s="1"/>
      <c r="P558" s="1"/>
      <c r="Q558" s="131"/>
      <c r="R558" s="18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201"/>
      <c r="F559" s="201"/>
      <c r="G559" s="201"/>
      <c r="H559" s="1"/>
      <c r="I559" s="1"/>
      <c r="J559" s="1"/>
      <c r="K559" s="1"/>
      <c r="L559" s="1"/>
      <c r="M559" s="1"/>
      <c r="N559" s="1"/>
      <c r="O559" s="1"/>
      <c r="P559" s="1"/>
      <c r="Q559" s="131"/>
      <c r="R559" s="18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201"/>
      <c r="F560" s="201"/>
      <c r="G560" s="201"/>
      <c r="H560" s="1"/>
      <c r="I560" s="1"/>
      <c r="J560" s="1"/>
      <c r="K560" s="1"/>
      <c r="L560" s="1"/>
      <c r="M560" s="1"/>
      <c r="N560" s="1"/>
      <c r="O560" s="1"/>
      <c r="P560" s="1"/>
      <c r="Q560" s="131"/>
      <c r="R560" s="18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201"/>
      <c r="F561" s="201"/>
      <c r="G561" s="201"/>
      <c r="H561" s="1"/>
      <c r="I561" s="1"/>
      <c r="J561" s="1"/>
      <c r="K561" s="1"/>
      <c r="L561" s="1"/>
      <c r="M561" s="1"/>
      <c r="N561" s="1"/>
      <c r="O561" s="1"/>
      <c r="P561" s="1"/>
      <c r="Q561" s="131"/>
      <c r="R561" s="18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201"/>
      <c r="F562" s="201"/>
      <c r="G562" s="201"/>
      <c r="H562" s="1"/>
      <c r="I562" s="1"/>
      <c r="J562" s="1"/>
      <c r="K562" s="1"/>
      <c r="L562" s="1"/>
      <c r="M562" s="1"/>
      <c r="N562" s="1"/>
      <c r="O562" s="1"/>
      <c r="P562" s="1"/>
      <c r="Q562" s="131"/>
      <c r="R562" s="18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201"/>
      <c r="F563" s="201"/>
      <c r="G563" s="201"/>
      <c r="H563" s="1"/>
      <c r="I563" s="1"/>
      <c r="J563" s="1"/>
      <c r="K563" s="1"/>
      <c r="L563" s="1"/>
      <c r="M563" s="1"/>
      <c r="N563" s="1"/>
      <c r="O563" s="1"/>
      <c r="P563" s="1"/>
      <c r="Q563" s="131"/>
      <c r="R563" s="18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201"/>
      <c r="F564" s="201"/>
      <c r="G564" s="201"/>
      <c r="H564" s="1"/>
      <c r="I564" s="1"/>
      <c r="J564" s="1"/>
      <c r="K564" s="1"/>
      <c r="L564" s="1"/>
      <c r="M564" s="1"/>
      <c r="N564" s="1"/>
      <c r="O564" s="1"/>
      <c r="P564" s="1"/>
      <c r="Q564" s="131"/>
      <c r="R564" s="18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201"/>
      <c r="F565" s="201"/>
      <c r="G565" s="201"/>
      <c r="H565" s="1"/>
      <c r="I565" s="1"/>
      <c r="J565" s="1"/>
      <c r="K565" s="1"/>
      <c r="L565" s="1"/>
      <c r="M565" s="1"/>
      <c r="N565" s="1"/>
      <c r="O565" s="1"/>
      <c r="P565" s="1"/>
      <c r="Q565" s="131"/>
      <c r="R565" s="18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201"/>
      <c r="F566" s="201"/>
      <c r="G566" s="201"/>
      <c r="H566" s="1"/>
      <c r="I566" s="1"/>
      <c r="J566" s="1"/>
      <c r="K566" s="1"/>
      <c r="L566" s="1"/>
      <c r="M566" s="1"/>
      <c r="N566" s="1"/>
      <c r="O566" s="1"/>
      <c r="P566" s="1"/>
      <c r="Q566" s="131"/>
      <c r="R566" s="18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201"/>
      <c r="F567" s="201"/>
      <c r="G567" s="201"/>
      <c r="H567" s="1"/>
      <c r="I567" s="1"/>
      <c r="J567" s="1"/>
      <c r="K567" s="1"/>
      <c r="L567" s="1"/>
      <c r="M567" s="1"/>
      <c r="N567" s="1"/>
      <c r="O567" s="1"/>
      <c r="P567" s="1"/>
      <c r="Q567" s="131"/>
      <c r="R567" s="18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201"/>
      <c r="F568" s="201"/>
      <c r="G568" s="201"/>
      <c r="H568" s="1"/>
      <c r="I568" s="1"/>
      <c r="J568" s="1"/>
      <c r="K568" s="1"/>
      <c r="L568" s="1"/>
      <c r="M568" s="1"/>
      <c r="N568" s="1"/>
      <c r="O568" s="1"/>
      <c r="P568" s="1"/>
      <c r="Q568" s="131"/>
      <c r="R568" s="18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201"/>
      <c r="F569" s="201"/>
      <c r="G569" s="201"/>
      <c r="H569" s="1"/>
      <c r="I569" s="1"/>
      <c r="J569" s="1"/>
      <c r="K569" s="1"/>
      <c r="L569" s="1"/>
      <c r="M569" s="1"/>
      <c r="N569" s="1"/>
      <c r="O569" s="1"/>
      <c r="P569" s="1"/>
      <c r="Q569" s="131"/>
      <c r="R569" s="18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201"/>
      <c r="F570" s="201"/>
      <c r="G570" s="201"/>
      <c r="H570" s="1"/>
      <c r="I570" s="1"/>
      <c r="J570" s="1"/>
      <c r="K570" s="1"/>
      <c r="L570" s="1"/>
      <c r="M570" s="1"/>
      <c r="N570" s="1"/>
      <c r="O570" s="1"/>
      <c r="P570" s="1"/>
      <c r="Q570" s="131"/>
      <c r="R570" s="18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201"/>
      <c r="F571" s="201"/>
      <c r="G571" s="201"/>
      <c r="H571" s="1"/>
      <c r="I571" s="1"/>
      <c r="J571" s="1"/>
      <c r="K571" s="1"/>
      <c r="L571" s="1"/>
      <c r="M571" s="1"/>
      <c r="N571" s="1"/>
      <c r="O571" s="1"/>
      <c r="P571" s="1"/>
      <c r="Q571" s="131"/>
      <c r="R571" s="18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201"/>
      <c r="F572" s="201"/>
      <c r="G572" s="201"/>
      <c r="H572" s="1"/>
      <c r="I572" s="1"/>
      <c r="J572" s="1"/>
      <c r="K572" s="1"/>
      <c r="L572" s="1"/>
      <c r="M572" s="1"/>
      <c r="N572" s="1"/>
      <c r="O572" s="1"/>
      <c r="P572" s="1"/>
      <c r="Q572" s="131"/>
      <c r="R572" s="18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201"/>
      <c r="F573" s="201"/>
      <c r="G573" s="201"/>
      <c r="H573" s="1"/>
      <c r="I573" s="1"/>
      <c r="J573" s="1"/>
      <c r="K573" s="1"/>
      <c r="L573" s="1"/>
      <c r="M573" s="1"/>
      <c r="N573" s="1"/>
      <c r="O573" s="1"/>
      <c r="P573" s="1"/>
      <c r="Q573" s="131"/>
      <c r="R573" s="18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201"/>
      <c r="F574" s="201"/>
      <c r="G574" s="201"/>
      <c r="H574" s="1"/>
      <c r="I574" s="1"/>
      <c r="J574" s="1"/>
      <c r="K574" s="1"/>
      <c r="L574" s="1"/>
      <c r="M574" s="1"/>
      <c r="N574" s="1"/>
      <c r="O574" s="1"/>
      <c r="P574" s="1"/>
      <c r="Q574" s="131"/>
      <c r="R574" s="18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201"/>
      <c r="F575" s="201"/>
      <c r="G575" s="201"/>
      <c r="H575" s="1"/>
      <c r="I575" s="1"/>
      <c r="J575" s="1"/>
      <c r="K575" s="1"/>
      <c r="L575" s="1"/>
      <c r="M575" s="1"/>
      <c r="N575" s="1"/>
      <c r="O575" s="1"/>
      <c r="P575" s="1"/>
      <c r="Q575" s="131"/>
      <c r="R575" s="18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201"/>
      <c r="F576" s="201"/>
      <c r="G576" s="201"/>
      <c r="H576" s="1"/>
      <c r="I576" s="1"/>
      <c r="J576" s="1"/>
      <c r="K576" s="1"/>
      <c r="L576" s="1"/>
      <c r="M576" s="1"/>
      <c r="N576" s="1"/>
      <c r="O576" s="1"/>
      <c r="P576" s="1"/>
      <c r="Q576" s="131"/>
      <c r="R576" s="18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201"/>
      <c r="F577" s="201"/>
      <c r="G577" s="201"/>
      <c r="H577" s="1"/>
      <c r="I577" s="1"/>
      <c r="J577" s="1"/>
      <c r="K577" s="1"/>
      <c r="L577" s="1"/>
      <c r="M577" s="1"/>
      <c r="N577" s="1"/>
      <c r="O577" s="1"/>
      <c r="P577" s="1"/>
      <c r="Q577" s="131"/>
      <c r="R577" s="18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201"/>
      <c r="F578" s="201"/>
      <c r="G578" s="201"/>
      <c r="H578" s="1"/>
      <c r="I578" s="1"/>
      <c r="J578" s="1"/>
      <c r="K578" s="1"/>
      <c r="L578" s="1"/>
      <c r="M578" s="1"/>
      <c r="N578" s="1"/>
      <c r="O578" s="1"/>
      <c r="P578" s="1"/>
      <c r="Q578" s="131"/>
      <c r="R578" s="18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201"/>
      <c r="F579" s="201"/>
      <c r="G579" s="201"/>
      <c r="H579" s="1"/>
      <c r="I579" s="1"/>
      <c r="J579" s="1"/>
      <c r="K579" s="1"/>
      <c r="L579" s="1"/>
      <c r="M579" s="1"/>
      <c r="N579" s="1"/>
      <c r="O579" s="1"/>
      <c r="P579" s="1"/>
      <c r="Q579" s="131"/>
      <c r="R579" s="18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201"/>
      <c r="F580" s="201"/>
      <c r="G580" s="201"/>
      <c r="H580" s="1"/>
      <c r="I580" s="1"/>
      <c r="J580" s="1"/>
      <c r="K580" s="1"/>
      <c r="L580" s="1"/>
      <c r="M580" s="1"/>
      <c r="N580" s="1"/>
      <c r="O580" s="1"/>
      <c r="P580" s="1"/>
      <c r="Q580" s="131"/>
      <c r="R580" s="18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201"/>
      <c r="F581" s="201"/>
      <c r="G581" s="201"/>
      <c r="H581" s="1"/>
      <c r="I581" s="1"/>
      <c r="J581" s="1"/>
      <c r="K581" s="1"/>
      <c r="L581" s="1"/>
      <c r="M581" s="1"/>
      <c r="N581" s="1"/>
      <c r="O581" s="1"/>
      <c r="P581" s="1"/>
      <c r="Q581" s="131"/>
      <c r="R581" s="18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201"/>
      <c r="F582" s="201"/>
      <c r="G582" s="201"/>
      <c r="H582" s="1"/>
      <c r="I582" s="1"/>
      <c r="J582" s="1"/>
      <c r="K582" s="1"/>
      <c r="L582" s="1"/>
      <c r="M582" s="1"/>
      <c r="N582" s="1"/>
      <c r="O582" s="1"/>
      <c r="P582" s="1"/>
      <c r="Q582" s="131"/>
      <c r="R582" s="18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201"/>
      <c r="F583" s="201"/>
      <c r="G583" s="201"/>
      <c r="H583" s="1"/>
      <c r="I583" s="1"/>
      <c r="J583" s="1"/>
      <c r="K583" s="1"/>
      <c r="L583" s="1"/>
      <c r="M583" s="1"/>
      <c r="N583" s="1"/>
      <c r="O583" s="1"/>
      <c r="P583" s="1"/>
      <c r="Q583" s="131"/>
      <c r="R583" s="18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201"/>
      <c r="F584" s="201"/>
      <c r="G584" s="201"/>
      <c r="H584" s="1"/>
      <c r="I584" s="1"/>
      <c r="J584" s="1"/>
      <c r="K584" s="1"/>
      <c r="L584" s="1"/>
      <c r="M584" s="1"/>
      <c r="N584" s="1"/>
      <c r="O584" s="1"/>
      <c r="P584" s="1"/>
      <c r="Q584" s="131"/>
      <c r="R584" s="18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201"/>
      <c r="F585" s="201"/>
      <c r="G585" s="201"/>
      <c r="H585" s="1"/>
      <c r="I585" s="1"/>
      <c r="J585" s="1"/>
      <c r="K585" s="1"/>
      <c r="L585" s="1"/>
      <c r="M585" s="1"/>
      <c r="N585" s="1"/>
      <c r="O585" s="1"/>
      <c r="P585" s="1"/>
      <c r="Q585" s="131"/>
      <c r="R585" s="18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201"/>
      <c r="F586" s="201"/>
      <c r="G586" s="201"/>
      <c r="H586" s="1"/>
      <c r="I586" s="1"/>
      <c r="J586" s="1"/>
      <c r="K586" s="1"/>
      <c r="L586" s="1"/>
      <c r="M586" s="1"/>
      <c r="N586" s="1"/>
      <c r="O586" s="1"/>
      <c r="P586" s="1"/>
      <c r="Q586" s="131"/>
      <c r="R586" s="18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201"/>
      <c r="F587" s="201"/>
      <c r="G587" s="201"/>
      <c r="H587" s="1"/>
      <c r="I587" s="1"/>
      <c r="J587" s="1"/>
      <c r="K587" s="1"/>
      <c r="L587" s="1"/>
      <c r="M587" s="1"/>
      <c r="N587" s="1"/>
      <c r="O587" s="1"/>
      <c r="P587" s="1"/>
      <c r="Q587" s="131"/>
      <c r="R587" s="18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201"/>
      <c r="F588" s="201"/>
      <c r="G588" s="201"/>
      <c r="H588" s="1"/>
      <c r="I588" s="1"/>
      <c r="J588" s="1"/>
      <c r="K588" s="1"/>
      <c r="L588" s="1"/>
      <c r="M588" s="1"/>
      <c r="N588" s="1"/>
      <c r="O588" s="1"/>
      <c r="P588" s="1"/>
      <c r="Q588" s="131"/>
      <c r="R588" s="18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201"/>
      <c r="F589" s="201"/>
      <c r="G589" s="201"/>
      <c r="H589" s="1"/>
      <c r="I589" s="1"/>
      <c r="J589" s="1"/>
      <c r="K589" s="1"/>
      <c r="L589" s="1"/>
      <c r="M589" s="1"/>
      <c r="N589" s="1"/>
      <c r="O589" s="1"/>
      <c r="P589" s="1"/>
      <c r="Q589" s="131"/>
      <c r="R589" s="18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201"/>
      <c r="F590" s="201"/>
      <c r="G590" s="201"/>
      <c r="H590" s="1"/>
      <c r="I590" s="1"/>
      <c r="J590" s="1"/>
      <c r="K590" s="1"/>
      <c r="L590" s="1"/>
      <c r="M590" s="1"/>
      <c r="N590" s="1"/>
      <c r="O590" s="1"/>
      <c r="P590" s="1"/>
      <c r="Q590" s="131"/>
      <c r="R590" s="18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201"/>
      <c r="F591" s="201"/>
      <c r="G591" s="201"/>
      <c r="H591" s="1"/>
      <c r="I591" s="1"/>
      <c r="J591" s="1"/>
      <c r="K591" s="1"/>
      <c r="L591" s="1"/>
      <c r="M591" s="1"/>
      <c r="N591" s="1"/>
      <c r="O591" s="1"/>
      <c r="P591" s="1"/>
      <c r="Q591" s="131"/>
      <c r="R591" s="18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201"/>
      <c r="F592" s="201"/>
      <c r="G592" s="201"/>
      <c r="H592" s="1"/>
      <c r="I592" s="1"/>
      <c r="J592" s="1"/>
      <c r="K592" s="1"/>
      <c r="L592" s="1"/>
      <c r="M592" s="1"/>
      <c r="N592" s="1"/>
      <c r="O592" s="1"/>
      <c r="P592" s="1"/>
      <c r="Q592" s="131"/>
      <c r="R592" s="18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201"/>
      <c r="F593" s="201"/>
      <c r="G593" s="201"/>
      <c r="H593" s="1"/>
      <c r="I593" s="1"/>
      <c r="J593" s="1"/>
      <c r="K593" s="1"/>
      <c r="L593" s="1"/>
      <c r="M593" s="1"/>
      <c r="N593" s="1"/>
      <c r="O593" s="1"/>
      <c r="P593" s="1"/>
      <c r="Q593" s="131"/>
      <c r="R593" s="18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201"/>
      <c r="F594" s="201"/>
      <c r="G594" s="201"/>
      <c r="H594" s="1"/>
      <c r="I594" s="1"/>
      <c r="J594" s="1"/>
      <c r="K594" s="1"/>
      <c r="L594" s="1"/>
      <c r="M594" s="1"/>
      <c r="N594" s="1"/>
      <c r="O594" s="1"/>
      <c r="P594" s="1"/>
      <c r="Q594" s="131"/>
      <c r="R594" s="18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201"/>
      <c r="F595" s="201"/>
      <c r="G595" s="201"/>
      <c r="H595" s="1"/>
      <c r="I595" s="1"/>
      <c r="J595" s="1"/>
      <c r="K595" s="1"/>
      <c r="L595" s="1"/>
      <c r="M595" s="1"/>
      <c r="N595" s="1"/>
      <c r="O595" s="1"/>
      <c r="P595" s="1"/>
      <c r="Q595" s="131"/>
      <c r="R595" s="18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201"/>
      <c r="F596" s="201"/>
      <c r="G596" s="201"/>
      <c r="H596" s="1"/>
      <c r="I596" s="1"/>
      <c r="J596" s="1"/>
      <c r="K596" s="1"/>
      <c r="L596" s="1"/>
      <c r="M596" s="1"/>
      <c r="N596" s="1"/>
      <c r="O596" s="1"/>
      <c r="P596" s="1"/>
      <c r="Q596" s="131"/>
      <c r="R596" s="18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201"/>
      <c r="F597" s="201"/>
      <c r="G597" s="201"/>
      <c r="H597" s="1"/>
      <c r="I597" s="1"/>
      <c r="J597" s="1"/>
      <c r="K597" s="1"/>
      <c r="L597" s="1"/>
      <c r="M597" s="1"/>
      <c r="N597" s="1"/>
      <c r="O597" s="1"/>
      <c r="P597" s="1"/>
      <c r="Q597" s="131"/>
      <c r="R597" s="18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201"/>
      <c r="F598" s="201"/>
      <c r="G598" s="201"/>
      <c r="H598" s="1"/>
      <c r="I598" s="1"/>
      <c r="J598" s="1"/>
      <c r="K598" s="1"/>
      <c r="L598" s="1"/>
      <c r="M598" s="1"/>
      <c r="N598" s="1"/>
      <c r="O598" s="1"/>
      <c r="P598" s="1"/>
      <c r="Q598" s="131"/>
      <c r="R598" s="18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201"/>
      <c r="F599" s="201"/>
      <c r="G599" s="201"/>
      <c r="H599" s="1"/>
      <c r="I599" s="1"/>
      <c r="J599" s="1"/>
      <c r="K599" s="1"/>
      <c r="L599" s="1"/>
      <c r="M599" s="1"/>
      <c r="N599" s="1"/>
      <c r="O599" s="1"/>
      <c r="P599" s="1"/>
      <c r="Q599" s="131"/>
      <c r="R599" s="18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201"/>
      <c r="F600" s="201"/>
      <c r="G600" s="201"/>
      <c r="H600" s="1"/>
      <c r="I600" s="1"/>
      <c r="J600" s="1"/>
      <c r="K600" s="1"/>
      <c r="L600" s="1"/>
      <c r="M600" s="1"/>
      <c r="N600" s="1"/>
      <c r="O600" s="1"/>
      <c r="P600" s="1"/>
      <c r="Q600" s="131"/>
      <c r="R600" s="18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201"/>
      <c r="F601" s="201"/>
      <c r="G601" s="201"/>
      <c r="H601" s="1"/>
      <c r="I601" s="1"/>
      <c r="J601" s="1"/>
      <c r="K601" s="1"/>
      <c r="L601" s="1"/>
      <c r="M601" s="1"/>
      <c r="N601" s="1"/>
      <c r="O601" s="1"/>
      <c r="P601" s="1"/>
      <c r="Q601" s="131"/>
      <c r="R601" s="18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201"/>
      <c r="F602" s="201"/>
      <c r="G602" s="201"/>
      <c r="H602" s="1"/>
      <c r="I602" s="1"/>
      <c r="J602" s="1"/>
      <c r="K602" s="1"/>
      <c r="L602" s="1"/>
      <c r="M602" s="1"/>
      <c r="N602" s="1"/>
      <c r="O602" s="1"/>
      <c r="P602" s="1"/>
      <c r="Q602" s="131"/>
      <c r="R602" s="18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201"/>
      <c r="F603" s="201"/>
      <c r="G603" s="201"/>
      <c r="H603" s="1"/>
      <c r="I603" s="1"/>
      <c r="J603" s="1"/>
      <c r="K603" s="1"/>
      <c r="L603" s="1"/>
      <c r="M603" s="1"/>
      <c r="N603" s="1"/>
      <c r="O603" s="1"/>
      <c r="P603" s="1"/>
      <c r="Q603" s="131"/>
      <c r="R603" s="18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201"/>
      <c r="F604" s="201"/>
      <c r="G604" s="201"/>
      <c r="H604" s="1"/>
      <c r="I604" s="1"/>
      <c r="J604" s="1"/>
      <c r="K604" s="1"/>
      <c r="L604" s="1"/>
      <c r="M604" s="1"/>
      <c r="N604" s="1"/>
      <c r="O604" s="1"/>
      <c r="P604" s="1"/>
      <c r="Q604" s="131"/>
      <c r="R604" s="18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201"/>
      <c r="F605" s="201"/>
      <c r="G605" s="201"/>
      <c r="H605" s="1"/>
      <c r="I605" s="1"/>
      <c r="J605" s="1"/>
      <c r="K605" s="1"/>
      <c r="L605" s="1"/>
      <c r="M605" s="1"/>
      <c r="N605" s="1"/>
      <c r="O605" s="1"/>
      <c r="P605" s="1"/>
      <c r="Q605" s="131"/>
      <c r="R605" s="18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201"/>
      <c r="F606" s="201"/>
      <c r="G606" s="201"/>
      <c r="H606" s="1"/>
      <c r="I606" s="1"/>
      <c r="J606" s="1"/>
      <c r="K606" s="1"/>
      <c r="L606" s="1"/>
      <c r="M606" s="1"/>
      <c r="N606" s="1"/>
      <c r="O606" s="1"/>
      <c r="P606" s="1"/>
      <c r="Q606" s="131"/>
      <c r="R606" s="18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201"/>
      <c r="F607" s="201"/>
      <c r="G607" s="201"/>
      <c r="H607" s="1"/>
      <c r="I607" s="1"/>
      <c r="J607" s="1"/>
      <c r="K607" s="1"/>
      <c r="L607" s="1"/>
      <c r="M607" s="1"/>
      <c r="N607" s="1"/>
      <c r="O607" s="1"/>
      <c r="P607" s="1"/>
      <c r="Q607" s="131"/>
      <c r="R607" s="18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201"/>
      <c r="F608" s="201"/>
      <c r="G608" s="201"/>
      <c r="H608" s="1"/>
      <c r="I608" s="1"/>
      <c r="J608" s="1"/>
      <c r="K608" s="1"/>
      <c r="L608" s="1"/>
      <c r="M608" s="1"/>
      <c r="N608" s="1"/>
      <c r="O608" s="1"/>
      <c r="P608" s="1"/>
      <c r="Q608" s="131"/>
      <c r="R608" s="18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201"/>
      <c r="F609" s="201"/>
      <c r="G609" s="201"/>
      <c r="H609" s="1"/>
      <c r="I609" s="1"/>
      <c r="J609" s="1"/>
      <c r="K609" s="1"/>
      <c r="L609" s="1"/>
      <c r="M609" s="1"/>
      <c r="N609" s="1"/>
      <c r="O609" s="1"/>
      <c r="P609" s="1"/>
      <c r="Q609" s="131"/>
      <c r="R609" s="18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201"/>
      <c r="F610" s="201"/>
      <c r="G610" s="201"/>
      <c r="H610" s="1"/>
      <c r="I610" s="1"/>
      <c r="J610" s="1"/>
      <c r="K610" s="1"/>
      <c r="L610" s="1"/>
      <c r="M610" s="1"/>
      <c r="N610" s="1"/>
      <c r="O610" s="1"/>
      <c r="P610" s="1"/>
      <c r="Q610" s="131"/>
      <c r="R610" s="18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201"/>
      <c r="F611" s="201"/>
      <c r="G611" s="201"/>
      <c r="H611" s="1"/>
      <c r="I611" s="1"/>
      <c r="J611" s="1"/>
      <c r="K611" s="1"/>
      <c r="L611" s="1"/>
      <c r="M611" s="1"/>
      <c r="N611" s="1"/>
      <c r="O611" s="1"/>
      <c r="P611" s="1"/>
      <c r="Q611" s="131"/>
      <c r="R611" s="18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201"/>
      <c r="F612" s="201"/>
      <c r="G612" s="201"/>
      <c r="H612" s="1"/>
      <c r="I612" s="1"/>
      <c r="J612" s="1"/>
      <c r="K612" s="1"/>
      <c r="L612" s="1"/>
      <c r="M612" s="1"/>
      <c r="N612" s="1"/>
      <c r="O612" s="1"/>
      <c r="P612" s="1"/>
      <c r="Q612" s="131"/>
      <c r="R612" s="18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201"/>
      <c r="F613" s="201"/>
      <c r="G613" s="201"/>
      <c r="H613" s="1"/>
      <c r="I613" s="1"/>
      <c r="J613" s="1"/>
      <c r="K613" s="1"/>
      <c r="L613" s="1"/>
      <c r="M613" s="1"/>
      <c r="N613" s="1"/>
      <c r="O613" s="1"/>
      <c r="P613" s="1"/>
      <c r="Q613" s="131"/>
      <c r="R613" s="18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201"/>
      <c r="F614" s="201"/>
      <c r="G614" s="201"/>
      <c r="H614" s="1"/>
      <c r="I614" s="1"/>
      <c r="J614" s="1"/>
      <c r="K614" s="1"/>
      <c r="L614" s="1"/>
      <c r="M614" s="1"/>
      <c r="N614" s="1"/>
      <c r="O614" s="1"/>
      <c r="P614" s="1"/>
      <c r="Q614" s="131"/>
      <c r="R614" s="18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201"/>
      <c r="F615" s="201"/>
      <c r="G615" s="201"/>
      <c r="H615" s="1"/>
      <c r="I615" s="1"/>
      <c r="J615" s="1"/>
      <c r="K615" s="1"/>
      <c r="L615" s="1"/>
      <c r="M615" s="1"/>
      <c r="N615" s="1"/>
      <c r="O615" s="1"/>
      <c r="P615" s="1"/>
      <c r="Q615" s="131"/>
      <c r="R615" s="18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201"/>
      <c r="F616" s="201"/>
      <c r="G616" s="201"/>
      <c r="H616" s="1"/>
      <c r="I616" s="1"/>
      <c r="J616" s="1"/>
      <c r="K616" s="1"/>
      <c r="L616" s="1"/>
      <c r="M616" s="1"/>
      <c r="N616" s="1"/>
      <c r="O616" s="1"/>
      <c r="P616" s="1"/>
      <c r="Q616" s="131"/>
      <c r="R616" s="18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201"/>
      <c r="F617" s="201"/>
      <c r="G617" s="201"/>
      <c r="H617" s="1"/>
      <c r="I617" s="1"/>
      <c r="J617" s="1"/>
      <c r="K617" s="1"/>
      <c r="L617" s="1"/>
      <c r="M617" s="1"/>
      <c r="N617" s="1"/>
      <c r="O617" s="1"/>
      <c r="P617" s="1"/>
      <c r="Q617" s="131"/>
      <c r="R617" s="18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201"/>
      <c r="F618" s="201"/>
      <c r="G618" s="201"/>
      <c r="H618" s="1"/>
      <c r="I618" s="1"/>
      <c r="J618" s="1"/>
      <c r="K618" s="1"/>
      <c r="L618" s="1"/>
      <c r="M618" s="1"/>
      <c r="N618" s="1"/>
      <c r="O618" s="1"/>
      <c r="P618" s="1"/>
      <c r="Q618" s="131"/>
      <c r="R618" s="18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201"/>
      <c r="F619" s="201"/>
      <c r="G619" s="201"/>
      <c r="H619" s="1"/>
      <c r="I619" s="1"/>
      <c r="J619" s="1"/>
      <c r="K619" s="1"/>
      <c r="L619" s="1"/>
      <c r="M619" s="1"/>
      <c r="N619" s="1"/>
      <c r="O619" s="1"/>
      <c r="P619" s="1"/>
      <c r="Q619" s="131"/>
      <c r="R619" s="18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201"/>
      <c r="F620" s="201"/>
      <c r="G620" s="201"/>
      <c r="H620" s="1"/>
      <c r="I620" s="1"/>
      <c r="J620" s="1"/>
      <c r="K620" s="1"/>
      <c r="L620" s="1"/>
      <c r="M620" s="1"/>
      <c r="N620" s="1"/>
      <c r="O620" s="1"/>
      <c r="P620" s="1"/>
      <c r="Q620" s="131"/>
      <c r="R620" s="18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201"/>
      <c r="F621" s="201"/>
      <c r="G621" s="201"/>
      <c r="H621" s="1"/>
      <c r="I621" s="1"/>
      <c r="J621" s="1"/>
      <c r="K621" s="1"/>
      <c r="L621" s="1"/>
      <c r="M621" s="1"/>
      <c r="N621" s="1"/>
      <c r="O621" s="1"/>
      <c r="P621" s="1"/>
      <c r="Q621" s="131"/>
      <c r="R621" s="18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201"/>
      <c r="F622" s="201"/>
      <c r="G622" s="201"/>
      <c r="H622" s="1"/>
      <c r="I622" s="1"/>
      <c r="J622" s="1"/>
      <c r="K622" s="1"/>
      <c r="L622" s="1"/>
      <c r="M622" s="1"/>
      <c r="N622" s="1"/>
      <c r="O622" s="1"/>
      <c r="P622" s="1"/>
      <c r="Q622" s="131"/>
      <c r="R622" s="18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201"/>
      <c r="F623" s="201"/>
      <c r="G623" s="201"/>
      <c r="H623" s="1"/>
      <c r="I623" s="1"/>
      <c r="J623" s="1"/>
      <c r="K623" s="1"/>
      <c r="L623" s="1"/>
      <c r="M623" s="1"/>
      <c r="N623" s="1"/>
      <c r="O623" s="1"/>
      <c r="P623" s="1"/>
      <c r="Q623" s="131"/>
      <c r="R623" s="18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201"/>
      <c r="F624" s="201"/>
      <c r="G624" s="201"/>
      <c r="H624" s="1"/>
      <c r="I624" s="1"/>
      <c r="J624" s="1"/>
      <c r="K624" s="1"/>
      <c r="L624" s="1"/>
      <c r="M624" s="1"/>
      <c r="N624" s="1"/>
      <c r="O624" s="1"/>
      <c r="P624" s="1"/>
      <c r="Q624" s="131"/>
      <c r="R624" s="18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201"/>
      <c r="F625" s="201"/>
      <c r="G625" s="201"/>
      <c r="H625" s="1"/>
      <c r="I625" s="1"/>
      <c r="J625" s="1"/>
      <c r="K625" s="1"/>
      <c r="L625" s="1"/>
      <c r="M625" s="1"/>
      <c r="N625" s="1"/>
      <c r="O625" s="1"/>
      <c r="P625" s="1"/>
      <c r="Q625" s="131"/>
      <c r="R625" s="18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201"/>
      <c r="F626" s="201"/>
      <c r="G626" s="201"/>
      <c r="H626" s="1"/>
      <c r="I626" s="1"/>
      <c r="J626" s="1"/>
      <c r="K626" s="1"/>
      <c r="L626" s="1"/>
      <c r="M626" s="1"/>
      <c r="N626" s="1"/>
      <c r="O626" s="1"/>
      <c r="P626" s="1"/>
      <c r="Q626" s="131"/>
      <c r="R626" s="18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201"/>
      <c r="F627" s="201"/>
      <c r="G627" s="201"/>
      <c r="H627" s="1"/>
      <c r="I627" s="1"/>
      <c r="J627" s="1"/>
      <c r="K627" s="1"/>
      <c r="L627" s="1"/>
      <c r="M627" s="1"/>
      <c r="N627" s="1"/>
      <c r="O627" s="1"/>
      <c r="P627" s="1"/>
      <c r="Q627" s="131"/>
      <c r="R627" s="18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201"/>
      <c r="F628" s="201"/>
      <c r="G628" s="201"/>
      <c r="H628" s="1"/>
      <c r="I628" s="1"/>
      <c r="J628" s="1"/>
      <c r="K628" s="1"/>
      <c r="L628" s="1"/>
      <c r="M628" s="1"/>
      <c r="N628" s="1"/>
      <c r="O628" s="1"/>
      <c r="P628" s="1"/>
      <c r="Q628" s="131"/>
      <c r="R628" s="18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201"/>
      <c r="F629" s="201"/>
      <c r="G629" s="201"/>
      <c r="H629" s="1"/>
      <c r="I629" s="1"/>
      <c r="J629" s="1"/>
      <c r="K629" s="1"/>
      <c r="L629" s="1"/>
      <c r="M629" s="1"/>
      <c r="N629" s="1"/>
      <c r="O629" s="1"/>
      <c r="P629" s="1"/>
      <c r="Q629" s="131"/>
      <c r="R629" s="18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201"/>
      <c r="F630" s="201"/>
      <c r="G630" s="201"/>
      <c r="H630" s="1"/>
      <c r="I630" s="1"/>
      <c r="J630" s="1"/>
      <c r="K630" s="1"/>
      <c r="L630" s="1"/>
      <c r="M630" s="1"/>
      <c r="N630" s="1"/>
      <c r="O630" s="1"/>
      <c r="P630" s="1"/>
      <c r="Q630" s="131"/>
      <c r="R630" s="18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201"/>
      <c r="F631" s="201"/>
      <c r="G631" s="201"/>
      <c r="H631" s="1"/>
      <c r="I631" s="1"/>
      <c r="J631" s="1"/>
      <c r="K631" s="1"/>
      <c r="L631" s="1"/>
      <c r="M631" s="1"/>
      <c r="N631" s="1"/>
      <c r="O631" s="1"/>
      <c r="P631" s="1"/>
      <c r="Q631" s="131"/>
      <c r="R631" s="18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201"/>
      <c r="F632" s="201"/>
      <c r="G632" s="201"/>
      <c r="H632" s="1"/>
      <c r="I632" s="1"/>
      <c r="J632" s="1"/>
      <c r="K632" s="1"/>
      <c r="L632" s="1"/>
      <c r="M632" s="1"/>
      <c r="N632" s="1"/>
      <c r="O632" s="1"/>
      <c r="P632" s="1"/>
      <c r="Q632" s="131"/>
      <c r="R632" s="18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201"/>
      <c r="F633" s="201"/>
      <c r="G633" s="201"/>
      <c r="H633" s="1"/>
      <c r="I633" s="1"/>
      <c r="J633" s="1"/>
      <c r="K633" s="1"/>
      <c r="L633" s="1"/>
      <c r="M633" s="1"/>
      <c r="N633" s="1"/>
      <c r="O633" s="1"/>
      <c r="P633" s="1"/>
      <c r="Q633" s="131"/>
      <c r="R633" s="18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201"/>
      <c r="F634" s="201"/>
      <c r="G634" s="201"/>
      <c r="H634" s="1"/>
      <c r="I634" s="1"/>
      <c r="J634" s="1"/>
      <c r="K634" s="1"/>
      <c r="L634" s="1"/>
      <c r="M634" s="1"/>
      <c r="N634" s="1"/>
      <c r="O634" s="1"/>
      <c r="P634" s="1"/>
      <c r="Q634" s="131"/>
      <c r="R634" s="18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201"/>
      <c r="F635" s="201"/>
      <c r="G635" s="201"/>
      <c r="H635" s="1"/>
      <c r="I635" s="1"/>
      <c r="J635" s="1"/>
      <c r="K635" s="1"/>
      <c r="L635" s="1"/>
      <c r="M635" s="1"/>
      <c r="N635" s="1"/>
      <c r="O635" s="1"/>
      <c r="P635" s="1"/>
      <c r="Q635" s="131"/>
      <c r="R635" s="18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201"/>
      <c r="F636" s="201"/>
      <c r="G636" s="201"/>
      <c r="H636" s="1"/>
      <c r="I636" s="1"/>
      <c r="J636" s="1"/>
      <c r="K636" s="1"/>
      <c r="L636" s="1"/>
      <c r="M636" s="1"/>
      <c r="N636" s="1"/>
      <c r="O636" s="1"/>
      <c r="P636" s="1"/>
      <c r="Q636" s="131"/>
      <c r="R636" s="18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201"/>
      <c r="F637" s="201"/>
      <c r="G637" s="201"/>
      <c r="H637" s="1"/>
      <c r="I637" s="1"/>
      <c r="J637" s="1"/>
      <c r="K637" s="1"/>
      <c r="L637" s="1"/>
      <c r="M637" s="1"/>
      <c r="N637" s="1"/>
      <c r="O637" s="1"/>
      <c r="P637" s="1"/>
      <c r="Q637" s="131"/>
      <c r="R637" s="18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201"/>
      <c r="F638" s="201"/>
      <c r="G638" s="201"/>
      <c r="H638" s="1"/>
      <c r="I638" s="1"/>
      <c r="J638" s="1"/>
      <c r="K638" s="1"/>
      <c r="L638" s="1"/>
      <c r="M638" s="1"/>
      <c r="N638" s="1"/>
      <c r="O638" s="1"/>
      <c r="P638" s="1"/>
      <c r="Q638" s="131"/>
      <c r="R638" s="18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201"/>
      <c r="F639" s="201"/>
      <c r="G639" s="201"/>
      <c r="H639" s="1"/>
      <c r="I639" s="1"/>
      <c r="J639" s="1"/>
      <c r="K639" s="1"/>
      <c r="L639" s="1"/>
      <c r="M639" s="1"/>
      <c r="N639" s="1"/>
      <c r="O639" s="1"/>
      <c r="P639" s="1"/>
      <c r="Q639" s="131"/>
      <c r="R639" s="18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201"/>
      <c r="F640" s="201"/>
      <c r="G640" s="201"/>
      <c r="H640" s="1"/>
      <c r="I640" s="1"/>
      <c r="J640" s="1"/>
      <c r="K640" s="1"/>
      <c r="L640" s="1"/>
      <c r="M640" s="1"/>
      <c r="N640" s="1"/>
      <c r="O640" s="1"/>
      <c r="P640" s="1"/>
      <c r="Q640" s="131"/>
      <c r="R640" s="18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201"/>
      <c r="F641" s="201"/>
      <c r="G641" s="201"/>
      <c r="H641" s="1"/>
      <c r="I641" s="1"/>
      <c r="J641" s="1"/>
      <c r="K641" s="1"/>
      <c r="L641" s="1"/>
      <c r="M641" s="1"/>
      <c r="N641" s="1"/>
      <c r="O641" s="1"/>
      <c r="P641" s="1"/>
      <c r="Q641" s="131"/>
      <c r="R641" s="18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201"/>
      <c r="F642" s="201"/>
      <c r="G642" s="201"/>
      <c r="H642" s="1"/>
      <c r="I642" s="1"/>
      <c r="J642" s="1"/>
      <c r="K642" s="1"/>
      <c r="L642" s="1"/>
      <c r="M642" s="1"/>
      <c r="N642" s="1"/>
      <c r="O642" s="1"/>
      <c r="P642" s="1"/>
      <c r="Q642" s="131"/>
      <c r="R642" s="18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201"/>
      <c r="F643" s="201"/>
      <c r="G643" s="201"/>
      <c r="H643" s="1"/>
      <c r="I643" s="1"/>
      <c r="J643" s="1"/>
      <c r="K643" s="1"/>
      <c r="L643" s="1"/>
      <c r="M643" s="1"/>
      <c r="N643" s="1"/>
      <c r="O643" s="1"/>
      <c r="P643" s="1"/>
      <c r="Q643" s="131"/>
      <c r="R643" s="18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201"/>
      <c r="F644" s="201"/>
      <c r="G644" s="201"/>
      <c r="H644" s="1"/>
      <c r="I644" s="1"/>
      <c r="J644" s="1"/>
      <c r="K644" s="1"/>
      <c r="L644" s="1"/>
      <c r="M644" s="1"/>
      <c r="N644" s="1"/>
      <c r="O644" s="1"/>
      <c r="P644" s="1"/>
      <c r="Q644" s="131"/>
      <c r="R644" s="18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201"/>
      <c r="F645" s="201"/>
      <c r="G645" s="201"/>
      <c r="H645" s="1"/>
      <c r="I645" s="1"/>
      <c r="J645" s="1"/>
      <c r="K645" s="1"/>
      <c r="L645" s="1"/>
      <c r="M645" s="1"/>
      <c r="N645" s="1"/>
      <c r="O645" s="1"/>
      <c r="P645" s="1"/>
      <c r="Q645" s="131"/>
      <c r="R645" s="18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201"/>
      <c r="F646" s="201"/>
      <c r="G646" s="201"/>
      <c r="H646" s="1"/>
      <c r="I646" s="1"/>
      <c r="J646" s="1"/>
      <c r="K646" s="1"/>
      <c r="L646" s="1"/>
      <c r="M646" s="1"/>
      <c r="N646" s="1"/>
      <c r="O646" s="1"/>
      <c r="P646" s="1"/>
      <c r="Q646" s="131"/>
      <c r="R646" s="18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201"/>
      <c r="F647" s="201"/>
      <c r="G647" s="201"/>
      <c r="H647" s="1"/>
      <c r="I647" s="1"/>
      <c r="J647" s="1"/>
      <c r="K647" s="1"/>
      <c r="L647" s="1"/>
      <c r="M647" s="1"/>
      <c r="N647" s="1"/>
      <c r="O647" s="1"/>
      <c r="P647" s="1"/>
      <c r="Q647" s="131"/>
      <c r="R647" s="18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201"/>
      <c r="F648" s="201"/>
      <c r="G648" s="201"/>
      <c r="H648" s="1"/>
      <c r="I648" s="1"/>
      <c r="J648" s="1"/>
      <c r="K648" s="1"/>
      <c r="L648" s="1"/>
      <c r="M648" s="1"/>
      <c r="N648" s="1"/>
      <c r="O648" s="1"/>
      <c r="P648" s="1"/>
      <c r="Q648" s="131"/>
      <c r="R648" s="18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201"/>
      <c r="F649" s="201"/>
      <c r="G649" s="201"/>
      <c r="H649" s="1"/>
      <c r="I649" s="1"/>
      <c r="J649" s="1"/>
      <c r="K649" s="1"/>
      <c r="L649" s="1"/>
      <c r="M649" s="1"/>
      <c r="N649" s="1"/>
      <c r="O649" s="1"/>
      <c r="P649" s="1"/>
      <c r="Q649" s="131"/>
      <c r="R649" s="18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201"/>
      <c r="F650" s="201"/>
      <c r="G650" s="201"/>
      <c r="H650" s="1"/>
      <c r="I650" s="1"/>
      <c r="J650" s="1"/>
      <c r="K650" s="1"/>
      <c r="L650" s="1"/>
      <c r="M650" s="1"/>
      <c r="N650" s="1"/>
      <c r="O650" s="1"/>
      <c r="P650" s="1"/>
      <c r="Q650" s="131"/>
      <c r="R650" s="18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201"/>
      <c r="F651" s="201"/>
      <c r="G651" s="201"/>
      <c r="H651" s="1"/>
      <c r="I651" s="1"/>
      <c r="J651" s="1"/>
      <c r="K651" s="1"/>
      <c r="L651" s="1"/>
      <c r="M651" s="1"/>
      <c r="N651" s="1"/>
      <c r="O651" s="1"/>
      <c r="P651" s="1"/>
      <c r="Q651" s="131"/>
      <c r="R651" s="18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201"/>
      <c r="F652" s="201"/>
      <c r="G652" s="201"/>
      <c r="H652" s="1"/>
      <c r="I652" s="1"/>
      <c r="J652" s="1"/>
      <c r="K652" s="1"/>
      <c r="L652" s="1"/>
      <c r="M652" s="1"/>
      <c r="N652" s="1"/>
      <c r="O652" s="1"/>
      <c r="P652" s="1"/>
      <c r="Q652" s="131"/>
      <c r="R652" s="18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201"/>
      <c r="F653" s="201"/>
      <c r="G653" s="201"/>
      <c r="H653" s="1"/>
      <c r="I653" s="1"/>
      <c r="J653" s="1"/>
      <c r="K653" s="1"/>
      <c r="L653" s="1"/>
      <c r="M653" s="1"/>
      <c r="N653" s="1"/>
      <c r="O653" s="1"/>
      <c r="P653" s="1"/>
      <c r="Q653" s="131"/>
      <c r="R653" s="18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201"/>
      <c r="F654" s="201"/>
      <c r="G654" s="201"/>
      <c r="H654" s="1"/>
      <c r="I654" s="1"/>
      <c r="J654" s="1"/>
      <c r="K654" s="1"/>
      <c r="L654" s="1"/>
      <c r="M654" s="1"/>
      <c r="N654" s="1"/>
      <c r="O654" s="1"/>
      <c r="P654" s="1"/>
      <c r="Q654" s="131"/>
      <c r="R654" s="18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201"/>
      <c r="F655" s="201"/>
      <c r="G655" s="201"/>
      <c r="H655" s="1"/>
      <c r="I655" s="1"/>
      <c r="J655" s="1"/>
      <c r="K655" s="1"/>
      <c r="L655" s="1"/>
      <c r="M655" s="1"/>
      <c r="N655" s="1"/>
      <c r="O655" s="1"/>
      <c r="P655" s="1"/>
      <c r="Q655" s="131"/>
      <c r="R655" s="18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201"/>
      <c r="F656" s="201"/>
      <c r="G656" s="201"/>
      <c r="H656" s="1"/>
      <c r="I656" s="1"/>
      <c r="J656" s="1"/>
      <c r="K656" s="1"/>
      <c r="L656" s="1"/>
      <c r="M656" s="1"/>
      <c r="N656" s="1"/>
      <c r="O656" s="1"/>
      <c r="P656" s="1"/>
      <c r="Q656" s="131"/>
      <c r="R656" s="18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201"/>
      <c r="F657" s="201"/>
      <c r="G657" s="201"/>
      <c r="H657" s="1"/>
      <c r="I657" s="1"/>
      <c r="J657" s="1"/>
      <c r="K657" s="1"/>
      <c r="L657" s="1"/>
      <c r="M657" s="1"/>
      <c r="N657" s="1"/>
      <c r="O657" s="1"/>
      <c r="P657" s="1"/>
      <c r="Q657" s="131"/>
      <c r="R657" s="18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201"/>
      <c r="F658" s="201"/>
      <c r="G658" s="201"/>
      <c r="H658" s="1"/>
      <c r="I658" s="1"/>
      <c r="J658" s="1"/>
      <c r="K658" s="1"/>
      <c r="L658" s="1"/>
      <c r="M658" s="1"/>
      <c r="N658" s="1"/>
      <c r="O658" s="1"/>
      <c r="P658" s="1"/>
      <c r="Q658" s="131"/>
      <c r="R658" s="18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201"/>
      <c r="F659" s="201"/>
      <c r="G659" s="201"/>
      <c r="H659" s="1"/>
      <c r="I659" s="1"/>
      <c r="J659" s="1"/>
      <c r="K659" s="1"/>
      <c r="L659" s="1"/>
      <c r="M659" s="1"/>
      <c r="N659" s="1"/>
      <c r="O659" s="1"/>
      <c r="P659" s="1"/>
      <c r="Q659" s="131"/>
      <c r="R659" s="18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201"/>
      <c r="F660" s="201"/>
      <c r="G660" s="201"/>
      <c r="H660" s="1"/>
      <c r="I660" s="1"/>
      <c r="J660" s="1"/>
      <c r="K660" s="1"/>
      <c r="L660" s="1"/>
      <c r="M660" s="1"/>
      <c r="N660" s="1"/>
      <c r="O660" s="1"/>
      <c r="P660" s="1"/>
      <c r="Q660" s="131"/>
      <c r="R660" s="18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201"/>
      <c r="F661" s="201"/>
      <c r="G661" s="201"/>
      <c r="H661" s="1"/>
      <c r="I661" s="1"/>
      <c r="J661" s="1"/>
      <c r="K661" s="1"/>
      <c r="L661" s="1"/>
      <c r="M661" s="1"/>
      <c r="N661" s="1"/>
      <c r="O661" s="1"/>
      <c r="P661" s="1"/>
      <c r="Q661" s="131"/>
      <c r="R661" s="18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201"/>
      <c r="F662" s="201"/>
      <c r="G662" s="201"/>
      <c r="H662" s="1"/>
      <c r="I662" s="1"/>
      <c r="J662" s="1"/>
      <c r="K662" s="1"/>
      <c r="L662" s="1"/>
      <c r="M662" s="1"/>
      <c r="N662" s="1"/>
      <c r="O662" s="1"/>
      <c r="P662" s="1"/>
      <c r="Q662" s="131"/>
      <c r="R662" s="18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201"/>
      <c r="F663" s="201"/>
      <c r="G663" s="201"/>
      <c r="H663" s="1"/>
      <c r="I663" s="1"/>
      <c r="J663" s="1"/>
      <c r="K663" s="1"/>
      <c r="L663" s="1"/>
      <c r="M663" s="1"/>
      <c r="N663" s="1"/>
      <c r="O663" s="1"/>
      <c r="P663" s="1"/>
      <c r="Q663" s="131"/>
      <c r="R663" s="18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201"/>
      <c r="F664" s="201"/>
      <c r="G664" s="201"/>
      <c r="H664" s="1"/>
      <c r="I664" s="1"/>
      <c r="J664" s="1"/>
      <c r="K664" s="1"/>
      <c r="L664" s="1"/>
      <c r="M664" s="1"/>
      <c r="N664" s="1"/>
      <c r="O664" s="1"/>
      <c r="P664" s="1"/>
      <c r="Q664" s="131"/>
      <c r="R664" s="18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201"/>
      <c r="F665" s="201"/>
      <c r="G665" s="201"/>
      <c r="H665" s="1"/>
      <c r="I665" s="1"/>
      <c r="J665" s="1"/>
      <c r="K665" s="1"/>
      <c r="L665" s="1"/>
      <c r="M665" s="1"/>
      <c r="N665" s="1"/>
      <c r="O665" s="1"/>
      <c r="P665" s="1"/>
      <c r="Q665" s="131"/>
      <c r="R665" s="18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201"/>
      <c r="F666" s="201"/>
      <c r="G666" s="201"/>
      <c r="H666" s="1"/>
      <c r="I666" s="1"/>
      <c r="J666" s="1"/>
      <c r="K666" s="1"/>
      <c r="L666" s="1"/>
      <c r="M666" s="1"/>
      <c r="N666" s="1"/>
      <c r="O666" s="1"/>
      <c r="P666" s="1"/>
      <c r="Q666" s="131"/>
      <c r="R666" s="18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201"/>
      <c r="F667" s="201"/>
      <c r="G667" s="201"/>
      <c r="H667" s="1"/>
      <c r="I667" s="1"/>
      <c r="J667" s="1"/>
      <c r="K667" s="1"/>
      <c r="L667" s="1"/>
      <c r="M667" s="1"/>
      <c r="N667" s="1"/>
      <c r="O667" s="1"/>
      <c r="P667" s="1"/>
      <c r="Q667" s="131"/>
      <c r="R667" s="18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201"/>
      <c r="F668" s="201"/>
      <c r="G668" s="201"/>
      <c r="H668" s="1"/>
      <c r="I668" s="1"/>
      <c r="J668" s="1"/>
      <c r="K668" s="1"/>
      <c r="L668" s="1"/>
      <c r="M668" s="1"/>
      <c r="N668" s="1"/>
      <c r="O668" s="1"/>
      <c r="P668" s="1"/>
      <c r="Q668" s="131"/>
      <c r="R668" s="18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201"/>
      <c r="F669" s="201"/>
      <c r="G669" s="201"/>
      <c r="H669" s="1"/>
      <c r="I669" s="1"/>
      <c r="J669" s="1"/>
      <c r="K669" s="1"/>
      <c r="L669" s="1"/>
      <c r="M669" s="1"/>
      <c r="N669" s="1"/>
      <c r="O669" s="1"/>
      <c r="P669" s="1"/>
      <c r="Q669" s="131"/>
      <c r="R669" s="18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201"/>
      <c r="F670" s="201"/>
      <c r="G670" s="201"/>
      <c r="H670" s="1"/>
      <c r="I670" s="1"/>
      <c r="J670" s="1"/>
      <c r="K670" s="1"/>
      <c r="L670" s="1"/>
      <c r="M670" s="1"/>
      <c r="N670" s="1"/>
      <c r="O670" s="1"/>
      <c r="P670" s="1"/>
      <c r="Q670" s="131"/>
      <c r="R670" s="18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201"/>
      <c r="F671" s="201"/>
      <c r="G671" s="201"/>
      <c r="H671" s="1"/>
      <c r="I671" s="1"/>
      <c r="J671" s="1"/>
      <c r="K671" s="1"/>
      <c r="L671" s="1"/>
      <c r="M671" s="1"/>
      <c r="N671" s="1"/>
      <c r="O671" s="1"/>
      <c r="P671" s="1"/>
      <c r="Q671" s="131"/>
      <c r="R671" s="18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201"/>
      <c r="F672" s="201"/>
      <c r="G672" s="201"/>
      <c r="H672" s="1"/>
      <c r="I672" s="1"/>
      <c r="J672" s="1"/>
      <c r="K672" s="1"/>
      <c r="L672" s="1"/>
      <c r="M672" s="1"/>
      <c r="N672" s="1"/>
      <c r="O672" s="1"/>
      <c r="P672" s="1"/>
      <c r="Q672" s="131"/>
      <c r="R672" s="18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201"/>
      <c r="F673" s="201"/>
      <c r="G673" s="201"/>
      <c r="H673" s="1"/>
      <c r="I673" s="1"/>
      <c r="J673" s="1"/>
      <c r="K673" s="1"/>
      <c r="L673" s="1"/>
      <c r="M673" s="1"/>
      <c r="N673" s="1"/>
      <c r="O673" s="1"/>
      <c r="P673" s="1"/>
      <c r="Q673" s="131"/>
      <c r="R673" s="18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201"/>
      <c r="F674" s="201"/>
      <c r="G674" s="201"/>
      <c r="H674" s="1"/>
      <c r="I674" s="1"/>
      <c r="J674" s="1"/>
      <c r="K674" s="1"/>
      <c r="L674" s="1"/>
      <c r="M674" s="1"/>
      <c r="N674" s="1"/>
      <c r="O674" s="1"/>
      <c r="P674" s="1"/>
      <c r="Q674" s="131"/>
      <c r="R674" s="18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201"/>
      <c r="F675" s="201"/>
      <c r="G675" s="201"/>
      <c r="H675" s="1"/>
      <c r="I675" s="1"/>
      <c r="J675" s="1"/>
      <c r="K675" s="1"/>
      <c r="L675" s="1"/>
      <c r="M675" s="1"/>
      <c r="N675" s="1"/>
      <c r="O675" s="1"/>
      <c r="P675" s="1"/>
      <c r="Q675" s="131"/>
      <c r="R675" s="18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201"/>
      <c r="F676" s="201"/>
      <c r="G676" s="201"/>
      <c r="H676" s="1"/>
      <c r="I676" s="1"/>
      <c r="J676" s="1"/>
      <c r="K676" s="1"/>
      <c r="L676" s="1"/>
      <c r="M676" s="1"/>
      <c r="N676" s="1"/>
      <c r="O676" s="1"/>
      <c r="P676" s="1"/>
      <c r="Q676" s="131"/>
      <c r="R676" s="18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201"/>
      <c r="F677" s="201"/>
      <c r="G677" s="201"/>
      <c r="H677" s="1"/>
      <c r="I677" s="1"/>
      <c r="J677" s="1"/>
      <c r="K677" s="1"/>
      <c r="L677" s="1"/>
      <c r="M677" s="1"/>
      <c r="N677" s="1"/>
      <c r="O677" s="1"/>
      <c r="P677" s="1"/>
      <c r="Q677" s="131"/>
      <c r="R677" s="18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201"/>
      <c r="F678" s="201"/>
      <c r="G678" s="201"/>
      <c r="H678" s="1"/>
      <c r="I678" s="1"/>
      <c r="J678" s="1"/>
      <c r="K678" s="1"/>
      <c r="L678" s="1"/>
      <c r="M678" s="1"/>
      <c r="N678" s="1"/>
      <c r="O678" s="1"/>
      <c r="P678" s="1"/>
      <c r="Q678" s="131"/>
      <c r="R678" s="18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201"/>
      <c r="F679" s="201"/>
      <c r="G679" s="201"/>
      <c r="H679" s="1"/>
      <c r="I679" s="1"/>
      <c r="J679" s="1"/>
      <c r="K679" s="1"/>
      <c r="L679" s="1"/>
      <c r="M679" s="1"/>
      <c r="N679" s="1"/>
      <c r="O679" s="1"/>
      <c r="P679" s="1"/>
      <c r="Q679" s="131"/>
      <c r="R679" s="18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201"/>
      <c r="F680" s="201"/>
      <c r="G680" s="201"/>
      <c r="H680" s="1"/>
      <c r="I680" s="1"/>
      <c r="J680" s="1"/>
      <c r="K680" s="1"/>
      <c r="L680" s="1"/>
      <c r="M680" s="1"/>
      <c r="N680" s="1"/>
      <c r="O680" s="1"/>
      <c r="P680" s="1"/>
      <c r="Q680" s="131"/>
      <c r="R680" s="18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201"/>
      <c r="F681" s="201"/>
      <c r="G681" s="201"/>
      <c r="H681" s="1"/>
      <c r="I681" s="1"/>
      <c r="J681" s="1"/>
      <c r="K681" s="1"/>
      <c r="L681" s="1"/>
      <c r="M681" s="1"/>
      <c r="N681" s="1"/>
      <c r="O681" s="1"/>
      <c r="P681" s="1"/>
      <c r="Q681" s="131"/>
      <c r="R681" s="18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201"/>
      <c r="F682" s="201"/>
      <c r="G682" s="201"/>
      <c r="H682" s="1"/>
      <c r="I682" s="1"/>
      <c r="J682" s="1"/>
      <c r="K682" s="1"/>
      <c r="L682" s="1"/>
      <c r="M682" s="1"/>
      <c r="N682" s="1"/>
      <c r="O682" s="1"/>
      <c r="P682" s="1"/>
      <c r="Q682" s="131"/>
      <c r="R682" s="18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201"/>
      <c r="F683" s="201"/>
      <c r="G683" s="201"/>
      <c r="H683" s="1"/>
      <c r="I683" s="1"/>
      <c r="J683" s="1"/>
      <c r="K683" s="1"/>
      <c r="L683" s="1"/>
      <c r="M683" s="1"/>
      <c r="N683" s="1"/>
      <c r="O683" s="1"/>
      <c r="P683" s="1"/>
      <c r="Q683" s="131"/>
      <c r="R683" s="18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201"/>
      <c r="F684" s="201"/>
      <c r="G684" s="201"/>
      <c r="H684" s="1"/>
      <c r="I684" s="1"/>
      <c r="J684" s="1"/>
      <c r="K684" s="1"/>
      <c r="L684" s="1"/>
      <c r="M684" s="1"/>
      <c r="N684" s="1"/>
      <c r="O684" s="1"/>
      <c r="P684" s="1"/>
      <c r="Q684" s="131"/>
      <c r="R684" s="18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201"/>
      <c r="F685" s="201"/>
      <c r="G685" s="201"/>
      <c r="H685" s="1"/>
      <c r="I685" s="1"/>
      <c r="J685" s="1"/>
      <c r="K685" s="1"/>
      <c r="L685" s="1"/>
      <c r="M685" s="1"/>
      <c r="N685" s="1"/>
      <c r="O685" s="1"/>
      <c r="P685" s="1"/>
      <c r="Q685" s="131"/>
      <c r="R685" s="18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201"/>
      <c r="F686" s="201"/>
      <c r="G686" s="201"/>
      <c r="H686" s="1"/>
      <c r="I686" s="1"/>
      <c r="J686" s="1"/>
      <c r="K686" s="1"/>
      <c r="L686" s="1"/>
      <c r="M686" s="1"/>
      <c r="N686" s="1"/>
      <c r="O686" s="1"/>
      <c r="P686" s="1"/>
      <c r="Q686" s="131"/>
      <c r="R686" s="18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201"/>
      <c r="F687" s="201"/>
      <c r="G687" s="201"/>
      <c r="H687" s="1"/>
      <c r="I687" s="1"/>
      <c r="J687" s="1"/>
      <c r="K687" s="1"/>
      <c r="L687" s="1"/>
      <c r="M687" s="1"/>
      <c r="N687" s="1"/>
      <c r="O687" s="1"/>
      <c r="P687" s="1"/>
      <c r="Q687" s="131"/>
      <c r="R687" s="18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201"/>
      <c r="F688" s="201"/>
      <c r="G688" s="201"/>
      <c r="H688" s="1"/>
      <c r="I688" s="1"/>
      <c r="J688" s="1"/>
      <c r="K688" s="1"/>
      <c r="L688" s="1"/>
      <c r="M688" s="1"/>
      <c r="N688" s="1"/>
      <c r="O688" s="1"/>
      <c r="P688" s="1"/>
      <c r="Q688" s="131"/>
      <c r="R688" s="18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201"/>
      <c r="F689" s="201"/>
      <c r="G689" s="201"/>
      <c r="H689" s="1"/>
      <c r="I689" s="1"/>
      <c r="J689" s="1"/>
      <c r="K689" s="1"/>
      <c r="L689" s="1"/>
      <c r="M689" s="1"/>
      <c r="N689" s="1"/>
      <c r="O689" s="1"/>
      <c r="P689" s="1"/>
      <c r="Q689" s="131"/>
      <c r="R689" s="18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201"/>
      <c r="F690" s="201"/>
      <c r="G690" s="201"/>
      <c r="H690" s="1"/>
      <c r="I690" s="1"/>
      <c r="J690" s="1"/>
      <c r="K690" s="1"/>
      <c r="L690" s="1"/>
      <c r="M690" s="1"/>
      <c r="N690" s="1"/>
      <c r="O690" s="1"/>
      <c r="P690" s="1"/>
      <c r="Q690" s="131"/>
      <c r="R690" s="18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201"/>
      <c r="F691" s="201"/>
      <c r="G691" s="201"/>
      <c r="H691" s="1"/>
      <c r="I691" s="1"/>
      <c r="J691" s="1"/>
      <c r="K691" s="1"/>
      <c r="L691" s="1"/>
      <c r="M691" s="1"/>
      <c r="N691" s="1"/>
      <c r="O691" s="1"/>
      <c r="P691" s="1"/>
      <c r="Q691" s="131"/>
      <c r="R691" s="18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201"/>
      <c r="F692" s="201"/>
      <c r="G692" s="201"/>
      <c r="H692" s="1"/>
      <c r="I692" s="1"/>
      <c r="J692" s="1"/>
      <c r="K692" s="1"/>
      <c r="L692" s="1"/>
      <c r="M692" s="1"/>
      <c r="N692" s="1"/>
      <c r="O692" s="1"/>
      <c r="P692" s="1"/>
      <c r="Q692" s="131"/>
      <c r="R692" s="18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201"/>
      <c r="F693" s="201"/>
      <c r="G693" s="201"/>
      <c r="H693" s="1"/>
      <c r="I693" s="1"/>
      <c r="J693" s="1"/>
      <c r="K693" s="1"/>
      <c r="L693" s="1"/>
      <c r="M693" s="1"/>
      <c r="N693" s="1"/>
      <c r="O693" s="1"/>
      <c r="P693" s="1"/>
      <c r="Q693" s="131"/>
      <c r="R693" s="18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201"/>
      <c r="F694" s="201"/>
      <c r="G694" s="201"/>
      <c r="H694" s="1"/>
      <c r="I694" s="1"/>
      <c r="J694" s="1"/>
      <c r="K694" s="1"/>
      <c r="L694" s="1"/>
      <c r="M694" s="1"/>
      <c r="N694" s="1"/>
      <c r="O694" s="1"/>
      <c r="P694" s="1"/>
      <c r="Q694" s="131"/>
      <c r="R694" s="18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201"/>
      <c r="F695" s="201"/>
      <c r="G695" s="201"/>
      <c r="H695" s="1"/>
      <c r="I695" s="1"/>
      <c r="J695" s="1"/>
      <c r="K695" s="1"/>
      <c r="L695" s="1"/>
      <c r="M695" s="1"/>
      <c r="N695" s="1"/>
      <c r="O695" s="1"/>
      <c r="P695" s="1"/>
      <c r="Q695" s="131"/>
      <c r="R695" s="18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201"/>
      <c r="F696" s="201"/>
      <c r="G696" s="201"/>
      <c r="H696" s="1"/>
      <c r="I696" s="1"/>
      <c r="J696" s="1"/>
      <c r="K696" s="1"/>
      <c r="L696" s="1"/>
      <c r="M696" s="1"/>
      <c r="N696" s="1"/>
      <c r="O696" s="1"/>
      <c r="P696" s="1"/>
      <c r="Q696" s="131"/>
      <c r="R696" s="18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201"/>
      <c r="F697" s="201"/>
      <c r="G697" s="201"/>
      <c r="H697" s="1"/>
      <c r="I697" s="1"/>
      <c r="J697" s="1"/>
      <c r="K697" s="1"/>
      <c r="L697" s="1"/>
      <c r="M697" s="1"/>
      <c r="N697" s="1"/>
      <c r="O697" s="1"/>
      <c r="P697" s="1"/>
      <c r="Q697" s="131"/>
      <c r="R697" s="18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201"/>
      <c r="F698" s="201"/>
      <c r="G698" s="201"/>
      <c r="H698" s="1"/>
      <c r="I698" s="1"/>
      <c r="J698" s="1"/>
      <c r="K698" s="1"/>
      <c r="L698" s="1"/>
      <c r="M698" s="1"/>
      <c r="N698" s="1"/>
      <c r="O698" s="1"/>
      <c r="P698" s="1"/>
      <c r="Q698" s="131"/>
      <c r="R698" s="18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201"/>
      <c r="F699" s="201"/>
      <c r="G699" s="201"/>
      <c r="H699" s="1"/>
      <c r="I699" s="1"/>
      <c r="J699" s="1"/>
      <c r="K699" s="1"/>
      <c r="L699" s="1"/>
      <c r="M699" s="1"/>
      <c r="N699" s="1"/>
      <c r="O699" s="1"/>
      <c r="P699" s="1"/>
      <c r="Q699" s="131"/>
      <c r="R699" s="18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201"/>
      <c r="F700" s="201"/>
      <c r="G700" s="201"/>
      <c r="H700" s="1"/>
      <c r="I700" s="1"/>
      <c r="J700" s="1"/>
      <c r="K700" s="1"/>
      <c r="L700" s="1"/>
      <c r="M700" s="1"/>
      <c r="N700" s="1"/>
      <c r="O700" s="1"/>
      <c r="P700" s="1"/>
      <c r="Q700" s="131"/>
      <c r="R700" s="18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201"/>
      <c r="F701" s="201"/>
      <c r="G701" s="201"/>
      <c r="H701" s="1"/>
      <c r="I701" s="1"/>
      <c r="J701" s="1"/>
      <c r="K701" s="1"/>
      <c r="L701" s="1"/>
      <c r="M701" s="1"/>
      <c r="N701" s="1"/>
      <c r="O701" s="1"/>
      <c r="P701" s="1"/>
      <c r="Q701" s="131"/>
      <c r="R701" s="18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201"/>
      <c r="F702" s="201"/>
      <c r="G702" s="201"/>
      <c r="H702" s="1"/>
      <c r="I702" s="1"/>
      <c r="J702" s="1"/>
      <c r="K702" s="1"/>
      <c r="L702" s="1"/>
      <c r="M702" s="1"/>
      <c r="N702" s="1"/>
      <c r="O702" s="1"/>
      <c r="P702" s="1"/>
      <c r="Q702" s="131"/>
      <c r="R702" s="18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201"/>
      <c r="F703" s="201"/>
      <c r="G703" s="201"/>
      <c r="H703" s="1"/>
      <c r="I703" s="1"/>
      <c r="J703" s="1"/>
      <c r="K703" s="1"/>
      <c r="L703" s="1"/>
      <c r="M703" s="1"/>
      <c r="N703" s="1"/>
      <c r="O703" s="1"/>
      <c r="P703" s="1"/>
      <c r="Q703" s="131"/>
      <c r="R703" s="18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201"/>
      <c r="F704" s="201"/>
      <c r="G704" s="201"/>
      <c r="H704" s="1"/>
      <c r="I704" s="1"/>
      <c r="J704" s="1"/>
      <c r="K704" s="1"/>
      <c r="L704" s="1"/>
      <c r="M704" s="1"/>
      <c r="N704" s="1"/>
      <c r="O704" s="1"/>
      <c r="P704" s="1"/>
      <c r="Q704" s="131"/>
      <c r="R704" s="18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201"/>
      <c r="F705" s="201"/>
      <c r="G705" s="201"/>
      <c r="H705" s="1"/>
      <c r="I705" s="1"/>
      <c r="J705" s="1"/>
      <c r="K705" s="1"/>
      <c r="L705" s="1"/>
      <c r="M705" s="1"/>
      <c r="N705" s="1"/>
      <c r="O705" s="1"/>
      <c r="P705" s="1"/>
      <c r="Q705" s="131"/>
      <c r="R705" s="18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201"/>
      <c r="F706" s="201"/>
      <c r="G706" s="201"/>
      <c r="H706" s="1"/>
      <c r="I706" s="1"/>
      <c r="J706" s="1"/>
      <c r="K706" s="1"/>
      <c r="L706" s="1"/>
      <c r="M706" s="1"/>
      <c r="N706" s="1"/>
      <c r="O706" s="1"/>
      <c r="P706" s="1"/>
      <c r="Q706" s="131"/>
      <c r="R706" s="18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201"/>
      <c r="F707" s="201"/>
      <c r="G707" s="201"/>
      <c r="H707" s="1"/>
      <c r="I707" s="1"/>
      <c r="J707" s="1"/>
      <c r="K707" s="1"/>
      <c r="L707" s="1"/>
      <c r="M707" s="1"/>
      <c r="N707" s="1"/>
      <c r="O707" s="1"/>
      <c r="P707" s="1"/>
      <c r="Q707" s="131"/>
      <c r="R707" s="18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201"/>
      <c r="F708" s="201"/>
      <c r="G708" s="201"/>
      <c r="H708" s="1"/>
      <c r="I708" s="1"/>
      <c r="J708" s="1"/>
      <c r="K708" s="1"/>
      <c r="L708" s="1"/>
      <c r="M708" s="1"/>
      <c r="N708" s="1"/>
      <c r="O708" s="1"/>
      <c r="P708" s="1"/>
      <c r="Q708" s="131"/>
      <c r="R708" s="18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201"/>
      <c r="F709" s="201"/>
      <c r="G709" s="201"/>
      <c r="H709" s="1"/>
      <c r="I709" s="1"/>
      <c r="J709" s="1"/>
      <c r="K709" s="1"/>
      <c r="L709" s="1"/>
      <c r="M709" s="1"/>
      <c r="N709" s="1"/>
      <c r="O709" s="1"/>
      <c r="P709" s="1"/>
      <c r="Q709" s="131"/>
      <c r="R709" s="18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201"/>
      <c r="F710" s="201"/>
      <c r="G710" s="201"/>
      <c r="H710" s="1"/>
      <c r="I710" s="1"/>
      <c r="J710" s="1"/>
      <c r="K710" s="1"/>
      <c r="L710" s="1"/>
      <c r="M710" s="1"/>
      <c r="N710" s="1"/>
      <c r="O710" s="1"/>
      <c r="P710" s="1"/>
      <c r="Q710" s="131"/>
      <c r="R710" s="18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201"/>
      <c r="F711" s="201"/>
      <c r="G711" s="201"/>
      <c r="H711" s="1"/>
      <c r="I711" s="1"/>
      <c r="J711" s="1"/>
      <c r="K711" s="1"/>
      <c r="L711" s="1"/>
      <c r="M711" s="1"/>
      <c r="N711" s="1"/>
      <c r="O711" s="1"/>
      <c r="P711" s="1"/>
      <c r="Q711" s="131"/>
      <c r="R711" s="18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201"/>
      <c r="F712" s="201"/>
      <c r="G712" s="201"/>
      <c r="H712" s="1"/>
      <c r="I712" s="1"/>
      <c r="J712" s="1"/>
      <c r="K712" s="1"/>
      <c r="L712" s="1"/>
      <c r="M712" s="1"/>
      <c r="N712" s="1"/>
      <c r="O712" s="1"/>
      <c r="P712" s="1"/>
      <c r="Q712" s="131"/>
      <c r="R712" s="18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201"/>
      <c r="F713" s="201"/>
      <c r="G713" s="201"/>
      <c r="H713" s="1"/>
      <c r="I713" s="1"/>
      <c r="J713" s="1"/>
      <c r="K713" s="1"/>
      <c r="L713" s="1"/>
      <c r="M713" s="1"/>
      <c r="N713" s="1"/>
      <c r="O713" s="1"/>
      <c r="P713" s="1"/>
      <c r="Q713" s="131"/>
      <c r="R713" s="18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201"/>
      <c r="F714" s="201"/>
      <c r="G714" s="201"/>
      <c r="H714" s="1"/>
      <c r="I714" s="1"/>
      <c r="J714" s="1"/>
      <c r="K714" s="1"/>
      <c r="L714" s="1"/>
      <c r="M714" s="1"/>
      <c r="N714" s="1"/>
      <c r="O714" s="1"/>
      <c r="P714" s="1"/>
      <c r="Q714" s="131"/>
      <c r="R714" s="18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201"/>
      <c r="F715" s="201"/>
      <c r="G715" s="201"/>
      <c r="H715" s="1"/>
      <c r="I715" s="1"/>
      <c r="J715" s="1"/>
      <c r="K715" s="1"/>
      <c r="L715" s="1"/>
      <c r="M715" s="1"/>
      <c r="N715" s="1"/>
      <c r="O715" s="1"/>
      <c r="P715" s="1"/>
      <c r="Q715" s="131"/>
      <c r="R715" s="18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201"/>
      <c r="F716" s="201"/>
      <c r="G716" s="201"/>
      <c r="H716" s="1"/>
      <c r="I716" s="1"/>
      <c r="J716" s="1"/>
      <c r="K716" s="1"/>
      <c r="L716" s="1"/>
      <c r="M716" s="1"/>
      <c r="N716" s="1"/>
      <c r="O716" s="1"/>
      <c r="P716" s="1"/>
      <c r="Q716" s="131"/>
      <c r="R716" s="18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201"/>
      <c r="F717" s="201"/>
      <c r="G717" s="201"/>
      <c r="H717" s="1"/>
      <c r="I717" s="1"/>
      <c r="J717" s="1"/>
      <c r="K717" s="1"/>
      <c r="L717" s="1"/>
      <c r="M717" s="1"/>
      <c r="N717" s="1"/>
      <c r="O717" s="1"/>
      <c r="P717" s="1"/>
      <c r="Q717" s="131"/>
      <c r="R717" s="18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201"/>
      <c r="F718" s="201"/>
      <c r="G718" s="201"/>
      <c r="H718" s="1"/>
      <c r="I718" s="1"/>
      <c r="J718" s="1"/>
      <c r="K718" s="1"/>
      <c r="L718" s="1"/>
      <c r="M718" s="1"/>
      <c r="N718" s="1"/>
      <c r="O718" s="1"/>
      <c r="P718" s="1"/>
      <c r="Q718" s="131"/>
      <c r="R718" s="18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201"/>
      <c r="F719" s="201"/>
      <c r="G719" s="201"/>
      <c r="H719" s="1"/>
      <c r="I719" s="1"/>
      <c r="J719" s="1"/>
      <c r="K719" s="1"/>
      <c r="L719" s="1"/>
      <c r="M719" s="1"/>
      <c r="N719" s="1"/>
      <c r="O719" s="1"/>
      <c r="P719" s="1"/>
      <c r="Q719" s="131"/>
      <c r="R719" s="18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201"/>
      <c r="F720" s="201"/>
      <c r="G720" s="201"/>
      <c r="H720" s="1"/>
      <c r="I720" s="1"/>
      <c r="J720" s="1"/>
      <c r="K720" s="1"/>
      <c r="L720" s="1"/>
      <c r="M720" s="1"/>
      <c r="N720" s="1"/>
      <c r="O720" s="1"/>
      <c r="P720" s="1"/>
      <c r="Q720" s="131"/>
      <c r="R720" s="18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201"/>
      <c r="F721" s="201"/>
      <c r="G721" s="201"/>
      <c r="H721" s="1"/>
      <c r="I721" s="1"/>
      <c r="J721" s="1"/>
      <c r="K721" s="1"/>
      <c r="L721" s="1"/>
      <c r="M721" s="1"/>
      <c r="N721" s="1"/>
      <c r="O721" s="1"/>
      <c r="P721" s="1"/>
      <c r="Q721" s="131"/>
      <c r="R721" s="18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201"/>
      <c r="F722" s="201"/>
      <c r="G722" s="201"/>
      <c r="H722" s="1"/>
      <c r="I722" s="1"/>
      <c r="J722" s="1"/>
      <c r="K722" s="1"/>
      <c r="L722" s="1"/>
      <c r="M722" s="1"/>
      <c r="N722" s="1"/>
      <c r="O722" s="1"/>
      <c r="P722" s="1"/>
      <c r="Q722" s="131"/>
      <c r="R722" s="18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201"/>
      <c r="F723" s="201"/>
      <c r="G723" s="201"/>
      <c r="H723" s="1"/>
      <c r="I723" s="1"/>
      <c r="J723" s="1"/>
      <c r="K723" s="1"/>
      <c r="L723" s="1"/>
      <c r="M723" s="1"/>
      <c r="N723" s="1"/>
      <c r="O723" s="1"/>
      <c r="P723" s="1"/>
      <c r="Q723" s="131"/>
      <c r="R723" s="18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201"/>
      <c r="F724" s="201"/>
      <c r="G724" s="201"/>
      <c r="H724" s="1"/>
      <c r="I724" s="1"/>
      <c r="J724" s="1"/>
      <c r="K724" s="1"/>
      <c r="L724" s="1"/>
      <c r="M724" s="1"/>
      <c r="N724" s="1"/>
      <c r="O724" s="1"/>
      <c r="P724" s="1"/>
      <c r="Q724" s="131"/>
      <c r="R724" s="18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201"/>
      <c r="F725" s="201"/>
      <c r="G725" s="201"/>
      <c r="H725" s="1"/>
      <c r="I725" s="1"/>
      <c r="J725" s="1"/>
      <c r="K725" s="1"/>
      <c r="L725" s="1"/>
      <c r="M725" s="1"/>
      <c r="N725" s="1"/>
      <c r="O725" s="1"/>
      <c r="P725" s="1"/>
      <c r="Q725" s="131"/>
      <c r="R725" s="18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201"/>
      <c r="F726" s="201"/>
      <c r="G726" s="201"/>
      <c r="H726" s="1"/>
      <c r="I726" s="1"/>
      <c r="J726" s="1"/>
      <c r="K726" s="1"/>
      <c r="L726" s="1"/>
      <c r="M726" s="1"/>
      <c r="N726" s="1"/>
      <c r="O726" s="1"/>
      <c r="P726" s="1"/>
      <c r="Q726" s="131"/>
      <c r="R726" s="18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201"/>
      <c r="F727" s="201"/>
      <c r="G727" s="201"/>
      <c r="H727" s="1"/>
      <c r="I727" s="1"/>
      <c r="J727" s="1"/>
      <c r="K727" s="1"/>
      <c r="L727" s="1"/>
      <c r="M727" s="1"/>
      <c r="N727" s="1"/>
      <c r="O727" s="1"/>
      <c r="P727" s="1"/>
      <c r="Q727" s="131"/>
      <c r="R727" s="18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201"/>
      <c r="F728" s="201"/>
      <c r="G728" s="201"/>
      <c r="H728" s="1"/>
      <c r="I728" s="1"/>
      <c r="J728" s="1"/>
      <c r="K728" s="1"/>
      <c r="L728" s="1"/>
      <c r="M728" s="1"/>
      <c r="N728" s="1"/>
      <c r="O728" s="1"/>
      <c r="P728" s="1"/>
      <c r="Q728" s="131"/>
      <c r="R728" s="18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201"/>
      <c r="F729" s="201"/>
      <c r="G729" s="201"/>
      <c r="H729" s="1"/>
      <c r="I729" s="1"/>
      <c r="J729" s="1"/>
      <c r="K729" s="1"/>
      <c r="L729" s="1"/>
      <c r="M729" s="1"/>
      <c r="N729" s="1"/>
      <c r="O729" s="1"/>
      <c r="P729" s="1"/>
      <c r="Q729" s="131"/>
      <c r="R729" s="18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201"/>
      <c r="F730" s="201"/>
      <c r="G730" s="201"/>
      <c r="H730" s="1"/>
      <c r="I730" s="1"/>
      <c r="J730" s="1"/>
      <c r="K730" s="1"/>
      <c r="L730" s="1"/>
      <c r="M730" s="1"/>
      <c r="N730" s="1"/>
      <c r="O730" s="1"/>
      <c r="P730" s="1"/>
      <c r="Q730" s="131"/>
      <c r="R730" s="18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201"/>
      <c r="F731" s="201"/>
      <c r="G731" s="201"/>
      <c r="H731" s="1"/>
      <c r="I731" s="1"/>
      <c r="J731" s="1"/>
      <c r="K731" s="1"/>
      <c r="L731" s="1"/>
      <c r="M731" s="1"/>
      <c r="N731" s="1"/>
      <c r="O731" s="1"/>
      <c r="P731" s="1"/>
      <c r="Q731" s="131"/>
      <c r="R731" s="18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201"/>
      <c r="F732" s="201"/>
      <c r="G732" s="201"/>
      <c r="H732" s="1"/>
      <c r="I732" s="1"/>
      <c r="J732" s="1"/>
      <c r="K732" s="1"/>
      <c r="L732" s="1"/>
      <c r="M732" s="1"/>
      <c r="N732" s="1"/>
      <c r="O732" s="1"/>
      <c r="P732" s="1"/>
      <c r="Q732" s="131"/>
      <c r="R732" s="18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201"/>
      <c r="F733" s="201"/>
      <c r="G733" s="201"/>
      <c r="H733" s="1"/>
      <c r="I733" s="1"/>
      <c r="J733" s="1"/>
      <c r="K733" s="1"/>
      <c r="L733" s="1"/>
      <c r="M733" s="1"/>
      <c r="N733" s="1"/>
      <c r="O733" s="1"/>
      <c r="P733" s="1"/>
      <c r="Q733" s="131"/>
      <c r="R733" s="18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201"/>
      <c r="F734" s="201"/>
      <c r="G734" s="201"/>
      <c r="H734" s="1"/>
      <c r="I734" s="1"/>
      <c r="J734" s="1"/>
      <c r="K734" s="1"/>
      <c r="L734" s="1"/>
      <c r="M734" s="1"/>
      <c r="N734" s="1"/>
      <c r="O734" s="1"/>
      <c r="P734" s="1"/>
      <c r="Q734" s="131"/>
      <c r="R734" s="18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201"/>
      <c r="F735" s="201"/>
      <c r="G735" s="201"/>
      <c r="H735" s="1"/>
      <c r="I735" s="1"/>
      <c r="J735" s="1"/>
      <c r="K735" s="1"/>
      <c r="L735" s="1"/>
      <c r="M735" s="1"/>
      <c r="N735" s="1"/>
      <c r="O735" s="1"/>
      <c r="P735" s="1"/>
      <c r="Q735" s="131"/>
      <c r="R735" s="18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201"/>
      <c r="F736" s="201"/>
      <c r="G736" s="201"/>
      <c r="H736" s="1"/>
      <c r="I736" s="1"/>
      <c r="J736" s="1"/>
      <c r="K736" s="1"/>
      <c r="L736" s="1"/>
      <c r="M736" s="1"/>
      <c r="N736" s="1"/>
      <c r="O736" s="1"/>
      <c r="P736" s="1"/>
      <c r="Q736" s="131"/>
      <c r="R736" s="18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201"/>
      <c r="F737" s="201"/>
      <c r="G737" s="201"/>
      <c r="H737" s="1"/>
      <c r="I737" s="1"/>
      <c r="J737" s="1"/>
      <c r="K737" s="1"/>
      <c r="L737" s="1"/>
      <c r="M737" s="1"/>
      <c r="N737" s="1"/>
      <c r="O737" s="1"/>
      <c r="P737" s="1"/>
      <c r="Q737" s="131"/>
      <c r="R737" s="18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201"/>
      <c r="F738" s="201"/>
      <c r="G738" s="201"/>
      <c r="H738" s="1"/>
      <c r="I738" s="1"/>
      <c r="J738" s="1"/>
      <c r="K738" s="1"/>
      <c r="L738" s="1"/>
      <c r="M738" s="1"/>
      <c r="N738" s="1"/>
      <c r="O738" s="1"/>
      <c r="P738" s="1"/>
      <c r="Q738" s="131"/>
      <c r="R738" s="18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201"/>
      <c r="F739" s="201"/>
      <c r="G739" s="201"/>
      <c r="H739" s="1"/>
      <c r="I739" s="1"/>
      <c r="J739" s="1"/>
      <c r="K739" s="1"/>
      <c r="L739" s="1"/>
      <c r="M739" s="1"/>
      <c r="N739" s="1"/>
      <c r="O739" s="1"/>
      <c r="P739" s="1"/>
      <c r="Q739" s="131"/>
      <c r="R739" s="18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201"/>
      <c r="F740" s="201"/>
      <c r="G740" s="201"/>
      <c r="H740" s="1"/>
      <c r="I740" s="1"/>
      <c r="J740" s="1"/>
      <c r="K740" s="1"/>
      <c r="L740" s="1"/>
      <c r="M740" s="1"/>
      <c r="N740" s="1"/>
      <c r="O740" s="1"/>
      <c r="P740" s="1"/>
      <c r="Q740" s="131"/>
      <c r="R740" s="18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201"/>
      <c r="F741" s="201"/>
      <c r="G741" s="201"/>
      <c r="H741" s="1"/>
      <c r="I741" s="1"/>
      <c r="J741" s="1"/>
      <c r="K741" s="1"/>
      <c r="L741" s="1"/>
      <c r="M741" s="1"/>
      <c r="N741" s="1"/>
      <c r="O741" s="1"/>
      <c r="P741" s="1"/>
      <c r="Q741" s="131"/>
      <c r="R741" s="18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201"/>
      <c r="F742" s="201"/>
      <c r="G742" s="201"/>
      <c r="H742" s="1"/>
      <c r="I742" s="1"/>
      <c r="J742" s="1"/>
      <c r="K742" s="1"/>
      <c r="L742" s="1"/>
      <c r="M742" s="1"/>
      <c r="N742" s="1"/>
      <c r="O742" s="1"/>
      <c r="P742" s="1"/>
      <c r="Q742" s="131"/>
      <c r="R742" s="18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201"/>
      <c r="F743" s="201"/>
      <c r="G743" s="201"/>
      <c r="H743" s="1"/>
      <c r="I743" s="1"/>
      <c r="J743" s="1"/>
      <c r="K743" s="1"/>
      <c r="L743" s="1"/>
      <c r="M743" s="1"/>
      <c r="N743" s="1"/>
      <c r="O743" s="1"/>
      <c r="P743" s="1"/>
      <c r="Q743" s="131"/>
      <c r="R743" s="18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201"/>
      <c r="F744" s="201"/>
      <c r="G744" s="201"/>
      <c r="H744" s="1"/>
      <c r="I744" s="1"/>
      <c r="J744" s="1"/>
      <c r="K744" s="1"/>
      <c r="L744" s="1"/>
      <c r="M744" s="1"/>
      <c r="N744" s="1"/>
      <c r="O744" s="1"/>
      <c r="P744" s="1"/>
      <c r="Q744" s="131"/>
      <c r="R744" s="18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201"/>
      <c r="F745" s="201"/>
      <c r="G745" s="201"/>
      <c r="H745" s="1"/>
      <c r="I745" s="1"/>
      <c r="J745" s="1"/>
      <c r="K745" s="1"/>
      <c r="L745" s="1"/>
      <c r="M745" s="1"/>
      <c r="N745" s="1"/>
      <c r="O745" s="1"/>
      <c r="P745" s="1"/>
      <c r="Q745" s="131"/>
      <c r="R745" s="18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201"/>
      <c r="F746" s="201"/>
      <c r="G746" s="201"/>
      <c r="H746" s="1"/>
      <c r="I746" s="1"/>
      <c r="J746" s="1"/>
      <c r="K746" s="1"/>
      <c r="L746" s="1"/>
      <c r="M746" s="1"/>
      <c r="N746" s="1"/>
      <c r="O746" s="1"/>
      <c r="P746" s="1"/>
      <c r="Q746" s="131"/>
      <c r="R746" s="18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201"/>
      <c r="F747" s="201"/>
      <c r="G747" s="201"/>
      <c r="H747" s="1"/>
      <c r="I747" s="1"/>
      <c r="J747" s="1"/>
      <c r="K747" s="1"/>
      <c r="L747" s="1"/>
      <c r="M747" s="1"/>
      <c r="N747" s="1"/>
      <c r="O747" s="1"/>
      <c r="P747" s="1"/>
      <c r="Q747" s="131"/>
      <c r="R747" s="18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201"/>
      <c r="F748" s="201"/>
      <c r="G748" s="201"/>
      <c r="H748" s="1"/>
      <c r="I748" s="1"/>
      <c r="J748" s="1"/>
      <c r="K748" s="1"/>
      <c r="L748" s="1"/>
      <c r="M748" s="1"/>
      <c r="N748" s="1"/>
      <c r="O748" s="1"/>
      <c r="P748" s="1"/>
      <c r="Q748" s="131"/>
      <c r="R748" s="18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201"/>
      <c r="F749" s="201"/>
      <c r="G749" s="201"/>
      <c r="H749" s="1"/>
      <c r="I749" s="1"/>
      <c r="J749" s="1"/>
      <c r="K749" s="1"/>
      <c r="L749" s="1"/>
      <c r="M749" s="1"/>
      <c r="N749" s="1"/>
      <c r="O749" s="1"/>
      <c r="P749" s="1"/>
      <c r="Q749" s="131"/>
      <c r="R749" s="18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201"/>
      <c r="F750" s="201"/>
      <c r="G750" s="201"/>
      <c r="H750" s="1"/>
      <c r="I750" s="1"/>
      <c r="J750" s="1"/>
      <c r="K750" s="1"/>
      <c r="L750" s="1"/>
      <c r="M750" s="1"/>
      <c r="N750" s="1"/>
      <c r="O750" s="1"/>
      <c r="P750" s="1"/>
      <c r="Q750" s="131"/>
      <c r="R750" s="18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201"/>
      <c r="F751" s="201"/>
      <c r="G751" s="201"/>
      <c r="H751" s="1"/>
      <c r="I751" s="1"/>
      <c r="J751" s="1"/>
      <c r="K751" s="1"/>
      <c r="L751" s="1"/>
      <c r="M751" s="1"/>
      <c r="N751" s="1"/>
      <c r="O751" s="1"/>
      <c r="P751" s="1"/>
      <c r="Q751" s="131"/>
      <c r="R751" s="18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201"/>
      <c r="F752" s="201"/>
      <c r="G752" s="201"/>
      <c r="H752" s="1"/>
      <c r="I752" s="1"/>
      <c r="J752" s="1"/>
      <c r="K752" s="1"/>
      <c r="L752" s="1"/>
      <c r="M752" s="1"/>
      <c r="N752" s="1"/>
      <c r="O752" s="1"/>
      <c r="P752" s="1"/>
      <c r="Q752" s="131"/>
      <c r="R752" s="18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201"/>
      <c r="F753" s="201"/>
      <c r="G753" s="201"/>
      <c r="H753" s="1"/>
      <c r="I753" s="1"/>
      <c r="J753" s="1"/>
      <c r="K753" s="1"/>
      <c r="L753" s="1"/>
      <c r="M753" s="1"/>
      <c r="N753" s="1"/>
      <c r="O753" s="1"/>
      <c r="P753" s="1"/>
      <c r="Q753" s="131"/>
      <c r="R753" s="18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201"/>
      <c r="F754" s="201"/>
      <c r="G754" s="201"/>
      <c r="H754" s="1"/>
      <c r="I754" s="1"/>
      <c r="J754" s="1"/>
      <c r="K754" s="1"/>
      <c r="L754" s="1"/>
      <c r="M754" s="1"/>
      <c r="N754" s="1"/>
      <c r="O754" s="1"/>
      <c r="P754" s="1"/>
      <c r="Q754" s="131"/>
      <c r="R754" s="18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201"/>
      <c r="F755" s="201"/>
      <c r="G755" s="201"/>
      <c r="H755" s="1"/>
      <c r="I755" s="1"/>
      <c r="J755" s="1"/>
      <c r="K755" s="1"/>
      <c r="L755" s="1"/>
      <c r="M755" s="1"/>
      <c r="N755" s="1"/>
      <c r="O755" s="1"/>
      <c r="P755" s="1"/>
      <c r="Q755" s="131"/>
      <c r="R755" s="18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201"/>
      <c r="F756" s="201"/>
      <c r="G756" s="201"/>
      <c r="H756" s="1"/>
      <c r="I756" s="1"/>
      <c r="J756" s="1"/>
      <c r="K756" s="1"/>
      <c r="L756" s="1"/>
      <c r="M756" s="1"/>
      <c r="N756" s="1"/>
      <c r="O756" s="1"/>
      <c r="P756" s="1"/>
      <c r="Q756" s="131"/>
      <c r="R756" s="18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201"/>
      <c r="F757" s="201"/>
      <c r="G757" s="201"/>
      <c r="H757" s="1"/>
      <c r="I757" s="1"/>
      <c r="J757" s="1"/>
      <c r="K757" s="1"/>
      <c r="L757" s="1"/>
      <c r="M757" s="1"/>
      <c r="N757" s="1"/>
      <c r="O757" s="1"/>
      <c r="P757" s="1"/>
      <c r="Q757" s="131"/>
      <c r="R757" s="18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201"/>
      <c r="F758" s="201"/>
      <c r="G758" s="201"/>
      <c r="H758" s="1"/>
      <c r="I758" s="1"/>
      <c r="J758" s="1"/>
      <c r="K758" s="1"/>
      <c r="L758" s="1"/>
      <c r="M758" s="1"/>
      <c r="N758" s="1"/>
      <c r="O758" s="1"/>
      <c r="P758" s="1"/>
      <c r="Q758" s="131"/>
      <c r="R758" s="18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201"/>
      <c r="F759" s="201"/>
      <c r="G759" s="201"/>
      <c r="H759" s="1"/>
      <c r="I759" s="1"/>
      <c r="J759" s="1"/>
      <c r="K759" s="1"/>
      <c r="L759" s="1"/>
      <c r="M759" s="1"/>
      <c r="N759" s="1"/>
      <c r="O759" s="1"/>
      <c r="P759" s="1"/>
      <c r="Q759" s="131"/>
      <c r="R759" s="18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201"/>
      <c r="F760" s="201"/>
      <c r="G760" s="201"/>
      <c r="H760" s="1"/>
      <c r="I760" s="1"/>
      <c r="J760" s="1"/>
      <c r="K760" s="1"/>
      <c r="L760" s="1"/>
      <c r="M760" s="1"/>
      <c r="N760" s="1"/>
      <c r="O760" s="1"/>
      <c r="P760" s="1"/>
      <c r="Q760" s="131"/>
      <c r="R760" s="18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201"/>
      <c r="F761" s="201"/>
      <c r="G761" s="201"/>
      <c r="H761" s="1"/>
      <c r="I761" s="1"/>
      <c r="J761" s="1"/>
      <c r="K761" s="1"/>
      <c r="L761" s="1"/>
      <c r="M761" s="1"/>
      <c r="N761" s="1"/>
      <c r="O761" s="1"/>
      <c r="P761" s="1"/>
      <c r="Q761" s="131"/>
      <c r="R761" s="18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201"/>
      <c r="F762" s="201"/>
      <c r="G762" s="201"/>
      <c r="H762" s="1"/>
      <c r="I762" s="1"/>
      <c r="J762" s="1"/>
      <c r="K762" s="1"/>
      <c r="L762" s="1"/>
      <c r="M762" s="1"/>
      <c r="N762" s="1"/>
      <c r="O762" s="1"/>
      <c r="P762" s="1"/>
      <c r="Q762" s="131"/>
      <c r="R762" s="18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201"/>
      <c r="F763" s="201"/>
      <c r="G763" s="201"/>
      <c r="H763" s="1"/>
      <c r="I763" s="1"/>
      <c r="J763" s="1"/>
      <c r="K763" s="1"/>
      <c r="L763" s="1"/>
      <c r="M763" s="1"/>
      <c r="N763" s="1"/>
      <c r="O763" s="1"/>
      <c r="P763" s="1"/>
      <c r="Q763" s="131"/>
      <c r="R763" s="18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201"/>
      <c r="F764" s="201"/>
      <c r="G764" s="201"/>
      <c r="H764" s="1"/>
      <c r="I764" s="1"/>
      <c r="J764" s="1"/>
      <c r="K764" s="1"/>
      <c r="L764" s="1"/>
      <c r="M764" s="1"/>
      <c r="N764" s="1"/>
      <c r="O764" s="1"/>
      <c r="P764" s="1"/>
      <c r="Q764" s="131"/>
      <c r="R764" s="18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201"/>
      <c r="F765" s="201"/>
      <c r="G765" s="201"/>
      <c r="H765" s="1"/>
      <c r="I765" s="1"/>
      <c r="J765" s="1"/>
      <c r="K765" s="1"/>
      <c r="L765" s="1"/>
      <c r="M765" s="1"/>
      <c r="N765" s="1"/>
      <c r="O765" s="1"/>
      <c r="P765" s="1"/>
      <c r="Q765" s="131"/>
      <c r="R765" s="18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201"/>
      <c r="F766" s="201"/>
      <c r="G766" s="201"/>
      <c r="H766" s="1"/>
      <c r="I766" s="1"/>
      <c r="J766" s="1"/>
      <c r="K766" s="1"/>
      <c r="L766" s="1"/>
      <c r="M766" s="1"/>
      <c r="N766" s="1"/>
      <c r="O766" s="1"/>
      <c r="P766" s="1"/>
      <c r="Q766" s="131"/>
      <c r="R766" s="18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201"/>
      <c r="F767" s="201"/>
      <c r="G767" s="201"/>
      <c r="H767" s="1"/>
      <c r="I767" s="1"/>
      <c r="J767" s="1"/>
      <c r="K767" s="1"/>
      <c r="L767" s="1"/>
      <c r="M767" s="1"/>
      <c r="N767" s="1"/>
      <c r="O767" s="1"/>
      <c r="P767" s="1"/>
      <c r="Q767" s="131"/>
      <c r="R767" s="18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201"/>
      <c r="F768" s="201"/>
      <c r="G768" s="201"/>
      <c r="H768" s="1"/>
      <c r="I768" s="1"/>
      <c r="J768" s="1"/>
      <c r="K768" s="1"/>
      <c r="L768" s="1"/>
      <c r="M768" s="1"/>
      <c r="N768" s="1"/>
      <c r="O768" s="1"/>
      <c r="P768" s="1"/>
      <c r="Q768" s="131"/>
      <c r="R768" s="18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201"/>
      <c r="F769" s="201"/>
      <c r="G769" s="201"/>
      <c r="H769" s="1"/>
      <c r="I769" s="1"/>
      <c r="J769" s="1"/>
      <c r="K769" s="1"/>
      <c r="L769" s="1"/>
      <c r="M769" s="1"/>
      <c r="N769" s="1"/>
      <c r="O769" s="1"/>
      <c r="P769" s="1"/>
      <c r="Q769" s="131"/>
      <c r="R769" s="18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201"/>
      <c r="F770" s="201"/>
      <c r="G770" s="201"/>
      <c r="H770" s="1"/>
      <c r="I770" s="1"/>
      <c r="J770" s="1"/>
      <c r="K770" s="1"/>
      <c r="L770" s="1"/>
      <c r="M770" s="1"/>
      <c r="N770" s="1"/>
      <c r="O770" s="1"/>
      <c r="P770" s="1"/>
      <c r="Q770" s="131"/>
      <c r="R770" s="18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201"/>
      <c r="F771" s="201"/>
      <c r="G771" s="201"/>
      <c r="H771" s="1"/>
      <c r="I771" s="1"/>
      <c r="J771" s="1"/>
      <c r="K771" s="1"/>
      <c r="L771" s="1"/>
      <c r="M771" s="1"/>
      <c r="N771" s="1"/>
      <c r="O771" s="1"/>
      <c r="P771" s="1"/>
      <c r="Q771" s="131"/>
      <c r="R771" s="18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201"/>
      <c r="F772" s="201"/>
      <c r="G772" s="201"/>
      <c r="H772" s="1"/>
      <c r="I772" s="1"/>
      <c r="J772" s="1"/>
      <c r="K772" s="1"/>
      <c r="L772" s="1"/>
      <c r="M772" s="1"/>
      <c r="N772" s="1"/>
      <c r="O772" s="1"/>
      <c r="P772" s="1"/>
      <c r="Q772" s="131"/>
      <c r="R772" s="18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201"/>
      <c r="F773" s="201"/>
      <c r="G773" s="201"/>
      <c r="H773" s="1"/>
      <c r="I773" s="1"/>
      <c r="J773" s="1"/>
      <c r="K773" s="1"/>
      <c r="L773" s="1"/>
      <c r="M773" s="1"/>
      <c r="N773" s="1"/>
      <c r="O773" s="1"/>
      <c r="P773" s="1"/>
      <c r="Q773" s="131"/>
      <c r="R773" s="18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201"/>
      <c r="F774" s="201"/>
      <c r="G774" s="201"/>
      <c r="H774" s="1"/>
      <c r="I774" s="1"/>
      <c r="J774" s="1"/>
      <c r="K774" s="1"/>
      <c r="L774" s="1"/>
      <c r="M774" s="1"/>
      <c r="N774" s="1"/>
      <c r="O774" s="1"/>
      <c r="P774" s="1"/>
      <c r="Q774" s="131"/>
      <c r="R774" s="18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201"/>
      <c r="F775" s="201"/>
      <c r="G775" s="201"/>
      <c r="H775" s="1"/>
      <c r="I775" s="1"/>
      <c r="J775" s="1"/>
      <c r="K775" s="1"/>
      <c r="L775" s="1"/>
      <c r="M775" s="1"/>
      <c r="N775" s="1"/>
      <c r="O775" s="1"/>
      <c r="P775" s="1"/>
      <c r="Q775" s="131"/>
      <c r="R775" s="18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81"/>
      <c r="F776" s="181"/>
      <c r="G776" s="18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8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81"/>
      <c r="F777" s="181"/>
      <c r="G777" s="18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8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81"/>
      <c r="F778" s="181"/>
      <c r="G778" s="18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8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81"/>
      <c r="F779" s="181"/>
      <c r="G779" s="18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8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81"/>
      <c r="F780" s="181"/>
      <c r="G780" s="18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8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81"/>
      <c r="F781" s="181"/>
      <c r="G781" s="18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8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81"/>
      <c r="F782" s="181"/>
      <c r="G782" s="18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8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81"/>
      <c r="F783" s="181"/>
      <c r="G783" s="18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8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81"/>
      <c r="F784" s="181"/>
      <c r="G784" s="18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8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81"/>
      <c r="F785" s="181"/>
      <c r="G785" s="18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8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81"/>
      <c r="F786" s="181"/>
      <c r="G786" s="18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8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81"/>
      <c r="F787" s="181"/>
      <c r="G787" s="18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8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81"/>
      <c r="F788" s="181"/>
      <c r="G788" s="18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8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81"/>
      <c r="F789" s="181"/>
      <c r="G789" s="18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8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81"/>
      <c r="F790" s="181"/>
      <c r="G790" s="18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8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81"/>
      <c r="F791" s="181"/>
      <c r="G791" s="18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8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81"/>
      <c r="F792" s="181"/>
      <c r="G792" s="18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8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81"/>
      <c r="F793" s="181"/>
      <c r="G793" s="18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8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81"/>
      <c r="F794" s="181"/>
      <c r="G794" s="18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8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81"/>
      <c r="F795" s="181"/>
      <c r="G795" s="18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8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81"/>
      <c r="F796" s="181"/>
      <c r="G796" s="18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8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81"/>
      <c r="F797" s="181"/>
      <c r="G797" s="18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8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81"/>
      <c r="F798" s="181"/>
      <c r="G798" s="18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8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81"/>
      <c r="F799" s="181"/>
      <c r="G799" s="18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8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81"/>
      <c r="F800" s="181"/>
      <c r="G800" s="18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8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81"/>
      <c r="F801" s="181"/>
      <c r="G801" s="18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8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81"/>
      <c r="F802" s="181"/>
      <c r="G802" s="18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8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81"/>
      <c r="F803" s="181"/>
      <c r="G803" s="18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8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81"/>
      <c r="F804" s="181"/>
      <c r="G804" s="18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8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81"/>
      <c r="F805" s="181"/>
      <c r="G805" s="18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8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81"/>
      <c r="F806" s="181"/>
      <c r="G806" s="18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8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81"/>
      <c r="F807" s="181"/>
      <c r="G807" s="18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8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81"/>
      <c r="F808" s="181"/>
      <c r="G808" s="18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8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81"/>
      <c r="F809" s="181"/>
      <c r="G809" s="18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8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81"/>
      <c r="F810" s="181"/>
      <c r="G810" s="18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8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81"/>
      <c r="F811" s="181"/>
      <c r="G811" s="18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8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81"/>
      <c r="F812" s="181"/>
      <c r="G812" s="18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8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81"/>
      <c r="F813" s="181"/>
      <c r="G813" s="18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8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81"/>
      <c r="F814" s="181"/>
      <c r="G814" s="18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8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81"/>
      <c r="F815" s="181"/>
      <c r="G815" s="18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8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81"/>
      <c r="F816" s="181"/>
      <c r="G816" s="18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8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81"/>
      <c r="F817" s="181"/>
      <c r="G817" s="18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8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81"/>
      <c r="F818" s="181"/>
      <c r="G818" s="18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8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81"/>
      <c r="F819" s="181"/>
      <c r="G819" s="18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8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81"/>
      <c r="F820" s="181"/>
      <c r="G820" s="18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8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81"/>
      <c r="F821" s="181"/>
      <c r="G821" s="18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8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81"/>
      <c r="F822" s="181"/>
      <c r="G822" s="18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8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81"/>
      <c r="F823" s="181"/>
      <c r="G823" s="18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8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81"/>
      <c r="F824" s="181"/>
      <c r="G824" s="18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8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81"/>
      <c r="F825" s="181"/>
      <c r="G825" s="18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8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81"/>
      <c r="F826" s="181"/>
      <c r="G826" s="18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8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81"/>
      <c r="F827" s="181"/>
      <c r="G827" s="18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8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81"/>
      <c r="F828" s="181"/>
      <c r="G828" s="18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8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81"/>
      <c r="F829" s="181"/>
      <c r="G829" s="18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8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81"/>
      <c r="F830" s="181"/>
      <c r="G830" s="18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8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81"/>
      <c r="F831" s="181"/>
      <c r="G831" s="18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8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81"/>
      <c r="F832" s="181"/>
      <c r="G832" s="18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8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81"/>
      <c r="F833" s="181"/>
      <c r="G833" s="18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8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81"/>
      <c r="F834" s="181"/>
      <c r="G834" s="18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8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81"/>
      <c r="F835" s="181"/>
      <c r="G835" s="18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8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81"/>
      <c r="F836" s="181"/>
      <c r="G836" s="18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8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81"/>
      <c r="F837" s="181"/>
      <c r="G837" s="18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8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81"/>
      <c r="F838" s="181"/>
      <c r="G838" s="18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8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81"/>
      <c r="F839" s="181"/>
      <c r="G839" s="18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8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81"/>
      <c r="F840" s="181"/>
      <c r="G840" s="18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8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81"/>
      <c r="F841" s="181"/>
      <c r="G841" s="18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8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81"/>
      <c r="F842" s="181"/>
      <c r="G842" s="18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8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81"/>
      <c r="F843" s="181"/>
      <c r="G843" s="18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8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81"/>
      <c r="F844" s="181"/>
      <c r="G844" s="18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8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81"/>
      <c r="F845" s="181"/>
      <c r="G845" s="18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8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81"/>
      <c r="F846" s="181"/>
      <c r="G846" s="18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8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81"/>
      <c r="F847" s="181"/>
      <c r="G847" s="18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8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81"/>
      <c r="F848" s="181"/>
      <c r="G848" s="18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8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81"/>
      <c r="F849" s="181"/>
      <c r="G849" s="18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8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81"/>
      <c r="F850" s="181"/>
      <c r="G850" s="18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8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81"/>
      <c r="F851" s="181"/>
      <c r="G851" s="18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8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81"/>
      <c r="F852" s="181"/>
      <c r="G852" s="18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8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81"/>
      <c r="F853" s="181"/>
      <c r="G853" s="18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8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81"/>
      <c r="F854" s="181"/>
      <c r="G854" s="18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8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81"/>
      <c r="F855" s="181"/>
      <c r="G855" s="18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8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81"/>
      <c r="F856" s="181"/>
      <c r="G856" s="18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8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81"/>
      <c r="F857" s="181"/>
      <c r="G857" s="18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8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81"/>
      <c r="F858" s="181"/>
      <c r="G858" s="18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8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81"/>
      <c r="F859" s="181"/>
      <c r="G859" s="18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8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81"/>
      <c r="F860" s="181"/>
      <c r="G860" s="18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8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81"/>
      <c r="F861" s="181"/>
      <c r="G861" s="18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8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81"/>
      <c r="F862" s="181"/>
      <c r="G862" s="18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8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81"/>
      <c r="F863" s="181"/>
      <c r="G863" s="18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8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81"/>
      <c r="F864" s="181"/>
      <c r="G864" s="18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8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81"/>
      <c r="F865" s="181"/>
      <c r="G865" s="18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8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81"/>
      <c r="F866" s="181"/>
      <c r="G866" s="18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8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81"/>
      <c r="F867" s="181"/>
      <c r="G867" s="18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8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81"/>
      <c r="F868" s="181"/>
      <c r="G868" s="18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8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81"/>
      <c r="F869" s="181"/>
      <c r="G869" s="18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8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81"/>
      <c r="F870" s="181"/>
      <c r="G870" s="18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8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81"/>
      <c r="F871" s="181"/>
      <c r="G871" s="18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8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81"/>
      <c r="F872" s="181"/>
      <c r="G872" s="18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8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81"/>
      <c r="F873" s="181"/>
      <c r="G873" s="18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8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81"/>
      <c r="F874" s="181"/>
      <c r="G874" s="18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8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81"/>
      <c r="F875" s="181"/>
      <c r="G875" s="18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8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81"/>
      <c r="F876" s="181"/>
      <c r="G876" s="18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8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81"/>
      <c r="F877" s="181"/>
      <c r="G877" s="18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8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81"/>
      <c r="F878" s="181"/>
      <c r="G878" s="18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8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81"/>
      <c r="F879" s="181"/>
      <c r="G879" s="18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8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81"/>
      <c r="F880" s="181"/>
      <c r="G880" s="18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8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81"/>
      <c r="F881" s="181"/>
      <c r="G881" s="18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8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81"/>
      <c r="F882" s="181"/>
      <c r="G882" s="18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8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81"/>
      <c r="F883" s="181"/>
      <c r="G883" s="18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8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81"/>
      <c r="F884" s="181"/>
      <c r="G884" s="18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8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81"/>
      <c r="F885" s="181"/>
      <c r="G885" s="18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8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81"/>
      <c r="F886" s="181"/>
      <c r="G886" s="18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8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81"/>
      <c r="F887" s="181"/>
      <c r="G887" s="18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8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81"/>
      <c r="F888" s="181"/>
      <c r="G888" s="18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8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81"/>
      <c r="F889" s="181"/>
      <c r="G889" s="18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8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81"/>
      <c r="F890" s="181"/>
      <c r="G890" s="18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8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81"/>
      <c r="F891" s="181"/>
      <c r="G891" s="18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8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81"/>
      <c r="F892" s="181"/>
      <c r="G892" s="18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8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81"/>
      <c r="F893" s="181"/>
      <c r="G893" s="18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8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81"/>
      <c r="F894" s="181"/>
      <c r="G894" s="18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8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81"/>
      <c r="F895" s="181"/>
      <c r="G895" s="18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8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81"/>
      <c r="F896" s="181"/>
      <c r="G896" s="18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8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81"/>
      <c r="F897" s="181"/>
      <c r="G897" s="18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8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81"/>
      <c r="F898" s="181"/>
      <c r="G898" s="18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8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81"/>
      <c r="F899" s="181"/>
      <c r="G899" s="18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8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81"/>
      <c r="F900" s="181"/>
      <c r="G900" s="18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8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81"/>
      <c r="F901" s="181"/>
      <c r="G901" s="18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8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81"/>
      <c r="F902" s="181"/>
      <c r="G902" s="18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8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81"/>
      <c r="F903" s="181"/>
      <c r="G903" s="18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8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81"/>
      <c r="F904" s="181"/>
      <c r="G904" s="18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8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81"/>
      <c r="F905" s="181"/>
      <c r="G905" s="18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8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81"/>
      <c r="F906" s="181"/>
      <c r="G906" s="18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8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81"/>
      <c r="F907" s="181"/>
      <c r="G907" s="18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8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81"/>
      <c r="F908" s="181"/>
      <c r="G908" s="18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8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81"/>
      <c r="F909" s="181"/>
      <c r="G909" s="18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8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81"/>
      <c r="F910" s="181"/>
      <c r="G910" s="18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8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81"/>
      <c r="F911" s="181"/>
      <c r="G911" s="18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8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81"/>
      <c r="F912" s="181"/>
      <c r="G912" s="18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8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81"/>
      <c r="F913" s="181"/>
      <c r="G913" s="18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8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81"/>
      <c r="F914" s="181"/>
      <c r="G914" s="18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8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81"/>
      <c r="F915" s="181"/>
      <c r="G915" s="18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8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81"/>
      <c r="F916" s="181"/>
      <c r="G916" s="18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8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81"/>
      <c r="F917" s="181"/>
      <c r="G917" s="18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8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81"/>
      <c r="F918" s="181"/>
      <c r="G918" s="18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8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81"/>
      <c r="F919" s="181"/>
      <c r="G919" s="18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8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81"/>
      <c r="F920" s="181"/>
      <c r="G920" s="18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8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81"/>
      <c r="F921" s="181"/>
      <c r="G921" s="18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8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81"/>
      <c r="F922" s="181"/>
      <c r="G922" s="18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8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81"/>
      <c r="F923" s="181"/>
      <c r="G923" s="18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8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81"/>
      <c r="F924" s="181"/>
      <c r="G924" s="18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8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81"/>
      <c r="F925" s="181"/>
      <c r="G925" s="18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8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81"/>
      <c r="F926" s="181"/>
      <c r="G926" s="18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8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81"/>
      <c r="F927" s="181"/>
      <c r="G927" s="18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8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81"/>
      <c r="F928" s="181"/>
      <c r="G928" s="18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8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81"/>
      <c r="F929" s="181"/>
      <c r="G929" s="18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8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81"/>
      <c r="F930" s="181"/>
      <c r="G930" s="18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8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81"/>
      <c r="F931" s="181"/>
      <c r="G931" s="18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8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81"/>
      <c r="F932" s="181"/>
      <c r="G932" s="18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8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81"/>
      <c r="F933" s="181"/>
      <c r="G933" s="18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8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81"/>
      <c r="F934" s="181"/>
      <c r="G934" s="18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8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81"/>
      <c r="F935" s="181"/>
      <c r="G935" s="18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8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81"/>
      <c r="F936" s="181"/>
      <c r="G936" s="18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8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81"/>
      <c r="F937" s="181"/>
      <c r="G937" s="18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8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81"/>
      <c r="F938" s="181"/>
      <c r="G938" s="18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8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81"/>
      <c r="F939" s="181"/>
      <c r="G939" s="18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8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81"/>
      <c r="F940" s="181"/>
      <c r="G940" s="18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8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81"/>
      <c r="F941" s="181"/>
      <c r="G941" s="18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8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81"/>
      <c r="F942" s="181"/>
      <c r="G942" s="18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8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81"/>
      <c r="F943" s="181"/>
      <c r="G943" s="18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8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81"/>
      <c r="F944" s="181"/>
      <c r="G944" s="18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8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81"/>
      <c r="F945" s="181"/>
      <c r="G945" s="18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8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81"/>
      <c r="F946" s="181"/>
      <c r="G946" s="18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8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81"/>
      <c r="F947" s="181"/>
      <c r="G947" s="18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8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81"/>
      <c r="F948" s="181"/>
      <c r="G948" s="18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8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81"/>
      <c r="F949" s="181"/>
      <c r="G949" s="18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8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81"/>
      <c r="F950" s="181"/>
      <c r="G950" s="18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8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81"/>
      <c r="F951" s="181"/>
      <c r="G951" s="18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8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81"/>
      <c r="F952" s="181"/>
      <c r="G952" s="18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8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81"/>
      <c r="F953" s="181"/>
      <c r="G953" s="18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8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81"/>
      <c r="F954" s="181"/>
      <c r="G954" s="18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8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81"/>
      <c r="F955" s="181"/>
      <c r="G955" s="18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8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81"/>
      <c r="F956" s="181"/>
      <c r="G956" s="18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8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81"/>
      <c r="F957" s="181"/>
      <c r="G957" s="18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8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81"/>
      <c r="F958" s="181"/>
      <c r="G958" s="18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8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81"/>
      <c r="F959" s="181"/>
      <c r="G959" s="18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8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81"/>
      <c r="F960" s="181"/>
      <c r="G960" s="18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8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81"/>
      <c r="F961" s="181"/>
      <c r="G961" s="18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8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81"/>
      <c r="F962" s="181"/>
      <c r="G962" s="18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8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81"/>
      <c r="F963" s="181"/>
      <c r="G963" s="18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8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81"/>
      <c r="F964" s="181"/>
      <c r="G964" s="18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8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81"/>
      <c r="F965" s="181"/>
      <c r="G965" s="18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8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81"/>
      <c r="F966" s="181"/>
      <c r="G966" s="18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8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81"/>
      <c r="F967" s="181"/>
      <c r="G967" s="18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8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81"/>
      <c r="F968" s="181"/>
      <c r="G968" s="18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8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81"/>
      <c r="F969" s="181"/>
      <c r="G969" s="18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8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81"/>
      <c r="F970" s="181"/>
      <c r="G970" s="18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8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81"/>
      <c r="F971" s="181"/>
      <c r="G971" s="18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8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81"/>
      <c r="F972" s="181"/>
      <c r="G972" s="18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8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81"/>
      <c r="F973" s="181"/>
      <c r="G973" s="18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8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81"/>
      <c r="F974" s="181"/>
      <c r="G974" s="18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8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81"/>
      <c r="F975" s="181"/>
      <c r="G975" s="18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8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81"/>
      <c r="F976" s="181"/>
      <c r="G976" s="18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8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81"/>
      <c r="F977" s="181"/>
      <c r="G977" s="18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8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81"/>
      <c r="F978" s="181"/>
      <c r="G978" s="18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8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81"/>
      <c r="F979" s="181"/>
      <c r="G979" s="18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8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81"/>
      <c r="F980" s="181"/>
      <c r="G980" s="18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8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81"/>
      <c r="F981" s="181"/>
      <c r="G981" s="18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8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81"/>
      <c r="F982" s="181"/>
      <c r="G982" s="18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8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81"/>
      <c r="F983" s="181"/>
      <c r="G983" s="18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8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81"/>
      <c r="F984" s="181"/>
      <c r="G984" s="18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8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</sheetData>
  <mergeCells count="29">
    <mergeCell ref="D2:D3"/>
    <mergeCell ref="E5:E16"/>
    <mergeCell ref="F5:F16"/>
    <mergeCell ref="G5:G10"/>
    <mergeCell ref="E24:E31"/>
    <mergeCell ref="F24:F31"/>
    <mergeCell ref="G24:G27"/>
    <mergeCell ref="J1:L1"/>
    <mergeCell ref="M1:O1"/>
    <mergeCell ref="B2:B3"/>
    <mergeCell ref="C2:C3"/>
    <mergeCell ref="H2:H3"/>
    <mergeCell ref="K2:K3"/>
    <mergeCell ref="O2:O3"/>
    <mergeCell ref="R2:R3"/>
    <mergeCell ref="R5:R10"/>
    <mergeCell ref="P24:P33"/>
    <mergeCell ref="Q24:Q33"/>
    <mergeCell ref="R24:R27"/>
    <mergeCell ref="J7:J8"/>
    <mergeCell ref="K7:K8"/>
    <mergeCell ref="L2:L3"/>
    <mergeCell ref="N2:N3"/>
    <mergeCell ref="J5:J6"/>
    <mergeCell ref="K5:K6"/>
    <mergeCell ref="L5:L6"/>
    <mergeCell ref="P5:P16"/>
    <mergeCell ref="Q5:Q16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31.88"/>
    <col customWidth="1" min="3" max="3" width="11.5"/>
    <col customWidth="1" min="4" max="4" width="8.75"/>
    <col customWidth="1" min="5" max="5" width="36.5"/>
    <col customWidth="1" min="6" max="6" width="19.25"/>
    <col customWidth="1" min="7" max="7" width="18.88"/>
    <col customWidth="1" min="8" max="8" width="19.75"/>
    <col customWidth="1" min="9" max="9" width="33.0"/>
    <col customWidth="1" min="10" max="11" width="14.25"/>
    <col customWidth="1" min="12" max="12" width="16.88"/>
    <col customWidth="1" min="13" max="13" width="12.13"/>
    <col customWidth="1" min="14" max="14" width="14.25"/>
    <col customWidth="1" min="15" max="15" width="16.88"/>
    <col customWidth="1" min="16" max="16" width="9.25"/>
    <col customWidth="1" min="17" max="17" width="21.63"/>
    <col customWidth="1" min="18" max="18" width="15.5"/>
  </cols>
  <sheetData>
    <row r="1">
      <c r="A1" s="1"/>
      <c r="B1" s="2"/>
      <c r="C1" s="2"/>
      <c r="D1" s="2"/>
      <c r="E1" s="181"/>
      <c r="F1" s="180"/>
      <c r="G1" s="4"/>
      <c r="H1" s="4"/>
      <c r="I1" s="2"/>
      <c r="J1" s="2"/>
      <c r="K1" s="8" t="s">
        <v>2</v>
      </c>
      <c r="L1" s="11"/>
      <c r="M1" s="13"/>
      <c r="N1" s="15" t="s">
        <v>5</v>
      </c>
      <c r="O1" s="11"/>
      <c r="P1" s="13"/>
      <c r="Q1" s="2"/>
      <c r="R1" s="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0" t="s">
        <v>8</v>
      </c>
      <c r="F2" s="19" t="s">
        <v>10</v>
      </c>
      <c r="G2" s="19" t="s">
        <v>11</v>
      </c>
      <c r="H2" s="19" t="s">
        <v>12</v>
      </c>
      <c r="I2" s="9" t="s">
        <v>3</v>
      </c>
      <c r="J2" s="29" t="s">
        <v>4</v>
      </c>
      <c r="K2" s="28" t="s">
        <v>14</v>
      </c>
      <c r="L2" s="31" t="s">
        <v>15</v>
      </c>
      <c r="M2" s="33" t="s">
        <v>17</v>
      </c>
      <c r="N2" s="34" t="s">
        <v>19</v>
      </c>
      <c r="O2" s="36" t="s">
        <v>15</v>
      </c>
      <c r="P2" s="38" t="s">
        <v>17</v>
      </c>
      <c r="Q2" s="41" t="s">
        <v>6</v>
      </c>
      <c r="R2" s="25" t="s">
        <v>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26"/>
      <c r="F3" s="26"/>
      <c r="G3" s="26"/>
      <c r="H3" s="26"/>
      <c r="I3" s="26"/>
      <c r="J3" s="44" t="s">
        <v>23</v>
      </c>
      <c r="K3" s="46" t="s">
        <v>23</v>
      </c>
      <c r="L3" s="40"/>
      <c r="M3" s="40"/>
      <c r="N3" s="48" t="s">
        <v>23</v>
      </c>
      <c r="O3" s="40"/>
      <c r="P3" s="40"/>
      <c r="Q3" s="49" t="s">
        <v>212</v>
      </c>
      <c r="R3" s="4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28</v>
      </c>
      <c r="C4" s="53" t="s">
        <v>213</v>
      </c>
      <c r="D4" s="56"/>
      <c r="E4" s="59"/>
      <c r="F4" s="55" t="s">
        <v>214</v>
      </c>
      <c r="G4" s="60"/>
      <c r="H4" s="60"/>
      <c r="I4" s="62" t="s">
        <v>215</v>
      </c>
      <c r="J4" s="63"/>
      <c r="K4" s="65"/>
      <c r="L4" s="63"/>
      <c r="M4" s="67"/>
      <c r="N4" s="65"/>
      <c r="O4" s="63"/>
      <c r="P4" s="67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202" t="s">
        <v>216</v>
      </c>
      <c r="C5" s="73"/>
      <c r="D5" s="74"/>
      <c r="E5" s="186" t="s">
        <v>217</v>
      </c>
      <c r="F5" s="58"/>
      <c r="G5" s="78" t="s">
        <v>218</v>
      </c>
      <c r="H5" s="182" t="s">
        <v>219</v>
      </c>
      <c r="I5" s="76" t="s">
        <v>220</v>
      </c>
      <c r="J5" s="83"/>
      <c r="K5" s="86">
        <v>45000.0</v>
      </c>
      <c r="L5" s="87"/>
      <c r="M5" s="88"/>
      <c r="N5" s="86"/>
      <c r="O5" s="87"/>
      <c r="P5" s="88"/>
      <c r="Q5" s="59"/>
      <c r="R5" s="59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202" t="s">
        <v>221</v>
      </c>
      <c r="C6" s="73"/>
      <c r="D6" s="74"/>
      <c r="E6" s="186" t="s">
        <v>222</v>
      </c>
      <c r="F6" s="58"/>
      <c r="G6" s="23"/>
      <c r="H6" s="182" t="s">
        <v>223</v>
      </c>
      <c r="I6" s="76" t="s">
        <v>224</v>
      </c>
      <c r="J6" s="83"/>
      <c r="K6" s="86">
        <v>81378.9</v>
      </c>
      <c r="L6" s="87"/>
      <c r="M6" s="88"/>
      <c r="N6" s="86"/>
      <c r="O6" s="87"/>
      <c r="P6" s="88"/>
      <c r="Q6" s="59"/>
      <c r="R6" s="59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202" t="s">
        <v>225</v>
      </c>
      <c r="C7" s="73"/>
      <c r="D7" s="74"/>
      <c r="E7" s="186" t="s">
        <v>226</v>
      </c>
      <c r="F7" s="58"/>
      <c r="G7" s="101"/>
      <c r="H7" s="182" t="s">
        <v>227</v>
      </c>
      <c r="I7" s="76" t="s">
        <v>228</v>
      </c>
      <c r="J7" s="83"/>
      <c r="K7" s="86">
        <v>89100.0</v>
      </c>
      <c r="L7" s="87"/>
      <c r="M7" s="88"/>
      <c r="N7" s="86"/>
      <c r="O7" s="87"/>
      <c r="P7" s="88"/>
      <c r="Q7" s="59"/>
      <c r="R7" s="5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186" t="s">
        <v>229</v>
      </c>
      <c r="F8" s="58"/>
      <c r="G8" s="182" t="s">
        <v>230</v>
      </c>
      <c r="H8" s="182" t="s">
        <v>231</v>
      </c>
      <c r="I8" s="76" t="s">
        <v>232</v>
      </c>
      <c r="J8" s="83"/>
      <c r="K8" s="86">
        <v>42400.0</v>
      </c>
      <c r="L8" s="87"/>
      <c r="M8" s="88"/>
      <c r="N8" s="86"/>
      <c r="O8" s="87"/>
      <c r="P8" s="88"/>
      <c r="Q8" s="59"/>
      <c r="R8" s="5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186" t="s">
        <v>233</v>
      </c>
      <c r="F9" s="58"/>
      <c r="G9" s="182" t="s">
        <v>234</v>
      </c>
      <c r="H9" s="182" t="s">
        <v>235</v>
      </c>
      <c r="I9" s="76" t="s">
        <v>236</v>
      </c>
      <c r="J9" s="83"/>
      <c r="K9" s="86">
        <v>75000.0</v>
      </c>
      <c r="L9" s="87"/>
      <c r="M9" s="88"/>
      <c r="N9" s="86"/>
      <c r="O9" s="87"/>
      <c r="P9" s="88"/>
      <c r="Q9" s="59"/>
      <c r="R9" s="5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86" t="s">
        <v>237</v>
      </c>
      <c r="F10" s="58"/>
      <c r="G10" s="78" t="s">
        <v>238</v>
      </c>
      <c r="H10" s="182" t="s">
        <v>239</v>
      </c>
      <c r="I10" s="76" t="s">
        <v>240</v>
      </c>
      <c r="J10" s="83"/>
      <c r="K10" s="86">
        <v>173652.0</v>
      </c>
      <c r="L10" s="87"/>
      <c r="M10" s="88"/>
      <c r="N10" s="86"/>
      <c r="O10" s="87"/>
      <c r="P10" s="88"/>
      <c r="Q10" s="59"/>
      <c r="R10" s="5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86" t="s">
        <v>241</v>
      </c>
      <c r="F11" s="58"/>
      <c r="G11" s="101"/>
      <c r="H11" s="182" t="s">
        <v>242</v>
      </c>
      <c r="I11" s="76" t="s">
        <v>243</v>
      </c>
      <c r="J11" s="83"/>
      <c r="K11" s="86">
        <v>5500.0</v>
      </c>
      <c r="L11" s="87"/>
      <c r="M11" s="88"/>
      <c r="N11" s="86"/>
      <c r="O11" s="87"/>
      <c r="P11" s="88"/>
      <c r="Q11" s="59"/>
      <c r="R11" s="5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86" t="s">
        <v>217</v>
      </c>
      <c r="F12" s="58"/>
      <c r="G12" s="182" t="s">
        <v>244</v>
      </c>
      <c r="H12" s="182" t="s">
        <v>245</v>
      </c>
      <c r="I12" s="76" t="s">
        <v>246</v>
      </c>
      <c r="J12" s="83"/>
      <c r="K12" s="86">
        <v>10350.0</v>
      </c>
      <c r="L12" s="87"/>
      <c r="M12" s="88"/>
      <c r="N12" s="86"/>
      <c r="O12" s="87"/>
      <c r="P12" s="88"/>
      <c r="Q12" s="59"/>
      <c r="R12" s="5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86" t="s">
        <v>237</v>
      </c>
      <c r="F13" s="58"/>
      <c r="G13" s="78" t="s">
        <v>247</v>
      </c>
      <c r="H13" s="182" t="s">
        <v>248</v>
      </c>
      <c r="I13" s="76" t="s">
        <v>249</v>
      </c>
      <c r="J13" s="83"/>
      <c r="K13" s="86">
        <v>14390.0</v>
      </c>
      <c r="L13" s="87"/>
      <c r="M13" s="88"/>
      <c r="N13" s="86"/>
      <c r="O13" s="87"/>
      <c r="P13" s="88"/>
      <c r="Q13" s="59"/>
      <c r="R13" s="5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86" t="s">
        <v>241</v>
      </c>
      <c r="F14" s="58"/>
      <c r="G14" s="101"/>
      <c r="H14" s="182" t="s">
        <v>250</v>
      </c>
      <c r="I14" s="76" t="s">
        <v>251</v>
      </c>
      <c r="J14" s="83"/>
      <c r="K14" s="86">
        <v>290.0</v>
      </c>
      <c r="L14" s="87"/>
      <c r="M14" s="88"/>
      <c r="N14" s="86"/>
      <c r="O14" s="87"/>
      <c r="P14" s="88"/>
      <c r="Q14" s="59"/>
      <c r="R14" s="59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86" t="s">
        <v>217</v>
      </c>
      <c r="F15" s="58"/>
      <c r="G15" s="78" t="s">
        <v>252</v>
      </c>
      <c r="H15" s="182" t="s">
        <v>253</v>
      </c>
      <c r="I15" s="76" t="s">
        <v>254</v>
      </c>
      <c r="J15" s="83"/>
      <c r="K15" s="86">
        <v>25450.0</v>
      </c>
      <c r="L15" s="87"/>
      <c r="M15" s="88"/>
      <c r="N15" s="86"/>
      <c r="O15" s="87"/>
      <c r="P15" s="88"/>
      <c r="Q15" s="59"/>
      <c r="R15" s="5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86" t="s">
        <v>237</v>
      </c>
      <c r="F16" s="58"/>
      <c r="G16" s="23"/>
      <c r="H16" s="182" t="s">
        <v>255</v>
      </c>
      <c r="I16" s="76" t="s">
        <v>256</v>
      </c>
      <c r="J16" s="83"/>
      <c r="K16" s="86">
        <v>48426.0</v>
      </c>
      <c r="L16" s="87"/>
      <c r="M16" s="88"/>
      <c r="N16" s="86"/>
      <c r="O16" s="87"/>
      <c r="P16" s="88"/>
      <c r="Q16" s="59"/>
      <c r="R16" s="59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186" t="s">
        <v>241</v>
      </c>
      <c r="F17" s="58"/>
      <c r="G17" s="101"/>
      <c r="H17" s="182" t="s">
        <v>257</v>
      </c>
      <c r="I17" s="76" t="s">
        <v>258</v>
      </c>
      <c r="J17" s="83"/>
      <c r="K17" s="86">
        <v>290.0</v>
      </c>
      <c r="L17" s="87"/>
      <c r="M17" s="88"/>
      <c r="N17" s="86"/>
      <c r="O17" s="87"/>
      <c r="P17" s="88"/>
      <c r="Q17" s="59"/>
      <c r="R17" s="5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86" t="s">
        <v>217</v>
      </c>
      <c r="F18" s="58"/>
      <c r="G18" s="78" t="s">
        <v>259</v>
      </c>
      <c r="H18" s="182" t="s">
        <v>260</v>
      </c>
      <c r="I18" s="76" t="s">
        <v>261</v>
      </c>
      <c r="J18" s="83"/>
      <c r="K18" s="86">
        <v>35450.0</v>
      </c>
      <c r="L18" s="87"/>
      <c r="M18" s="88"/>
      <c r="N18" s="86"/>
      <c r="O18" s="87"/>
      <c r="P18" s="88"/>
      <c r="Q18" s="59"/>
      <c r="R18" s="5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71"/>
      <c r="C19" s="73"/>
      <c r="D19" s="74"/>
      <c r="E19" s="186" t="s">
        <v>237</v>
      </c>
      <c r="F19" s="58"/>
      <c r="G19" s="23"/>
      <c r="H19" s="182" t="s">
        <v>262</v>
      </c>
      <c r="I19" s="76" t="s">
        <v>263</v>
      </c>
      <c r="J19" s="83"/>
      <c r="K19" s="86">
        <v>63219.63</v>
      </c>
      <c r="L19" s="87"/>
      <c r="M19" s="88"/>
      <c r="N19" s="86"/>
      <c r="O19" s="87"/>
      <c r="P19" s="88"/>
      <c r="Q19" s="59"/>
      <c r="R19" s="5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1"/>
      <c r="C20" s="73"/>
      <c r="D20" s="74"/>
      <c r="E20" s="186" t="s">
        <v>241</v>
      </c>
      <c r="F20" s="58"/>
      <c r="G20" s="101"/>
      <c r="H20" s="182" t="s">
        <v>264</v>
      </c>
      <c r="I20" s="76" t="s">
        <v>265</v>
      </c>
      <c r="J20" s="83"/>
      <c r="K20" s="86">
        <v>290.0</v>
      </c>
      <c r="L20" s="87"/>
      <c r="M20" s="88"/>
      <c r="N20" s="86"/>
      <c r="O20" s="87"/>
      <c r="P20" s="88"/>
      <c r="Q20" s="59"/>
      <c r="R20" s="59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71"/>
      <c r="C21" s="73"/>
      <c r="D21" s="74"/>
      <c r="E21" s="186" t="s">
        <v>233</v>
      </c>
      <c r="F21" s="58"/>
      <c r="G21" s="182" t="s">
        <v>266</v>
      </c>
      <c r="H21" s="182" t="s">
        <v>267</v>
      </c>
      <c r="I21" s="76" t="s">
        <v>268</v>
      </c>
      <c r="J21" s="83"/>
      <c r="K21" s="86">
        <v>36000.0</v>
      </c>
      <c r="L21" s="87"/>
      <c r="M21" s="88"/>
      <c r="N21" s="86"/>
      <c r="O21" s="87"/>
      <c r="P21" s="88"/>
      <c r="Q21" s="59"/>
      <c r="R21" s="5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1"/>
      <c r="C22" s="73"/>
      <c r="D22" s="74"/>
      <c r="E22" s="184"/>
      <c r="F22" s="58"/>
      <c r="G22" s="104"/>
      <c r="H22" s="104"/>
      <c r="I22" s="62" t="s">
        <v>188</v>
      </c>
      <c r="J22" s="83"/>
      <c r="K22" s="86"/>
      <c r="L22" s="87"/>
      <c r="M22" s="88"/>
      <c r="N22" s="86"/>
      <c r="O22" s="87"/>
      <c r="P22" s="88"/>
      <c r="Q22" s="59"/>
      <c r="R22" s="5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71"/>
      <c r="C23" s="73"/>
      <c r="D23" s="74"/>
      <c r="E23" s="186" t="s">
        <v>269</v>
      </c>
      <c r="F23" s="58"/>
      <c r="G23" s="182" t="s">
        <v>270</v>
      </c>
      <c r="H23" s="182" t="s">
        <v>271</v>
      </c>
      <c r="I23" s="76" t="s">
        <v>272</v>
      </c>
      <c r="J23" s="83"/>
      <c r="K23" s="86">
        <v>1445950.0</v>
      </c>
      <c r="L23" s="87"/>
      <c r="M23" s="88"/>
      <c r="N23" s="86"/>
      <c r="O23" s="87"/>
      <c r="P23" s="88"/>
      <c r="Q23" s="59"/>
      <c r="R23" s="5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71"/>
      <c r="C24" s="73"/>
      <c r="D24" s="74"/>
      <c r="E24" s="184"/>
      <c r="F24" s="58"/>
      <c r="G24" s="104"/>
      <c r="H24" s="104"/>
      <c r="I24" s="62" t="s">
        <v>273</v>
      </c>
      <c r="J24" s="83"/>
      <c r="K24" s="86"/>
      <c r="L24" s="87"/>
      <c r="M24" s="88"/>
      <c r="N24" s="86"/>
      <c r="O24" s="87"/>
      <c r="P24" s="88"/>
      <c r="Q24" s="59"/>
      <c r="R24" s="59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71"/>
      <c r="C25" s="73"/>
      <c r="D25" s="74"/>
      <c r="E25" s="186" t="s">
        <v>274</v>
      </c>
      <c r="F25" s="58"/>
      <c r="G25" s="182" t="s">
        <v>275</v>
      </c>
      <c r="H25" s="182" t="s">
        <v>276</v>
      </c>
      <c r="I25" s="76" t="s">
        <v>277</v>
      </c>
      <c r="J25" s="83"/>
      <c r="K25" s="86">
        <v>9000.0</v>
      </c>
      <c r="L25" s="87"/>
      <c r="M25" s="88"/>
      <c r="N25" s="86"/>
      <c r="O25" s="87"/>
      <c r="P25" s="88"/>
      <c r="Q25" s="59"/>
      <c r="R25" s="59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71"/>
      <c r="C26" s="73"/>
      <c r="D26" s="74"/>
      <c r="E26" s="186" t="s">
        <v>278</v>
      </c>
      <c r="F26" s="58"/>
      <c r="G26" s="182" t="s">
        <v>234</v>
      </c>
      <c r="H26" s="182" t="s">
        <v>279</v>
      </c>
      <c r="I26" s="76" t="s">
        <v>280</v>
      </c>
      <c r="J26" s="83"/>
      <c r="K26" s="86">
        <v>153000.0</v>
      </c>
      <c r="L26" s="87"/>
      <c r="M26" s="88"/>
      <c r="N26" s="86"/>
      <c r="O26" s="87"/>
      <c r="P26" s="88"/>
      <c r="Q26" s="59"/>
      <c r="R26" s="59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1"/>
      <c r="C27" s="73"/>
      <c r="D27" s="74"/>
      <c r="E27" s="186" t="s">
        <v>281</v>
      </c>
      <c r="F27" s="58"/>
      <c r="G27" s="182" t="s">
        <v>282</v>
      </c>
      <c r="H27" s="182" t="s">
        <v>283</v>
      </c>
      <c r="I27" s="76" t="s">
        <v>284</v>
      </c>
      <c r="J27" s="83"/>
      <c r="K27" s="86">
        <v>1902914.0</v>
      </c>
      <c r="L27" s="87"/>
      <c r="M27" s="88"/>
      <c r="N27" s="86"/>
      <c r="O27" s="87"/>
      <c r="P27" s="88"/>
      <c r="Q27" s="59"/>
      <c r="R27" s="59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1"/>
      <c r="C28" s="73"/>
      <c r="D28" s="74"/>
      <c r="E28" s="186" t="s">
        <v>274</v>
      </c>
      <c r="F28" s="58"/>
      <c r="G28" s="182" t="s">
        <v>285</v>
      </c>
      <c r="H28" s="182" t="s">
        <v>286</v>
      </c>
      <c r="I28" s="76" t="s">
        <v>287</v>
      </c>
      <c r="J28" s="83"/>
      <c r="K28" s="86">
        <v>429000.0</v>
      </c>
      <c r="L28" s="87"/>
      <c r="M28" s="88"/>
      <c r="N28" s="86"/>
      <c r="O28" s="87"/>
      <c r="P28" s="88"/>
      <c r="Q28" s="59"/>
      <c r="R28" s="59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1"/>
      <c r="C29" s="73"/>
      <c r="D29" s="74"/>
      <c r="E29" s="186" t="s">
        <v>237</v>
      </c>
      <c r="F29" s="58"/>
      <c r="G29" s="78" t="s">
        <v>288</v>
      </c>
      <c r="H29" s="182" t="s">
        <v>289</v>
      </c>
      <c r="I29" s="76" t="s">
        <v>290</v>
      </c>
      <c r="J29" s="83"/>
      <c r="K29" s="86">
        <v>201910.0</v>
      </c>
      <c r="L29" s="87"/>
      <c r="M29" s="88"/>
      <c r="N29" s="86"/>
      <c r="O29" s="87"/>
      <c r="P29" s="88"/>
      <c r="Q29" s="59"/>
      <c r="R29" s="59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1"/>
      <c r="C30" s="73"/>
      <c r="D30" s="74"/>
      <c r="E30" s="186" t="s">
        <v>241</v>
      </c>
      <c r="F30" s="58"/>
      <c r="G30" s="101"/>
      <c r="H30" s="182" t="s">
        <v>291</v>
      </c>
      <c r="I30" s="76" t="s">
        <v>292</v>
      </c>
      <c r="J30" s="83"/>
      <c r="K30" s="86">
        <v>16109.35</v>
      </c>
      <c r="L30" s="87"/>
      <c r="M30" s="88"/>
      <c r="N30" s="86"/>
      <c r="O30" s="87"/>
      <c r="P30" s="88"/>
      <c r="Q30" s="59"/>
      <c r="R30" s="5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1"/>
      <c r="C31" s="73"/>
      <c r="D31" s="74"/>
      <c r="E31" s="186" t="s">
        <v>293</v>
      </c>
      <c r="F31" s="58"/>
      <c r="G31" s="182" t="s">
        <v>294</v>
      </c>
      <c r="H31" s="182" t="s">
        <v>295</v>
      </c>
      <c r="I31" s="76" t="s">
        <v>296</v>
      </c>
      <c r="J31" s="83"/>
      <c r="K31" s="86">
        <v>60225.6</v>
      </c>
      <c r="L31" s="87"/>
      <c r="M31" s="88"/>
      <c r="N31" s="86"/>
      <c r="O31" s="87"/>
      <c r="P31" s="88"/>
      <c r="Q31" s="59"/>
      <c r="R31" s="5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1"/>
      <c r="C32" s="73"/>
      <c r="D32" s="74"/>
      <c r="E32" s="186" t="s">
        <v>297</v>
      </c>
      <c r="F32" s="58"/>
      <c r="G32" s="78" t="s">
        <v>298</v>
      </c>
      <c r="H32" s="182" t="s">
        <v>299</v>
      </c>
      <c r="I32" s="76" t="s">
        <v>300</v>
      </c>
      <c r="J32" s="83"/>
      <c r="K32" s="86">
        <v>68953.3</v>
      </c>
      <c r="L32" s="87"/>
      <c r="M32" s="88"/>
      <c r="N32" s="86"/>
      <c r="O32" s="87"/>
      <c r="P32" s="88"/>
      <c r="Q32" s="59"/>
      <c r="R32" s="59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1"/>
      <c r="C33" s="73"/>
      <c r="D33" s="74"/>
      <c r="E33" s="186" t="s">
        <v>297</v>
      </c>
      <c r="F33" s="58"/>
      <c r="G33" s="23"/>
      <c r="H33" s="182" t="s">
        <v>301</v>
      </c>
      <c r="I33" s="76" t="s">
        <v>302</v>
      </c>
      <c r="J33" s="83"/>
      <c r="K33" s="86">
        <v>46.73</v>
      </c>
      <c r="L33" s="87"/>
      <c r="M33" s="88"/>
      <c r="N33" s="86"/>
      <c r="O33" s="87"/>
      <c r="P33" s="88"/>
      <c r="Q33" s="59"/>
      <c r="R33" s="59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1"/>
      <c r="C34" s="73"/>
      <c r="D34" s="74"/>
      <c r="E34" s="186" t="s">
        <v>293</v>
      </c>
      <c r="F34" s="58"/>
      <c r="G34" s="23"/>
      <c r="H34" s="182" t="s">
        <v>303</v>
      </c>
      <c r="I34" s="76" t="s">
        <v>304</v>
      </c>
      <c r="J34" s="83"/>
      <c r="K34" s="86">
        <v>68952.92</v>
      </c>
      <c r="L34" s="87"/>
      <c r="M34" s="88"/>
      <c r="N34" s="86"/>
      <c r="O34" s="87"/>
      <c r="P34" s="88"/>
      <c r="Q34" s="59"/>
      <c r="R34" s="59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1"/>
      <c r="C35" s="73"/>
      <c r="D35" s="74"/>
      <c r="E35" s="186" t="s">
        <v>237</v>
      </c>
      <c r="F35" s="58"/>
      <c r="G35" s="101"/>
      <c r="H35" s="182" t="s">
        <v>305</v>
      </c>
      <c r="I35" s="76" t="s">
        <v>306</v>
      </c>
      <c r="J35" s="83"/>
      <c r="K35" s="86">
        <v>536757.31</v>
      </c>
      <c r="L35" s="87"/>
      <c r="M35" s="88"/>
      <c r="N35" s="86"/>
      <c r="O35" s="87"/>
      <c r="P35" s="88"/>
      <c r="Q35" s="59"/>
      <c r="R35" s="59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1"/>
      <c r="C36" s="73"/>
      <c r="D36" s="74"/>
      <c r="E36" s="186" t="s">
        <v>241</v>
      </c>
      <c r="F36" s="58"/>
      <c r="G36" s="182" t="s">
        <v>288</v>
      </c>
      <c r="H36" s="182" t="s">
        <v>307</v>
      </c>
      <c r="I36" s="76" t="s">
        <v>308</v>
      </c>
      <c r="J36" s="83"/>
      <c r="K36" s="86">
        <v>44822.9</v>
      </c>
      <c r="L36" s="87"/>
      <c r="M36" s="88"/>
      <c r="N36" s="86"/>
      <c r="O36" s="87"/>
      <c r="P36" s="88"/>
      <c r="Q36" s="59"/>
      <c r="R36" s="59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1"/>
      <c r="C37" s="73"/>
      <c r="D37" s="74"/>
      <c r="E37" s="186" t="s">
        <v>293</v>
      </c>
      <c r="F37" s="58"/>
      <c r="G37" s="78" t="s">
        <v>259</v>
      </c>
      <c r="H37" s="182" t="s">
        <v>309</v>
      </c>
      <c r="I37" s="76" t="s">
        <v>310</v>
      </c>
      <c r="J37" s="83"/>
      <c r="K37" s="86">
        <v>165440.37</v>
      </c>
      <c r="L37" s="87"/>
      <c r="M37" s="88"/>
      <c r="N37" s="86"/>
      <c r="O37" s="87"/>
      <c r="P37" s="88"/>
      <c r="Q37" s="59"/>
      <c r="R37" s="59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1"/>
      <c r="C38" s="73"/>
      <c r="D38" s="74"/>
      <c r="E38" s="186" t="s">
        <v>237</v>
      </c>
      <c r="F38" s="58"/>
      <c r="G38" s="23"/>
      <c r="H38" s="182" t="s">
        <v>311</v>
      </c>
      <c r="I38" s="76" t="s">
        <v>312</v>
      </c>
      <c r="J38" s="83"/>
      <c r="K38" s="86">
        <v>564149.53</v>
      </c>
      <c r="L38" s="87"/>
      <c r="M38" s="88"/>
      <c r="N38" s="86"/>
      <c r="O38" s="87"/>
      <c r="P38" s="88"/>
      <c r="Q38" s="59"/>
      <c r="R38" s="59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1"/>
      <c r="C39" s="73"/>
      <c r="D39" s="74"/>
      <c r="E39" s="186" t="s">
        <v>241</v>
      </c>
      <c r="F39" s="58"/>
      <c r="G39" s="101"/>
      <c r="H39" s="182" t="s">
        <v>313</v>
      </c>
      <c r="I39" s="76" t="s">
        <v>314</v>
      </c>
      <c r="J39" s="83"/>
      <c r="K39" s="86">
        <f>39490.65+10150</f>
        <v>49640.65</v>
      </c>
      <c r="L39" s="87"/>
      <c r="M39" s="88"/>
      <c r="N39" s="86"/>
      <c r="O39" s="87"/>
      <c r="P39" s="88"/>
      <c r="Q39" s="59"/>
      <c r="R39" s="59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1"/>
      <c r="C40" s="73"/>
      <c r="D40" s="74"/>
      <c r="E40" s="186"/>
      <c r="F40" s="58"/>
      <c r="G40" s="104"/>
      <c r="H40" s="182"/>
      <c r="I40" s="62" t="s">
        <v>315</v>
      </c>
      <c r="J40" s="83"/>
      <c r="K40" s="86"/>
      <c r="L40" s="87"/>
      <c r="M40" s="88"/>
      <c r="N40" s="86"/>
      <c r="O40" s="87"/>
      <c r="P40" s="88"/>
      <c r="Q40" s="59"/>
      <c r="R40" s="59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1"/>
      <c r="C41" s="73"/>
      <c r="D41" s="74"/>
      <c r="E41" s="186" t="s">
        <v>316</v>
      </c>
      <c r="F41" s="58"/>
      <c r="G41" s="78" t="s">
        <v>285</v>
      </c>
      <c r="H41" s="182" t="s">
        <v>317</v>
      </c>
      <c r="I41" s="76" t="s">
        <v>318</v>
      </c>
      <c r="J41" s="83"/>
      <c r="K41" s="86">
        <v>186516.0</v>
      </c>
      <c r="L41" s="87"/>
      <c r="M41" s="88"/>
      <c r="N41" s="86"/>
      <c r="O41" s="87"/>
      <c r="P41" s="88"/>
      <c r="Q41" s="59"/>
      <c r="R41" s="59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1"/>
      <c r="C42" s="73"/>
      <c r="D42" s="74"/>
      <c r="E42" s="186" t="s">
        <v>319</v>
      </c>
      <c r="F42" s="58"/>
      <c r="G42" s="101"/>
      <c r="H42" s="182" t="s">
        <v>320</v>
      </c>
      <c r="I42" s="76" t="s">
        <v>321</v>
      </c>
      <c r="J42" s="83"/>
      <c r="K42" s="86">
        <v>220804.08</v>
      </c>
      <c r="L42" s="87"/>
      <c r="M42" s="88"/>
      <c r="N42" s="86"/>
      <c r="O42" s="87"/>
      <c r="P42" s="88"/>
      <c r="Q42" s="59"/>
      <c r="R42" s="59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1"/>
      <c r="C43" s="73"/>
      <c r="D43" s="74"/>
      <c r="E43" s="186"/>
      <c r="F43" s="58"/>
      <c r="G43" s="104"/>
      <c r="H43" s="104"/>
      <c r="I43" s="62" t="s">
        <v>322</v>
      </c>
      <c r="J43" s="83"/>
      <c r="K43" s="86"/>
      <c r="L43" s="87"/>
      <c r="M43" s="88"/>
      <c r="N43" s="86"/>
      <c r="O43" s="87"/>
      <c r="P43" s="88"/>
      <c r="Q43" s="59"/>
      <c r="R43" s="59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1"/>
      <c r="C44" s="73"/>
      <c r="D44" s="74"/>
      <c r="E44" s="186" t="s">
        <v>323</v>
      </c>
      <c r="F44" s="58"/>
      <c r="G44" s="182" t="s">
        <v>324</v>
      </c>
      <c r="H44" s="182" t="s">
        <v>325</v>
      </c>
      <c r="I44" s="76" t="s">
        <v>326</v>
      </c>
      <c r="J44" s="83"/>
      <c r="K44" s="86">
        <v>90000.0</v>
      </c>
      <c r="L44" s="87"/>
      <c r="M44" s="88"/>
      <c r="N44" s="86"/>
      <c r="O44" s="87"/>
      <c r="P44" s="88"/>
      <c r="Q44" s="59"/>
      <c r="R44" s="59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1"/>
      <c r="C45" s="73"/>
      <c r="D45" s="74"/>
      <c r="E45" s="184"/>
      <c r="F45" s="197"/>
      <c r="G45" s="104"/>
      <c r="H45" s="104"/>
      <c r="I45" s="62"/>
      <c r="J45" s="102"/>
      <c r="K45" s="87"/>
      <c r="L45" s="87"/>
      <c r="M45" s="74"/>
      <c r="N45" s="87"/>
      <c r="O45" s="86"/>
      <c r="P45" s="103"/>
      <c r="Q45" s="59"/>
      <c r="R45" s="10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13" t="str">
        <f t="shared" ref="B46:C46" si="1">B4</f>
        <v>Origin Place Bangna</v>
      </c>
      <c r="C46" s="113" t="str">
        <f t="shared" si="1"/>
        <v>IP Program</v>
      </c>
      <c r="D46" s="115">
        <f>SUM(D4:D45)</f>
        <v>0</v>
      </c>
      <c r="E46" s="121"/>
      <c r="F46" s="200"/>
      <c r="G46" s="116"/>
      <c r="H46" s="116"/>
      <c r="I46" s="117" t="s">
        <v>95</v>
      </c>
      <c r="J46" s="118">
        <f>481503+9489810+26647190.61</f>
        <v>36618503.61</v>
      </c>
      <c r="K46" s="118">
        <f>SUM(K4:K45)</f>
        <v>6960379.27</v>
      </c>
      <c r="L46" s="118">
        <f>J46-K46</f>
        <v>29658124.34</v>
      </c>
      <c r="M46" s="119">
        <f>L46/J46</f>
        <v>0.8099217995</v>
      </c>
      <c r="N46" s="118">
        <f>SUM(N4:N45)</f>
        <v>0</v>
      </c>
      <c r="O46" s="118">
        <f>J46-N46</f>
        <v>36618503.61</v>
      </c>
      <c r="P46" s="119">
        <f>O46/J46</f>
        <v>1</v>
      </c>
      <c r="Q46" s="120"/>
      <c r="R46" s="12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22"/>
      <c r="B47" s="123"/>
      <c r="C47" s="124"/>
      <c r="D47" s="124"/>
      <c r="E47" s="125"/>
      <c r="F47" s="125"/>
      <c r="G47" s="125"/>
      <c r="H47" s="125"/>
      <c r="I47" s="126"/>
      <c r="J47" s="127"/>
      <c r="K47" s="127"/>
      <c r="L47" s="127"/>
      <c r="M47" s="128"/>
      <c r="N47" s="127"/>
      <c r="O47" s="127"/>
      <c r="P47" s="128"/>
      <c r="Q47" s="125"/>
      <c r="R47" s="125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</row>
    <row r="48">
      <c r="A48" s="1"/>
      <c r="B48" s="1"/>
      <c r="C48" s="1"/>
      <c r="D48" s="1"/>
      <c r="E48" s="181"/>
      <c r="F48" s="201"/>
      <c r="G48" s="131"/>
      <c r="H48" s="131"/>
      <c r="I48" s="1"/>
      <c r="J48" s="1"/>
      <c r="K48" s="1"/>
      <c r="L48" s="1"/>
      <c r="M48" s="1"/>
      <c r="N48" s="1"/>
      <c r="O48" s="1"/>
      <c r="P48" s="1"/>
      <c r="Q48" s="1"/>
      <c r="R48" s="13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81"/>
      <c r="F49" s="201"/>
      <c r="G49" s="131"/>
      <c r="H49" s="131"/>
      <c r="I49" s="1"/>
      <c r="J49" s="132"/>
      <c r="K49" s="1"/>
      <c r="L49" s="1"/>
      <c r="M49" s="1"/>
      <c r="N49" s="1"/>
      <c r="O49" s="1"/>
      <c r="P49" s="1"/>
      <c r="Q49" s="1"/>
      <c r="R49" s="13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81"/>
      <c r="F50" s="201"/>
      <c r="G50" s="131"/>
      <c r="H50" s="131"/>
      <c r="I50" s="1"/>
      <c r="J50" s="1"/>
      <c r="K50" s="1"/>
      <c r="L50" s="1"/>
      <c r="M50" s="1"/>
      <c r="N50" s="1"/>
      <c r="O50" s="1"/>
      <c r="P50" s="1"/>
      <c r="Q50" s="1"/>
      <c r="R50" s="13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81"/>
      <c r="F51" s="201"/>
      <c r="G51" s="131"/>
      <c r="H51" s="131"/>
      <c r="I51" s="1"/>
      <c r="J51" s="1"/>
      <c r="K51" s="1"/>
      <c r="L51" s="1"/>
      <c r="M51" s="1"/>
      <c r="N51" s="1"/>
      <c r="O51" s="1"/>
      <c r="P51" s="1"/>
      <c r="Q51" s="1"/>
      <c r="R51" s="13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81"/>
      <c r="F52" s="201"/>
      <c r="G52" s="131"/>
      <c r="H52" s="131"/>
      <c r="I52" s="1"/>
      <c r="J52" s="1"/>
      <c r="K52" s="1"/>
      <c r="L52" s="1"/>
      <c r="M52" s="1"/>
      <c r="N52" s="1"/>
      <c r="O52" s="1"/>
      <c r="P52" s="1"/>
      <c r="Q52" s="1"/>
      <c r="R52" s="13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81"/>
      <c r="F53" s="201"/>
      <c r="G53" s="131"/>
      <c r="H53" s="131"/>
      <c r="I53" s="1"/>
      <c r="J53" s="1"/>
      <c r="K53" s="1"/>
      <c r="L53" s="1"/>
      <c r="M53" s="1"/>
      <c r="N53" s="1"/>
      <c r="O53" s="1"/>
      <c r="P53" s="1"/>
      <c r="Q53" s="1"/>
      <c r="R53" s="13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81"/>
      <c r="F54" s="201"/>
      <c r="G54" s="131"/>
      <c r="H54" s="131"/>
      <c r="I54" s="1"/>
      <c r="J54" s="1"/>
      <c r="K54" s="1"/>
      <c r="L54" s="1"/>
      <c r="M54" s="1"/>
      <c r="N54" s="1"/>
      <c r="O54" s="1"/>
      <c r="P54" s="1"/>
      <c r="Q54" s="1"/>
      <c r="R54" s="13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81"/>
      <c r="F55" s="201"/>
      <c r="G55" s="131"/>
      <c r="H55" s="131"/>
      <c r="I55" s="1"/>
      <c r="J55" s="1"/>
      <c r="K55" s="1"/>
      <c r="L55" s="1"/>
      <c r="M55" s="1"/>
      <c r="N55" s="1"/>
      <c r="O55" s="1"/>
      <c r="P55" s="1"/>
      <c r="Q55" s="1"/>
      <c r="R55" s="13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81"/>
      <c r="F56" s="201"/>
      <c r="G56" s="131"/>
      <c r="H56" s="131"/>
      <c r="I56" s="1"/>
      <c r="J56" s="1"/>
      <c r="K56" s="1"/>
      <c r="L56" s="1"/>
      <c r="M56" s="1"/>
      <c r="N56" s="1"/>
      <c r="O56" s="1"/>
      <c r="P56" s="1"/>
      <c r="Q56" s="1"/>
      <c r="R56" s="13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81"/>
      <c r="F57" s="201"/>
      <c r="G57" s="131"/>
      <c r="H57" s="131"/>
      <c r="I57" s="1"/>
      <c r="J57" s="1"/>
      <c r="K57" s="1"/>
      <c r="L57" s="1"/>
      <c r="M57" s="1"/>
      <c r="N57" s="1"/>
      <c r="O57" s="1"/>
      <c r="P57" s="1"/>
      <c r="Q57" s="1"/>
      <c r="R57" s="13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81"/>
      <c r="F58" s="201"/>
      <c r="G58" s="131"/>
      <c r="H58" s="131"/>
      <c r="I58" s="1"/>
      <c r="J58" s="1"/>
      <c r="K58" s="1"/>
      <c r="L58" s="1"/>
      <c r="M58" s="1"/>
      <c r="N58" s="1"/>
      <c r="O58" s="1"/>
      <c r="P58" s="1"/>
      <c r="Q58" s="1"/>
      <c r="R58" s="13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81"/>
      <c r="F59" s="201"/>
      <c r="G59" s="131"/>
      <c r="H59" s="131"/>
      <c r="I59" s="1"/>
      <c r="J59" s="1"/>
      <c r="K59" s="1"/>
      <c r="L59" s="1"/>
      <c r="M59" s="1"/>
      <c r="N59" s="1"/>
      <c r="O59" s="1"/>
      <c r="P59" s="1"/>
      <c r="Q59" s="1"/>
      <c r="R59" s="13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81"/>
      <c r="F60" s="201"/>
      <c r="G60" s="131"/>
      <c r="H60" s="131"/>
      <c r="I60" s="1"/>
      <c r="J60" s="1"/>
      <c r="K60" s="1"/>
      <c r="L60" s="1"/>
      <c r="M60" s="1"/>
      <c r="N60" s="1"/>
      <c r="O60" s="1"/>
      <c r="P60" s="1"/>
      <c r="Q60" s="1"/>
      <c r="R60" s="13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81"/>
      <c r="F61" s="201"/>
      <c r="G61" s="131"/>
      <c r="H61" s="131"/>
      <c r="I61" s="1"/>
      <c r="J61" s="1"/>
      <c r="K61" s="1"/>
      <c r="L61" s="1"/>
      <c r="M61" s="1"/>
      <c r="N61" s="1"/>
      <c r="O61" s="1"/>
      <c r="P61" s="1"/>
      <c r="Q61" s="1"/>
      <c r="R61" s="13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81"/>
      <c r="F62" s="201"/>
      <c r="G62" s="131"/>
      <c r="H62" s="131"/>
      <c r="I62" s="1"/>
      <c r="J62" s="1"/>
      <c r="K62" s="1"/>
      <c r="L62" s="1"/>
      <c r="M62" s="1"/>
      <c r="N62" s="1"/>
      <c r="O62" s="1"/>
      <c r="P62" s="1"/>
      <c r="Q62" s="1"/>
      <c r="R62" s="13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81"/>
      <c r="F63" s="201"/>
      <c r="G63" s="131"/>
      <c r="H63" s="131"/>
      <c r="I63" s="1"/>
      <c r="J63" s="1"/>
      <c r="K63" s="1"/>
      <c r="L63" s="1"/>
      <c r="M63" s="1"/>
      <c r="N63" s="1"/>
      <c r="O63" s="1"/>
      <c r="P63" s="1"/>
      <c r="Q63" s="1"/>
      <c r="R63" s="13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81"/>
      <c r="F64" s="201"/>
      <c r="G64" s="131"/>
      <c r="H64" s="131"/>
      <c r="I64" s="1"/>
      <c r="J64" s="1"/>
      <c r="K64" s="1"/>
      <c r="L64" s="1"/>
      <c r="M64" s="1"/>
      <c r="N64" s="1"/>
      <c r="O64" s="1"/>
      <c r="P64" s="1"/>
      <c r="Q64" s="1"/>
      <c r="R64" s="13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81"/>
      <c r="F65" s="201"/>
      <c r="G65" s="131"/>
      <c r="H65" s="131"/>
      <c r="I65" s="1"/>
      <c r="J65" s="1"/>
      <c r="K65" s="1"/>
      <c r="L65" s="1"/>
      <c r="M65" s="1"/>
      <c r="N65" s="1"/>
      <c r="O65" s="1"/>
      <c r="P65" s="1"/>
      <c r="Q65" s="1"/>
      <c r="R65" s="13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81"/>
      <c r="F66" s="201"/>
      <c r="G66" s="131"/>
      <c r="H66" s="131"/>
      <c r="I66" s="1"/>
      <c r="J66" s="1"/>
      <c r="K66" s="1"/>
      <c r="L66" s="1"/>
      <c r="M66" s="1"/>
      <c r="N66" s="1"/>
      <c r="O66" s="1"/>
      <c r="P66" s="1"/>
      <c r="Q66" s="1"/>
      <c r="R66" s="13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81"/>
      <c r="F67" s="201"/>
      <c r="G67" s="131"/>
      <c r="H67" s="131"/>
      <c r="I67" s="1"/>
      <c r="J67" s="1"/>
      <c r="K67" s="1"/>
      <c r="L67" s="1"/>
      <c r="M67" s="1"/>
      <c r="N67" s="1"/>
      <c r="O67" s="1"/>
      <c r="P67" s="1"/>
      <c r="Q67" s="1"/>
      <c r="R67" s="13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81"/>
      <c r="F68" s="201"/>
      <c r="G68" s="131"/>
      <c r="H68" s="131"/>
      <c r="I68" s="1"/>
      <c r="J68" s="1"/>
      <c r="K68" s="1"/>
      <c r="L68" s="1"/>
      <c r="M68" s="1"/>
      <c r="N68" s="1"/>
      <c r="O68" s="1"/>
      <c r="P68" s="1"/>
      <c r="Q68" s="1"/>
      <c r="R68" s="13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81"/>
      <c r="F69" s="201"/>
      <c r="G69" s="131"/>
      <c r="H69" s="131"/>
      <c r="I69" s="1"/>
      <c r="J69" s="1"/>
      <c r="K69" s="1"/>
      <c r="L69" s="1"/>
      <c r="M69" s="1"/>
      <c r="N69" s="1"/>
      <c r="O69" s="1"/>
      <c r="P69" s="1"/>
      <c r="Q69" s="1"/>
      <c r="R69" s="13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81"/>
      <c r="F70" s="201"/>
      <c r="G70" s="131"/>
      <c r="H70" s="131"/>
      <c r="I70" s="1"/>
      <c r="J70" s="1"/>
      <c r="K70" s="1"/>
      <c r="L70" s="1"/>
      <c r="M70" s="1"/>
      <c r="N70" s="1"/>
      <c r="O70" s="1"/>
      <c r="P70" s="1"/>
      <c r="Q70" s="1"/>
      <c r="R70" s="13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81"/>
      <c r="F71" s="201"/>
      <c r="G71" s="131"/>
      <c r="H71" s="131"/>
      <c r="I71" s="1"/>
      <c r="J71" s="1"/>
      <c r="K71" s="1"/>
      <c r="L71" s="1"/>
      <c r="M71" s="1"/>
      <c r="N71" s="1"/>
      <c r="O71" s="1"/>
      <c r="P71" s="1"/>
      <c r="Q71" s="1"/>
      <c r="R71" s="13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81"/>
      <c r="F72" s="201"/>
      <c r="G72" s="131"/>
      <c r="H72" s="131"/>
      <c r="I72" s="1"/>
      <c r="J72" s="1"/>
      <c r="K72" s="1"/>
      <c r="L72" s="1"/>
      <c r="M72" s="1"/>
      <c r="N72" s="1"/>
      <c r="O72" s="1"/>
      <c r="P72" s="1"/>
      <c r="Q72" s="1"/>
      <c r="R72" s="13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81"/>
      <c r="F73" s="201"/>
      <c r="G73" s="131"/>
      <c r="H73" s="131"/>
      <c r="I73" s="1"/>
      <c r="J73" s="1"/>
      <c r="K73" s="1"/>
      <c r="L73" s="1"/>
      <c r="M73" s="1"/>
      <c r="N73" s="1"/>
      <c r="O73" s="1"/>
      <c r="P73" s="1"/>
      <c r="Q73" s="1"/>
      <c r="R73" s="13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81"/>
      <c r="F74" s="201"/>
      <c r="G74" s="131"/>
      <c r="H74" s="131"/>
      <c r="I74" s="1"/>
      <c r="J74" s="1"/>
      <c r="K74" s="1"/>
      <c r="L74" s="1"/>
      <c r="M74" s="1"/>
      <c r="N74" s="1"/>
      <c r="O74" s="1"/>
      <c r="P74" s="1"/>
      <c r="Q74" s="1"/>
      <c r="R74" s="13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81"/>
      <c r="F75" s="201"/>
      <c r="G75" s="131"/>
      <c r="H75" s="131"/>
      <c r="I75" s="1"/>
      <c r="J75" s="1"/>
      <c r="K75" s="1"/>
      <c r="L75" s="1"/>
      <c r="M75" s="1"/>
      <c r="N75" s="1"/>
      <c r="O75" s="1"/>
      <c r="P75" s="1"/>
      <c r="Q75" s="1"/>
      <c r="R75" s="13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81"/>
      <c r="F76" s="201"/>
      <c r="G76" s="131"/>
      <c r="H76" s="131"/>
      <c r="I76" s="1"/>
      <c r="J76" s="1"/>
      <c r="K76" s="1"/>
      <c r="L76" s="1"/>
      <c r="M76" s="1"/>
      <c r="N76" s="1"/>
      <c r="O76" s="1"/>
      <c r="P76" s="1"/>
      <c r="Q76" s="1"/>
      <c r="R76" s="13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81"/>
      <c r="F77" s="201"/>
      <c r="G77" s="131"/>
      <c r="H77" s="131"/>
      <c r="I77" s="1"/>
      <c r="J77" s="1"/>
      <c r="K77" s="1"/>
      <c r="L77" s="1"/>
      <c r="M77" s="1"/>
      <c r="N77" s="1"/>
      <c r="O77" s="1"/>
      <c r="P77" s="1"/>
      <c r="Q77" s="1"/>
      <c r="R77" s="13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81"/>
      <c r="F78" s="201"/>
      <c r="G78" s="131"/>
      <c r="H78" s="131"/>
      <c r="I78" s="1"/>
      <c r="J78" s="1"/>
      <c r="K78" s="1"/>
      <c r="L78" s="1"/>
      <c r="M78" s="1"/>
      <c r="N78" s="1"/>
      <c r="O78" s="1"/>
      <c r="P78" s="1"/>
      <c r="Q78" s="1"/>
      <c r="R78" s="13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81"/>
      <c r="F79" s="201"/>
      <c r="G79" s="131"/>
      <c r="H79" s="131"/>
      <c r="I79" s="1"/>
      <c r="J79" s="1"/>
      <c r="K79" s="1"/>
      <c r="L79" s="1"/>
      <c r="M79" s="1"/>
      <c r="N79" s="1"/>
      <c r="O79" s="1"/>
      <c r="P79" s="1"/>
      <c r="Q79" s="1"/>
      <c r="R79" s="13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81"/>
      <c r="F80" s="201"/>
      <c r="G80" s="131"/>
      <c r="H80" s="131"/>
      <c r="I80" s="1"/>
      <c r="J80" s="1"/>
      <c r="K80" s="1"/>
      <c r="L80" s="1"/>
      <c r="M80" s="1"/>
      <c r="N80" s="1"/>
      <c r="O80" s="1"/>
      <c r="P80" s="1"/>
      <c r="Q80" s="1"/>
      <c r="R80" s="13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81"/>
      <c r="F81" s="201"/>
      <c r="G81" s="131"/>
      <c r="H81" s="131"/>
      <c r="I81" s="1"/>
      <c r="J81" s="1"/>
      <c r="K81" s="1"/>
      <c r="L81" s="1"/>
      <c r="M81" s="1"/>
      <c r="N81" s="1"/>
      <c r="O81" s="1"/>
      <c r="P81" s="1"/>
      <c r="Q81" s="1"/>
      <c r="R81" s="13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81"/>
      <c r="F82" s="201"/>
      <c r="G82" s="131"/>
      <c r="H82" s="131"/>
      <c r="I82" s="1"/>
      <c r="J82" s="1"/>
      <c r="K82" s="1"/>
      <c r="L82" s="1"/>
      <c r="M82" s="1"/>
      <c r="N82" s="1"/>
      <c r="O82" s="1"/>
      <c r="P82" s="1"/>
      <c r="Q82" s="1"/>
      <c r="R82" s="13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81"/>
      <c r="F83" s="201"/>
      <c r="G83" s="131"/>
      <c r="H83" s="131"/>
      <c r="I83" s="1"/>
      <c r="J83" s="1"/>
      <c r="K83" s="1"/>
      <c r="L83" s="1"/>
      <c r="M83" s="1"/>
      <c r="N83" s="1"/>
      <c r="O83" s="1"/>
      <c r="P83" s="1"/>
      <c r="Q83" s="1"/>
      <c r="R83" s="13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81"/>
      <c r="F84" s="201"/>
      <c r="G84" s="131"/>
      <c r="H84" s="131"/>
      <c r="I84" s="1"/>
      <c r="J84" s="1"/>
      <c r="K84" s="1"/>
      <c r="L84" s="1"/>
      <c r="M84" s="1"/>
      <c r="N84" s="1"/>
      <c r="O84" s="1"/>
      <c r="P84" s="1"/>
      <c r="Q84" s="1"/>
      <c r="R84" s="13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81"/>
      <c r="F85" s="201"/>
      <c r="G85" s="131"/>
      <c r="H85" s="131"/>
      <c r="I85" s="1"/>
      <c r="J85" s="1"/>
      <c r="K85" s="1"/>
      <c r="L85" s="1"/>
      <c r="M85" s="1"/>
      <c r="N85" s="1"/>
      <c r="O85" s="1"/>
      <c r="P85" s="1"/>
      <c r="Q85" s="1"/>
      <c r="R85" s="13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81"/>
      <c r="F86" s="201"/>
      <c r="G86" s="131"/>
      <c r="H86" s="131"/>
      <c r="I86" s="1"/>
      <c r="J86" s="1"/>
      <c r="K86" s="1"/>
      <c r="L86" s="1"/>
      <c r="M86" s="1"/>
      <c r="N86" s="1"/>
      <c r="O86" s="1"/>
      <c r="P86" s="1"/>
      <c r="Q86" s="1"/>
      <c r="R86" s="13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81"/>
      <c r="F87" s="201"/>
      <c r="G87" s="131"/>
      <c r="H87" s="131"/>
      <c r="I87" s="1"/>
      <c r="J87" s="1"/>
      <c r="K87" s="1"/>
      <c r="L87" s="1"/>
      <c r="M87" s="1"/>
      <c r="N87" s="1"/>
      <c r="O87" s="1"/>
      <c r="P87" s="1"/>
      <c r="Q87" s="1"/>
      <c r="R87" s="13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81"/>
      <c r="F88" s="201"/>
      <c r="G88" s="131"/>
      <c r="H88" s="131"/>
      <c r="I88" s="1"/>
      <c r="J88" s="1"/>
      <c r="K88" s="1"/>
      <c r="L88" s="1"/>
      <c r="M88" s="1"/>
      <c r="N88" s="1"/>
      <c r="O88" s="1"/>
      <c r="P88" s="1"/>
      <c r="Q88" s="1"/>
      <c r="R88" s="13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81"/>
      <c r="F89" s="201"/>
      <c r="G89" s="131"/>
      <c r="H89" s="131"/>
      <c r="I89" s="1"/>
      <c r="J89" s="1"/>
      <c r="K89" s="1"/>
      <c r="L89" s="1"/>
      <c r="M89" s="1"/>
      <c r="N89" s="1"/>
      <c r="O89" s="1"/>
      <c r="P89" s="1"/>
      <c r="Q89" s="1"/>
      <c r="R89" s="13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81"/>
      <c r="F90" s="201"/>
      <c r="G90" s="131"/>
      <c r="H90" s="131"/>
      <c r="I90" s="1"/>
      <c r="J90" s="1"/>
      <c r="K90" s="1"/>
      <c r="L90" s="1"/>
      <c r="M90" s="1"/>
      <c r="N90" s="1"/>
      <c r="O90" s="1"/>
      <c r="P90" s="1"/>
      <c r="Q90" s="1"/>
      <c r="R90" s="13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81"/>
      <c r="F91" s="201"/>
      <c r="G91" s="131"/>
      <c r="H91" s="131"/>
      <c r="I91" s="1"/>
      <c r="J91" s="1"/>
      <c r="K91" s="1"/>
      <c r="L91" s="1"/>
      <c r="M91" s="1"/>
      <c r="N91" s="1"/>
      <c r="O91" s="1"/>
      <c r="P91" s="1"/>
      <c r="Q91" s="1"/>
      <c r="R91" s="13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81"/>
      <c r="F92" s="201"/>
      <c r="G92" s="131"/>
      <c r="H92" s="131"/>
      <c r="I92" s="1"/>
      <c r="J92" s="1"/>
      <c r="K92" s="1"/>
      <c r="L92" s="1"/>
      <c r="M92" s="1"/>
      <c r="N92" s="1"/>
      <c r="O92" s="1"/>
      <c r="P92" s="1"/>
      <c r="Q92" s="1"/>
      <c r="R92" s="13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81"/>
      <c r="F93" s="201"/>
      <c r="G93" s="131"/>
      <c r="H93" s="131"/>
      <c r="I93" s="1"/>
      <c r="J93" s="1"/>
      <c r="K93" s="1"/>
      <c r="L93" s="1"/>
      <c r="M93" s="1"/>
      <c r="N93" s="1"/>
      <c r="O93" s="1"/>
      <c r="P93" s="1"/>
      <c r="Q93" s="1"/>
      <c r="R93" s="13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81"/>
      <c r="F94" s="201"/>
      <c r="G94" s="131"/>
      <c r="H94" s="131"/>
      <c r="I94" s="1"/>
      <c r="J94" s="1"/>
      <c r="K94" s="1"/>
      <c r="L94" s="1"/>
      <c r="M94" s="1"/>
      <c r="N94" s="1"/>
      <c r="O94" s="1"/>
      <c r="P94" s="1"/>
      <c r="Q94" s="1"/>
      <c r="R94" s="13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81"/>
      <c r="F95" s="201"/>
      <c r="G95" s="131"/>
      <c r="H95" s="131"/>
      <c r="I95" s="1"/>
      <c r="J95" s="1"/>
      <c r="K95" s="1"/>
      <c r="L95" s="1"/>
      <c r="M95" s="1"/>
      <c r="N95" s="1"/>
      <c r="O95" s="1"/>
      <c r="P95" s="1"/>
      <c r="Q95" s="1"/>
      <c r="R95" s="13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81"/>
      <c r="F96" s="201"/>
      <c r="G96" s="131"/>
      <c r="H96" s="131"/>
      <c r="I96" s="1"/>
      <c r="J96" s="1"/>
      <c r="K96" s="1"/>
      <c r="L96" s="1"/>
      <c r="M96" s="1"/>
      <c r="N96" s="1"/>
      <c r="O96" s="1"/>
      <c r="P96" s="1"/>
      <c r="Q96" s="1"/>
      <c r="R96" s="13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81"/>
      <c r="F97" s="201"/>
      <c r="G97" s="131"/>
      <c r="H97" s="131"/>
      <c r="I97" s="1"/>
      <c r="J97" s="1"/>
      <c r="K97" s="1"/>
      <c r="L97" s="1"/>
      <c r="M97" s="1"/>
      <c r="N97" s="1"/>
      <c r="O97" s="1"/>
      <c r="P97" s="1"/>
      <c r="Q97" s="1"/>
      <c r="R97" s="13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81"/>
      <c r="F98" s="201"/>
      <c r="G98" s="131"/>
      <c r="H98" s="131"/>
      <c r="I98" s="1"/>
      <c r="J98" s="1"/>
      <c r="K98" s="1"/>
      <c r="L98" s="1"/>
      <c r="M98" s="1"/>
      <c r="N98" s="1"/>
      <c r="O98" s="1"/>
      <c r="P98" s="1"/>
      <c r="Q98" s="1"/>
      <c r="R98" s="13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81"/>
      <c r="F99" s="201"/>
      <c r="G99" s="131"/>
      <c r="H99" s="131"/>
      <c r="I99" s="1"/>
      <c r="J99" s="1"/>
      <c r="K99" s="1"/>
      <c r="L99" s="1"/>
      <c r="M99" s="1"/>
      <c r="N99" s="1"/>
      <c r="O99" s="1"/>
      <c r="P99" s="1"/>
      <c r="Q99" s="1"/>
      <c r="R99" s="13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81"/>
      <c r="F100" s="201"/>
      <c r="G100" s="131"/>
      <c r="H100" s="131"/>
      <c r="I100" s="1"/>
      <c r="J100" s="1"/>
      <c r="K100" s="1"/>
      <c r="L100" s="1"/>
      <c r="M100" s="1"/>
      <c r="N100" s="1"/>
      <c r="O100" s="1"/>
      <c r="P100" s="1"/>
      <c r="Q100" s="1"/>
      <c r="R100" s="13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81"/>
      <c r="F101" s="201"/>
      <c r="G101" s="131"/>
      <c r="H101" s="131"/>
      <c r="I101" s="1"/>
      <c r="J101" s="1"/>
      <c r="K101" s="1"/>
      <c r="L101" s="1"/>
      <c r="M101" s="1"/>
      <c r="N101" s="1"/>
      <c r="O101" s="1"/>
      <c r="P101" s="1"/>
      <c r="Q101" s="1"/>
      <c r="R101" s="13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81"/>
      <c r="F102" s="201"/>
      <c r="G102" s="131"/>
      <c r="H102" s="131"/>
      <c r="I102" s="1"/>
      <c r="J102" s="1"/>
      <c r="K102" s="1"/>
      <c r="L102" s="1"/>
      <c r="M102" s="1"/>
      <c r="N102" s="1"/>
      <c r="O102" s="1"/>
      <c r="P102" s="1"/>
      <c r="Q102" s="1"/>
      <c r="R102" s="13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81"/>
      <c r="F103" s="201"/>
      <c r="G103" s="131"/>
      <c r="H103" s="131"/>
      <c r="I103" s="1"/>
      <c r="J103" s="1"/>
      <c r="K103" s="1"/>
      <c r="L103" s="1"/>
      <c r="M103" s="1"/>
      <c r="N103" s="1"/>
      <c r="O103" s="1"/>
      <c r="P103" s="1"/>
      <c r="Q103" s="1"/>
      <c r="R103" s="13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81"/>
      <c r="F104" s="201"/>
      <c r="G104" s="131"/>
      <c r="H104" s="131"/>
      <c r="I104" s="1"/>
      <c r="J104" s="1"/>
      <c r="K104" s="1"/>
      <c r="L104" s="1"/>
      <c r="M104" s="1"/>
      <c r="N104" s="1"/>
      <c r="O104" s="1"/>
      <c r="P104" s="1"/>
      <c r="Q104" s="1"/>
      <c r="R104" s="13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81"/>
      <c r="F105" s="201"/>
      <c r="G105" s="131"/>
      <c r="H105" s="131"/>
      <c r="I105" s="1"/>
      <c r="J105" s="1"/>
      <c r="K105" s="1"/>
      <c r="L105" s="1"/>
      <c r="M105" s="1"/>
      <c r="N105" s="1"/>
      <c r="O105" s="1"/>
      <c r="P105" s="1"/>
      <c r="Q105" s="1"/>
      <c r="R105" s="13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81"/>
      <c r="F106" s="201"/>
      <c r="G106" s="131"/>
      <c r="H106" s="131"/>
      <c r="I106" s="1"/>
      <c r="J106" s="1"/>
      <c r="K106" s="1"/>
      <c r="L106" s="1"/>
      <c r="M106" s="1"/>
      <c r="N106" s="1"/>
      <c r="O106" s="1"/>
      <c r="P106" s="1"/>
      <c r="Q106" s="1"/>
      <c r="R106" s="13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81"/>
      <c r="F107" s="201"/>
      <c r="G107" s="131"/>
      <c r="H107" s="131"/>
      <c r="I107" s="1"/>
      <c r="J107" s="1"/>
      <c r="K107" s="1"/>
      <c r="L107" s="1"/>
      <c r="M107" s="1"/>
      <c r="N107" s="1"/>
      <c r="O107" s="1"/>
      <c r="P107" s="1"/>
      <c r="Q107" s="1"/>
      <c r="R107" s="13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81"/>
      <c r="F108" s="201"/>
      <c r="G108" s="131"/>
      <c r="H108" s="131"/>
      <c r="I108" s="1"/>
      <c r="J108" s="1"/>
      <c r="K108" s="1"/>
      <c r="L108" s="1"/>
      <c r="M108" s="1"/>
      <c r="N108" s="1"/>
      <c r="O108" s="1"/>
      <c r="P108" s="1"/>
      <c r="Q108" s="1"/>
      <c r="R108" s="13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81"/>
      <c r="F109" s="201"/>
      <c r="G109" s="131"/>
      <c r="H109" s="131"/>
      <c r="I109" s="1"/>
      <c r="J109" s="1"/>
      <c r="K109" s="1"/>
      <c r="L109" s="1"/>
      <c r="M109" s="1"/>
      <c r="N109" s="1"/>
      <c r="O109" s="1"/>
      <c r="P109" s="1"/>
      <c r="Q109" s="1"/>
      <c r="R109" s="13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81"/>
      <c r="F110" s="201"/>
      <c r="G110" s="131"/>
      <c r="H110" s="131"/>
      <c r="I110" s="1"/>
      <c r="J110" s="1"/>
      <c r="K110" s="1"/>
      <c r="L110" s="1"/>
      <c r="M110" s="1"/>
      <c r="N110" s="1"/>
      <c r="O110" s="1"/>
      <c r="P110" s="1"/>
      <c r="Q110" s="1"/>
      <c r="R110" s="13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81"/>
      <c r="F111" s="201"/>
      <c r="G111" s="131"/>
      <c r="H111" s="131"/>
      <c r="I111" s="1"/>
      <c r="J111" s="1"/>
      <c r="K111" s="1"/>
      <c r="L111" s="1"/>
      <c r="M111" s="1"/>
      <c r="N111" s="1"/>
      <c r="O111" s="1"/>
      <c r="P111" s="1"/>
      <c r="Q111" s="1"/>
      <c r="R111" s="13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81"/>
      <c r="F112" s="201"/>
      <c r="G112" s="131"/>
      <c r="H112" s="131"/>
      <c r="I112" s="1"/>
      <c r="J112" s="1"/>
      <c r="K112" s="1"/>
      <c r="L112" s="1"/>
      <c r="M112" s="1"/>
      <c r="N112" s="1"/>
      <c r="O112" s="1"/>
      <c r="P112" s="1"/>
      <c r="Q112" s="1"/>
      <c r="R112" s="13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81"/>
      <c r="F113" s="201"/>
      <c r="G113" s="131"/>
      <c r="H113" s="131"/>
      <c r="I113" s="1"/>
      <c r="J113" s="1"/>
      <c r="K113" s="1"/>
      <c r="L113" s="1"/>
      <c r="M113" s="1"/>
      <c r="N113" s="1"/>
      <c r="O113" s="1"/>
      <c r="P113" s="1"/>
      <c r="Q113" s="1"/>
      <c r="R113" s="13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81"/>
      <c r="F114" s="201"/>
      <c r="G114" s="131"/>
      <c r="H114" s="131"/>
      <c r="I114" s="1"/>
      <c r="J114" s="1"/>
      <c r="K114" s="1"/>
      <c r="L114" s="1"/>
      <c r="M114" s="1"/>
      <c r="N114" s="1"/>
      <c r="O114" s="1"/>
      <c r="P114" s="1"/>
      <c r="Q114" s="1"/>
      <c r="R114" s="13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81"/>
      <c r="F115" s="201"/>
      <c r="G115" s="131"/>
      <c r="H115" s="131"/>
      <c r="I115" s="1"/>
      <c r="J115" s="1"/>
      <c r="K115" s="1"/>
      <c r="L115" s="1"/>
      <c r="M115" s="1"/>
      <c r="N115" s="1"/>
      <c r="O115" s="1"/>
      <c r="P115" s="1"/>
      <c r="Q115" s="1"/>
      <c r="R115" s="13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81"/>
      <c r="F116" s="201"/>
      <c r="G116" s="131"/>
      <c r="H116" s="131"/>
      <c r="I116" s="1"/>
      <c r="J116" s="1"/>
      <c r="K116" s="1"/>
      <c r="L116" s="1"/>
      <c r="M116" s="1"/>
      <c r="N116" s="1"/>
      <c r="O116" s="1"/>
      <c r="P116" s="1"/>
      <c r="Q116" s="1"/>
      <c r="R116" s="13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81"/>
      <c r="F117" s="201"/>
      <c r="G117" s="131"/>
      <c r="H117" s="131"/>
      <c r="I117" s="1"/>
      <c r="J117" s="1"/>
      <c r="K117" s="1"/>
      <c r="L117" s="1"/>
      <c r="M117" s="1"/>
      <c r="N117" s="1"/>
      <c r="O117" s="1"/>
      <c r="P117" s="1"/>
      <c r="Q117" s="1"/>
      <c r="R117" s="13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81"/>
      <c r="F118" s="201"/>
      <c r="G118" s="131"/>
      <c r="H118" s="131"/>
      <c r="I118" s="1"/>
      <c r="J118" s="1"/>
      <c r="K118" s="1"/>
      <c r="L118" s="1"/>
      <c r="M118" s="1"/>
      <c r="N118" s="1"/>
      <c r="O118" s="1"/>
      <c r="P118" s="1"/>
      <c r="Q118" s="1"/>
      <c r="R118" s="13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81"/>
      <c r="F119" s="201"/>
      <c r="G119" s="131"/>
      <c r="H119" s="131"/>
      <c r="I119" s="1"/>
      <c r="J119" s="1"/>
      <c r="K119" s="1"/>
      <c r="L119" s="1"/>
      <c r="M119" s="1"/>
      <c r="N119" s="1"/>
      <c r="O119" s="1"/>
      <c r="P119" s="1"/>
      <c r="Q119" s="1"/>
      <c r="R119" s="13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81"/>
      <c r="F120" s="201"/>
      <c r="G120" s="131"/>
      <c r="H120" s="131"/>
      <c r="I120" s="1"/>
      <c r="J120" s="1"/>
      <c r="K120" s="1"/>
      <c r="L120" s="1"/>
      <c r="M120" s="1"/>
      <c r="N120" s="1"/>
      <c r="O120" s="1"/>
      <c r="P120" s="1"/>
      <c r="Q120" s="1"/>
      <c r="R120" s="13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81"/>
      <c r="F121" s="201"/>
      <c r="G121" s="131"/>
      <c r="H121" s="131"/>
      <c r="I121" s="1"/>
      <c r="J121" s="1"/>
      <c r="K121" s="1"/>
      <c r="L121" s="1"/>
      <c r="M121" s="1"/>
      <c r="N121" s="1"/>
      <c r="O121" s="1"/>
      <c r="P121" s="1"/>
      <c r="Q121" s="1"/>
      <c r="R121" s="13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81"/>
      <c r="F122" s="201"/>
      <c r="G122" s="131"/>
      <c r="H122" s="131"/>
      <c r="I122" s="1"/>
      <c r="J122" s="1"/>
      <c r="K122" s="1"/>
      <c r="L122" s="1"/>
      <c r="M122" s="1"/>
      <c r="N122" s="1"/>
      <c r="O122" s="1"/>
      <c r="P122" s="1"/>
      <c r="Q122" s="1"/>
      <c r="R122" s="13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81"/>
      <c r="F123" s="201"/>
      <c r="G123" s="131"/>
      <c r="H123" s="131"/>
      <c r="I123" s="1"/>
      <c r="J123" s="1"/>
      <c r="K123" s="1"/>
      <c r="L123" s="1"/>
      <c r="M123" s="1"/>
      <c r="N123" s="1"/>
      <c r="O123" s="1"/>
      <c r="P123" s="1"/>
      <c r="Q123" s="1"/>
      <c r="R123" s="13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81"/>
      <c r="F124" s="201"/>
      <c r="G124" s="131"/>
      <c r="H124" s="131"/>
      <c r="I124" s="1"/>
      <c r="J124" s="1"/>
      <c r="K124" s="1"/>
      <c r="L124" s="1"/>
      <c r="M124" s="1"/>
      <c r="N124" s="1"/>
      <c r="O124" s="1"/>
      <c r="P124" s="1"/>
      <c r="Q124" s="1"/>
      <c r="R124" s="13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81"/>
      <c r="F125" s="201"/>
      <c r="G125" s="131"/>
      <c r="H125" s="131"/>
      <c r="I125" s="1"/>
      <c r="J125" s="1"/>
      <c r="K125" s="1"/>
      <c r="L125" s="1"/>
      <c r="M125" s="1"/>
      <c r="N125" s="1"/>
      <c r="O125" s="1"/>
      <c r="P125" s="1"/>
      <c r="Q125" s="1"/>
      <c r="R125" s="13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81"/>
      <c r="F126" s="201"/>
      <c r="G126" s="131"/>
      <c r="H126" s="131"/>
      <c r="I126" s="1"/>
      <c r="J126" s="1"/>
      <c r="K126" s="1"/>
      <c r="L126" s="1"/>
      <c r="M126" s="1"/>
      <c r="N126" s="1"/>
      <c r="O126" s="1"/>
      <c r="P126" s="1"/>
      <c r="Q126" s="1"/>
      <c r="R126" s="13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81"/>
      <c r="F127" s="201"/>
      <c r="G127" s="131"/>
      <c r="H127" s="131"/>
      <c r="I127" s="1"/>
      <c r="J127" s="1"/>
      <c r="K127" s="1"/>
      <c r="L127" s="1"/>
      <c r="M127" s="1"/>
      <c r="N127" s="1"/>
      <c r="O127" s="1"/>
      <c r="P127" s="1"/>
      <c r="Q127" s="1"/>
      <c r="R127" s="13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81"/>
      <c r="F128" s="201"/>
      <c r="G128" s="131"/>
      <c r="H128" s="131"/>
      <c r="I128" s="1"/>
      <c r="J128" s="1"/>
      <c r="K128" s="1"/>
      <c r="L128" s="1"/>
      <c r="M128" s="1"/>
      <c r="N128" s="1"/>
      <c r="O128" s="1"/>
      <c r="P128" s="1"/>
      <c r="Q128" s="1"/>
      <c r="R128" s="13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81"/>
      <c r="F129" s="201"/>
      <c r="G129" s="131"/>
      <c r="H129" s="131"/>
      <c r="I129" s="1"/>
      <c r="J129" s="1"/>
      <c r="K129" s="1"/>
      <c r="L129" s="1"/>
      <c r="M129" s="1"/>
      <c r="N129" s="1"/>
      <c r="O129" s="1"/>
      <c r="P129" s="1"/>
      <c r="Q129" s="1"/>
      <c r="R129" s="13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81"/>
      <c r="F130" s="201"/>
      <c r="G130" s="131"/>
      <c r="H130" s="131"/>
      <c r="I130" s="1"/>
      <c r="J130" s="1"/>
      <c r="K130" s="1"/>
      <c r="L130" s="1"/>
      <c r="M130" s="1"/>
      <c r="N130" s="1"/>
      <c r="O130" s="1"/>
      <c r="P130" s="1"/>
      <c r="Q130" s="1"/>
      <c r="R130" s="13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81"/>
      <c r="F131" s="201"/>
      <c r="G131" s="131"/>
      <c r="H131" s="131"/>
      <c r="I131" s="1"/>
      <c r="J131" s="1"/>
      <c r="K131" s="1"/>
      <c r="L131" s="1"/>
      <c r="M131" s="1"/>
      <c r="N131" s="1"/>
      <c r="O131" s="1"/>
      <c r="P131" s="1"/>
      <c r="Q131" s="1"/>
      <c r="R131" s="13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81"/>
      <c r="F132" s="201"/>
      <c r="G132" s="131"/>
      <c r="H132" s="131"/>
      <c r="I132" s="1"/>
      <c r="J132" s="1"/>
      <c r="K132" s="1"/>
      <c r="L132" s="1"/>
      <c r="M132" s="1"/>
      <c r="N132" s="1"/>
      <c r="O132" s="1"/>
      <c r="P132" s="1"/>
      <c r="Q132" s="1"/>
      <c r="R132" s="13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81"/>
      <c r="F133" s="201"/>
      <c r="G133" s="131"/>
      <c r="H133" s="131"/>
      <c r="I133" s="1"/>
      <c r="J133" s="1"/>
      <c r="K133" s="1"/>
      <c r="L133" s="1"/>
      <c r="M133" s="1"/>
      <c r="N133" s="1"/>
      <c r="O133" s="1"/>
      <c r="P133" s="1"/>
      <c r="Q133" s="1"/>
      <c r="R133" s="13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81"/>
      <c r="F134" s="201"/>
      <c r="G134" s="131"/>
      <c r="H134" s="131"/>
      <c r="I134" s="1"/>
      <c r="J134" s="1"/>
      <c r="K134" s="1"/>
      <c r="L134" s="1"/>
      <c r="M134" s="1"/>
      <c r="N134" s="1"/>
      <c r="O134" s="1"/>
      <c r="P134" s="1"/>
      <c r="Q134" s="1"/>
      <c r="R134" s="13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81"/>
      <c r="F135" s="201"/>
      <c r="G135" s="131"/>
      <c r="H135" s="131"/>
      <c r="I135" s="1"/>
      <c r="J135" s="1"/>
      <c r="K135" s="1"/>
      <c r="L135" s="1"/>
      <c r="M135" s="1"/>
      <c r="N135" s="1"/>
      <c r="O135" s="1"/>
      <c r="P135" s="1"/>
      <c r="Q135" s="1"/>
      <c r="R135" s="13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81"/>
      <c r="F136" s="201"/>
      <c r="G136" s="131"/>
      <c r="H136" s="131"/>
      <c r="I136" s="1"/>
      <c r="J136" s="1"/>
      <c r="K136" s="1"/>
      <c r="L136" s="1"/>
      <c r="M136" s="1"/>
      <c r="N136" s="1"/>
      <c r="O136" s="1"/>
      <c r="P136" s="1"/>
      <c r="Q136" s="1"/>
      <c r="R136" s="13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81"/>
      <c r="F137" s="201"/>
      <c r="G137" s="131"/>
      <c r="H137" s="131"/>
      <c r="I137" s="1"/>
      <c r="J137" s="1"/>
      <c r="K137" s="1"/>
      <c r="L137" s="1"/>
      <c r="M137" s="1"/>
      <c r="N137" s="1"/>
      <c r="O137" s="1"/>
      <c r="P137" s="1"/>
      <c r="Q137" s="1"/>
      <c r="R137" s="13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81"/>
      <c r="F138" s="201"/>
      <c r="G138" s="131"/>
      <c r="H138" s="131"/>
      <c r="I138" s="1"/>
      <c r="J138" s="1"/>
      <c r="K138" s="1"/>
      <c r="L138" s="1"/>
      <c r="M138" s="1"/>
      <c r="N138" s="1"/>
      <c r="O138" s="1"/>
      <c r="P138" s="1"/>
      <c r="Q138" s="1"/>
      <c r="R138" s="13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81"/>
      <c r="F139" s="201"/>
      <c r="G139" s="131"/>
      <c r="H139" s="131"/>
      <c r="I139" s="1"/>
      <c r="J139" s="1"/>
      <c r="K139" s="1"/>
      <c r="L139" s="1"/>
      <c r="M139" s="1"/>
      <c r="N139" s="1"/>
      <c r="O139" s="1"/>
      <c r="P139" s="1"/>
      <c r="Q139" s="1"/>
      <c r="R139" s="13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81"/>
      <c r="F140" s="201"/>
      <c r="G140" s="131"/>
      <c r="H140" s="131"/>
      <c r="I140" s="1"/>
      <c r="J140" s="1"/>
      <c r="K140" s="1"/>
      <c r="L140" s="1"/>
      <c r="M140" s="1"/>
      <c r="N140" s="1"/>
      <c r="O140" s="1"/>
      <c r="P140" s="1"/>
      <c r="Q140" s="1"/>
      <c r="R140" s="13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81"/>
      <c r="F141" s="201"/>
      <c r="G141" s="131"/>
      <c r="H141" s="131"/>
      <c r="I141" s="1"/>
      <c r="J141" s="1"/>
      <c r="K141" s="1"/>
      <c r="L141" s="1"/>
      <c r="M141" s="1"/>
      <c r="N141" s="1"/>
      <c r="O141" s="1"/>
      <c r="P141" s="1"/>
      <c r="Q141" s="1"/>
      <c r="R141" s="13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81"/>
      <c r="F142" s="201"/>
      <c r="G142" s="131"/>
      <c r="H142" s="131"/>
      <c r="I142" s="1"/>
      <c r="J142" s="1"/>
      <c r="K142" s="1"/>
      <c r="L142" s="1"/>
      <c r="M142" s="1"/>
      <c r="N142" s="1"/>
      <c r="O142" s="1"/>
      <c r="P142" s="1"/>
      <c r="Q142" s="1"/>
      <c r="R142" s="13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81"/>
      <c r="F143" s="201"/>
      <c r="G143" s="131"/>
      <c r="H143" s="131"/>
      <c r="I143" s="1"/>
      <c r="J143" s="1"/>
      <c r="K143" s="1"/>
      <c r="L143" s="1"/>
      <c r="M143" s="1"/>
      <c r="N143" s="1"/>
      <c r="O143" s="1"/>
      <c r="P143" s="1"/>
      <c r="Q143" s="1"/>
      <c r="R143" s="13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81"/>
      <c r="F144" s="201"/>
      <c r="G144" s="131"/>
      <c r="H144" s="131"/>
      <c r="I144" s="1"/>
      <c r="J144" s="1"/>
      <c r="K144" s="1"/>
      <c r="L144" s="1"/>
      <c r="M144" s="1"/>
      <c r="N144" s="1"/>
      <c r="O144" s="1"/>
      <c r="P144" s="1"/>
      <c r="Q144" s="1"/>
      <c r="R144" s="13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81"/>
      <c r="F145" s="201"/>
      <c r="G145" s="131"/>
      <c r="H145" s="131"/>
      <c r="I145" s="1"/>
      <c r="J145" s="1"/>
      <c r="K145" s="1"/>
      <c r="L145" s="1"/>
      <c r="M145" s="1"/>
      <c r="N145" s="1"/>
      <c r="O145" s="1"/>
      <c r="P145" s="1"/>
      <c r="Q145" s="1"/>
      <c r="R145" s="13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81"/>
      <c r="F146" s="201"/>
      <c r="G146" s="131"/>
      <c r="H146" s="131"/>
      <c r="I146" s="1"/>
      <c r="J146" s="1"/>
      <c r="K146" s="1"/>
      <c r="L146" s="1"/>
      <c r="M146" s="1"/>
      <c r="N146" s="1"/>
      <c r="O146" s="1"/>
      <c r="P146" s="1"/>
      <c r="Q146" s="1"/>
      <c r="R146" s="13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81"/>
      <c r="F147" s="201"/>
      <c r="G147" s="131"/>
      <c r="H147" s="131"/>
      <c r="I147" s="1"/>
      <c r="J147" s="1"/>
      <c r="K147" s="1"/>
      <c r="L147" s="1"/>
      <c r="M147" s="1"/>
      <c r="N147" s="1"/>
      <c r="O147" s="1"/>
      <c r="P147" s="1"/>
      <c r="Q147" s="1"/>
      <c r="R147" s="13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81"/>
      <c r="F148" s="201"/>
      <c r="G148" s="131"/>
      <c r="H148" s="131"/>
      <c r="I148" s="1"/>
      <c r="J148" s="1"/>
      <c r="K148" s="1"/>
      <c r="L148" s="1"/>
      <c r="M148" s="1"/>
      <c r="N148" s="1"/>
      <c r="O148" s="1"/>
      <c r="P148" s="1"/>
      <c r="Q148" s="1"/>
      <c r="R148" s="13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81"/>
      <c r="F149" s="201"/>
      <c r="G149" s="131"/>
      <c r="H149" s="131"/>
      <c r="I149" s="1"/>
      <c r="J149" s="1"/>
      <c r="K149" s="1"/>
      <c r="L149" s="1"/>
      <c r="M149" s="1"/>
      <c r="N149" s="1"/>
      <c r="O149" s="1"/>
      <c r="P149" s="1"/>
      <c r="Q149" s="1"/>
      <c r="R149" s="13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81"/>
      <c r="F150" s="201"/>
      <c r="G150" s="131"/>
      <c r="H150" s="131"/>
      <c r="I150" s="1"/>
      <c r="J150" s="1"/>
      <c r="K150" s="1"/>
      <c r="L150" s="1"/>
      <c r="M150" s="1"/>
      <c r="N150" s="1"/>
      <c r="O150" s="1"/>
      <c r="P150" s="1"/>
      <c r="Q150" s="1"/>
      <c r="R150" s="13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81"/>
      <c r="F151" s="201"/>
      <c r="G151" s="131"/>
      <c r="H151" s="131"/>
      <c r="I151" s="1"/>
      <c r="J151" s="1"/>
      <c r="K151" s="1"/>
      <c r="L151" s="1"/>
      <c r="M151" s="1"/>
      <c r="N151" s="1"/>
      <c r="O151" s="1"/>
      <c r="P151" s="1"/>
      <c r="Q151" s="1"/>
      <c r="R151" s="13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81"/>
      <c r="F152" s="201"/>
      <c r="G152" s="131"/>
      <c r="H152" s="131"/>
      <c r="I152" s="1"/>
      <c r="J152" s="1"/>
      <c r="K152" s="1"/>
      <c r="L152" s="1"/>
      <c r="M152" s="1"/>
      <c r="N152" s="1"/>
      <c r="O152" s="1"/>
      <c r="P152" s="1"/>
      <c r="Q152" s="1"/>
      <c r="R152" s="13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81"/>
      <c r="F153" s="201"/>
      <c r="G153" s="131"/>
      <c r="H153" s="131"/>
      <c r="I153" s="1"/>
      <c r="J153" s="1"/>
      <c r="K153" s="1"/>
      <c r="L153" s="1"/>
      <c r="M153" s="1"/>
      <c r="N153" s="1"/>
      <c r="O153" s="1"/>
      <c r="P153" s="1"/>
      <c r="Q153" s="1"/>
      <c r="R153" s="13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81"/>
      <c r="F154" s="201"/>
      <c r="G154" s="131"/>
      <c r="H154" s="131"/>
      <c r="I154" s="1"/>
      <c r="J154" s="1"/>
      <c r="K154" s="1"/>
      <c r="L154" s="1"/>
      <c r="M154" s="1"/>
      <c r="N154" s="1"/>
      <c r="O154" s="1"/>
      <c r="P154" s="1"/>
      <c r="Q154" s="1"/>
      <c r="R154" s="13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81"/>
      <c r="F155" s="201"/>
      <c r="G155" s="131"/>
      <c r="H155" s="131"/>
      <c r="I155" s="1"/>
      <c r="J155" s="1"/>
      <c r="K155" s="1"/>
      <c r="L155" s="1"/>
      <c r="M155" s="1"/>
      <c r="N155" s="1"/>
      <c r="O155" s="1"/>
      <c r="P155" s="1"/>
      <c r="Q155" s="1"/>
      <c r="R155" s="13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81"/>
      <c r="F156" s="201"/>
      <c r="G156" s="131"/>
      <c r="H156" s="131"/>
      <c r="I156" s="1"/>
      <c r="J156" s="1"/>
      <c r="K156" s="1"/>
      <c r="L156" s="1"/>
      <c r="M156" s="1"/>
      <c r="N156" s="1"/>
      <c r="O156" s="1"/>
      <c r="P156" s="1"/>
      <c r="Q156" s="1"/>
      <c r="R156" s="13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81"/>
      <c r="F157" s="201"/>
      <c r="G157" s="131"/>
      <c r="H157" s="131"/>
      <c r="I157" s="1"/>
      <c r="J157" s="1"/>
      <c r="K157" s="1"/>
      <c r="L157" s="1"/>
      <c r="M157" s="1"/>
      <c r="N157" s="1"/>
      <c r="O157" s="1"/>
      <c r="P157" s="1"/>
      <c r="Q157" s="1"/>
      <c r="R157" s="13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81"/>
      <c r="F158" s="201"/>
      <c r="G158" s="131"/>
      <c r="H158" s="131"/>
      <c r="I158" s="1"/>
      <c r="J158" s="1"/>
      <c r="K158" s="1"/>
      <c r="L158" s="1"/>
      <c r="M158" s="1"/>
      <c r="N158" s="1"/>
      <c r="O158" s="1"/>
      <c r="P158" s="1"/>
      <c r="Q158" s="1"/>
      <c r="R158" s="13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81"/>
      <c r="F159" s="201"/>
      <c r="G159" s="131"/>
      <c r="H159" s="131"/>
      <c r="I159" s="1"/>
      <c r="J159" s="1"/>
      <c r="K159" s="1"/>
      <c r="L159" s="1"/>
      <c r="M159" s="1"/>
      <c r="N159" s="1"/>
      <c r="O159" s="1"/>
      <c r="P159" s="1"/>
      <c r="Q159" s="1"/>
      <c r="R159" s="13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81"/>
      <c r="F160" s="201"/>
      <c r="G160" s="131"/>
      <c r="H160" s="131"/>
      <c r="I160" s="1"/>
      <c r="J160" s="1"/>
      <c r="K160" s="1"/>
      <c r="L160" s="1"/>
      <c r="M160" s="1"/>
      <c r="N160" s="1"/>
      <c r="O160" s="1"/>
      <c r="P160" s="1"/>
      <c r="Q160" s="1"/>
      <c r="R160" s="13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81"/>
      <c r="F161" s="201"/>
      <c r="G161" s="131"/>
      <c r="H161" s="131"/>
      <c r="I161" s="1"/>
      <c r="J161" s="1"/>
      <c r="K161" s="1"/>
      <c r="L161" s="1"/>
      <c r="M161" s="1"/>
      <c r="N161" s="1"/>
      <c r="O161" s="1"/>
      <c r="P161" s="1"/>
      <c r="Q161" s="1"/>
      <c r="R161" s="13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81"/>
      <c r="F162" s="201"/>
      <c r="G162" s="131"/>
      <c r="H162" s="131"/>
      <c r="I162" s="1"/>
      <c r="J162" s="1"/>
      <c r="K162" s="1"/>
      <c r="L162" s="1"/>
      <c r="M162" s="1"/>
      <c r="N162" s="1"/>
      <c r="O162" s="1"/>
      <c r="P162" s="1"/>
      <c r="Q162" s="1"/>
      <c r="R162" s="13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81"/>
      <c r="F163" s="201"/>
      <c r="G163" s="131"/>
      <c r="H163" s="131"/>
      <c r="I163" s="1"/>
      <c r="J163" s="1"/>
      <c r="K163" s="1"/>
      <c r="L163" s="1"/>
      <c r="M163" s="1"/>
      <c r="N163" s="1"/>
      <c r="O163" s="1"/>
      <c r="P163" s="1"/>
      <c r="Q163" s="1"/>
      <c r="R163" s="13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81"/>
      <c r="F164" s="201"/>
      <c r="G164" s="131"/>
      <c r="H164" s="131"/>
      <c r="I164" s="1"/>
      <c r="J164" s="1"/>
      <c r="K164" s="1"/>
      <c r="L164" s="1"/>
      <c r="M164" s="1"/>
      <c r="N164" s="1"/>
      <c r="O164" s="1"/>
      <c r="P164" s="1"/>
      <c r="Q164" s="1"/>
      <c r="R164" s="13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81"/>
      <c r="F165" s="201"/>
      <c r="G165" s="131"/>
      <c r="H165" s="131"/>
      <c r="I165" s="1"/>
      <c r="J165" s="1"/>
      <c r="K165" s="1"/>
      <c r="L165" s="1"/>
      <c r="M165" s="1"/>
      <c r="N165" s="1"/>
      <c r="O165" s="1"/>
      <c r="P165" s="1"/>
      <c r="Q165" s="1"/>
      <c r="R165" s="13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81"/>
      <c r="F166" s="201"/>
      <c r="G166" s="131"/>
      <c r="H166" s="131"/>
      <c r="I166" s="1"/>
      <c r="J166" s="1"/>
      <c r="K166" s="1"/>
      <c r="L166" s="1"/>
      <c r="M166" s="1"/>
      <c r="N166" s="1"/>
      <c r="O166" s="1"/>
      <c r="P166" s="1"/>
      <c r="Q166" s="1"/>
      <c r="R166" s="13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81"/>
      <c r="F167" s="201"/>
      <c r="G167" s="131"/>
      <c r="H167" s="131"/>
      <c r="I167" s="1"/>
      <c r="J167" s="1"/>
      <c r="K167" s="1"/>
      <c r="L167" s="1"/>
      <c r="M167" s="1"/>
      <c r="N167" s="1"/>
      <c r="O167" s="1"/>
      <c r="P167" s="1"/>
      <c r="Q167" s="1"/>
      <c r="R167" s="13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81"/>
      <c r="F168" s="201"/>
      <c r="G168" s="131"/>
      <c r="H168" s="131"/>
      <c r="I168" s="1"/>
      <c r="J168" s="1"/>
      <c r="K168" s="1"/>
      <c r="L168" s="1"/>
      <c r="M168" s="1"/>
      <c r="N168" s="1"/>
      <c r="O168" s="1"/>
      <c r="P168" s="1"/>
      <c r="Q168" s="1"/>
      <c r="R168" s="13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81"/>
      <c r="F169" s="201"/>
      <c r="G169" s="131"/>
      <c r="H169" s="131"/>
      <c r="I169" s="1"/>
      <c r="J169" s="1"/>
      <c r="K169" s="1"/>
      <c r="L169" s="1"/>
      <c r="M169" s="1"/>
      <c r="N169" s="1"/>
      <c r="O169" s="1"/>
      <c r="P169" s="1"/>
      <c r="Q169" s="1"/>
      <c r="R169" s="13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81"/>
      <c r="F170" s="201"/>
      <c r="G170" s="131"/>
      <c r="H170" s="131"/>
      <c r="I170" s="1"/>
      <c r="J170" s="1"/>
      <c r="K170" s="1"/>
      <c r="L170" s="1"/>
      <c r="M170" s="1"/>
      <c r="N170" s="1"/>
      <c r="O170" s="1"/>
      <c r="P170" s="1"/>
      <c r="Q170" s="1"/>
      <c r="R170" s="13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81"/>
      <c r="F171" s="201"/>
      <c r="G171" s="131"/>
      <c r="H171" s="131"/>
      <c r="I171" s="1"/>
      <c r="J171" s="1"/>
      <c r="K171" s="1"/>
      <c r="L171" s="1"/>
      <c r="M171" s="1"/>
      <c r="N171" s="1"/>
      <c r="O171" s="1"/>
      <c r="P171" s="1"/>
      <c r="Q171" s="1"/>
      <c r="R171" s="13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81"/>
      <c r="F172" s="201"/>
      <c r="G172" s="131"/>
      <c r="H172" s="131"/>
      <c r="I172" s="1"/>
      <c r="J172" s="1"/>
      <c r="K172" s="1"/>
      <c r="L172" s="1"/>
      <c r="M172" s="1"/>
      <c r="N172" s="1"/>
      <c r="O172" s="1"/>
      <c r="P172" s="1"/>
      <c r="Q172" s="1"/>
      <c r="R172" s="13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81"/>
      <c r="F173" s="201"/>
      <c r="G173" s="131"/>
      <c r="H173" s="131"/>
      <c r="I173" s="1"/>
      <c r="J173" s="1"/>
      <c r="K173" s="1"/>
      <c r="L173" s="1"/>
      <c r="M173" s="1"/>
      <c r="N173" s="1"/>
      <c r="O173" s="1"/>
      <c r="P173" s="1"/>
      <c r="Q173" s="1"/>
      <c r="R173" s="13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81"/>
      <c r="F174" s="201"/>
      <c r="G174" s="131"/>
      <c r="H174" s="131"/>
      <c r="I174" s="1"/>
      <c r="J174" s="1"/>
      <c r="K174" s="1"/>
      <c r="L174" s="1"/>
      <c r="M174" s="1"/>
      <c r="N174" s="1"/>
      <c r="O174" s="1"/>
      <c r="P174" s="1"/>
      <c r="Q174" s="1"/>
      <c r="R174" s="13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81"/>
      <c r="F175" s="201"/>
      <c r="G175" s="131"/>
      <c r="H175" s="131"/>
      <c r="I175" s="1"/>
      <c r="J175" s="1"/>
      <c r="K175" s="1"/>
      <c r="L175" s="1"/>
      <c r="M175" s="1"/>
      <c r="N175" s="1"/>
      <c r="O175" s="1"/>
      <c r="P175" s="1"/>
      <c r="Q175" s="1"/>
      <c r="R175" s="13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81"/>
      <c r="F176" s="201"/>
      <c r="G176" s="131"/>
      <c r="H176" s="131"/>
      <c r="I176" s="1"/>
      <c r="J176" s="1"/>
      <c r="K176" s="1"/>
      <c r="L176" s="1"/>
      <c r="M176" s="1"/>
      <c r="N176" s="1"/>
      <c r="O176" s="1"/>
      <c r="P176" s="1"/>
      <c r="Q176" s="1"/>
      <c r="R176" s="13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81"/>
      <c r="F177" s="201"/>
      <c r="G177" s="131"/>
      <c r="H177" s="131"/>
      <c r="I177" s="1"/>
      <c r="J177" s="1"/>
      <c r="K177" s="1"/>
      <c r="L177" s="1"/>
      <c r="M177" s="1"/>
      <c r="N177" s="1"/>
      <c r="O177" s="1"/>
      <c r="P177" s="1"/>
      <c r="Q177" s="1"/>
      <c r="R177" s="13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81"/>
      <c r="F178" s="201"/>
      <c r="G178" s="131"/>
      <c r="H178" s="131"/>
      <c r="I178" s="1"/>
      <c r="J178" s="1"/>
      <c r="K178" s="1"/>
      <c r="L178" s="1"/>
      <c r="M178" s="1"/>
      <c r="N178" s="1"/>
      <c r="O178" s="1"/>
      <c r="P178" s="1"/>
      <c r="Q178" s="1"/>
      <c r="R178" s="13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81"/>
      <c r="F179" s="201"/>
      <c r="G179" s="131"/>
      <c r="H179" s="131"/>
      <c r="I179" s="1"/>
      <c r="J179" s="1"/>
      <c r="K179" s="1"/>
      <c r="L179" s="1"/>
      <c r="M179" s="1"/>
      <c r="N179" s="1"/>
      <c r="O179" s="1"/>
      <c r="P179" s="1"/>
      <c r="Q179" s="1"/>
      <c r="R179" s="13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81"/>
      <c r="F180" s="201"/>
      <c r="G180" s="131"/>
      <c r="H180" s="131"/>
      <c r="I180" s="1"/>
      <c r="J180" s="1"/>
      <c r="K180" s="1"/>
      <c r="L180" s="1"/>
      <c r="M180" s="1"/>
      <c r="N180" s="1"/>
      <c r="O180" s="1"/>
      <c r="P180" s="1"/>
      <c r="Q180" s="1"/>
      <c r="R180" s="13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81"/>
      <c r="F181" s="201"/>
      <c r="G181" s="131"/>
      <c r="H181" s="131"/>
      <c r="I181" s="1"/>
      <c r="J181" s="1"/>
      <c r="K181" s="1"/>
      <c r="L181" s="1"/>
      <c r="M181" s="1"/>
      <c r="N181" s="1"/>
      <c r="O181" s="1"/>
      <c r="P181" s="1"/>
      <c r="Q181" s="1"/>
      <c r="R181" s="13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81"/>
      <c r="F182" s="201"/>
      <c r="G182" s="131"/>
      <c r="H182" s="131"/>
      <c r="I182" s="1"/>
      <c r="J182" s="1"/>
      <c r="K182" s="1"/>
      <c r="L182" s="1"/>
      <c r="M182" s="1"/>
      <c r="N182" s="1"/>
      <c r="O182" s="1"/>
      <c r="P182" s="1"/>
      <c r="Q182" s="1"/>
      <c r="R182" s="13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81"/>
      <c r="F183" s="201"/>
      <c r="G183" s="131"/>
      <c r="H183" s="131"/>
      <c r="I183" s="1"/>
      <c r="J183" s="1"/>
      <c r="K183" s="1"/>
      <c r="L183" s="1"/>
      <c r="M183" s="1"/>
      <c r="N183" s="1"/>
      <c r="O183" s="1"/>
      <c r="P183" s="1"/>
      <c r="Q183" s="1"/>
      <c r="R183" s="13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81"/>
      <c r="F184" s="201"/>
      <c r="G184" s="131"/>
      <c r="H184" s="131"/>
      <c r="I184" s="1"/>
      <c r="J184" s="1"/>
      <c r="K184" s="1"/>
      <c r="L184" s="1"/>
      <c r="M184" s="1"/>
      <c r="N184" s="1"/>
      <c r="O184" s="1"/>
      <c r="P184" s="1"/>
      <c r="Q184" s="1"/>
      <c r="R184" s="13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81"/>
      <c r="F185" s="201"/>
      <c r="G185" s="131"/>
      <c r="H185" s="131"/>
      <c r="I185" s="1"/>
      <c r="J185" s="1"/>
      <c r="K185" s="1"/>
      <c r="L185" s="1"/>
      <c r="M185" s="1"/>
      <c r="N185" s="1"/>
      <c r="O185" s="1"/>
      <c r="P185" s="1"/>
      <c r="Q185" s="1"/>
      <c r="R185" s="13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81"/>
      <c r="F186" s="201"/>
      <c r="G186" s="131"/>
      <c r="H186" s="131"/>
      <c r="I186" s="1"/>
      <c r="J186" s="1"/>
      <c r="K186" s="1"/>
      <c r="L186" s="1"/>
      <c r="M186" s="1"/>
      <c r="N186" s="1"/>
      <c r="O186" s="1"/>
      <c r="P186" s="1"/>
      <c r="Q186" s="1"/>
      <c r="R186" s="13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81"/>
      <c r="F187" s="201"/>
      <c r="G187" s="131"/>
      <c r="H187" s="131"/>
      <c r="I187" s="1"/>
      <c r="J187" s="1"/>
      <c r="K187" s="1"/>
      <c r="L187" s="1"/>
      <c r="M187" s="1"/>
      <c r="N187" s="1"/>
      <c r="O187" s="1"/>
      <c r="P187" s="1"/>
      <c r="Q187" s="1"/>
      <c r="R187" s="13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81"/>
      <c r="F188" s="201"/>
      <c r="G188" s="131"/>
      <c r="H188" s="131"/>
      <c r="I188" s="1"/>
      <c r="J188" s="1"/>
      <c r="K188" s="1"/>
      <c r="L188" s="1"/>
      <c r="M188" s="1"/>
      <c r="N188" s="1"/>
      <c r="O188" s="1"/>
      <c r="P188" s="1"/>
      <c r="Q188" s="1"/>
      <c r="R188" s="13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81"/>
      <c r="F189" s="201"/>
      <c r="G189" s="131"/>
      <c r="H189" s="131"/>
      <c r="I189" s="1"/>
      <c r="J189" s="1"/>
      <c r="K189" s="1"/>
      <c r="L189" s="1"/>
      <c r="M189" s="1"/>
      <c r="N189" s="1"/>
      <c r="O189" s="1"/>
      <c r="P189" s="1"/>
      <c r="Q189" s="1"/>
      <c r="R189" s="13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81"/>
      <c r="F190" s="201"/>
      <c r="G190" s="131"/>
      <c r="H190" s="131"/>
      <c r="I190" s="1"/>
      <c r="J190" s="1"/>
      <c r="K190" s="1"/>
      <c r="L190" s="1"/>
      <c r="M190" s="1"/>
      <c r="N190" s="1"/>
      <c r="O190" s="1"/>
      <c r="P190" s="1"/>
      <c r="Q190" s="1"/>
      <c r="R190" s="13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81"/>
      <c r="F191" s="201"/>
      <c r="G191" s="131"/>
      <c r="H191" s="131"/>
      <c r="I191" s="1"/>
      <c r="J191" s="1"/>
      <c r="K191" s="1"/>
      <c r="L191" s="1"/>
      <c r="M191" s="1"/>
      <c r="N191" s="1"/>
      <c r="O191" s="1"/>
      <c r="P191" s="1"/>
      <c r="Q191" s="1"/>
      <c r="R191" s="13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81"/>
      <c r="F192" s="201"/>
      <c r="G192" s="131"/>
      <c r="H192" s="131"/>
      <c r="I192" s="1"/>
      <c r="J192" s="1"/>
      <c r="K192" s="1"/>
      <c r="L192" s="1"/>
      <c r="M192" s="1"/>
      <c r="N192" s="1"/>
      <c r="O192" s="1"/>
      <c r="P192" s="1"/>
      <c r="Q192" s="1"/>
      <c r="R192" s="13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81"/>
      <c r="F193" s="201"/>
      <c r="G193" s="131"/>
      <c r="H193" s="131"/>
      <c r="I193" s="1"/>
      <c r="J193" s="1"/>
      <c r="K193" s="1"/>
      <c r="L193" s="1"/>
      <c r="M193" s="1"/>
      <c r="N193" s="1"/>
      <c r="O193" s="1"/>
      <c r="P193" s="1"/>
      <c r="Q193" s="1"/>
      <c r="R193" s="13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81"/>
      <c r="F194" s="201"/>
      <c r="G194" s="131"/>
      <c r="H194" s="131"/>
      <c r="I194" s="1"/>
      <c r="J194" s="1"/>
      <c r="K194" s="1"/>
      <c r="L194" s="1"/>
      <c r="M194" s="1"/>
      <c r="N194" s="1"/>
      <c r="O194" s="1"/>
      <c r="P194" s="1"/>
      <c r="Q194" s="1"/>
      <c r="R194" s="13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81"/>
      <c r="F195" s="201"/>
      <c r="G195" s="131"/>
      <c r="H195" s="131"/>
      <c r="I195" s="1"/>
      <c r="J195" s="1"/>
      <c r="K195" s="1"/>
      <c r="L195" s="1"/>
      <c r="M195" s="1"/>
      <c r="N195" s="1"/>
      <c r="O195" s="1"/>
      <c r="P195" s="1"/>
      <c r="Q195" s="1"/>
      <c r="R195" s="13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81"/>
      <c r="F196" s="201"/>
      <c r="G196" s="131"/>
      <c r="H196" s="131"/>
      <c r="I196" s="1"/>
      <c r="J196" s="1"/>
      <c r="K196" s="1"/>
      <c r="L196" s="1"/>
      <c r="M196" s="1"/>
      <c r="N196" s="1"/>
      <c r="O196" s="1"/>
      <c r="P196" s="1"/>
      <c r="Q196" s="1"/>
      <c r="R196" s="13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81"/>
      <c r="F197" s="201"/>
      <c r="G197" s="131"/>
      <c r="H197" s="131"/>
      <c r="I197" s="1"/>
      <c r="J197" s="1"/>
      <c r="K197" s="1"/>
      <c r="L197" s="1"/>
      <c r="M197" s="1"/>
      <c r="N197" s="1"/>
      <c r="O197" s="1"/>
      <c r="P197" s="1"/>
      <c r="Q197" s="1"/>
      <c r="R197" s="13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81"/>
      <c r="F198" s="201"/>
      <c r="G198" s="131"/>
      <c r="H198" s="131"/>
      <c r="I198" s="1"/>
      <c r="J198" s="1"/>
      <c r="K198" s="1"/>
      <c r="L198" s="1"/>
      <c r="M198" s="1"/>
      <c r="N198" s="1"/>
      <c r="O198" s="1"/>
      <c r="P198" s="1"/>
      <c r="Q198" s="1"/>
      <c r="R198" s="13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81"/>
      <c r="F199" s="201"/>
      <c r="G199" s="131"/>
      <c r="H199" s="131"/>
      <c r="I199" s="1"/>
      <c r="J199" s="1"/>
      <c r="K199" s="1"/>
      <c r="L199" s="1"/>
      <c r="M199" s="1"/>
      <c r="N199" s="1"/>
      <c r="O199" s="1"/>
      <c r="P199" s="1"/>
      <c r="Q199" s="1"/>
      <c r="R199" s="13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81"/>
      <c r="F200" s="201"/>
      <c r="G200" s="131"/>
      <c r="H200" s="131"/>
      <c r="I200" s="1"/>
      <c r="J200" s="1"/>
      <c r="K200" s="1"/>
      <c r="L200" s="1"/>
      <c r="M200" s="1"/>
      <c r="N200" s="1"/>
      <c r="O200" s="1"/>
      <c r="P200" s="1"/>
      <c r="Q200" s="1"/>
      <c r="R200" s="13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81"/>
      <c r="F201" s="201"/>
      <c r="G201" s="131"/>
      <c r="H201" s="131"/>
      <c r="I201" s="1"/>
      <c r="J201" s="1"/>
      <c r="K201" s="1"/>
      <c r="L201" s="1"/>
      <c r="M201" s="1"/>
      <c r="N201" s="1"/>
      <c r="O201" s="1"/>
      <c r="P201" s="1"/>
      <c r="Q201" s="1"/>
      <c r="R201" s="13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81"/>
      <c r="F202" s="201"/>
      <c r="G202" s="131"/>
      <c r="H202" s="131"/>
      <c r="I202" s="1"/>
      <c r="J202" s="1"/>
      <c r="K202" s="1"/>
      <c r="L202" s="1"/>
      <c r="M202" s="1"/>
      <c r="N202" s="1"/>
      <c r="O202" s="1"/>
      <c r="P202" s="1"/>
      <c r="Q202" s="1"/>
      <c r="R202" s="13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81"/>
      <c r="F203" s="201"/>
      <c r="G203" s="131"/>
      <c r="H203" s="131"/>
      <c r="I203" s="1"/>
      <c r="J203" s="1"/>
      <c r="K203" s="1"/>
      <c r="L203" s="1"/>
      <c r="M203" s="1"/>
      <c r="N203" s="1"/>
      <c r="O203" s="1"/>
      <c r="P203" s="1"/>
      <c r="Q203" s="1"/>
      <c r="R203" s="13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81"/>
      <c r="F204" s="201"/>
      <c r="G204" s="131"/>
      <c r="H204" s="131"/>
      <c r="I204" s="1"/>
      <c r="J204" s="1"/>
      <c r="K204" s="1"/>
      <c r="L204" s="1"/>
      <c r="M204" s="1"/>
      <c r="N204" s="1"/>
      <c r="O204" s="1"/>
      <c r="P204" s="1"/>
      <c r="Q204" s="1"/>
      <c r="R204" s="13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81"/>
      <c r="F205" s="201"/>
      <c r="G205" s="131"/>
      <c r="H205" s="131"/>
      <c r="I205" s="1"/>
      <c r="J205" s="1"/>
      <c r="K205" s="1"/>
      <c r="L205" s="1"/>
      <c r="M205" s="1"/>
      <c r="N205" s="1"/>
      <c r="O205" s="1"/>
      <c r="P205" s="1"/>
      <c r="Q205" s="1"/>
      <c r="R205" s="13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81"/>
      <c r="F206" s="201"/>
      <c r="G206" s="131"/>
      <c r="H206" s="131"/>
      <c r="I206" s="1"/>
      <c r="J206" s="1"/>
      <c r="K206" s="1"/>
      <c r="L206" s="1"/>
      <c r="M206" s="1"/>
      <c r="N206" s="1"/>
      <c r="O206" s="1"/>
      <c r="P206" s="1"/>
      <c r="Q206" s="1"/>
      <c r="R206" s="13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81"/>
      <c r="F207" s="201"/>
      <c r="G207" s="131"/>
      <c r="H207" s="131"/>
      <c r="I207" s="1"/>
      <c r="J207" s="1"/>
      <c r="K207" s="1"/>
      <c r="L207" s="1"/>
      <c r="M207" s="1"/>
      <c r="N207" s="1"/>
      <c r="O207" s="1"/>
      <c r="P207" s="1"/>
      <c r="Q207" s="1"/>
      <c r="R207" s="13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81"/>
      <c r="F208" s="201"/>
      <c r="G208" s="131"/>
      <c r="H208" s="131"/>
      <c r="I208" s="1"/>
      <c r="J208" s="1"/>
      <c r="K208" s="1"/>
      <c r="L208" s="1"/>
      <c r="M208" s="1"/>
      <c r="N208" s="1"/>
      <c r="O208" s="1"/>
      <c r="P208" s="1"/>
      <c r="Q208" s="1"/>
      <c r="R208" s="13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81"/>
      <c r="F209" s="201"/>
      <c r="G209" s="131"/>
      <c r="H209" s="131"/>
      <c r="I209" s="1"/>
      <c r="J209" s="1"/>
      <c r="K209" s="1"/>
      <c r="L209" s="1"/>
      <c r="M209" s="1"/>
      <c r="N209" s="1"/>
      <c r="O209" s="1"/>
      <c r="P209" s="1"/>
      <c r="Q209" s="1"/>
      <c r="R209" s="13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81"/>
      <c r="F210" s="201"/>
      <c r="G210" s="131"/>
      <c r="H210" s="131"/>
      <c r="I210" s="1"/>
      <c r="J210" s="1"/>
      <c r="K210" s="1"/>
      <c r="L210" s="1"/>
      <c r="M210" s="1"/>
      <c r="N210" s="1"/>
      <c r="O210" s="1"/>
      <c r="P210" s="1"/>
      <c r="Q210" s="1"/>
      <c r="R210" s="13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81"/>
      <c r="F211" s="201"/>
      <c r="G211" s="131"/>
      <c r="H211" s="131"/>
      <c r="I211" s="1"/>
      <c r="J211" s="1"/>
      <c r="K211" s="1"/>
      <c r="L211" s="1"/>
      <c r="M211" s="1"/>
      <c r="N211" s="1"/>
      <c r="O211" s="1"/>
      <c r="P211" s="1"/>
      <c r="Q211" s="1"/>
      <c r="R211" s="13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81"/>
      <c r="F212" s="201"/>
      <c r="G212" s="131"/>
      <c r="H212" s="131"/>
      <c r="I212" s="1"/>
      <c r="J212" s="1"/>
      <c r="K212" s="1"/>
      <c r="L212" s="1"/>
      <c r="M212" s="1"/>
      <c r="N212" s="1"/>
      <c r="O212" s="1"/>
      <c r="P212" s="1"/>
      <c r="Q212" s="1"/>
      <c r="R212" s="13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81"/>
      <c r="F213" s="201"/>
      <c r="G213" s="131"/>
      <c r="H213" s="131"/>
      <c r="I213" s="1"/>
      <c r="J213" s="1"/>
      <c r="K213" s="1"/>
      <c r="L213" s="1"/>
      <c r="M213" s="1"/>
      <c r="N213" s="1"/>
      <c r="O213" s="1"/>
      <c r="P213" s="1"/>
      <c r="Q213" s="1"/>
      <c r="R213" s="13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81"/>
      <c r="F214" s="201"/>
      <c r="G214" s="131"/>
      <c r="H214" s="131"/>
      <c r="I214" s="1"/>
      <c r="J214" s="1"/>
      <c r="K214" s="1"/>
      <c r="L214" s="1"/>
      <c r="M214" s="1"/>
      <c r="N214" s="1"/>
      <c r="O214" s="1"/>
      <c r="P214" s="1"/>
      <c r="Q214" s="1"/>
      <c r="R214" s="13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81"/>
      <c r="F215" s="201"/>
      <c r="G215" s="131"/>
      <c r="H215" s="131"/>
      <c r="I215" s="1"/>
      <c r="J215" s="1"/>
      <c r="K215" s="1"/>
      <c r="L215" s="1"/>
      <c r="M215" s="1"/>
      <c r="N215" s="1"/>
      <c r="O215" s="1"/>
      <c r="P215" s="1"/>
      <c r="Q215" s="1"/>
      <c r="R215" s="13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81"/>
      <c r="F216" s="201"/>
      <c r="G216" s="131"/>
      <c r="H216" s="131"/>
      <c r="I216" s="1"/>
      <c r="J216" s="1"/>
      <c r="K216" s="1"/>
      <c r="L216" s="1"/>
      <c r="M216" s="1"/>
      <c r="N216" s="1"/>
      <c r="O216" s="1"/>
      <c r="P216" s="1"/>
      <c r="Q216" s="1"/>
      <c r="R216" s="13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81"/>
      <c r="F217" s="201"/>
      <c r="G217" s="131"/>
      <c r="H217" s="131"/>
      <c r="I217" s="1"/>
      <c r="J217" s="1"/>
      <c r="K217" s="1"/>
      <c r="L217" s="1"/>
      <c r="M217" s="1"/>
      <c r="N217" s="1"/>
      <c r="O217" s="1"/>
      <c r="P217" s="1"/>
      <c r="Q217" s="1"/>
      <c r="R217" s="13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81"/>
      <c r="F218" s="201"/>
      <c r="G218" s="131"/>
      <c r="H218" s="131"/>
      <c r="I218" s="1"/>
      <c r="J218" s="1"/>
      <c r="K218" s="1"/>
      <c r="L218" s="1"/>
      <c r="M218" s="1"/>
      <c r="N218" s="1"/>
      <c r="O218" s="1"/>
      <c r="P218" s="1"/>
      <c r="Q218" s="1"/>
      <c r="R218" s="13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81"/>
      <c r="F219" s="201"/>
      <c r="G219" s="131"/>
      <c r="H219" s="131"/>
      <c r="I219" s="1"/>
      <c r="J219" s="1"/>
      <c r="K219" s="1"/>
      <c r="L219" s="1"/>
      <c r="M219" s="1"/>
      <c r="N219" s="1"/>
      <c r="O219" s="1"/>
      <c r="P219" s="1"/>
      <c r="Q219" s="1"/>
      <c r="R219" s="13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81"/>
      <c r="F220" s="201"/>
      <c r="G220" s="131"/>
      <c r="H220" s="131"/>
      <c r="I220" s="1"/>
      <c r="J220" s="1"/>
      <c r="K220" s="1"/>
      <c r="L220" s="1"/>
      <c r="M220" s="1"/>
      <c r="N220" s="1"/>
      <c r="O220" s="1"/>
      <c r="P220" s="1"/>
      <c r="Q220" s="1"/>
      <c r="R220" s="13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81"/>
      <c r="F221" s="201"/>
      <c r="G221" s="131"/>
      <c r="H221" s="131"/>
      <c r="I221" s="1"/>
      <c r="J221" s="1"/>
      <c r="K221" s="1"/>
      <c r="L221" s="1"/>
      <c r="M221" s="1"/>
      <c r="N221" s="1"/>
      <c r="O221" s="1"/>
      <c r="P221" s="1"/>
      <c r="Q221" s="1"/>
      <c r="R221" s="13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81"/>
      <c r="F222" s="201"/>
      <c r="G222" s="131"/>
      <c r="H222" s="131"/>
      <c r="I222" s="1"/>
      <c r="J222" s="1"/>
      <c r="K222" s="1"/>
      <c r="L222" s="1"/>
      <c r="M222" s="1"/>
      <c r="N222" s="1"/>
      <c r="O222" s="1"/>
      <c r="P222" s="1"/>
      <c r="Q222" s="1"/>
      <c r="R222" s="13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81"/>
      <c r="F223" s="201"/>
      <c r="G223" s="131"/>
      <c r="H223" s="131"/>
      <c r="I223" s="1"/>
      <c r="J223" s="1"/>
      <c r="K223" s="1"/>
      <c r="L223" s="1"/>
      <c r="M223" s="1"/>
      <c r="N223" s="1"/>
      <c r="O223" s="1"/>
      <c r="P223" s="1"/>
      <c r="Q223" s="1"/>
      <c r="R223" s="13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81"/>
      <c r="F224" s="201"/>
      <c r="G224" s="131"/>
      <c r="H224" s="131"/>
      <c r="I224" s="1"/>
      <c r="J224" s="1"/>
      <c r="K224" s="1"/>
      <c r="L224" s="1"/>
      <c r="M224" s="1"/>
      <c r="N224" s="1"/>
      <c r="O224" s="1"/>
      <c r="P224" s="1"/>
      <c r="Q224" s="1"/>
      <c r="R224" s="13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81"/>
      <c r="F225" s="201"/>
      <c r="G225" s="131"/>
      <c r="H225" s="131"/>
      <c r="I225" s="1"/>
      <c r="J225" s="1"/>
      <c r="K225" s="1"/>
      <c r="L225" s="1"/>
      <c r="M225" s="1"/>
      <c r="N225" s="1"/>
      <c r="O225" s="1"/>
      <c r="P225" s="1"/>
      <c r="Q225" s="1"/>
      <c r="R225" s="13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81"/>
      <c r="F226" s="201"/>
      <c r="G226" s="131"/>
      <c r="H226" s="131"/>
      <c r="I226" s="1"/>
      <c r="J226" s="1"/>
      <c r="K226" s="1"/>
      <c r="L226" s="1"/>
      <c r="M226" s="1"/>
      <c r="N226" s="1"/>
      <c r="O226" s="1"/>
      <c r="P226" s="1"/>
      <c r="Q226" s="1"/>
      <c r="R226" s="13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81"/>
      <c r="F227" s="201"/>
      <c r="G227" s="131"/>
      <c r="H227" s="131"/>
      <c r="I227" s="1"/>
      <c r="J227" s="1"/>
      <c r="K227" s="1"/>
      <c r="L227" s="1"/>
      <c r="M227" s="1"/>
      <c r="N227" s="1"/>
      <c r="O227" s="1"/>
      <c r="P227" s="1"/>
      <c r="Q227" s="1"/>
      <c r="R227" s="13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81"/>
      <c r="F228" s="201"/>
      <c r="G228" s="131"/>
      <c r="H228" s="131"/>
      <c r="I228" s="1"/>
      <c r="J228" s="1"/>
      <c r="K228" s="1"/>
      <c r="L228" s="1"/>
      <c r="M228" s="1"/>
      <c r="N228" s="1"/>
      <c r="O228" s="1"/>
      <c r="P228" s="1"/>
      <c r="Q228" s="1"/>
      <c r="R228" s="13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81"/>
      <c r="F229" s="201"/>
      <c r="G229" s="131"/>
      <c r="H229" s="131"/>
      <c r="I229" s="1"/>
      <c r="J229" s="1"/>
      <c r="K229" s="1"/>
      <c r="L229" s="1"/>
      <c r="M229" s="1"/>
      <c r="N229" s="1"/>
      <c r="O229" s="1"/>
      <c r="P229" s="1"/>
      <c r="Q229" s="1"/>
      <c r="R229" s="13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81"/>
      <c r="F230" s="201"/>
      <c r="G230" s="131"/>
      <c r="H230" s="131"/>
      <c r="I230" s="1"/>
      <c r="J230" s="1"/>
      <c r="K230" s="1"/>
      <c r="L230" s="1"/>
      <c r="M230" s="1"/>
      <c r="N230" s="1"/>
      <c r="O230" s="1"/>
      <c r="P230" s="1"/>
      <c r="Q230" s="1"/>
      <c r="R230" s="13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81"/>
      <c r="F231" s="201"/>
      <c r="G231" s="131"/>
      <c r="H231" s="131"/>
      <c r="I231" s="1"/>
      <c r="J231" s="1"/>
      <c r="K231" s="1"/>
      <c r="L231" s="1"/>
      <c r="M231" s="1"/>
      <c r="N231" s="1"/>
      <c r="O231" s="1"/>
      <c r="P231" s="1"/>
      <c r="Q231" s="1"/>
      <c r="R231" s="13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81"/>
      <c r="F232" s="201"/>
      <c r="G232" s="131"/>
      <c r="H232" s="131"/>
      <c r="I232" s="1"/>
      <c r="J232" s="1"/>
      <c r="K232" s="1"/>
      <c r="L232" s="1"/>
      <c r="M232" s="1"/>
      <c r="N232" s="1"/>
      <c r="O232" s="1"/>
      <c r="P232" s="1"/>
      <c r="Q232" s="1"/>
      <c r="R232" s="13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81"/>
      <c r="F233" s="201"/>
      <c r="G233" s="131"/>
      <c r="H233" s="131"/>
      <c r="I233" s="1"/>
      <c r="J233" s="1"/>
      <c r="K233" s="1"/>
      <c r="L233" s="1"/>
      <c r="M233" s="1"/>
      <c r="N233" s="1"/>
      <c r="O233" s="1"/>
      <c r="P233" s="1"/>
      <c r="Q233" s="1"/>
      <c r="R233" s="13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81"/>
      <c r="F234" s="201"/>
      <c r="G234" s="131"/>
      <c r="H234" s="131"/>
      <c r="I234" s="1"/>
      <c r="J234" s="1"/>
      <c r="K234" s="1"/>
      <c r="L234" s="1"/>
      <c r="M234" s="1"/>
      <c r="N234" s="1"/>
      <c r="O234" s="1"/>
      <c r="P234" s="1"/>
      <c r="Q234" s="1"/>
      <c r="R234" s="13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81"/>
      <c r="F235" s="201"/>
      <c r="G235" s="131"/>
      <c r="H235" s="131"/>
      <c r="I235" s="1"/>
      <c r="J235" s="1"/>
      <c r="K235" s="1"/>
      <c r="L235" s="1"/>
      <c r="M235" s="1"/>
      <c r="N235" s="1"/>
      <c r="O235" s="1"/>
      <c r="P235" s="1"/>
      <c r="Q235" s="1"/>
      <c r="R235" s="13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81"/>
      <c r="F236" s="201"/>
      <c r="G236" s="131"/>
      <c r="H236" s="131"/>
      <c r="I236" s="1"/>
      <c r="J236" s="1"/>
      <c r="K236" s="1"/>
      <c r="L236" s="1"/>
      <c r="M236" s="1"/>
      <c r="N236" s="1"/>
      <c r="O236" s="1"/>
      <c r="P236" s="1"/>
      <c r="Q236" s="1"/>
      <c r="R236" s="13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81"/>
      <c r="F237" s="201"/>
      <c r="G237" s="131"/>
      <c r="H237" s="131"/>
      <c r="I237" s="1"/>
      <c r="J237" s="1"/>
      <c r="K237" s="1"/>
      <c r="L237" s="1"/>
      <c r="M237" s="1"/>
      <c r="N237" s="1"/>
      <c r="O237" s="1"/>
      <c r="P237" s="1"/>
      <c r="Q237" s="1"/>
      <c r="R237" s="13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81"/>
      <c r="F238" s="201"/>
      <c r="G238" s="131"/>
      <c r="H238" s="131"/>
      <c r="I238" s="1"/>
      <c r="J238" s="1"/>
      <c r="K238" s="1"/>
      <c r="L238" s="1"/>
      <c r="M238" s="1"/>
      <c r="N238" s="1"/>
      <c r="O238" s="1"/>
      <c r="P238" s="1"/>
      <c r="Q238" s="1"/>
      <c r="R238" s="13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81"/>
      <c r="F239" s="201"/>
      <c r="G239" s="131"/>
      <c r="H239" s="131"/>
      <c r="I239" s="1"/>
      <c r="J239" s="1"/>
      <c r="K239" s="1"/>
      <c r="L239" s="1"/>
      <c r="M239" s="1"/>
      <c r="N239" s="1"/>
      <c r="O239" s="1"/>
      <c r="P239" s="1"/>
      <c r="Q239" s="1"/>
      <c r="R239" s="13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81"/>
      <c r="F240" s="201"/>
      <c r="G240" s="131"/>
      <c r="H240" s="131"/>
      <c r="I240" s="1"/>
      <c r="J240" s="1"/>
      <c r="K240" s="1"/>
      <c r="L240" s="1"/>
      <c r="M240" s="1"/>
      <c r="N240" s="1"/>
      <c r="O240" s="1"/>
      <c r="P240" s="1"/>
      <c r="Q240" s="1"/>
      <c r="R240" s="13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81"/>
      <c r="F241" s="201"/>
      <c r="G241" s="131"/>
      <c r="H241" s="131"/>
      <c r="I241" s="1"/>
      <c r="J241" s="1"/>
      <c r="K241" s="1"/>
      <c r="L241" s="1"/>
      <c r="M241" s="1"/>
      <c r="N241" s="1"/>
      <c r="O241" s="1"/>
      <c r="P241" s="1"/>
      <c r="Q241" s="1"/>
      <c r="R241" s="13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81"/>
      <c r="F242" s="201"/>
      <c r="G242" s="131"/>
      <c r="H242" s="131"/>
      <c r="I242" s="1"/>
      <c r="J242" s="1"/>
      <c r="K242" s="1"/>
      <c r="L242" s="1"/>
      <c r="M242" s="1"/>
      <c r="N242" s="1"/>
      <c r="O242" s="1"/>
      <c r="P242" s="1"/>
      <c r="Q242" s="1"/>
      <c r="R242" s="13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81"/>
      <c r="F243" s="201"/>
      <c r="G243" s="131"/>
      <c r="H243" s="131"/>
      <c r="I243" s="1"/>
      <c r="J243" s="1"/>
      <c r="K243" s="1"/>
      <c r="L243" s="1"/>
      <c r="M243" s="1"/>
      <c r="N243" s="1"/>
      <c r="O243" s="1"/>
      <c r="P243" s="1"/>
      <c r="Q243" s="1"/>
      <c r="R243" s="13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81"/>
      <c r="F244" s="201"/>
      <c r="G244" s="131"/>
      <c r="H244" s="131"/>
      <c r="I244" s="1"/>
      <c r="J244" s="1"/>
      <c r="K244" s="1"/>
      <c r="L244" s="1"/>
      <c r="M244" s="1"/>
      <c r="N244" s="1"/>
      <c r="O244" s="1"/>
      <c r="P244" s="1"/>
      <c r="Q244" s="1"/>
      <c r="R244" s="13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81"/>
      <c r="F245" s="201"/>
      <c r="G245" s="131"/>
      <c r="H245" s="131"/>
      <c r="I245" s="1"/>
      <c r="J245" s="1"/>
      <c r="K245" s="1"/>
      <c r="L245" s="1"/>
      <c r="M245" s="1"/>
      <c r="N245" s="1"/>
      <c r="O245" s="1"/>
      <c r="P245" s="1"/>
      <c r="Q245" s="1"/>
      <c r="R245" s="13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81"/>
      <c r="F246" s="201"/>
      <c r="G246" s="131"/>
      <c r="H246" s="131"/>
      <c r="I246" s="1"/>
      <c r="J246" s="1"/>
      <c r="K246" s="1"/>
      <c r="L246" s="1"/>
      <c r="M246" s="1"/>
      <c r="N246" s="1"/>
      <c r="O246" s="1"/>
      <c r="P246" s="1"/>
      <c r="Q246" s="1"/>
      <c r="R246" s="13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81"/>
      <c r="F247" s="201"/>
      <c r="G247" s="131"/>
      <c r="H247" s="131"/>
      <c r="I247" s="1"/>
      <c r="J247" s="1"/>
      <c r="K247" s="1"/>
      <c r="L247" s="1"/>
      <c r="M247" s="1"/>
      <c r="N247" s="1"/>
      <c r="O247" s="1"/>
      <c r="P247" s="1"/>
      <c r="Q247" s="1"/>
      <c r="R247" s="13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81"/>
      <c r="F248" s="201"/>
      <c r="G248" s="131"/>
      <c r="H248" s="131"/>
      <c r="I248" s="1"/>
      <c r="J248" s="1"/>
      <c r="K248" s="1"/>
      <c r="L248" s="1"/>
      <c r="M248" s="1"/>
      <c r="N248" s="1"/>
      <c r="O248" s="1"/>
      <c r="P248" s="1"/>
      <c r="Q248" s="1"/>
      <c r="R248" s="13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81"/>
      <c r="F249" s="201"/>
      <c r="G249" s="131"/>
      <c r="H249" s="131"/>
      <c r="I249" s="1"/>
      <c r="J249" s="1"/>
      <c r="K249" s="1"/>
      <c r="L249" s="1"/>
      <c r="M249" s="1"/>
      <c r="N249" s="1"/>
      <c r="O249" s="1"/>
      <c r="P249" s="1"/>
      <c r="Q249" s="1"/>
      <c r="R249" s="13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81"/>
      <c r="F250" s="201"/>
      <c r="G250" s="131"/>
      <c r="H250" s="131"/>
      <c r="I250" s="1"/>
      <c r="J250" s="1"/>
      <c r="K250" s="1"/>
      <c r="L250" s="1"/>
      <c r="M250" s="1"/>
      <c r="N250" s="1"/>
      <c r="O250" s="1"/>
      <c r="P250" s="1"/>
      <c r="Q250" s="1"/>
      <c r="R250" s="13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81"/>
      <c r="F251" s="201"/>
      <c r="G251" s="131"/>
      <c r="H251" s="131"/>
      <c r="I251" s="1"/>
      <c r="J251" s="1"/>
      <c r="K251" s="1"/>
      <c r="L251" s="1"/>
      <c r="M251" s="1"/>
      <c r="N251" s="1"/>
      <c r="O251" s="1"/>
      <c r="P251" s="1"/>
      <c r="Q251" s="1"/>
      <c r="R251" s="13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81"/>
      <c r="F252" s="201"/>
      <c r="G252" s="131"/>
      <c r="H252" s="131"/>
      <c r="I252" s="1"/>
      <c r="J252" s="1"/>
      <c r="K252" s="1"/>
      <c r="L252" s="1"/>
      <c r="M252" s="1"/>
      <c r="N252" s="1"/>
      <c r="O252" s="1"/>
      <c r="P252" s="1"/>
      <c r="Q252" s="1"/>
      <c r="R252" s="13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81"/>
      <c r="F253" s="201"/>
      <c r="G253" s="131"/>
      <c r="H253" s="131"/>
      <c r="I253" s="1"/>
      <c r="J253" s="1"/>
      <c r="K253" s="1"/>
      <c r="L253" s="1"/>
      <c r="M253" s="1"/>
      <c r="N253" s="1"/>
      <c r="O253" s="1"/>
      <c r="P253" s="1"/>
      <c r="Q253" s="1"/>
      <c r="R253" s="13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81"/>
      <c r="F254" s="201"/>
      <c r="G254" s="131"/>
      <c r="H254" s="131"/>
      <c r="I254" s="1"/>
      <c r="J254" s="1"/>
      <c r="K254" s="1"/>
      <c r="L254" s="1"/>
      <c r="M254" s="1"/>
      <c r="N254" s="1"/>
      <c r="O254" s="1"/>
      <c r="P254" s="1"/>
      <c r="Q254" s="1"/>
      <c r="R254" s="13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81"/>
      <c r="F255" s="201"/>
      <c r="G255" s="131"/>
      <c r="H255" s="131"/>
      <c r="I255" s="1"/>
      <c r="J255" s="1"/>
      <c r="K255" s="1"/>
      <c r="L255" s="1"/>
      <c r="M255" s="1"/>
      <c r="N255" s="1"/>
      <c r="O255" s="1"/>
      <c r="P255" s="1"/>
      <c r="Q255" s="1"/>
      <c r="R255" s="13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81"/>
      <c r="F256" s="201"/>
      <c r="G256" s="131"/>
      <c r="H256" s="131"/>
      <c r="I256" s="1"/>
      <c r="J256" s="1"/>
      <c r="K256" s="1"/>
      <c r="L256" s="1"/>
      <c r="M256" s="1"/>
      <c r="N256" s="1"/>
      <c r="O256" s="1"/>
      <c r="P256" s="1"/>
      <c r="Q256" s="1"/>
      <c r="R256" s="13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81"/>
      <c r="F257" s="201"/>
      <c r="G257" s="131"/>
      <c r="H257" s="131"/>
      <c r="I257" s="1"/>
      <c r="J257" s="1"/>
      <c r="K257" s="1"/>
      <c r="L257" s="1"/>
      <c r="M257" s="1"/>
      <c r="N257" s="1"/>
      <c r="O257" s="1"/>
      <c r="P257" s="1"/>
      <c r="Q257" s="1"/>
      <c r="R257" s="13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81"/>
      <c r="F258" s="201"/>
      <c r="G258" s="131"/>
      <c r="H258" s="131"/>
      <c r="I258" s="1"/>
      <c r="J258" s="1"/>
      <c r="K258" s="1"/>
      <c r="L258" s="1"/>
      <c r="M258" s="1"/>
      <c r="N258" s="1"/>
      <c r="O258" s="1"/>
      <c r="P258" s="1"/>
      <c r="Q258" s="1"/>
      <c r="R258" s="13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81"/>
      <c r="F259" s="201"/>
      <c r="G259" s="131"/>
      <c r="H259" s="131"/>
      <c r="I259" s="1"/>
      <c r="J259" s="1"/>
      <c r="K259" s="1"/>
      <c r="L259" s="1"/>
      <c r="M259" s="1"/>
      <c r="N259" s="1"/>
      <c r="O259" s="1"/>
      <c r="P259" s="1"/>
      <c r="Q259" s="1"/>
      <c r="R259" s="13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81"/>
      <c r="F260" s="201"/>
      <c r="G260" s="131"/>
      <c r="H260" s="131"/>
      <c r="I260" s="1"/>
      <c r="J260" s="1"/>
      <c r="K260" s="1"/>
      <c r="L260" s="1"/>
      <c r="M260" s="1"/>
      <c r="N260" s="1"/>
      <c r="O260" s="1"/>
      <c r="P260" s="1"/>
      <c r="Q260" s="1"/>
      <c r="R260" s="13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81"/>
      <c r="F261" s="201"/>
      <c r="G261" s="131"/>
      <c r="H261" s="131"/>
      <c r="I261" s="1"/>
      <c r="J261" s="1"/>
      <c r="K261" s="1"/>
      <c r="L261" s="1"/>
      <c r="M261" s="1"/>
      <c r="N261" s="1"/>
      <c r="O261" s="1"/>
      <c r="P261" s="1"/>
      <c r="Q261" s="1"/>
      <c r="R261" s="13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81"/>
      <c r="F262" s="201"/>
      <c r="G262" s="131"/>
      <c r="H262" s="131"/>
      <c r="I262" s="1"/>
      <c r="J262" s="1"/>
      <c r="K262" s="1"/>
      <c r="L262" s="1"/>
      <c r="M262" s="1"/>
      <c r="N262" s="1"/>
      <c r="O262" s="1"/>
      <c r="P262" s="1"/>
      <c r="Q262" s="1"/>
      <c r="R262" s="13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81"/>
      <c r="F263" s="201"/>
      <c r="G263" s="131"/>
      <c r="H263" s="131"/>
      <c r="I263" s="1"/>
      <c r="J263" s="1"/>
      <c r="K263" s="1"/>
      <c r="L263" s="1"/>
      <c r="M263" s="1"/>
      <c r="N263" s="1"/>
      <c r="O263" s="1"/>
      <c r="P263" s="1"/>
      <c r="Q263" s="1"/>
      <c r="R263" s="13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81"/>
      <c r="F264" s="201"/>
      <c r="G264" s="131"/>
      <c r="H264" s="131"/>
      <c r="I264" s="1"/>
      <c r="J264" s="1"/>
      <c r="K264" s="1"/>
      <c r="L264" s="1"/>
      <c r="M264" s="1"/>
      <c r="N264" s="1"/>
      <c r="O264" s="1"/>
      <c r="P264" s="1"/>
      <c r="Q264" s="1"/>
      <c r="R264" s="13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81"/>
      <c r="F265" s="201"/>
      <c r="G265" s="131"/>
      <c r="H265" s="131"/>
      <c r="I265" s="1"/>
      <c r="J265" s="1"/>
      <c r="K265" s="1"/>
      <c r="L265" s="1"/>
      <c r="M265" s="1"/>
      <c r="N265" s="1"/>
      <c r="O265" s="1"/>
      <c r="P265" s="1"/>
      <c r="Q265" s="1"/>
      <c r="R265" s="13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81"/>
      <c r="F266" s="201"/>
      <c r="G266" s="131"/>
      <c r="H266" s="131"/>
      <c r="I266" s="1"/>
      <c r="J266" s="1"/>
      <c r="K266" s="1"/>
      <c r="L266" s="1"/>
      <c r="M266" s="1"/>
      <c r="N266" s="1"/>
      <c r="O266" s="1"/>
      <c r="P266" s="1"/>
      <c r="Q266" s="1"/>
      <c r="R266" s="13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81"/>
      <c r="F267" s="201"/>
      <c r="G267" s="131"/>
      <c r="H267" s="131"/>
      <c r="I267" s="1"/>
      <c r="J267" s="1"/>
      <c r="K267" s="1"/>
      <c r="L267" s="1"/>
      <c r="M267" s="1"/>
      <c r="N267" s="1"/>
      <c r="O267" s="1"/>
      <c r="P267" s="1"/>
      <c r="Q267" s="1"/>
      <c r="R267" s="13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81"/>
      <c r="F268" s="201"/>
      <c r="G268" s="131"/>
      <c r="H268" s="131"/>
      <c r="I268" s="1"/>
      <c r="J268" s="1"/>
      <c r="K268" s="1"/>
      <c r="L268" s="1"/>
      <c r="M268" s="1"/>
      <c r="N268" s="1"/>
      <c r="O268" s="1"/>
      <c r="P268" s="1"/>
      <c r="Q268" s="1"/>
      <c r="R268" s="13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81"/>
      <c r="F269" s="201"/>
      <c r="G269" s="131"/>
      <c r="H269" s="131"/>
      <c r="I269" s="1"/>
      <c r="J269" s="1"/>
      <c r="K269" s="1"/>
      <c r="L269" s="1"/>
      <c r="M269" s="1"/>
      <c r="N269" s="1"/>
      <c r="O269" s="1"/>
      <c r="P269" s="1"/>
      <c r="Q269" s="1"/>
      <c r="R269" s="13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81"/>
      <c r="F270" s="201"/>
      <c r="G270" s="131"/>
      <c r="H270" s="131"/>
      <c r="I270" s="1"/>
      <c r="J270" s="1"/>
      <c r="K270" s="1"/>
      <c r="L270" s="1"/>
      <c r="M270" s="1"/>
      <c r="N270" s="1"/>
      <c r="O270" s="1"/>
      <c r="P270" s="1"/>
      <c r="Q270" s="1"/>
      <c r="R270" s="13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81"/>
      <c r="F271" s="201"/>
      <c r="G271" s="131"/>
      <c r="H271" s="131"/>
      <c r="I271" s="1"/>
      <c r="J271" s="1"/>
      <c r="K271" s="1"/>
      <c r="L271" s="1"/>
      <c r="M271" s="1"/>
      <c r="N271" s="1"/>
      <c r="O271" s="1"/>
      <c r="P271" s="1"/>
      <c r="Q271" s="1"/>
      <c r="R271" s="13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81"/>
      <c r="F272" s="201"/>
      <c r="G272" s="131"/>
      <c r="H272" s="131"/>
      <c r="I272" s="1"/>
      <c r="J272" s="1"/>
      <c r="K272" s="1"/>
      <c r="L272" s="1"/>
      <c r="M272" s="1"/>
      <c r="N272" s="1"/>
      <c r="O272" s="1"/>
      <c r="P272" s="1"/>
      <c r="Q272" s="1"/>
      <c r="R272" s="13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81"/>
      <c r="F273" s="201"/>
      <c r="G273" s="131"/>
      <c r="H273" s="131"/>
      <c r="I273" s="1"/>
      <c r="J273" s="1"/>
      <c r="K273" s="1"/>
      <c r="L273" s="1"/>
      <c r="M273" s="1"/>
      <c r="N273" s="1"/>
      <c r="O273" s="1"/>
      <c r="P273" s="1"/>
      <c r="Q273" s="1"/>
      <c r="R273" s="13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81"/>
      <c r="F274" s="201"/>
      <c r="G274" s="131"/>
      <c r="H274" s="131"/>
      <c r="I274" s="1"/>
      <c r="J274" s="1"/>
      <c r="K274" s="1"/>
      <c r="L274" s="1"/>
      <c r="M274" s="1"/>
      <c r="N274" s="1"/>
      <c r="O274" s="1"/>
      <c r="P274" s="1"/>
      <c r="Q274" s="1"/>
      <c r="R274" s="13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81"/>
      <c r="F275" s="201"/>
      <c r="G275" s="131"/>
      <c r="H275" s="131"/>
      <c r="I275" s="1"/>
      <c r="J275" s="1"/>
      <c r="K275" s="1"/>
      <c r="L275" s="1"/>
      <c r="M275" s="1"/>
      <c r="N275" s="1"/>
      <c r="O275" s="1"/>
      <c r="P275" s="1"/>
      <c r="Q275" s="1"/>
      <c r="R275" s="13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81"/>
      <c r="F276" s="201"/>
      <c r="G276" s="131"/>
      <c r="H276" s="131"/>
      <c r="I276" s="1"/>
      <c r="J276" s="1"/>
      <c r="K276" s="1"/>
      <c r="L276" s="1"/>
      <c r="M276" s="1"/>
      <c r="N276" s="1"/>
      <c r="O276" s="1"/>
      <c r="P276" s="1"/>
      <c r="Q276" s="1"/>
      <c r="R276" s="13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81"/>
      <c r="F277" s="201"/>
      <c r="G277" s="131"/>
      <c r="H277" s="131"/>
      <c r="I277" s="1"/>
      <c r="J277" s="1"/>
      <c r="K277" s="1"/>
      <c r="L277" s="1"/>
      <c r="M277" s="1"/>
      <c r="N277" s="1"/>
      <c r="O277" s="1"/>
      <c r="P277" s="1"/>
      <c r="Q277" s="1"/>
      <c r="R277" s="13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81"/>
      <c r="F278" s="201"/>
      <c r="G278" s="131"/>
      <c r="H278" s="131"/>
      <c r="I278" s="1"/>
      <c r="J278" s="1"/>
      <c r="K278" s="1"/>
      <c r="L278" s="1"/>
      <c r="M278" s="1"/>
      <c r="N278" s="1"/>
      <c r="O278" s="1"/>
      <c r="P278" s="1"/>
      <c r="Q278" s="1"/>
      <c r="R278" s="13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81"/>
      <c r="F279" s="201"/>
      <c r="G279" s="131"/>
      <c r="H279" s="131"/>
      <c r="I279" s="1"/>
      <c r="J279" s="1"/>
      <c r="K279" s="1"/>
      <c r="L279" s="1"/>
      <c r="M279" s="1"/>
      <c r="N279" s="1"/>
      <c r="O279" s="1"/>
      <c r="P279" s="1"/>
      <c r="Q279" s="1"/>
      <c r="R279" s="13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81"/>
      <c r="F280" s="201"/>
      <c r="G280" s="131"/>
      <c r="H280" s="131"/>
      <c r="I280" s="1"/>
      <c r="J280" s="1"/>
      <c r="K280" s="1"/>
      <c r="L280" s="1"/>
      <c r="M280" s="1"/>
      <c r="N280" s="1"/>
      <c r="O280" s="1"/>
      <c r="P280" s="1"/>
      <c r="Q280" s="1"/>
      <c r="R280" s="13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81"/>
      <c r="F281" s="201"/>
      <c r="G281" s="131"/>
      <c r="H281" s="131"/>
      <c r="I281" s="1"/>
      <c r="J281" s="1"/>
      <c r="K281" s="1"/>
      <c r="L281" s="1"/>
      <c r="M281" s="1"/>
      <c r="N281" s="1"/>
      <c r="O281" s="1"/>
      <c r="P281" s="1"/>
      <c r="Q281" s="1"/>
      <c r="R281" s="13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81"/>
      <c r="F282" s="201"/>
      <c r="G282" s="131"/>
      <c r="H282" s="131"/>
      <c r="I282" s="1"/>
      <c r="J282" s="1"/>
      <c r="K282" s="1"/>
      <c r="L282" s="1"/>
      <c r="M282" s="1"/>
      <c r="N282" s="1"/>
      <c r="O282" s="1"/>
      <c r="P282" s="1"/>
      <c r="Q282" s="1"/>
      <c r="R282" s="13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81"/>
      <c r="F283" s="201"/>
      <c r="G283" s="131"/>
      <c r="H283" s="131"/>
      <c r="I283" s="1"/>
      <c r="J283" s="1"/>
      <c r="K283" s="1"/>
      <c r="L283" s="1"/>
      <c r="M283" s="1"/>
      <c r="N283" s="1"/>
      <c r="O283" s="1"/>
      <c r="P283" s="1"/>
      <c r="Q283" s="1"/>
      <c r="R283" s="13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81"/>
      <c r="F284" s="201"/>
      <c r="G284" s="131"/>
      <c r="H284" s="131"/>
      <c r="I284" s="1"/>
      <c r="J284" s="1"/>
      <c r="K284" s="1"/>
      <c r="L284" s="1"/>
      <c r="M284" s="1"/>
      <c r="N284" s="1"/>
      <c r="O284" s="1"/>
      <c r="P284" s="1"/>
      <c r="Q284" s="1"/>
      <c r="R284" s="13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81"/>
      <c r="F285" s="201"/>
      <c r="G285" s="131"/>
      <c r="H285" s="131"/>
      <c r="I285" s="1"/>
      <c r="J285" s="1"/>
      <c r="K285" s="1"/>
      <c r="L285" s="1"/>
      <c r="M285" s="1"/>
      <c r="N285" s="1"/>
      <c r="O285" s="1"/>
      <c r="P285" s="1"/>
      <c r="Q285" s="1"/>
      <c r="R285" s="13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81"/>
      <c r="F286" s="201"/>
      <c r="G286" s="131"/>
      <c r="H286" s="131"/>
      <c r="I286" s="1"/>
      <c r="J286" s="1"/>
      <c r="K286" s="1"/>
      <c r="L286" s="1"/>
      <c r="M286" s="1"/>
      <c r="N286" s="1"/>
      <c r="O286" s="1"/>
      <c r="P286" s="1"/>
      <c r="Q286" s="1"/>
      <c r="R286" s="13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81"/>
      <c r="F287" s="201"/>
      <c r="G287" s="131"/>
      <c r="H287" s="131"/>
      <c r="I287" s="1"/>
      <c r="J287" s="1"/>
      <c r="K287" s="1"/>
      <c r="L287" s="1"/>
      <c r="M287" s="1"/>
      <c r="N287" s="1"/>
      <c r="O287" s="1"/>
      <c r="P287" s="1"/>
      <c r="Q287" s="1"/>
      <c r="R287" s="13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81"/>
      <c r="F288" s="201"/>
      <c r="G288" s="131"/>
      <c r="H288" s="131"/>
      <c r="I288" s="1"/>
      <c r="J288" s="1"/>
      <c r="K288" s="1"/>
      <c r="L288" s="1"/>
      <c r="M288" s="1"/>
      <c r="N288" s="1"/>
      <c r="O288" s="1"/>
      <c r="P288" s="1"/>
      <c r="Q288" s="1"/>
      <c r="R288" s="13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81"/>
      <c r="F289" s="201"/>
      <c r="G289" s="131"/>
      <c r="H289" s="131"/>
      <c r="I289" s="1"/>
      <c r="J289" s="1"/>
      <c r="K289" s="1"/>
      <c r="L289" s="1"/>
      <c r="M289" s="1"/>
      <c r="N289" s="1"/>
      <c r="O289" s="1"/>
      <c r="P289" s="1"/>
      <c r="Q289" s="1"/>
      <c r="R289" s="13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81"/>
      <c r="F290" s="201"/>
      <c r="G290" s="131"/>
      <c r="H290" s="131"/>
      <c r="I290" s="1"/>
      <c r="J290" s="1"/>
      <c r="K290" s="1"/>
      <c r="L290" s="1"/>
      <c r="M290" s="1"/>
      <c r="N290" s="1"/>
      <c r="O290" s="1"/>
      <c r="P290" s="1"/>
      <c r="Q290" s="1"/>
      <c r="R290" s="13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81"/>
      <c r="F291" s="201"/>
      <c r="G291" s="131"/>
      <c r="H291" s="131"/>
      <c r="I291" s="1"/>
      <c r="J291" s="1"/>
      <c r="K291" s="1"/>
      <c r="L291" s="1"/>
      <c r="M291" s="1"/>
      <c r="N291" s="1"/>
      <c r="O291" s="1"/>
      <c r="P291" s="1"/>
      <c r="Q291" s="1"/>
      <c r="R291" s="13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81"/>
      <c r="F292" s="201"/>
      <c r="G292" s="131"/>
      <c r="H292" s="131"/>
      <c r="I292" s="1"/>
      <c r="J292" s="1"/>
      <c r="K292" s="1"/>
      <c r="L292" s="1"/>
      <c r="M292" s="1"/>
      <c r="N292" s="1"/>
      <c r="O292" s="1"/>
      <c r="P292" s="1"/>
      <c r="Q292" s="1"/>
      <c r="R292" s="13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81"/>
      <c r="F293" s="201"/>
      <c r="G293" s="131"/>
      <c r="H293" s="131"/>
      <c r="I293" s="1"/>
      <c r="J293" s="1"/>
      <c r="K293" s="1"/>
      <c r="L293" s="1"/>
      <c r="M293" s="1"/>
      <c r="N293" s="1"/>
      <c r="O293" s="1"/>
      <c r="P293" s="1"/>
      <c r="Q293" s="1"/>
      <c r="R293" s="13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81"/>
      <c r="F294" s="201"/>
      <c r="G294" s="131"/>
      <c r="H294" s="131"/>
      <c r="I294" s="1"/>
      <c r="J294" s="1"/>
      <c r="K294" s="1"/>
      <c r="L294" s="1"/>
      <c r="M294" s="1"/>
      <c r="N294" s="1"/>
      <c r="O294" s="1"/>
      <c r="P294" s="1"/>
      <c r="Q294" s="1"/>
      <c r="R294" s="13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81"/>
      <c r="F295" s="201"/>
      <c r="G295" s="131"/>
      <c r="H295" s="131"/>
      <c r="I295" s="1"/>
      <c r="J295" s="1"/>
      <c r="K295" s="1"/>
      <c r="L295" s="1"/>
      <c r="M295" s="1"/>
      <c r="N295" s="1"/>
      <c r="O295" s="1"/>
      <c r="P295" s="1"/>
      <c r="Q295" s="1"/>
      <c r="R295" s="13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81"/>
      <c r="F296" s="201"/>
      <c r="G296" s="131"/>
      <c r="H296" s="131"/>
      <c r="I296" s="1"/>
      <c r="J296" s="1"/>
      <c r="K296" s="1"/>
      <c r="L296" s="1"/>
      <c r="M296" s="1"/>
      <c r="N296" s="1"/>
      <c r="O296" s="1"/>
      <c r="P296" s="1"/>
      <c r="Q296" s="1"/>
      <c r="R296" s="13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81"/>
      <c r="F297" s="201"/>
      <c r="G297" s="131"/>
      <c r="H297" s="131"/>
      <c r="I297" s="1"/>
      <c r="J297" s="1"/>
      <c r="K297" s="1"/>
      <c r="L297" s="1"/>
      <c r="M297" s="1"/>
      <c r="N297" s="1"/>
      <c r="O297" s="1"/>
      <c r="P297" s="1"/>
      <c r="Q297" s="1"/>
      <c r="R297" s="13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81"/>
      <c r="F298" s="201"/>
      <c r="G298" s="131"/>
      <c r="H298" s="131"/>
      <c r="I298" s="1"/>
      <c r="J298" s="1"/>
      <c r="K298" s="1"/>
      <c r="L298" s="1"/>
      <c r="M298" s="1"/>
      <c r="N298" s="1"/>
      <c r="O298" s="1"/>
      <c r="P298" s="1"/>
      <c r="Q298" s="1"/>
      <c r="R298" s="13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81"/>
      <c r="F299" s="201"/>
      <c r="G299" s="131"/>
      <c r="H299" s="131"/>
      <c r="I299" s="1"/>
      <c r="J299" s="1"/>
      <c r="K299" s="1"/>
      <c r="L299" s="1"/>
      <c r="M299" s="1"/>
      <c r="N299" s="1"/>
      <c r="O299" s="1"/>
      <c r="P299" s="1"/>
      <c r="Q299" s="1"/>
      <c r="R299" s="13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81"/>
      <c r="F300" s="201"/>
      <c r="G300" s="131"/>
      <c r="H300" s="131"/>
      <c r="I300" s="1"/>
      <c r="J300" s="1"/>
      <c r="K300" s="1"/>
      <c r="L300" s="1"/>
      <c r="M300" s="1"/>
      <c r="N300" s="1"/>
      <c r="O300" s="1"/>
      <c r="P300" s="1"/>
      <c r="Q300" s="1"/>
      <c r="R300" s="13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81"/>
      <c r="F301" s="201"/>
      <c r="G301" s="131"/>
      <c r="H301" s="131"/>
      <c r="I301" s="1"/>
      <c r="J301" s="1"/>
      <c r="K301" s="1"/>
      <c r="L301" s="1"/>
      <c r="M301" s="1"/>
      <c r="N301" s="1"/>
      <c r="O301" s="1"/>
      <c r="P301" s="1"/>
      <c r="Q301" s="1"/>
      <c r="R301" s="13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81"/>
      <c r="F302" s="201"/>
      <c r="G302" s="131"/>
      <c r="H302" s="131"/>
      <c r="I302" s="1"/>
      <c r="J302" s="1"/>
      <c r="K302" s="1"/>
      <c r="L302" s="1"/>
      <c r="M302" s="1"/>
      <c r="N302" s="1"/>
      <c r="O302" s="1"/>
      <c r="P302" s="1"/>
      <c r="Q302" s="1"/>
      <c r="R302" s="13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81"/>
      <c r="F303" s="201"/>
      <c r="G303" s="131"/>
      <c r="H303" s="131"/>
      <c r="I303" s="1"/>
      <c r="J303" s="1"/>
      <c r="K303" s="1"/>
      <c r="L303" s="1"/>
      <c r="M303" s="1"/>
      <c r="N303" s="1"/>
      <c r="O303" s="1"/>
      <c r="P303" s="1"/>
      <c r="Q303" s="1"/>
      <c r="R303" s="13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81"/>
      <c r="F304" s="201"/>
      <c r="G304" s="131"/>
      <c r="H304" s="131"/>
      <c r="I304" s="1"/>
      <c r="J304" s="1"/>
      <c r="K304" s="1"/>
      <c r="L304" s="1"/>
      <c r="M304" s="1"/>
      <c r="N304" s="1"/>
      <c r="O304" s="1"/>
      <c r="P304" s="1"/>
      <c r="Q304" s="1"/>
      <c r="R304" s="13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81"/>
      <c r="F305" s="201"/>
      <c r="G305" s="131"/>
      <c r="H305" s="131"/>
      <c r="I305" s="1"/>
      <c r="J305" s="1"/>
      <c r="K305" s="1"/>
      <c r="L305" s="1"/>
      <c r="M305" s="1"/>
      <c r="N305" s="1"/>
      <c r="O305" s="1"/>
      <c r="P305" s="1"/>
      <c r="Q305" s="1"/>
      <c r="R305" s="13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81"/>
      <c r="F306" s="201"/>
      <c r="G306" s="131"/>
      <c r="H306" s="131"/>
      <c r="I306" s="1"/>
      <c r="J306" s="1"/>
      <c r="K306" s="1"/>
      <c r="L306" s="1"/>
      <c r="M306" s="1"/>
      <c r="N306" s="1"/>
      <c r="O306" s="1"/>
      <c r="P306" s="1"/>
      <c r="Q306" s="1"/>
      <c r="R306" s="13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81"/>
      <c r="F307" s="201"/>
      <c r="G307" s="131"/>
      <c r="H307" s="131"/>
      <c r="I307" s="1"/>
      <c r="J307" s="1"/>
      <c r="K307" s="1"/>
      <c r="L307" s="1"/>
      <c r="M307" s="1"/>
      <c r="N307" s="1"/>
      <c r="O307" s="1"/>
      <c r="P307" s="1"/>
      <c r="Q307" s="1"/>
      <c r="R307" s="13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81"/>
      <c r="F308" s="201"/>
      <c r="G308" s="131"/>
      <c r="H308" s="131"/>
      <c r="I308" s="1"/>
      <c r="J308" s="1"/>
      <c r="K308" s="1"/>
      <c r="L308" s="1"/>
      <c r="M308" s="1"/>
      <c r="N308" s="1"/>
      <c r="O308" s="1"/>
      <c r="P308" s="1"/>
      <c r="Q308" s="1"/>
      <c r="R308" s="13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81"/>
      <c r="F309" s="201"/>
      <c r="G309" s="131"/>
      <c r="H309" s="131"/>
      <c r="I309" s="1"/>
      <c r="J309" s="1"/>
      <c r="K309" s="1"/>
      <c r="L309" s="1"/>
      <c r="M309" s="1"/>
      <c r="N309" s="1"/>
      <c r="O309" s="1"/>
      <c r="P309" s="1"/>
      <c r="Q309" s="1"/>
      <c r="R309" s="13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81"/>
      <c r="F310" s="201"/>
      <c r="G310" s="131"/>
      <c r="H310" s="131"/>
      <c r="I310" s="1"/>
      <c r="J310" s="1"/>
      <c r="K310" s="1"/>
      <c r="L310" s="1"/>
      <c r="M310" s="1"/>
      <c r="N310" s="1"/>
      <c r="O310" s="1"/>
      <c r="P310" s="1"/>
      <c r="Q310" s="1"/>
      <c r="R310" s="13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81"/>
      <c r="F311" s="201"/>
      <c r="G311" s="131"/>
      <c r="H311" s="131"/>
      <c r="I311" s="1"/>
      <c r="J311" s="1"/>
      <c r="K311" s="1"/>
      <c r="L311" s="1"/>
      <c r="M311" s="1"/>
      <c r="N311" s="1"/>
      <c r="O311" s="1"/>
      <c r="P311" s="1"/>
      <c r="Q311" s="1"/>
      <c r="R311" s="13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81"/>
      <c r="F312" s="201"/>
      <c r="G312" s="131"/>
      <c r="H312" s="131"/>
      <c r="I312" s="1"/>
      <c r="J312" s="1"/>
      <c r="K312" s="1"/>
      <c r="L312" s="1"/>
      <c r="M312" s="1"/>
      <c r="N312" s="1"/>
      <c r="O312" s="1"/>
      <c r="P312" s="1"/>
      <c r="Q312" s="1"/>
      <c r="R312" s="13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81"/>
      <c r="F313" s="201"/>
      <c r="G313" s="131"/>
      <c r="H313" s="131"/>
      <c r="I313" s="1"/>
      <c r="J313" s="1"/>
      <c r="K313" s="1"/>
      <c r="L313" s="1"/>
      <c r="M313" s="1"/>
      <c r="N313" s="1"/>
      <c r="O313" s="1"/>
      <c r="P313" s="1"/>
      <c r="Q313" s="1"/>
      <c r="R313" s="13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81"/>
      <c r="F314" s="201"/>
      <c r="G314" s="131"/>
      <c r="H314" s="131"/>
      <c r="I314" s="1"/>
      <c r="J314" s="1"/>
      <c r="K314" s="1"/>
      <c r="L314" s="1"/>
      <c r="M314" s="1"/>
      <c r="N314" s="1"/>
      <c r="O314" s="1"/>
      <c r="P314" s="1"/>
      <c r="Q314" s="1"/>
      <c r="R314" s="13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81"/>
      <c r="F315" s="201"/>
      <c r="G315" s="131"/>
      <c r="H315" s="131"/>
      <c r="I315" s="1"/>
      <c r="J315" s="1"/>
      <c r="K315" s="1"/>
      <c r="L315" s="1"/>
      <c r="M315" s="1"/>
      <c r="N315" s="1"/>
      <c r="O315" s="1"/>
      <c r="P315" s="1"/>
      <c r="Q315" s="1"/>
      <c r="R315" s="13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81"/>
      <c r="F316" s="201"/>
      <c r="G316" s="131"/>
      <c r="H316" s="131"/>
      <c r="I316" s="1"/>
      <c r="J316" s="1"/>
      <c r="K316" s="1"/>
      <c r="L316" s="1"/>
      <c r="M316" s="1"/>
      <c r="N316" s="1"/>
      <c r="O316" s="1"/>
      <c r="P316" s="1"/>
      <c r="Q316" s="1"/>
      <c r="R316" s="13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81"/>
      <c r="F317" s="201"/>
      <c r="G317" s="131"/>
      <c r="H317" s="131"/>
      <c r="I317" s="1"/>
      <c r="J317" s="1"/>
      <c r="K317" s="1"/>
      <c r="L317" s="1"/>
      <c r="M317" s="1"/>
      <c r="N317" s="1"/>
      <c r="O317" s="1"/>
      <c r="P317" s="1"/>
      <c r="Q317" s="1"/>
      <c r="R317" s="13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81"/>
      <c r="F318" s="201"/>
      <c r="G318" s="131"/>
      <c r="H318" s="131"/>
      <c r="I318" s="1"/>
      <c r="J318" s="1"/>
      <c r="K318" s="1"/>
      <c r="L318" s="1"/>
      <c r="M318" s="1"/>
      <c r="N318" s="1"/>
      <c r="O318" s="1"/>
      <c r="P318" s="1"/>
      <c r="Q318" s="1"/>
      <c r="R318" s="13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81"/>
      <c r="F319" s="201"/>
      <c r="G319" s="131"/>
      <c r="H319" s="131"/>
      <c r="I319" s="1"/>
      <c r="J319" s="1"/>
      <c r="K319" s="1"/>
      <c r="L319" s="1"/>
      <c r="M319" s="1"/>
      <c r="N319" s="1"/>
      <c r="O319" s="1"/>
      <c r="P319" s="1"/>
      <c r="Q319" s="1"/>
      <c r="R319" s="13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81"/>
      <c r="F320" s="201"/>
      <c r="G320" s="131"/>
      <c r="H320" s="131"/>
      <c r="I320" s="1"/>
      <c r="J320" s="1"/>
      <c r="K320" s="1"/>
      <c r="L320" s="1"/>
      <c r="M320" s="1"/>
      <c r="N320" s="1"/>
      <c r="O320" s="1"/>
      <c r="P320" s="1"/>
      <c r="Q320" s="1"/>
      <c r="R320" s="13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81"/>
      <c r="F321" s="201"/>
      <c r="G321" s="131"/>
      <c r="H321" s="131"/>
      <c r="I321" s="1"/>
      <c r="J321" s="1"/>
      <c r="K321" s="1"/>
      <c r="L321" s="1"/>
      <c r="M321" s="1"/>
      <c r="N321" s="1"/>
      <c r="O321" s="1"/>
      <c r="P321" s="1"/>
      <c r="Q321" s="1"/>
      <c r="R321" s="13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81"/>
      <c r="F322" s="201"/>
      <c r="G322" s="131"/>
      <c r="H322" s="131"/>
      <c r="I322" s="1"/>
      <c r="J322" s="1"/>
      <c r="K322" s="1"/>
      <c r="L322" s="1"/>
      <c r="M322" s="1"/>
      <c r="N322" s="1"/>
      <c r="O322" s="1"/>
      <c r="P322" s="1"/>
      <c r="Q322" s="1"/>
      <c r="R322" s="13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81"/>
      <c r="F323" s="201"/>
      <c r="G323" s="131"/>
      <c r="H323" s="131"/>
      <c r="I323" s="1"/>
      <c r="J323" s="1"/>
      <c r="K323" s="1"/>
      <c r="L323" s="1"/>
      <c r="M323" s="1"/>
      <c r="N323" s="1"/>
      <c r="O323" s="1"/>
      <c r="P323" s="1"/>
      <c r="Q323" s="1"/>
      <c r="R323" s="13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81"/>
      <c r="F324" s="201"/>
      <c r="G324" s="131"/>
      <c r="H324" s="131"/>
      <c r="I324" s="1"/>
      <c r="J324" s="1"/>
      <c r="K324" s="1"/>
      <c r="L324" s="1"/>
      <c r="M324" s="1"/>
      <c r="N324" s="1"/>
      <c r="O324" s="1"/>
      <c r="P324" s="1"/>
      <c r="Q324" s="1"/>
      <c r="R324" s="13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81"/>
      <c r="F325" s="201"/>
      <c r="G325" s="131"/>
      <c r="H325" s="131"/>
      <c r="I325" s="1"/>
      <c r="J325" s="1"/>
      <c r="K325" s="1"/>
      <c r="L325" s="1"/>
      <c r="M325" s="1"/>
      <c r="N325" s="1"/>
      <c r="O325" s="1"/>
      <c r="P325" s="1"/>
      <c r="Q325" s="1"/>
      <c r="R325" s="13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81"/>
      <c r="F326" s="201"/>
      <c r="G326" s="131"/>
      <c r="H326" s="131"/>
      <c r="I326" s="1"/>
      <c r="J326" s="1"/>
      <c r="K326" s="1"/>
      <c r="L326" s="1"/>
      <c r="M326" s="1"/>
      <c r="N326" s="1"/>
      <c r="O326" s="1"/>
      <c r="P326" s="1"/>
      <c r="Q326" s="1"/>
      <c r="R326" s="13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81"/>
      <c r="F327" s="201"/>
      <c r="G327" s="131"/>
      <c r="H327" s="131"/>
      <c r="I327" s="1"/>
      <c r="J327" s="1"/>
      <c r="K327" s="1"/>
      <c r="L327" s="1"/>
      <c r="M327" s="1"/>
      <c r="N327" s="1"/>
      <c r="O327" s="1"/>
      <c r="P327" s="1"/>
      <c r="Q327" s="1"/>
      <c r="R327" s="13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81"/>
      <c r="F328" s="201"/>
      <c r="G328" s="131"/>
      <c r="H328" s="131"/>
      <c r="I328" s="1"/>
      <c r="J328" s="1"/>
      <c r="K328" s="1"/>
      <c r="L328" s="1"/>
      <c r="M328" s="1"/>
      <c r="N328" s="1"/>
      <c r="O328" s="1"/>
      <c r="P328" s="1"/>
      <c r="Q328" s="1"/>
      <c r="R328" s="13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81"/>
      <c r="F329" s="201"/>
      <c r="G329" s="131"/>
      <c r="H329" s="131"/>
      <c r="I329" s="1"/>
      <c r="J329" s="1"/>
      <c r="K329" s="1"/>
      <c r="L329" s="1"/>
      <c r="M329" s="1"/>
      <c r="N329" s="1"/>
      <c r="O329" s="1"/>
      <c r="P329" s="1"/>
      <c r="Q329" s="1"/>
      <c r="R329" s="13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81"/>
      <c r="F330" s="201"/>
      <c r="G330" s="131"/>
      <c r="H330" s="131"/>
      <c r="I330" s="1"/>
      <c r="J330" s="1"/>
      <c r="K330" s="1"/>
      <c r="L330" s="1"/>
      <c r="M330" s="1"/>
      <c r="N330" s="1"/>
      <c r="O330" s="1"/>
      <c r="P330" s="1"/>
      <c r="Q330" s="1"/>
      <c r="R330" s="13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81"/>
      <c r="F331" s="201"/>
      <c r="G331" s="131"/>
      <c r="H331" s="131"/>
      <c r="I331" s="1"/>
      <c r="J331" s="1"/>
      <c r="K331" s="1"/>
      <c r="L331" s="1"/>
      <c r="M331" s="1"/>
      <c r="N331" s="1"/>
      <c r="O331" s="1"/>
      <c r="P331" s="1"/>
      <c r="Q331" s="1"/>
      <c r="R331" s="13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81"/>
      <c r="F332" s="201"/>
      <c r="G332" s="131"/>
      <c r="H332" s="131"/>
      <c r="I332" s="1"/>
      <c r="J332" s="1"/>
      <c r="K332" s="1"/>
      <c r="L332" s="1"/>
      <c r="M332" s="1"/>
      <c r="N332" s="1"/>
      <c r="O332" s="1"/>
      <c r="P332" s="1"/>
      <c r="Q332" s="1"/>
      <c r="R332" s="13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81"/>
      <c r="F333" s="201"/>
      <c r="G333" s="131"/>
      <c r="H333" s="131"/>
      <c r="I333" s="1"/>
      <c r="J333" s="1"/>
      <c r="K333" s="1"/>
      <c r="L333" s="1"/>
      <c r="M333" s="1"/>
      <c r="N333" s="1"/>
      <c r="O333" s="1"/>
      <c r="P333" s="1"/>
      <c r="Q333" s="1"/>
      <c r="R333" s="13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81"/>
      <c r="F334" s="201"/>
      <c r="G334" s="131"/>
      <c r="H334" s="131"/>
      <c r="I334" s="1"/>
      <c r="J334" s="1"/>
      <c r="K334" s="1"/>
      <c r="L334" s="1"/>
      <c r="M334" s="1"/>
      <c r="N334" s="1"/>
      <c r="O334" s="1"/>
      <c r="P334" s="1"/>
      <c r="Q334" s="1"/>
      <c r="R334" s="13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81"/>
      <c r="F335" s="201"/>
      <c r="G335" s="131"/>
      <c r="H335" s="131"/>
      <c r="I335" s="1"/>
      <c r="J335" s="1"/>
      <c r="K335" s="1"/>
      <c r="L335" s="1"/>
      <c r="M335" s="1"/>
      <c r="N335" s="1"/>
      <c r="O335" s="1"/>
      <c r="P335" s="1"/>
      <c r="Q335" s="1"/>
      <c r="R335" s="13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81"/>
      <c r="F336" s="201"/>
      <c r="G336" s="131"/>
      <c r="H336" s="131"/>
      <c r="I336" s="1"/>
      <c r="J336" s="1"/>
      <c r="K336" s="1"/>
      <c r="L336" s="1"/>
      <c r="M336" s="1"/>
      <c r="N336" s="1"/>
      <c r="O336" s="1"/>
      <c r="P336" s="1"/>
      <c r="Q336" s="1"/>
      <c r="R336" s="13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81"/>
      <c r="F337" s="201"/>
      <c r="G337" s="131"/>
      <c r="H337" s="131"/>
      <c r="I337" s="1"/>
      <c r="J337" s="1"/>
      <c r="K337" s="1"/>
      <c r="L337" s="1"/>
      <c r="M337" s="1"/>
      <c r="N337" s="1"/>
      <c r="O337" s="1"/>
      <c r="P337" s="1"/>
      <c r="Q337" s="1"/>
      <c r="R337" s="13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81"/>
      <c r="F338" s="201"/>
      <c r="G338" s="131"/>
      <c r="H338" s="131"/>
      <c r="I338" s="1"/>
      <c r="J338" s="1"/>
      <c r="K338" s="1"/>
      <c r="L338" s="1"/>
      <c r="M338" s="1"/>
      <c r="N338" s="1"/>
      <c r="O338" s="1"/>
      <c r="P338" s="1"/>
      <c r="Q338" s="1"/>
      <c r="R338" s="13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81"/>
      <c r="F339" s="201"/>
      <c r="G339" s="131"/>
      <c r="H339" s="131"/>
      <c r="I339" s="1"/>
      <c r="J339" s="1"/>
      <c r="K339" s="1"/>
      <c r="L339" s="1"/>
      <c r="M339" s="1"/>
      <c r="N339" s="1"/>
      <c r="O339" s="1"/>
      <c r="P339" s="1"/>
      <c r="Q339" s="1"/>
      <c r="R339" s="13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81"/>
      <c r="F340" s="201"/>
      <c r="G340" s="131"/>
      <c r="H340" s="131"/>
      <c r="I340" s="1"/>
      <c r="J340" s="1"/>
      <c r="K340" s="1"/>
      <c r="L340" s="1"/>
      <c r="M340" s="1"/>
      <c r="N340" s="1"/>
      <c r="O340" s="1"/>
      <c r="P340" s="1"/>
      <c r="Q340" s="1"/>
      <c r="R340" s="13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81"/>
      <c r="F341" s="201"/>
      <c r="G341" s="131"/>
      <c r="H341" s="131"/>
      <c r="I341" s="1"/>
      <c r="J341" s="1"/>
      <c r="K341" s="1"/>
      <c r="L341" s="1"/>
      <c r="M341" s="1"/>
      <c r="N341" s="1"/>
      <c r="O341" s="1"/>
      <c r="P341" s="1"/>
      <c r="Q341" s="1"/>
      <c r="R341" s="13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81"/>
      <c r="F342" s="201"/>
      <c r="G342" s="131"/>
      <c r="H342" s="131"/>
      <c r="I342" s="1"/>
      <c r="J342" s="1"/>
      <c r="K342" s="1"/>
      <c r="L342" s="1"/>
      <c r="M342" s="1"/>
      <c r="N342" s="1"/>
      <c r="O342" s="1"/>
      <c r="P342" s="1"/>
      <c r="Q342" s="1"/>
      <c r="R342" s="13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81"/>
      <c r="F343" s="201"/>
      <c r="G343" s="131"/>
      <c r="H343" s="131"/>
      <c r="I343" s="1"/>
      <c r="J343" s="1"/>
      <c r="K343" s="1"/>
      <c r="L343" s="1"/>
      <c r="M343" s="1"/>
      <c r="N343" s="1"/>
      <c r="O343" s="1"/>
      <c r="P343" s="1"/>
      <c r="Q343" s="1"/>
      <c r="R343" s="13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81"/>
      <c r="F344" s="201"/>
      <c r="G344" s="131"/>
      <c r="H344" s="131"/>
      <c r="I344" s="1"/>
      <c r="J344" s="1"/>
      <c r="K344" s="1"/>
      <c r="L344" s="1"/>
      <c r="M344" s="1"/>
      <c r="N344" s="1"/>
      <c r="O344" s="1"/>
      <c r="P344" s="1"/>
      <c r="Q344" s="1"/>
      <c r="R344" s="13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81"/>
      <c r="F345" s="201"/>
      <c r="G345" s="131"/>
      <c r="H345" s="131"/>
      <c r="I345" s="1"/>
      <c r="J345" s="1"/>
      <c r="K345" s="1"/>
      <c r="L345" s="1"/>
      <c r="M345" s="1"/>
      <c r="N345" s="1"/>
      <c r="O345" s="1"/>
      <c r="P345" s="1"/>
      <c r="Q345" s="1"/>
      <c r="R345" s="13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81"/>
      <c r="F346" s="201"/>
      <c r="G346" s="131"/>
      <c r="H346" s="131"/>
      <c r="I346" s="1"/>
      <c r="J346" s="1"/>
      <c r="K346" s="1"/>
      <c r="L346" s="1"/>
      <c r="M346" s="1"/>
      <c r="N346" s="1"/>
      <c r="O346" s="1"/>
      <c r="P346" s="1"/>
      <c r="Q346" s="1"/>
      <c r="R346" s="13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81"/>
      <c r="F347" s="201"/>
      <c r="G347" s="131"/>
      <c r="H347" s="131"/>
      <c r="I347" s="1"/>
      <c r="J347" s="1"/>
      <c r="K347" s="1"/>
      <c r="L347" s="1"/>
      <c r="M347" s="1"/>
      <c r="N347" s="1"/>
      <c r="O347" s="1"/>
      <c r="P347" s="1"/>
      <c r="Q347" s="1"/>
      <c r="R347" s="13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81"/>
      <c r="F348" s="201"/>
      <c r="G348" s="131"/>
      <c r="H348" s="131"/>
      <c r="I348" s="1"/>
      <c r="J348" s="1"/>
      <c r="K348" s="1"/>
      <c r="L348" s="1"/>
      <c r="M348" s="1"/>
      <c r="N348" s="1"/>
      <c r="O348" s="1"/>
      <c r="P348" s="1"/>
      <c r="Q348" s="1"/>
      <c r="R348" s="13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81"/>
      <c r="F349" s="201"/>
      <c r="G349" s="131"/>
      <c r="H349" s="131"/>
      <c r="I349" s="1"/>
      <c r="J349" s="1"/>
      <c r="K349" s="1"/>
      <c r="L349" s="1"/>
      <c r="M349" s="1"/>
      <c r="N349" s="1"/>
      <c r="O349" s="1"/>
      <c r="P349" s="1"/>
      <c r="Q349" s="1"/>
      <c r="R349" s="13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81"/>
      <c r="F350" s="201"/>
      <c r="G350" s="131"/>
      <c r="H350" s="131"/>
      <c r="I350" s="1"/>
      <c r="J350" s="1"/>
      <c r="K350" s="1"/>
      <c r="L350" s="1"/>
      <c r="M350" s="1"/>
      <c r="N350" s="1"/>
      <c r="O350" s="1"/>
      <c r="P350" s="1"/>
      <c r="Q350" s="1"/>
      <c r="R350" s="13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81"/>
      <c r="F351" s="201"/>
      <c r="G351" s="131"/>
      <c r="H351" s="131"/>
      <c r="I351" s="1"/>
      <c r="J351" s="1"/>
      <c r="K351" s="1"/>
      <c r="L351" s="1"/>
      <c r="M351" s="1"/>
      <c r="N351" s="1"/>
      <c r="O351" s="1"/>
      <c r="P351" s="1"/>
      <c r="Q351" s="1"/>
      <c r="R351" s="13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81"/>
      <c r="F352" s="201"/>
      <c r="G352" s="131"/>
      <c r="H352" s="131"/>
      <c r="I352" s="1"/>
      <c r="J352" s="1"/>
      <c r="K352" s="1"/>
      <c r="L352" s="1"/>
      <c r="M352" s="1"/>
      <c r="N352" s="1"/>
      <c r="O352" s="1"/>
      <c r="P352" s="1"/>
      <c r="Q352" s="1"/>
      <c r="R352" s="13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81"/>
      <c r="F353" s="201"/>
      <c r="G353" s="131"/>
      <c r="H353" s="131"/>
      <c r="I353" s="1"/>
      <c r="J353" s="1"/>
      <c r="K353" s="1"/>
      <c r="L353" s="1"/>
      <c r="M353" s="1"/>
      <c r="N353" s="1"/>
      <c r="O353" s="1"/>
      <c r="P353" s="1"/>
      <c r="Q353" s="1"/>
      <c r="R353" s="13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81"/>
      <c r="F354" s="201"/>
      <c r="G354" s="131"/>
      <c r="H354" s="131"/>
      <c r="I354" s="1"/>
      <c r="J354" s="1"/>
      <c r="K354" s="1"/>
      <c r="L354" s="1"/>
      <c r="M354" s="1"/>
      <c r="N354" s="1"/>
      <c r="O354" s="1"/>
      <c r="P354" s="1"/>
      <c r="Q354" s="1"/>
      <c r="R354" s="13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81"/>
      <c r="F355" s="201"/>
      <c r="G355" s="131"/>
      <c r="H355" s="131"/>
      <c r="I355" s="1"/>
      <c r="J355" s="1"/>
      <c r="K355" s="1"/>
      <c r="L355" s="1"/>
      <c r="M355" s="1"/>
      <c r="N355" s="1"/>
      <c r="O355" s="1"/>
      <c r="P355" s="1"/>
      <c r="Q355" s="1"/>
      <c r="R355" s="13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81"/>
      <c r="F356" s="201"/>
      <c r="G356" s="131"/>
      <c r="H356" s="131"/>
      <c r="I356" s="1"/>
      <c r="J356" s="1"/>
      <c r="K356" s="1"/>
      <c r="L356" s="1"/>
      <c r="M356" s="1"/>
      <c r="N356" s="1"/>
      <c r="O356" s="1"/>
      <c r="P356" s="1"/>
      <c r="Q356" s="1"/>
      <c r="R356" s="13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81"/>
      <c r="F357" s="201"/>
      <c r="G357" s="131"/>
      <c r="H357" s="131"/>
      <c r="I357" s="1"/>
      <c r="J357" s="1"/>
      <c r="K357" s="1"/>
      <c r="L357" s="1"/>
      <c r="M357" s="1"/>
      <c r="N357" s="1"/>
      <c r="O357" s="1"/>
      <c r="P357" s="1"/>
      <c r="Q357" s="1"/>
      <c r="R357" s="13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81"/>
      <c r="F358" s="201"/>
      <c r="G358" s="131"/>
      <c r="H358" s="131"/>
      <c r="I358" s="1"/>
      <c r="J358" s="1"/>
      <c r="K358" s="1"/>
      <c r="L358" s="1"/>
      <c r="M358" s="1"/>
      <c r="N358" s="1"/>
      <c r="O358" s="1"/>
      <c r="P358" s="1"/>
      <c r="Q358" s="1"/>
      <c r="R358" s="13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81"/>
      <c r="F359" s="201"/>
      <c r="G359" s="131"/>
      <c r="H359" s="131"/>
      <c r="I359" s="1"/>
      <c r="J359" s="1"/>
      <c r="K359" s="1"/>
      <c r="L359" s="1"/>
      <c r="M359" s="1"/>
      <c r="N359" s="1"/>
      <c r="O359" s="1"/>
      <c r="P359" s="1"/>
      <c r="Q359" s="1"/>
      <c r="R359" s="13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81"/>
      <c r="F360" s="201"/>
      <c r="G360" s="131"/>
      <c r="H360" s="131"/>
      <c r="I360" s="1"/>
      <c r="J360" s="1"/>
      <c r="K360" s="1"/>
      <c r="L360" s="1"/>
      <c r="M360" s="1"/>
      <c r="N360" s="1"/>
      <c r="O360" s="1"/>
      <c r="P360" s="1"/>
      <c r="Q360" s="1"/>
      <c r="R360" s="13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81"/>
      <c r="F361" s="201"/>
      <c r="G361" s="131"/>
      <c r="H361" s="131"/>
      <c r="I361" s="1"/>
      <c r="J361" s="1"/>
      <c r="K361" s="1"/>
      <c r="L361" s="1"/>
      <c r="M361" s="1"/>
      <c r="N361" s="1"/>
      <c r="O361" s="1"/>
      <c r="P361" s="1"/>
      <c r="Q361" s="1"/>
      <c r="R361" s="13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81"/>
      <c r="F362" s="201"/>
      <c r="G362" s="131"/>
      <c r="H362" s="131"/>
      <c r="I362" s="1"/>
      <c r="J362" s="1"/>
      <c r="K362" s="1"/>
      <c r="L362" s="1"/>
      <c r="M362" s="1"/>
      <c r="N362" s="1"/>
      <c r="O362" s="1"/>
      <c r="P362" s="1"/>
      <c r="Q362" s="1"/>
      <c r="R362" s="13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81"/>
      <c r="F363" s="201"/>
      <c r="G363" s="131"/>
      <c r="H363" s="131"/>
      <c r="I363" s="1"/>
      <c r="J363" s="1"/>
      <c r="K363" s="1"/>
      <c r="L363" s="1"/>
      <c r="M363" s="1"/>
      <c r="N363" s="1"/>
      <c r="O363" s="1"/>
      <c r="P363" s="1"/>
      <c r="Q363" s="1"/>
      <c r="R363" s="13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81"/>
      <c r="F364" s="201"/>
      <c r="G364" s="131"/>
      <c r="H364" s="131"/>
      <c r="I364" s="1"/>
      <c r="J364" s="1"/>
      <c r="K364" s="1"/>
      <c r="L364" s="1"/>
      <c r="M364" s="1"/>
      <c r="N364" s="1"/>
      <c r="O364" s="1"/>
      <c r="P364" s="1"/>
      <c r="Q364" s="1"/>
      <c r="R364" s="13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81"/>
      <c r="F365" s="201"/>
      <c r="G365" s="131"/>
      <c r="H365" s="131"/>
      <c r="I365" s="1"/>
      <c r="J365" s="1"/>
      <c r="K365" s="1"/>
      <c r="L365" s="1"/>
      <c r="M365" s="1"/>
      <c r="N365" s="1"/>
      <c r="O365" s="1"/>
      <c r="P365" s="1"/>
      <c r="Q365" s="1"/>
      <c r="R365" s="13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81"/>
      <c r="F366" s="201"/>
      <c r="G366" s="131"/>
      <c r="H366" s="131"/>
      <c r="I366" s="1"/>
      <c r="J366" s="1"/>
      <c r="K366" s="1"/>
      <c r="L366" s="1"/>
      <c r="M366" s="1"/>
      <c r="N366" s="1"/>
      <c r="O366" s="1"/>
      <c r="P366" s="1"/>
      <c r="Q366" s="1"/>
      <c r="R366" s="13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81"/>
      <c r="F367" s="201"/>
      <c r="G367" s="131"/>
      <c r="H367" s="131"/>
      <c r="I367" s="1"/>
      <c r="J367" s="1"/>
      <c r="K367" s="1"/>
      <c r="L367" s="1"/>
      <c r="M367" s="1"/>
      <c r="N367" s="1"/>
      <c r="O367" s="1"/>
      <c r="P367" s="1"/>
      <c r="Q367" s="1"/>
      <c r="R367" s="13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81"/>
      <c r="F368" s="201"/>
      <c r="G368" s="131"/>
      <c r="H368" s="131"/>
      <c r="I368" s="1"/>
      <c r="J368" s="1"/>
      <c r="K368" s="1"/>
      <c r="L368" s="1"/>
      <c r="M368" s="1"/>
      <c r="N368" s="1"/>
      <c r="O368" s="1"/>
      <c r="P368" s="1"/>
      <c r="Q368" s="1"/>
      <c r="R368" s="13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81"/>
      <c r="F369" s="201"/>
      <c r="G369" s="131"/>
      <c r="H369" s="131"/>
      <c r="I369" s="1"/>
      <c r="J369" s="1"/>
      <c r="K369" s="1"/>
      <c r="L369" s="1"/>
      <c r="M369" s="1"/>
      <c r="N369" s="1"/>
      <c r="O369" s="1"/>
      <c r="P369" s="1"/>
      <c r="Q369" s="1"/>
      <c r="R369" s="13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81"/>
      <c r="F370" s="201"/>
      <c r="G370" s="131"/>
      <c r="H370" s="131"/>
      <c r="I370" s="1"/>
      <c r="J370" s="1"/>
      <c r="K370" s="1"/>
      <c r="L370" s="1"/>
      <c r="M370" s="1"/>
      <c r="N370" s="1"/>
      <c r="O370" s="1"/>
      <c r="P370" s="1"/>
      <c r="Q370" s="1"/>
      <c r="R370" s="13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81"/>
      <c r="F371" s="201"/>
      <c r="G371" s="131"/>
      <c r="H371" s="131"/>
      <c r="I371" s="1"/>
      <c r="J371" s="1"/>
      <c r="K371" s="1"/>
      <c r="L371" s="1"/>
      <c r="M371" s="1"/>
      <c r="N371" s="1"/>
      <c r="O371" s="1"/>
      <c r="P371" s="1"/>
      <c r="Q371" s="1"/>
      <c r="R371" s="13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81"/>
      <c r="F372" s="201"/>
      <c r="G372" s="131"/>
      <c r="H372" s="131"/>
      <c r="I372" s="1"/>
      <c r="J372" s="1"/>
      <c r="K372" s="1"/>
      <c r="L372" s="1"/>
      <c r="M372" s="1"/>
      <c r="N372" s="1"/>
      <c r="O372" s="1"/>
      <c r="P372" s="1"/>
      <c r="Q372" s="1"/>
      <c r="R372" s="13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81"/>
      <c r="F373" s="201"/>
      <c r="G373" s="131"/>
      <c r="H373" s="131"/>
      <c r="I373" s="1"/>
      <c r="J373" s="1"/>
      <c r="K373" s="1"/>
      <c r="L373" s="1"/>
      <c r="M373" s="1"/>
      <c r="N373" s="1"/>
      <c r="O373" s="1"/>
      <c r="P373" s="1"/>
      <c r="Q373" s="1"/>
      <c r="R373" s="13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81"/>
      <c r="F374" s="201"/>
      <c r="G374" s="131"/>
      <c r="H374" s="131"/>
      <c r="I374" s="1"/>
      <c r="J374" s="1"/>
      <c r="K374" s="1"/>
      <c r="L374" s="1"/>
      <c r="M374" s="1"/>
      <c r="N374" s="1"/>
      <c r="O374" s="1"/>
      <c r="P374" s="1"/>
      <c r="Q374" s="1"/>
      <c r="R374" s="13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81"/>
      <c r="F375" s="201"/>
      <c r="G375" s="131"/>
      <c r="H375" s="131"/>
      <c r="I375" s="1"/>
      <c r="J375" s="1"/>
      <c r="K375" s="1"/>
      <c r="L375" s="1"/>
      <c r="M375" s="1"/>
      <c r="N375" s="1"/>
      <c r="O375" s="1"/>
      <c r="P375" s="1"/>
      <c r="Q375" s="1"/>
      <c r="R375" s="13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81"/>
      <c r="F376" s="201"/>
      <c r="G376" s="131"/>
      <c r="H376" s="131"/>
      <c r="I376" s="1"/>
      <c r="J376" s="1"/>
      <c r="K376" s="1"/>
      <c r="L376" s="1"/>
      <c r="M376" s="1"/>
      <c r="N376" s="1"/>
      <c r="O376" s="1"/>
      <c r="P376" s="1"/>
      <c r="Q376" s="1"/>
      <c r="R376" s="13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81"/>
      <c r="F377" s="201"/>
      <c r="G377" s="131"/>
      <c r="H377" s="131"/>
      <c r="I377" s="1"/>
      <c r="J377" s="1"/>
      <c r="K377" s="1"/>
      <c r="L377" s="1"/>
      <c r="M377" s="1"/>
      <c r="N377" s="1"/>
      <c r="O377" s="1"/>
      <c r="P377" s="1"/>
      <c r="Q377" s="1"/>
      <c r="R377" s="13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81"/>
      <c r="F378" s="201"/>
      <c r="G378" s="131"/>
      <c r="H378" s="131"/>
      <c r="I378" s="1"/>
      <c r="J378" s="1"/>
      <c r="K378" s="1"/>
      <c r="L378" s="1"/>
      <c r="M378" s="1"/>
      <c r="N378" s="1"/>
      <c r="O378" s="1"/>
      <c r="P378" s="1"/>
      <c r="Q378" s="1"/>
      <c r="R378" s="13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81"/>
      <c r="F379" s="201"/>
      <c r="G379" s="131"/>
      <c r="H379" s="131"/>
      <c r="I379" s="1"/>
      <c r="J379" s="1"/>
      <c r="K379" s="1"/>
      <c r="L379" s="1"/>
      <c r="M379" s="1"/>
      <c r="N379" s="1"/>
      <c r="O379" s="1"/>
      <c r="P379" s="1"/>
      <c r="Q379" s="1"/>
      <c r="R379" s="13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81"/>
      <c r="F380" s="201"/>
      <c r="G380" s="131"/>
      <c r="H380" s="131"/>
      <c r="I380" s="1"/>
      <c r="J380" s="1"/>
      <c r="K380" s="1"/>
      <c r="L380" s="1"/>
      <c r="M380" s="1"/>
      <c r="N380" s="1"/>
      <c r="O380" s="1"/>
      <c r="P380" s="1"/>
      <c r="Q380" s="1"/>
      <c r="R380" s="13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81"/>
      <c r="F381" s="201"/>
      <c r="G381" s="131"/>
      <c r="H381" s="131"/>
      <c r="I381" s="1"/>
      <c r="J381" s="1"/>
      <c r="K381" s="1"/>
      <c r="L381" s="1"/>
      <c r="M381" s="1"/>
      <c r="N381" s="1"/>
      <c r="O381" s="1"/>
      <c r="P381" s="1"/>
      <c r="Q381" s="1"/>
      <c r="R381" s="13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81"/>
      <c r="F382" s="201"/>
      <c r="G382" s="131"/>
      <c r="H382" s="131"/>
      <c r="I382" s="1"/>
      <c r="J382" s="1"/>
      <c r="K382" s="1"/>
      <c r="L382" s="1"/>
      <c r="M382" s="1"/>
      <c r="N382" s="1"/>
      <c r="O382" s="1"/>
      <c r="P382" s="1"/>
      <c r="Q382" s="1"/>
      <c r="R382" s="13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81"/>
      <c r="F383" s="201"/>
      <c r="G383" s="131"/>
      <c r="H383" s="131"/>
      <c r="I383" s="1"/>
      <c r="J383" s="1"/>
      <c r="K383" s="1"/>
      <c r="L383" s="1"/>
      <c r="M383" s="1"/>
      <c r="N383" s="1"/>
      <c r="O383" s="1"/>
      <c r="P383" s="1"/>
      <c r="Q383" s="1"/>
      <c r="R383" s="13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81"/>
      <c r="F384" s="201"/>
      <c r="G384" s="131"/>
      <c r="H384" s="131"/>
      <c r="I384" s="1"/>
      <c r="J384" s="1"/>
      <c r="K384" s="1"/>
      <c r="L384" s="1"/>
      <c r="M384" s="1"/>
      <c r="N384" s="1"/>
      <c r="O384" s="1"/>
      <c r="P384" s="1"/>
      <c r="Q384" s="1"/>
      <c r="R384" s="13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81"/>
      <c r="F385" s="201"/>
      <c r="G385" s="131"/>
      <c r="H385" s="131"/>
      <c r="I385" s="1"/>
      <c r="J385" s="1"/>
      <c r="K385" s="1"/>
      <c r="L385" s="1"/>
      <c r="M385" s="1"/>
      <c r="N385" s="1"/>
      <c r="O385" s="1"/>
      <c r="P385" s="1"/>
      <c r="Q385" s="1"/>
      <c r="R385" s="13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81"/>
      <c r="F386" s="201"/>
      <c r="G386" s="131"/>
      <c r="H386" s="131"/>
      <c r="I386" s="1"/>
      <c r="J386" s="1"/>
      <c r="K386" s="1"/>
      <c r="L386" s="1"/>
      <c r="M386" s="1"/>
      <c r="N386" s="1"/>
      <c r="O386" s="1"/>
      <c r="P386" s="1"/>
      <c r="Q386" s="1"/>
      <c r="R386" s="13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81"/>
      <c r="F387" s="201"/>
      <c r="G387" s="131"/>
      <c r="H387" s="131"/>
      <c r="I387" s="1"/>
      <c r="J387" s="1"/>
      <c r="K387" s="1"/>
      <c r="L387" s="1"/>
      <c r="M387" s="1"/>
      <c r="N387" s="1"/>
      <c r="O387" s="1"/>
      <c r="P387" s="1"/>
      <c r="Q387" s="1"/>
      <c r="R387" s="13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81"/>
      <c r="F388" s="201"/>
      <c r="G388" s="131"/>
      <c r="H388" s="131"/>
      <c r="I388" s="1"/>
      <c r="J388" s="1"/>
      <c r="K388" s="1"/>
      <c r="L388" s="1"/>
      <c r="M388" s="1"/>
      <c r="N388" s="1"/>
      <c r="O388" s="1"/>
      <c r="P388" s="1"/>
      <c r="Q388" s="1"/>
      <c r="R388" s="13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81"/>
      <c r="F389" s="201"/>
      <c r="G389" s="131"/>
      <c r="H389" s="131"/>
      <c r="I389" s="1"/>
      <c r="J389" s="1"/>
      <c r="K389" s="1"/>
      <c r="L389" s="1"/>
      <c r="M389" s="1"/>
      <c r="N389" s="1"/>
      <c r="O389" s="1"/>
      <c r="P389" s="1"/>
      <c r="Q389" s="1"/>
      <c r="R389" s="13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81"/>
      <c r="F390" s="201"/>
      <c r="G390" s="131"/>
      <c r="H390" s="131"/>
      <c r="I390" s="1"/>
      <c r="J390" s="1"/>
      <c r="K390" s="1"/>
      <c r="L390" s="1"/>
      <c r="M390" s="1"/>
      <c r="N390" s="1"/>
      <c r="O390" s="1"/>
      <c r="P390" s="1"/>
      <c r="Q390" s="1"/>
      <c r="R390" s="13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81"/>
      <c r="F391" s="201"/>
      <c r="G391" s="131"/>
      <c r="H391" s="131"/>
      <c r="I391" s="1"/>
      <c r="J391" s="1"/>
      <c r="K391" s="1"/>
      <c r="L391" s="1"/>
      <c r="M391" s="1"/>
      <c r="N391" s="1"/>
      <c r="O391" s="1"/>
      <c r="P391" s="1"/>
      <c r="Q391" s="1"/>
      <c r="R391" s="13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81"/>
      <c r="F392" s="201"/>
      <c r="G392" s="131"/>
      <c r="H392" s="131"/>
      <c r="I392" s="1"/>
      <c r="J392" s="1"/>
      <c r="K392" s="1"/>
      <c r="L392" s="1"/>
      <c r="M392" s="1"/>
      <c r="N392" s="1"/>
      <c r="O392" s="1"/>
      <c r="P392" s="1"/>
      <c r="Q392" s="1"/>
      <c r="R392" s="13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81"/>
      <c r="F393" s="201"/>
      <c r="G393" s="131"/>
      <c r="H393" s="131"/>
      <c r="I393" s="1"/>
      <c r="J393" s="1"/>
      <c r="K393" s="1"/>
      <c r="L393" s="1"/>
      <c r="M393" s="1"/>
      <c r="N393" s="1"/>
      <c r="O393" s="1"/>
      <c r="P393" s="1"/>
      <c r="Q393" s="1"/>
      <c r="R393" s="13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81"/>
      <c r="F394" s="201"/>
      <c r="G394" s="131"/>
      <c r="H394" s="131"/>
      <c r="I394" s="1"/>
      <c r="J394" s="1"/>
      <c r="K394" s="1"/>
      <c r="L394" s="1"/>
      <c r="M394" s="1"/>
      <c r="N394" s="1"/>
      <c r="O394" s="1"/>
      <c r="P394" s="1"/>
      <c r="Q394" s="1"/>
      <c r="R394" s="13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81"/>
      <c r="F395" s="201"/>
      <c r="G395" s="131"/>
      <c r="H395" s="131"/>
      <c r="I395" s="1"/>
      <c r="J395" s="1"/>
      <c r="K395" s="1"/>
      <c r="L395" s="1"/>
      <c r="M395" s="1"/>
      <c r="N395" s="1"/>
      <c r="O395" s="1"/>
      <c r="P395" s="1"/>
      <c r="Q395" s="1"/>
      <c r="R395" s="13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81"/>
      <c r="F396" s="201"/>
      <c r="G396" s="131"/>
      <c r="H396" s="131"/>
      <c r="I396" s="1"/>
      <c r="J396" s="1"/>
      <c r="K396" s="1"/>
      <c r="L396" s="1"/>
      <c r="M396" s="1"/>
      <c r="N396" s="1"/>
      <c r="O396" s="1"/>
      <c r="P396" s="1"/>
      <c r="Q396" s="1"/>
      <c r="R396" s="13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81"/>
      <c r="F397" s="201"/>
      <c r="G397" s="131"/>
      <c r="H397" s="131"/>
      <c r="I397" s="1"/>
      <c r="J397" s="1"/>
      <c r="K397" s="1"/>
      <c r="L397" s="1"/>
      <c r="M397" s="1"/>
      <c r="N397" s="1"/>
      <c r="O397" s="1"/>
      <c r="P397" s="1"/>
      <c r="Q397" s="1"/>
      <c r="R397" s="13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81"/>
      <c r="F398" s="201"/>
      <c r="G398" s="131"/>
      <c r="H398" s="131"/>
      <c r="I398" s="1"/>
      <c r="J398" s="1"/>
      <c r="K398" s="1"/>
      <c r="L398" s="1"/>
      <c r="M398" s="1"/>
      <c r="N398" s="1"/>
      <c r="O398" s="1"/>
      <c r="P398" s="1"/>
      <c r="Q398" s="1"/>
      <c r="R398" s="13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81"/>
      <c r="F399" s="201"/>
      <c r="G399" s="131"/>
      <c r="H399" s="131"/>
      <c r="I399" s="1"/>
      <c r="J399" s="1"/>
      <c r="K399" s="1"/>
      <c r="L399" s="1"/>
      <c r="M399" s="1"/>
      <c r="N399" s="1"/>
      <c r="O399" s="1"/>
      <c r="P399" s="1"/>
      <c r="Q399" s="1"/>
      <c r="R399" s="13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81"/>
      <c r="F400" s="201"/>
      <c r="G400" s="131"/>
      <c r="H400" s="131"/>
      <c r="I400" s="1"/>
      <c r="J400" s="1"/>
      <c r="K400" s="1"/>
      <c r="L400" s="1"/>
      <c r="M400" s="1"/>
      <c r="N400" s="1"/>
      <c r="O400" s="1"/>
      <c r="P400" s="1"/>
      <c r="Q400" s="1"/>
      <c r="R400" s="13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81"/>
      <c r="F401" s="201"/>
      <c r="G401" s="131"/>
      <c r="H401" s="131"/>
      <c r="I401" s="1"/>
      <c r="J401" s="1"/>
      <c r="K401" s="1"/>
      <c r="L401" s="1"/>
      <c r="M401" s="1"/>
      <c r="N401" s="1"/>
      <c r="O401" s="1"/>
      <c r="P401" s="1"/>
      <c r="Q401" s="1"/>
      <c r="R401" s="13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81"/>
      <c r="F402" s="201"/>
      <c r="G402" s="131"/>
      <c r="H402" s="131"/>
      <c r="I402" s="1"/>
      <c r="J402" s="1"/>
      <c r="K402" s="1"/>
      <c r="L402" s="1"/>
      <c r="M402" s="1"/>
      <c r="N402" s="1"/>
      <c r="O402" s="1"/>
      <c r="P402" s="1"/>
      <c r="Q402" s="1"/>
      <c r="R402" s="13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81"/>
      <c r="F403" s="201"/>
      <c r="G403" s="131"/>
      <c r="H403" s="131"/>
      <c r="I403" s="1"/>
      <c r="J403" s="1"/>
      <c r="K403" s="1"/>
      <c r="L403" s="1"/>
      <c r="M403" s="1"/>
      <c r="N403" s="1"/>
      <c r="O403" s="1"/>
      <c r="P403" s="1"/>
      <c r="Q403" s="1"/>
      <c r="R403" s="13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81"/>
      <c r="F404" s="201"/>
      <c r="G404" s="131"/>
      <c r="H404" s="131"/>
      <c r="I404" s="1"/>
      <c r="J404" s="1"/>
      <c r="K404" s="1"/>
      <c r="L404" s="1"/>
      <c r="M404" s="1"/>
      <c r="N404" s="1"/>
      <c r="O404" s="1"/>
      <c r="P404" s="1"/>
      <c r="Q404" s="1"/>
      <c r="R404" s="13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81"/>
      <c r="F405" s="201"/>
      <c r="G405" s="131"/>
      <c r="H405" s="131"/>
      <c r="I405" s="1"/>
      <c r="J405" s="1"/>
      <c r="K405" s="1"/>
      <c r="L405" s="1"/>
      <c r="M405" s="1"/>
      <c r="N405" s="1"/>
      <c r="O405" s="1"/>
      <c r="P405" s="1"/>
      <c r="Q405" s="1"/>
      <c r="R405" s="13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81"/>
      <c r="F406" s="201"/>
      <c r="G406" s="131"/>
      <c r="H406" s="131"/>
      <c r="I406" s="1"/>
      <c r="J406" s="1"/>
      <c r="K406" s="1"/>
      <c r="L406" s="1"/>
      <c r="M406" s="1"/>
      <c r="N406" s="1"/>
      <c r="O406" s="1"/>
      <c r="P406" s="1"/>
      <c r="Q406" s="1"/>
      <c r="R406" s="13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81"/>
      <c r="F407" s="201"/>
      <c r="G407" s="131"/>
      <c r="H407" s="131"/>
      <c r="I407" s="1"/>
      <c r="J407" s="1"/>
      <c r="K407" s="1"/>
      <c r="L407" s="1"/>
      <c r="M407" s="1"/>
      <c r="N407" s="1"/>
      <c r="O407" s="1"/>
      <c r="P407" s="1"/>
      <c r="Q407" s="1"/>
      <c r="R407" s="13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81"/>
      <c r="F408" s="201"/>
      <c r="G408" s="131"/>
      <c r="H408" s="131"/>
      <c r="I408" s="1"/>
      <c r="J408" s="1"/>
      <c r="K408" s="1"/>
      <c r="L408" s="1"/>
      <c r="M408" s="1"/>
      <c r="N408" s="1"/>
      <c r="O408" s="1"/>
      <c r="P408" s="1"/>
      <c r="Q408" s="1"/>
      <c r="R408" s="13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81"/>
      <c r="F409" s="201"/>
      <c r="G409" s="131"/>
      <c r="H409" s="131"/>
      <c r="I409" s="1"/>
      <c r="J409" s="1"/>
      <c r="K409" s="1"/>
      <c r="L409" s="1"/>
      <c r="M409" s="1"/>
      <c r="N409" s="1"/>
      <c r="O409" s="1"/>
      <c r="P409" s="1"/>
      <c r="Q409" s="1"/>
      <c r="R409" s="13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81"/>
      <c r="F410" s="201"/>
      <c r="G410" s="131"/>
      <c r="H410" s="131"/>
      <c r="I410" s="1"/>
      <c r="J410" s="1"/>
      <c r="K410" s="1"/>
      <c r="L410" s="1"/>
      <c r="M410" s="1"/>
      <c r="N410" s="1"/>
      <c r="O410" s="1"/>
      <c r="P410" s="1"/>
      <c r="Q410" s="1"/>
      <c r="R410" s="13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81"/>
      <c r="F411" s="201"/>
      <c r="G411" s="131"/>
      <c r="H411" s="131"/>
      <c r="I411" s="1"/>
      <c r="J411" s="1"/>
      <c r="K411" s="1"/>
      <c r="L411" s="1"/>
      <c r="M411" s="1"/>
      <c r="N411" s="1"/>
      <c r="O411" s="1"/>
      <c r="P411" s="1"/>
      <c r="Q411" s="1"/>
      <c r="R411" s="13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81"/>
      <c r="F412" s="201"/>
      <c r="G412" s="131"/>
      <c r="H412" s="131"/>
      <c r="I412" s="1"/>
      <c r="J412" s="1"/>
      <c r="K412" s="1"/>
      <c r="L412" s="1"/>
      <c r="M412" s="1"/>
      <c r="N412" s="1"/>
      <c r="O412" s="1"/>
      <c r="P412" s="1"/>
      <c r="Q412" s="1"/>
      <c r="R412" s="13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81"/>
      <c r="F413" s="201"/>
      <c r="G413" s="131"/>
      <c r="H413" s="131"/>
      <c r="I413" s="1"/>
      <c r="J413" s="1"/>
      <c r="K413" s="1"/>
      <c r="L413" s="1"/>
      <c r="M413" s="1"/>
      <c r="N413" s="1"/>
      <c r="O413" s="1"/>
      <c r="P413" s="1"/>
      <c r="Q413" s="1"/>
      <c r="R413" s="13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81"/>
      <c r="F414" s="201"/>
      <c r="G414" s="131"/>
      <c r="H414" s="131"/>
      <c r="I414" s="1"/>
      <c r="J414" s="1"/>
      <c r="K414" s="1"/>
      <c r="L414" s="1"/>
      <c r="M414" s="1"/>
      <c r="N414" s="1"/>
      <c r="O414" s="1"/>
      <c r="P414" s="1"/>
      <c r="Q414" s="1"/>
      <c r="R414" s="13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81"/>
      <c r="F415" s="201"/>
      <c r="G415" s="131"/>
      <c r="H415" s="131"/>
      <c r="I415" s="1"/>
      <c r="J415" s="1"/>
      <c r="K415" s="1"/>
      <c r="L415" s="1"/>
      <c r="M415" s="1"/>
      <c r="N415" s="1"/>
      <c r="O415" s="1"/>
      <c r="P415" s="1"/>
      <c r="Q415" s="1"/>
      <c r="R415" s="13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81"/>
      <c r="F416" s="201"/>
      <c r="G416" s="131"/>
      <c r="H416" s="131"/>
      <c r="I416" s="1"/>
      <c r="J416" s="1"/>
      <c r="K416" s="1"/>
      <c r="L416" s="1"/>
      <c r="M416" s="1"/>
      <c r="N416" s="1"/>
      <c r="O416" s="1"/>
      <c r="P416" s="1"/>
      <c r="Q416" s="1"/>
      <c r="R416" s="13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81"/>
      <c r="F417" s="201"/>
      <c r="G417" s="131"/>
      <c r="H417" s="131"/>
      <c r="I417" s="1"/>
      <c r="J417" s="1"/>
      <c r="K417" s="1"/>
      <c r="L417" s="1"/>
      <c r="M417" s="1"/>
      <c r="N417" s="1"/>
      <c r="O417" s="1"/>
      <c r="P417" s="1"/>
      <c r="Q417" s="1"/>
      <c r="R417" s="13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81"/>
      <c r="F418" s="201"/>
      <c r="G418" s="131"/>
      <c r="H418" s="131"/>
      <c r="I418" s="1"/>
      <c r="J418" s="1"/>
      <c r="K418" s="1"/>
      <c r="L418" s="1"/>
      <c r="M418" s="1"/>
      <c r="N418" s="1"/>
      <c r="O418" s="1"/>
      <c r="P418" s="1"/>
      <c r="Q418" s="1"/>
      <c r="R418" s="13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81"/>
      <c r="F419" s="201"/>
      <c r="G419" s="131"/>
      <c r="H419" s="131"/>
      <c r="I419" s="1"/>
      <c r="J419" s="1"/>
      <c r="K419" s="1"/>
      <c r="L419" s="1"/>
      <c r="M419" s="1"/>
      <c r="N419" s="1"/>
      <c r="O419" s="1"/>
      <c r="P419" s="1"/>
      <c r="Q419" s="1"/>
      <c r="R419" s="13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81"/>
      <c r="F420" s="201"/>
      <c r="G420" s="131"/>
      <c r="H420" s="131"/>
      <c r="I420" s="1"/>
      <c r="J420" s="1"/>
      <c r="K420" s="1"/>
      <c r="L420" s="1"/>
      <c r="M420" s="1"/>
      <c r="N420" s="1"/>
      <c r="O420" s="1"/>
      <c r="P420" s="1"/>
      <c r="Q420" s="1"/>
      <c r="R420" s="13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81"/>
      <c r="F421" s="201"/>
      <c r="G421" s="131"/>
      <c r="H421" s="131"/>
      <c r="I421" s="1"/>
      <c r="J421" s="1"/>
      <c r="K421" s="1"/>
      <c r="L421" s="1"/>
      <c r="M421" s="1"/>
      <c r="N421" s="1"/>
      <c r="O421" s="1"/>
      <c r="P421" s="1"/>
      <c r="Q421" s="1"/>
      <c r="R421" s="13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81"/>
      <c r="F422" s="201"/>
      <c r="G422" s="131"/>
      <c r="H422" s="131"/>
      <c r="I422" s="1"/>
      <c r="J422" s="1"/>
      <c r="K422" s="1"/>
      <c r="L422" s="1"/>
      <c r="M422" s="1"/>
      <c r="N422" s="1"/>
      <c r="O422" s="1"/>
      <c r="P422" s="1"/>
      <c r="Q422" s="1"/>
      <c r="R422" s="13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81"/>
      <c r="F423" s="201"/>
      <c r="G423" s="131"/>
      <c r="H423" s="131"/>
      <c r="I423" s="1"/>
      <c r="J423" s="1"/>
      <c r="K423" s="1"/>
      <c r="L423" s="1"/>
      <c r="M423" s="1"/>
      <c r="N423" s="1"/>
      <c r="O423" s="1"/>
      <c r="P423" s="1"/>
      <c r="Q423" s="1"/>
      <c r="R423" s="13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81"/>
      <c r="F424" s="201"/>
      <c r="G424" s="131"/>
      <c r="H424" s="131"/>
      <c r="I424" s="1"/>
      <c r="J424" s="1"/>
      <c r="K424" s="1"/>
      <c r="L424" s="1"/>
      <c r="M424" s="1"/>
      <c r="N424" s="1"/>
      <c r="O424" s="1"/>
      <c r="P424" s="1"/>
      <c r="Q424" s="1"/>
      <c r="R424" s="13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81"/>
      <c r="F425" s="201"/>
      <c r="G425" s="131"/>
      <c r="H425" s="131"/>
      <c r="I425" s="1"/>
      <c r="J425" s="1"/>
      <c r="K425" s="1"/>
      <c r="L425" s="1"/>
      <c r="M425" s="1"/>
      <c r="N425" s="1"/>
      <c r="O425" s="1"/>
      <c r="P425" s="1"/>
      <c r="Q425" s="1"/>
      <c r="R425" s="13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81"/>
      <c r="F426" s="201"/>
      <c r="G426" s="131"/>
      <c r="H426" s="131"/>
      <c r="I426" s="1"/>
      <c r="J426" s="1"/>
      <c r="K426" s="1"/>
      <c r="L426" s="1"/>
      <c r="M426" s="1"/>
      <c r="N426" s="1"/>
      <c r="O426" s="1"/>
      <c r="P426" s="1"/>
      <c r="Q426" s="1"/>
      <c r="R426" s="13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81"/>
      <c r="F427" s="201"/>
      <c r="G427" s="131"/>
      <c r="H427" s="131"/>
      <c r="I427" s="1"/>
      <c r="J427" s="1"/>
      <c r="K427" s="1"/>
      <c r="L427" s="1"/>
      <c r="M427" s="1"/>
      <c r="N427" s="1"/>
      <c r="O427" s="1"/>
      <c r="P427" s="1"/>
      <c r="Q427" s="1"/>
      <c r="R427" s="13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81"/>
      <c r="F428" s="201"/>
      <c r="G428" s="131"/>
      <c r="H428" s="131"/>
      <c r="I428" s="1"/>
      <c r="J428" s="1"/>
      <c r="K428" s="1"/>
      <c r="L428" s="1"/>
      <c r="M428" s="1"/>
      <c r="N428" s="1"/>
      <c r="O428" s="1"/>
      <c r="P428" s="1"/>
      <c r="Q428" s="1"/>
      <c r="R428" s="13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81"/>
      <c r="F429" s="201"/>
      <c r="G429" s="131"/>
      <c r="H429" s="131"/>
      <c r="I429" s="1"/>
      <c r="J429" s="1"/>
      <c r="K429" s="1"/>
      <c r="L429" s="1"/>
      <c r="M429" s="1"/>
      <c r="N429" s="1"/>
      <c r="O429" s="1"/>
      <c r="P429" s="1"/>
      <c r="Q429" s="1"/>
      <c r="R429" s="13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81"/>
      <c r="F430" s="201"/>
      <c r="G430" s="131"/>
      <c r="H430" s="131"/>
      <c r="I430" s="1"/>
      <c r="J430" s="1"/>
      <c r="K430" s="1"/>
      <c r="L430" s="1"/>
      <c r="M430" s="1"/>
      <c r="N430" s="1"/>
      <c r="O430" s="1"/>
      <c r="P430" s="1"/>
      <c r="Q430" s="1"/>
      <c r="R430" s="13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81"/>
      <c r="F431" s="201"/>
      <c r="G431" s="131"/>
      <c r="H431" s="131"/>
      <c r="I431" s="1"/>
      <c r="J431" s="1"/>
      <c r="K431" s="1"/>
      <c r="L431" s="1"/>
      <c r="M431" s="1"/>
      <c r="N431" s="1"/>
      <c r="O431" s="1"/>
      <c r="P431" s="1"/>
      <c r="Q431" s="1"/>
      <c r="R431" s="13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81"/>
      <c r="F432" s="201"/>
      <c r="G432" s="131"/>
      <c r="H432" s="131"/>
      <c r="I432" s="1"/>
      <c r="J432" s="1"/>
      <c r="K432" s="1"/>
      <c r="L432" s="1"/>
      <c r="M432" s="1"/>
      <c r="N432" s="1"/>
      <c r="O432" s="1"/>
      <c r="P432" s="1"/>
      <c r="Q432" s="1"/>
      <c r="R432" s="13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81"/>
      <c r="F433" s="201"/>
      <c r="G433" s="131"/>
      <c r="H433" s="131"/>
      <c r="I433" s="1"/>
      <c r="J433" s="1"/>
      <c r="K433" s="1"/>
      <c r="L433" s="1"/>
      <c r="M433" s="1"/>
      <c r="N433" s="1"/>
      <c r="O433" s="1"/>
      <c r="P433" s="1"/>
      <c r="Q433" s="1"/>
      <c r="R433" s="13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81"/>
      <c r="F434" s="201"/>
      <c r="G434" s="131"/>
      <c r="H434" s="131"/>
      <c r="I434" s="1"/>
      <c r="J434" s="1"/>
      <c r="K434" s="1"/>
      <c r="L434" s="1"/>
      <c r="M434" s="1"/>
      <c r="N434" s="1"/>
      <c r="O434" s="1"/>
      <c r="P434" s="1"/>
      <c r="Q434" s="1"/>
      <c r="R434" s="13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81"/>
      <c r="F435" s="201"/>
      <c r="G435" s="131"/>
      <c r="H435" s="131"/>
      <c r="I435" s="1"/>
      <c r="J435" s="1"/>
      <c r="K435" s="1"/>
      <c r="L435" s="1"/>
      <c r="M435" s="1"/>
      <c r="N435" s="1"/>
      <c r="O435" s="1"/>
      <c r="P435" s="1"/>
      <c r="Q435" s="1"/>
      <c r="R435" s="13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81"/>
      <c r="F436" s="201"/>
      <c r="G436" s="131"/>
      <c r="H436" s="131"/>
      <c r="I436" s="1"/>
      <c r="J436" s="1"/>
      <c r="K436" s="1"/>
      <c r="L436" s="1"/>
      <c r="M436" s="1"/>
      <c r="N436" s="1"/>
      <c r="O436" s="1"/>
      <c r="P436" s="1"/>
      <c r="Q436" s="1"/>
      <c r="R436" s="13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81"/>
      <c r="F437" s="201"/>
      <c r="G437" s="131"/>
      <c r="H437" s="131"/>
      <c r="I437" s="1"/>
      <c r="J437" s="1"/>
      <c r="K437" s="1"/>
      <c r="L437" s="1"/>
      <c r="M437" s="1"/>
      <c r="N437" s="1"/>
      <c r="O437" s="1"/>
      <c r="P437" s="1"/>
      <c r="Q437" s="1"/>
      <c r="R437" s="13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81"/>
      <c r="F438" s="201"/>
      <c r="G438" s="131"/>
      <c r="H438" s="131"/>
      <c r="I438" s="1"/>
      <c r="J438" s="1"/>
      <c r="K438" s="1"/>
      <c r="L438" s="1"/>
      <c r="M438" s="1"/>
      <c r="N438" s="1"/>
      <c r="O438" s="1"/>
      <c r="P438" s="1"/>
      <c r="Q438" s="1"/>
      <c r="R438" s="13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81"/>
      <c r="F439" s="201"/>
      <c r="G439" s="131"/>
      <c r="H439" s="131"/>
      <c r="I439" s="1"/>
      <c r="J439" s="1"/>
      <c r="K439" s="1"/>
      <c r="L439" s="1"/>
      <c r="M439" s="1"/>
      <c r="N439" s="1"/>
      <c r="O439" s="1"/>
      <c r="P439" s="1"/>
      <c r="Q439" s="1"/>
      <c r="R439" s="13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81"/>
      <c r="F440" s="201"/>
      <c r="G440" s="131"/>
      <c r="H440" s="131"/>
      <c r="I440" s="1"/>
      <c r="J440" s="1"/>
      <c r="K440" s="1"/>
      <c r="L440" s="1"/>
      <c r="M440" s="1"/>
      <c r="N440" s="1"/>
      <c r="O440" s="1"/>
      <c r="P440" s="1"/>
      <c r="Q440" s="1"/>
      <c r="R440" s="13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81"/>
      <c r="F441" s="201"/>
      <c r="G441" s="131"/>
      <c r="H441" s="131"/>
      <c r="I441" s="1"/>
      <c r="J441" s="1"/>
      <c r="K441" s="1"/>
      <c r="L441" s="1"/>
      <c r="M441" s="1"/>
      <c r="N441" s="1"/>
      <c r="O441" s="1"/>
      <c r="P441" s="1"/>
      <c r="Q441" s="1"/>
      <c r="R441" s="13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81"/>
      <c r="F442" s="201"/>
      <c r="G442" s="131"/>
      <c r="H442" s="131"/>
      <c r="I442" s="1"/>
      <c r="J442" s="1"/>
      <c r="K442" s="1"/>
      <c r="L442" s="1"/>
      <c r="M442" s="1"/>
      <c r="N442" s="1"/>
      <c r="O442" s="1"/>
      <c r="P442" s="1"/>
      <c r="Q442" s="1"/>
      <c r="R442" s="13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81"/>
      <c r="F443" s="201"/>
      <c r="G443" s="131"/>
      <c r="H443" s="131"/>
      <c r="I443" s="1"/>
      <c r="J443" s="1"/>
      <c r="K443" s="1"/>
      <c r="L443" s="1"/>
      <c r="M443" s="1"/>
      <c r="N443" s="1"/>
      <c r="O443" s="1"/>
      <c r="P443" s="1"/>
      <c r="Q443" s="1"/>
      <c r="R443" s="13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81"/>
      <c r="F444" s="201"/>
      <c r="G444" s="131"/>
      <c r="H444" s="131"/>
      <c r="I444" s="1"/>
      <c r="J444" s="1"/>
      <c r="K444" s="1"/>
      <c r="L444" s="1"/>
      <c r="M444" s="1"/>
      <c r="N444" s="1"/>
      <c r="O444" s="1"/>
      <c r="P444" s="1"/>
      <c r="Q444" s="1"/>
      <c r="R444" s="13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81"/>
      <c r="F445" s="201"/>
      <c r="G445" s="131"/>
      <c r="H445" s="131"/>
      <c r="I445" s="1"/>
      <c r="J445" s="1"/>
      <c r="K445" s="1"/>
      <c r="L445" s="1"/>
      <c r="M445" s="1"/>
      <c r="N445" s="1"/>
      <c r="O445" s="1"/>
      <c r="P445" s="1"/>
      <c r="Q445" s="1"/>
      <c r="R445" s="13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81"/>
      <c r="F446" s="201"/>
      <c r="G446" s="131"/>
      <c r="H446" s="131"/>
      <c r="I446" s="1"/>
      <c r="J446" s="1"/>
      <c r="K446" s="1"/>
      <c r="L446" s="1"/>
      <c r="M446" s="1"/>
      <c r="N446" s="1"/>
      <c r="O446" s="1"/>
      <c r="P446" s="1"/>
      <c r="Q446" s="1"/>
      <c r="R446" s="13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81"/>
      <c r="F447" s="201"/>
      <c r="G447" s="131"/>
      <c r="H447" s="131"/>
      <c r="I447" s="1"/>
      <c r="J447" s="1"/>
      <c r="K447" s="1"/>
      <c r="L447" s="1"/>
      <c r="M447" s="1"/>
      <c r="N447" s="1"/>
      <c r="O447" s="1"/>
      <c r="P447" s="1"/>
      <c r="Q447" s="1"/>
      <c r="R447" s="13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81"/>
      <c r="F448" s="201"/>
      <c r="G448" s="131"/>
      <c r="H448" s="131"/>
      <c r="I448" s="1"/>
      <c r="J448" s="1"/>
      <c r="K448" s="1"/>
      <c r="L448" s="1"/>
      <c r="M448" s="1"/>
      <c r="N448" s="1"/>
      <c r="O448" s="1"/>
      <c r="P448" s="1"/>
      <c r="Q448" s="1"/>
      <c r="R448" s="13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81"/>
      <c r="F449" s="201"/>
      <c r="G449" s="131"/>
      <c r="H449" s="131"/>
      <c r="I449" s="1"/>
      <c r="J449" s="1"/>
      <c r="K449" s="1"/>
      <c r="L449" s="1"/>
      <c r="M449" s="1"/>
      <c r="N449" s="1"/>
      <c r="O449" s="1"/>
      <c r="P449" s="1"/>
      <c r="Q449" s="1"/>
      <c r="R449" s="13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81"/>
      <c r="F450" s="201"/>
      <c r="G450" s="131"/>
      <c r="H450" s="131"/>
      <c r="I450" s="1"/>
      <c r="J450" s="1"/>
      <c r="K450" s="1"/>
      <c r="L450" s="1"/>
      <c r="M450" s="1"/>
      <c r="N450" s="1"/>
      <c r="O450" s="1"/>
      <c r="P450" s="1"/>
      <c r="Q450" s="1"/>
      <c r="R450" s="13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81"/>
      <c r="F451" s="201"/>
      <c r="G451" s="131"/>
      <c r="H451" s="131"/>
      <c r="I451" s="1"/>
      <c r="J451" s="1"/>
      <c r="K451" s="1"/>
      <c r="L451" s="1"/>
      <c r="M451" s="1"/>
      <c r="N451" s="1"/>
      <c r="O451" s="1"/>
      <c r="P451" s="1"/>
      <c r="Q451" s="1"/>
      <c r="R451" s="13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81"/>
      <c r="F452" s="201"/>
      <c r="G452" s="131"/>
      <c r="H452" s="131"/>
      <c r="I452" s="1"/>
      <c r="J452" s="1"/>
      <c r="K452" s="1"/>
      <c r="L452" s="1"/>
      <c r="M452" s="1"/>
      <c r="N452" s="1"/>
      <c r="O452" s="1"/>
      <c r="P452" s="1"/>
      <c r="Q452" s="1"/>
      <c r="R452" s="13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81"/>
      <c r="F453" s="201"/>
      <c r="G453" s="131"/>
      <c r="H453" s="131"/>
      <c r="I453" s="1"/>
      <c r="J453" s="1"/>
      <c r="K453" s="1"/>
      <c r="L453" s="1"/>
      <c r="M453" s="1"/>
      <c r="N453" s="1"/>
      <c r="O453" s="1"/>
      <c r="P453" s="1"/>
      <c r="Q453" s="1"/>
      <c r="R453" s="13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81"/>
      <c r="F454" s="201"/>
      <c r="G454" s="131"/>
      <c r="H454" s="131"/>
      <c r="I454" s="1"/>
      <c r="J454" s="1"/>
      <c r="K454" s="1"/>
      <c r="L454" s="1"/>
      <c r="M454" s="1"/>
      <c r="N454" s="1"/>
      <c r="O454" s="1"/>
      <c r="P454" s="1"/>
      <c r="Q454" s="1"/>
      <c r="R454" s="13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81"/>
      <c r="F455" s="201"/>
      <c r="G455" s="131"/>
      <c r="H455" s="131"/>
      <c r="I455" s="1"/>
      <c r="J455" s="1"/>
      <c r="K455" s="1"/>
      <c r="L455" s="1"/>
      <c r="M455" s="1"/>
      <c r="N455" s="1"/>
      <c r="O455" s="1"/>
      <c r="P455" s="1"/>
      <c r="Q455" s="1"/>
      <c r="R455" s="13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81"/>
      <c r="F456" s="201"/>
      <c r="G456" s="131"/>
      <c r="H456" s="131"/>
      <c r="I456" s="1"/>
      <c r="J456" s="1"/>
      <c r="K456" s="1"/>
      <c r="L456" s="1"/>
      <c r="M456" s="1"/>
      <c r="N456" s="1"/>
      <c r="O456" s="1"/>
      <c r="P456" s="1"/>
      <c r="Q456" s="1"/>
      <c r="R456" s="13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81"/>
      <c r="F457" s="201"/>
      <c r="G457" s="131"/>
      <c r="H457" s="131"/>
      <c r="I457" s="1"/>
      <c r="J457" s="1"/>
      <c r="K457" s="1"/>
      <c r="L457" s="1"/>
      <c r="M457" s="1"/>
      <c r="N457" s="1"/>
      <c r="O457" s="1"/>
      <c r="P457" s="1"/>
      <c r="Q457" s="1"/>
      <c r="R457" s="13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81"/>
      <c r="F458" s="201"/>
      <c r="G458" s="131"/>
      <c r="H458" s="131"/>
      <c r="I458" s="1"/>
      <c r="J458" s="1"/>
      <c r="K458" s="1"/>
      <c r="L458" s="1"/>
      <c r="M458" s="1"/>
      <c r="N458" s="1"/>
      <c r="O458" s="1"/>
      <c r="P458" s="1"/>
      <c r="Q458" s="1"/>
      <c r="R458" s="13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81"/>
      <c r="F459" s="201"/>
      <c r="G459" s="131"/>
      <c r="H459" s="131"/>
      <c r="I459" s="1"/>
      <c r="J459" s="1"/>
      <c r="K459" s="1"/>
      <c r="L459" s="1"/>
      <c r="M459" s="1"/>
      <c r="N459" s="1"/>
      <c r="O459" s="1"/>
      <c r="P459" s="1"/>
      <c r="Q459" s="1"/>
      <c r="R459" s="13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81"/>
      <c r="F460" s="201"/>
      <c r="G460" s="131"/>
      <c r="H460" s="131"/>
      <c r="I460" s="1"/>
      <c r="J460" s="1"/>
      <c r="K460" s="1"/>
      <c r="L460" s="1"/>
      <c r="M460" s="1"/>
      <c r="N460" s="1"/>
      <c r="O460" s="1"/>
      <c r="P460" s="1"/>
      <c r="Q460" s="1"/>
      <c r="R460" s="13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81"/>
      <c r="F461" s="201"/>
      <c r="G461" s="131"/>
      <c r="H461" s="131"/>
      <c r="I461" s="1"/>
      <c r="J461" s="1"/>
      <c r="K461" s="1"/>
      <c r="L461" s="1"/>
      <c r="M461" s="1"/>
      <c r="N461" s="1"/>
      <c r="O461" s="1"/>
      <c r="P461" s="1"/>
      <c r="Q461" s="1"/>
      <c r="R461" s="13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81"/>
      <c r="F462" s="201"/>
      <c r="G462" s="131"/>
      <c r="H462" s="131"/>
      <c r="I462" s="1"/>
      <c r="J462" s="1"/>
      <c r="K462" s="1"/>
      <c r="L462" s="1"/>
      <c r="M462" s="1"/>
      <c r="N462" s="1"/>
      <c r="O462" s="1"/>
      <c r="P462" s="1"/>
      <c r="Q462" s="1"/>
      <c r="R462" s="13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81"/>
      <c r="F463" s="201"/>
      <c r="G463" s="131"/>
      <c r="H463" s="131"/>
      <c r="I463" s="1"/>
      <c r="J463" s="1"/>
      <c r="K463" s="1"/>
      <c r="L463" s="1"/>
      <c r="M463" s="1"/>
      <c r="N463" s="1"/>
      <c r="O463" s="1"/>
      <c r="P463" s="1"/>
      <c r="Q463" s="1"/>
      <c r="R463" s="13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81"/>
      <c r="F464" s="201"/>
      <c r="G464" s="131"/>
      <c r="H464" s="131"/>
      <c r="I464" s="1"/>
      <c r="J464" s="1"/>
      <c r="K464" s="1"/>
      <c r="L464" s="1"/>
      <c r="M464" s="1"/>
      <c r="N464" s="1"/>
      <c r="O464" s="1"/>
      <c r="P464" s="1"/>
      <c r="Q464" s="1"/>
      <c r="R464" s="13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81"/>
      <c r="F465" s="201"/>
      <c r="G465" s="131"/>
      <c r="H465" s="131"/>
      <c r="I465" s="1"/>
      <c r="J465" s="1"/>
      <c r="K465" s="1"/>
      <c r="L465" s="1"/>
      <c r="M465" s="1"/>
      <c r="N465" s="1"/>
      <c r="O465" s="1"/>
      <c r="P465" s="1"/>
      <c r="Q465" s="1"/>
      <c r="R465" s="13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81"/>
      <c r="F466" s="201"/>
      <c r="G466" s="131"/>
      <c r="H466" s="131"/>
      <c r="I466" s="1"/>
      <c r="J466" s="1"/>
      <c r="K466" s="1"/>
      <c r="L466" s="1"/>
      <c r="M466" s="1"/>
      <c r="N466" s="1"/>
      <c r="O466" s="1"/>
      <c r="P466" s="1"/>
      <c r="Q466" s="1"/>
      <c r="R466" s="13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81"/>
      <c r="F467" s="201"/>
      <c r="G467" s="131"/>
      <c r="H467" s="131"/>
      <c r="I467" s="1"/>
      <c r="J467" s="1"/>
      <c r="K467" s="1"/>
      <c r="L467" s="1"/>
      <c r="M467" s="1"/>
      <c r="N467" s="1"/>
      <c r="O467" s="1"/>
      <c r="P467" s="1"/>
      <c r="Q467" s="1"/>
      <c r="R467" s="13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81"/>
      <c r="F468" s="201"/>
      <c r="G468" s="131"/>
      <c r="H468" s="131"/>
      <c r="I468" s="1"/>
      <c r="J468" s="1"/>
      <c r="K468" s="1"/>
      <c r="L468" s="1"/>
      <c r="M468" s="1"/>
      <c r="N468" s="1"/>
      <c r="O468" s="1"/>
      <c r="P468" s="1"/>
      <c r="Q468" s="1"/>
      <c r="R468" s="13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81"/>
      <c r="F469" s="201"/>
      <c r="G469" s="131"/>
      <c r="H469" s="131"/>
      <c r="I469" s="1"/>
      <c r="J469" s="1"/>
      <c r="K469" s="1"/>
      <c r="L469" s="1"/>
      <c r="M469" s="1"/>
      <c r="N469" s="1"/>
      <c r="O469" s="1"/>
      <c r="P469" s="1"/>
      <c r="Q469" s="1"/>
      <c r="R469" s="13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81"/>
      <c r="F470" s="201"/>
      <c r="G470" s="131"/>
      <c r="H470" s="131"/>
      <c r="I470" s="1"/>
      <c r="J470" s="1"/>
      <c r="K470" s="1"/>
      <c r="L470" s="1"/>
      <c r="M470" s="1"/>
      <c r="N470" s="1"/>
      <c r="O470" s="1"/>
      <c r="P470" s="1"/>
      <c r="Q470" s="1"/>
      <c r="R470" s="13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81"/>
      <c r="F471" s="201"/>
      <c r="G471" s="131"/>
      <c r="H471" s="131"/>
      <c r="I471" s="1"/>
      <c r="J471" s="1"/>
      <c r="K471" s="1"/>
      <c r="L471" s="1"/>
      <c r="M471" s="1"/>
      <c r="N471" s="1"/>
      <c r="O471" s="1"/>
      <c r="P471" s="1"/>
      <c r="Q471" s="1"/>
      <c r="R471" s="13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81"/>
      <c r="F472" s="201"/>
      <c r="G472" s="131"/>
      <c r="H472" s="131"/>
      <c r="I472" s="1"/>
      <c r="J472" s="1"/>
      <c r="K472" s="1"/>
      <c r="L472" s="1"/>
      <c r="M472" s="1"/>
      <c r="N472" s="1"/>
      <c r="O472" s="1"/>
      <c r="P472" s="1"/>
      <c r="Q472" s="1"/>
      <c r="R472" s="13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81"/>
      <c r="F473" s="201"/>
      <c r="G473" s="131"/>
      <c r="H473" s="131"/>
      <c r="I473" s="1"/>
      <c r="J473" s="1"/>
      <c r="K473" s="1"/>
      <c r="L473" s="1"/>
      <c r="M473" s="1"/>
      <c r="N473" s="1"/>
      <c r="O473" s="1"/>
      <c r="P473" s="1"/>
      <c r="Q473" s="1"/>
      <c r="R473" s="13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81"/>
      <c r="F474" s="201"/>
      <c r="G474" s="131"/>
      <c r="H474" s="131"/>
      <c r="I474" s="1"/>
      <c r="J474" s="1"/>
      <c r="K474" s="1"/>
      <c r="L474" s="1"/>
      <c r="M474" s="1"/>
      <c r="N474" s="1"/>
      <c r="O474" s="1"/>
      <c r="P474" s="1"/>
      <c r="Q474" s="1"/>
      <c r="R474" s="13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81"/>
      <c r="F475" s="201"/>
      <c r="G475" s="131"/>
      <c r="H475" s="131"/>
      <c r="I475" s="1"/>
      <c r="J475" s="1"/>
      <c r="K475" s="1"/>
      <c r="L475" s="1"/>
      <c r="M475" s="1"/>
      <c r="N475" s="1"/>
      <c r="O475" s="1"/>
      <c r="P475" s="1"/>
      <c r="Q475" s="1"/>
      <c r="R475" s="13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81"/>
      <c r="F476" s="201"/>
      <c r="G476" s="131"/>
      <c r="H476" s="131"/>
      <c r="I476" s="1"/>
      <c r="J476" s="1"/>
      <c r="K476" s="1"/>
      <c r="L476" s="1"/>
      <c r="M476" s="1"/>
      <c r="N476" s="1"/>
      <c r="O476" s="1"/>
      <c r="P476" s="1"/>
      <c r="Q476" s="1"/>
      <c r="R476" s="13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81"/>
      <c r="F477" s="201"/>
      <c r="G477" s="131"/>
      <c r="H477" s="131"/>
      <c r="I477" s="1"/>
      <c r="J477" s="1"/>
      <c r="K477" s="1"/>
      <c r="L477" s="1"/>
      <c r="M477" s="1"/>
      <c r="N477" s="1"/>
      <c r="O477" s="1"/>
      <c r="P477" s="1"/>
      <c r="Q477" s="1"/>
      <c r="R477" s="13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81"/>
      <c r="F478" s="201"/>
      <c r="G478" s="131"/>
      <c r="H478" s="131"/>
      <c r="I478" s="1"/>
      <c r="J478" s="1"/>
      <c r="K478" s="1"/>
      <c r="L478" s="1"/>
      <c r="M478" s="1"/>
      <c r="N478" s="1"/>
      <c r="O478" s="1"/>
      <c r="P478" s="1"/>
      <c r="Q478" s="1"/>
      <c r="R478" s="13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81"/>
      <c r="F479" s="201"/>
      <c r="G479" s="131"/>
      <c r="H479" s="131"/>
      <c r="I479" s="1"/>
      <c r="J479" s="1"/>
      <c r="K479" s="1"/>
      <c r="L479" s="1"/>
      <c r="M479" s="1"/>
      <c r="N479" s="1"/>
      <c r="O479" s="1"/>
      <c r="P479" s="1"/>
      <c r="Q479" s="1"/>
      <c r="R479" s="13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81"/>
      <c r="F480" s="201"/>
      <c r="G480" s="131"/>
      <c r="H480" s="131"/>
      <c r="I480" s="1"/>
      <c r="J480" s="1"/>
      <c r="K480" s="1"/>
      <c r="L480" s="1"/>
      <c r="M480" s="1"/>
      <c r="N480" s="1"/>
      <c r="O480" s="1"/>
      <c r="P480" s="1"/>
      <c r="Q480" s="1"/>
      <c r="R480" s="13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81"/>
      <c r="F481" s="201"/>
      <c r="G481" s="131"/>
      <c r="H481" s="131"/>
      <c r="I481" s="1"/>
      <c r="J481" s="1"/>
      <c r="K481" s="1"/>
      <c r="L481" s="1"/>
      <c r="M481" s="1"/>
      <c r="N481" s="1"/>
      <c r="O481" s="1"/>
      <c r="P481" s="1"/>
      <c r="Q481" s="1"/>
      <c r="R481" s="13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81"/>
      <c r="F482" s="201"/>
      <c r="G482" s="131"/>
      <c r="H482" s="131"/>
      <c r="I482" s="1"/>
      <c r="J482" s="1"/>
      <c r="K482" s="1"/>
      <c r="L482" s="1"/>
      <c r="M482" s="1"/>
      <c r="N482" s="1"/>
      <c r="O482" s="1"/>
      <c r="P482" s="1"/>
      <c r="Q482" s="1"/>
      <c r="R482" s="13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81"/>
      <c r="F483" s="201"/>
      <c r="G483" s="131"/>
      <c r="H483" s="131"/>
      <c r="I483" s="1"/>
      <c r="J483" s="1"/>
      <c r="K483" s="1"/>
      <c r="L483" s="1"/>
      <c r="M483" s="1"/>
      <c r="N483" s="1"/>
      <c r="O483" s="1"/>
      <c r="P483" s="1"/>
      <c r="Q483" s="1"/>
      <c r="R483" s="13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81"/>
      <c r="F484" s="201"/>
      <c r="G484" s="131"/>
      <c r="H484" s="131"/>
      <c r="I484" s="1"/>
      <c r="J484" s="1"/>
      <c r="K484" s="1"/>
      <c r="L484" s="1"/>
      <c r="M484" s="1"/>
      <c r="N484" s="1"/>
      <c r="O484" s="1"/>
      <c r="P484" s="1"/>
      <c r="Q484" s="1"/>
      <c r="R484" s="13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81"/>
      <c r="F485" s="201"/>
      <c r="G485" s="131"/>
      <c r="H485" s="131"/>
      <c r="I485" s="1"/>
      <c r="J485" s="1"/>
      <c r="K485" s="1"/>
      <c r="L485" s="1"/>
      <c r="M485" s="1"/>
      <c r="N485" s="1"/>
      <c r="O485" s="1"/>
      <c r="P485" s="1"/>
      <c r="Q485" s="1"/>
      <c r="R485" s="13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81"/>
      <c r="F486" s="201"/>
      <c r="G486" s="131"/>
      <c r="H486" s="131"/>
      <c r="I486" s="1"/>
      <c r="J486" s="1"/>
      <c r="K486" s="1"/>
      <c r="L486" s="1"/>
      <c r="M486" s="1"/>
      <c r="N486" s="1"/>
      <c r="O486" s="1"/>
      <c r="P486" s="1"/>
      <c r="Q486" s="1"/>
      <c r="R486" s="13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81"/>
      <c r="F487" s="201"/>
      <c r="G487" s="131"/>
      <c r="H487" s="131"/>
      <c r="I487" s="1"/>
      <c r="J487" s="1"/>
      <c r="K487" s="1"/>
      <c r="L487" s="1"/>
      <c r="M487" s="1"/>
      <c r="N487" s="1"/>
      <c r="O487" s="1"/>
      <c r="P487" s="1"/>
      <c r="Q487" s="1"/>
      <c r="R487" s="13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81"/>
      <c r="F488" s="201"/>
      <c r="G488" s="131"/>
      <c r="H488" s="131"/>
      <c r="I488" s="1"/>
      <c r="J488" s="1"/>
      <c r="K488" s="1"/>
      <c r="L488" s="1"/>
      <c r="M488" s="1"/>
      <c r="N488" s="1"/>
      <c r="O488" s="1"/>
      <c r="P488" s="1"/>
      <c r="Q488" s="1"/>
      <c r="R488" s="13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81"/>
      <c r="F489" s="201"/>
      <c r="G489" s="131"/>
      <c r="H489" s="131"/>
      <c r="I489" s="1"/>
      <c r="J489" s="1"/>
      <c r="K489" s="1"/>
      <c r="L489" s="1"/>
      <c r="M489" s="1"/>
      <c r="N489" s="1"/>
      <c r="O489" s="1"/>
      <c r="P489" s="1"/>
      <c r="Q489" s="1"/>
      <c r="R489" s="13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81"/>
      <c r="F490" s="201"/>
      <c r="G490" s="131"/>
      <c r="H490" s="131"/>
      <c r="I490" s="1"/>
      <c r="J490" s="1"/>
      <c r="K490" s="1"/>
      <c r="L490" s="1"/>
      <c r="M490" s="1"/>
      <c r="N490" s="1"/>
      <c r="O490" s="1"/>
      <c r="P490" s="1"/>
      <c r="Q490" s="1"/>
      <c r="R490" s="13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81"/>
      <c r="F491" s="201"/>
      <c r="G491" s="131"/>
      <c r="H491" s="131"/>
      <c r="I491" s="1"/>
      <c r="J491" s="1"/>
      <c r="K491" s="1"/>
      <c r="L491" s="1"/>
      <c r="M491" s="1"/>
      <c r="N491" s="1"/>
      <c r="O491" s="1"/>
      <c r="P491" s="1"/>
      <c r="Q491" s="1"/>
      <c r="R491" s="13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81"/>
      <c r="F492" s="201"/>
      <c r="G492" s="131"/>
      <c r="H492" s="131"/>
      <c r="I492" s="1"/>
      <c r="J492" s="1"/>
      <c r="K492" s="1"/>
      <c r="L492" s="1"/>
      <c r="M492" s="1"/>
      <c r="N492" s="1"/>
      <c r="O492" s="1"/>
      <c r="P492" s="1"/>
      <c r="Q492" s="1"/>
      <c r="R492" s="13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81"/>
      <c r="F493" s="201"/>
      <c r="G493" s="131"/>
      <c r="H493" s="131"/>
      <c r="I493" s="1"/>
      <c r="J493" s="1"/>
      <c r="K493" s="1"/>
      <c r="L493" s="1"/>
      <c r="M493" s="1"/>
      <c r="N493" s="1"/>
      <c r="O493" s="1"/>
      <c r="P493" s="1"/>
      <c r="Q493" s="1"/>
      <c r="R493" s="13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81"/>
      <c r="F494" s="201"/>
      <c r="G494" s="131"/>
      <c r="H494" s="131"/>
      <c r="I494" s="1"/>
      <c r="J494" s="1"/>
      <c r="K494" s="1"/>
      <c r="L494" s="1"/>
      <c r="M494" s="1"/>
      <c r="N494" s="1"/>
      <c r="O494" s="1"/>
      <c r="P494" s="1"/>
      <c r="Q494" s="1"/>
      <c r="R494" s="13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81"/>
      <c r="F495" s="201"/>
      <c r="G495" s="131"/>
      <c r="H495" s="131"/>
      <c r="I495" s="1"/>
      <c r="J495" s="1"/>
      <c r="K495" s="1"/>
      <c r="L495" s="1"/>
      <c r="M495" s="1"/>
      <c r="N495" s="1"/>
      <c r="O495" s="1"/>
      <c r="P495" s="1"/>
      <c r="Q495" s="1"/>
      <c r="R495" s="13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81"/>
      <c r="F496" s="201"/>
      <c r="G496" s="131"/>
      <c r="H496" s="131"/>
      <c r="I496" s="1"/>
      <c r="J496" s="1"/>
      <c r="K496" s="1"/>
      <c r="L496" s="1"/>
      <c r="M496" s="1"/>
      <c r="N496" s="1"/>
      <c r="O496" s="1"/>
      <c r="P496" s="1"/>
      <c r="Q496" s="1"/>
      <c r="R496" s="13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81"/>
      <c r="F497" s="201"/>
      <c r="G497" s="131"/>
      <c r="H497" s="131"/>
      <c r="I497" s="1"/>
      <c r="J497" s="1"/>
      <c r="K497" s="1"/>
      <c r="L497" s="1"/>
      <c r="M497" s="1"/>
      <c r="N497" s="1"/>
      <c r="O497" s="1"/>
      <c r="P497" s="1"/>
      <c r="Q497" s="1"/>
      <c r="R497" s="13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81"/>
      <c r="F498" s="201"/>
      <c r="G498" s="131"/>
      <c r="H498" s="131"/>
      <c r="I498" s="1"/>
      <c r="J498" s="1"/>
      <c r="K498" s="1"/>
      <c r="L498" s="1"/>
      <c r="M498" s="1"/>
      <c r="N498" s="1"/>
      <c r="O498" s="1"/>
      <c r="P498" s="1"/>
      <c r="Q498" s="1"/>
      <c r="R498" s="13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81"/>
      <c r="F499" s="201"/>
      <c r="G499" s="131"/>
      <c r="H499" s="131"/>
      <c r="I499" s="1"/>
      <c r="J499" s="1"/>
      <c r="K499" s="1"/>
      <c r="L499" s="1"/>
      <c r="M499" s="1"/>
      <c r="N499" s="1"/>
      <c r="O499" s="1"/>
      <c r="P499" s="1"/>
      <c r="Q499" s="1"/>
      <c r="R499" s="13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81"/>
      <c r="F500" s="201"/>
      <c r="G500" s="131"/>
      <c r="H500" s="131"/>
      <c r="I500" s="1"/>
      <c r="J500" s="1"/>
      <c r="K500" s="1"/>
      <c r="L500" s="1"/>
      <c r="M500" s="1"/>
      <c r="N500" s="1"/>
      <c r="O500" s="1"/>
      <c r="P500" s="1"/>
      <c r="Q500" s="1"/>
      <c r="R500" s="13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81"/>
      <c r="F501" s="201"/>
      <c r="G501" s="131"/>
      <c r="H501" s="131"/>
      <c r="I501" s="1"/>
      <c r="J501" s="1"/>
      <c r="K501" s="1"/>
      <c r="L501" s="1"/>
      <c r="M501" s="1"/>
      <c r="N501" s="1"/>
      <c r="O501" s="1"/>
      <c r="P501" s="1"/>
      <c r="Q501" s="1"/>
      <c r="R501" s="13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81"/>
      <c r="F502" s="201"/>
      <c r="G502" s="131"/>
      <c r="H502" s="131"/>
      <c r="I502" s="1"/>
      <c r="J502" s="1"/>
      <c r="K502" s="1"/>
      <c r="L502" s="1"/>
      <c r="M502" s="1"/>
      <c r="N502" s="1"/>
      <c r="O502" s="1"/>
      <c r="P502" s="1"/>
      <c r="Q502" s="1"/>
      <c r="R502" s="13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81"/>
      <c r="F503" s="201"/>
      <c r="G503" s="131"/>
      <c r="H503" s="131"/>
      <c r="I503" s="1"/>
      <c r="J503" s="1"/>
      <c r="K503" s="1"/>
      <c r="L503" s="1"/>
      <c r="M503" s="1"/>
      <c r="N503" s="1"/>
      <c r="O503" s="1"/>
      <c r="P503" s="1"/>
      <c r="Q503" s="1"/>
      <c r="R503" s="13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81"/>
      <c r="F504" s="201"/>
      <c r="G504" s="131"/>
      <c r="H504" s="131"/>
      <c r="I504" s="1"/>
      <c r="J504" s="1"/>
      <c r="K504" s="1"/>
      <c r="L504" s="1"/>
      <c r="M504" s="1"/>
      <c r="N504" s="1"/>
      <c r="O504" s="1"/>
      <c r="P504" s="1"/>
      <c r="Q504" s="1"/>
      <c r="R504" s="13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81"/>
      <c r="F505" s="201"/>
      <c r="G505" s="131"/>
      <c r="H505" s="131"/>
      <c r="I505" s="1"/>
      <c r="J505" s="1"/>
      <c r="K505" s="1"/>
      <c r="L505" s="1"/>
      <c r="M505" s="1"/>
      <c r="N505" s="1"/>
      <c r="O505" s="1"/>
      <c r="P505" s="1"/>
      <c r="Q505" s="1"/>
      <c r="R505" s="13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81"/>
      <c r="F506" s="201"/>
      <c r="G506" s="131"/>
      <c r="H506" s="131"/>
      <c r="I506" s="1"/>
      <c r="J506" s="1"/>
      <c r="K506" s="1"/>
      <c r="L506" s="1"/>
      <c r="M506" s="1"/>
      <c r="N506" s="1"/>
      <c r="O506" s="1"/>
      <c r="P506" s="1"/>
      <c r="Q506" s="1"/>
      <c r="R506" s="13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81"/>
      <c r="F507" s="201"/>
      <c r="G507" s="131"/>
      <c r="H507" s="131"/>
      <c r="I507" s="1"/>
      <c r="J507" s="1"/>
      <c r="K507" s="1"/>
      <c r="L507" s="1"/>
      <c r="M507" s="1"/>
      <c r="N507" s="1"/>
      <c r="O507" s="1"/>
      <c r="P507" s="1"/>
      <c r="Q507" s="1"/>
      <c r="R507" s="13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81"/>
      <c r="F508" s="201"/>
      <c r="G508" s="131"/>
      <c r="H508" s="131"/>
      <c r="I508" s="1"/>
      <c r="J508" s="1"/>
      <c r="K508" s="1"/>
      <c r="L508" s="1"/>
      <c r="M508" s="1"/>
      <c r="N508" s="1"/>
      <c r="O508" s="1"/>
      <c r="P508" s="1"/>
      <c r="Q508" s="1"/>
      <c r="R508" s="13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81"/>
      <c r="F509" s="201"/>
      <c r="G509" s="131"/>
      <c r="H509" s="131"/>
      <c r="I509" s="1"/>
      <c r="J509" s="1"/>
      <c r="K509" s="1"/>
      <c r="L509" s="1"/>
      <c r="M509" s="1"/>
      <c r="N509" s="1"/>
      <c r="O509" s="1"/>
      <c r="P509" s="1"/>
      <c r="Q509" s="1"/>
      <c r="R509" s="13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81"/>
      <c r="F510" s="201"/>
      <c r="G510" s="131"/>
      <c r="H510" s="131"/>
      <c r="I510" s="1"/>
      <c r="J510" s="1"/>
      <c r="K510" s="1"/>
      <c r="L510" s="1"/>
      <c r="M510" s="1"/>
      <c r="N510" s="1"/>
      <c r="O510" s="1"/>
      <c r="P510" s="1"/>
      <c r="Q510" s="1"/>
      <c r="R510" s="13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81"/>
      <c r="F511" s="201"/>
      <c r="G511" s="131"/>
      <c r="H511" s="131"/>
      <c r="I511" s="1"/>
      <c r="J511" s="1"/>
      <c r="K511" s="1"/>
      <c r="L511" s="1"/>
      <c r="M511" s="1"/>
      <c r="N511" s="1"/>
      <c r="O511" s="1"/>
      <c r="P511" s="1"/>
      <c r="Q511" s="1"/>
      <c r="R511" s="13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81"/>
      <c r="F512" s="201"/>
      <c r="G512" s="131"/>
      <c r="H512" s="131"/>
      <c r="I512" s="1"/>
      <c r="J512" s="1"/>
      <c r="K512" s="1"/>
      <c r="L512" s="1"/>
      <c r="M512" s="1"/>
      <c r="N512" s="1"/>
      <c r="O512" s="1"/>
      <c r="P512" s="1"/>
      <c r="Q512" s="1"/>
      <c r="R512" s="13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81"/>
      <c r="F513" s="201"/>
      <c r="G513" s="131"/>
      <c r="H513" s="131"/>
      <c r="I513" s="1"/>
      <c r="J513" s="1"/>
      <c r="K513" s="1"/>
      <c r="L513" s="1"/>
      <c r="M513" s="1"/>
      <c r="N513" s="1"/>
      <c r="O513" s="1"/>
      <c r="P513" s="1"/>
      <c r="Q513" s="1"/>
      <c r="R513" s="13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81"/>
      <c r="F514" s="201"/>
      <c r="G514" s="131"/>
      <c r="H514" s="131"/>
      <c r="I514" s="1"/>
      <c r="J514" s="1"/>
      <c r="K514" s="1"/>
      <c r="L514" s="1"/>
      <c r="M514" s="1"/>
      <c r="N514" s="1"/>
      <c r="O514" s="1"/>
      <c r="P514" s="1"/>
      <c r="Q514" s="1"/>
      <c r="R514" s="13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81"/>
      <c r="F515" s="201"/>
      <c r="G515" s="131"/>
      <c r="H515" s="131"/>
      <c r="I515" s="1"/>
      <c r="J515" s="1"/>
      <c r="K515" s="1"/>
      <c r="L515" s="1"/>
      <c r="M515" s="1"/>
      <c r="N515" s="1"/>
      <c r="O515" s="1"/>
      <c r="P515" s="1"/>
      <c r="Q515" s="1"/>
      <c r="R515" s="13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81"/>
      <c r="F516" s="201"/>
      <c r="G516" s="131"/>
      <c r="H516" s="131"/>
      <c r="I516" s="1"/>
      <c r="J516" s="1"/>
      <c r="K516" s="1"/>
      <c r="L516" s="1"/>
      <c r="M516" s="1"/>
      <c r="N516" s="1"/>
      <c r="O516" s="1"/>
      <c r="P516" s="1"/>
      <c r="Q516" s="1"/>
      <c r="R516" s="13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81"/>
      <c r="F517" s="201"/>
      <c r="G517" s="131"/>
      <c r="H517" s="131"/>
      <c r="I517" s="1"/>
      <c r="J517" s="1"/>
      <c r="K517" s="1"/>
      <c r="L517" s="1"/>
      <c r="M517" s="1"/>
      <c r="N517" s="1"/>
      <c r="O517" s="1"/>
      <c r="P517" s="1"/>
      <c r="Q517" s="1"/>
      <c r="R517" s="13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81"/>
      <c r="F518" s="201"/>
      <c r="G518" s="131"/>
      <c r="H518" s="131"/>
      <c r="I518" s="1"/>
      <c r="J518" s="1"/>
      <c r="K518" s="1"/>
      <c r="L518" s="1"/>
      <c r="M518" s="1"/>
      <c r="N518" s="1"/>
      <c r="O518" s="1"/>
      <c r="P518" s="1"/>
      <c r="Q518" s="1"/>
      <c r="R518" s="13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81"/>
      <c r="F519" s="201"/>
      <c r="G519" s="131"/>
      <c r="H519" s="131"/>
      <c r="I519" s="1"/>
      <c r="J519" s="1"/>
      <c r="K519" s="1"/>
      <c r="L519" s="1"/>
      <c r="M519" s="1"/>
      <c r="N519" s="1"/>
      <c r="O519" s="1"/>
      <c r="P519" s="1"/>
      <c r="Q519" s="1"/>
      <c r="R519" s="13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81"/>
      <c r="F520" s="201"/>
      <c r="G520" s="131"/>
      <c r="H520" s="131"/>
      <c r="I520" s="1"/>
      <c r="J520" s="1"/>
      <c r="K520" s="1"/>
      <c r="L520" s="1"/>
      <c r="M520" s="1"/>
      <c r="N520" s="1"/>
      <c r="O520" s="1"/>
      <c r="P520" s="1"/>
      <c r="Q520" s="1"/>
      <c r="R520" s="13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81"/>
      <c r="F521" s="201"/>
      <c r="G521" s="131"/>
      <c r="H521" s="131"/>
      <c r="I521" s="1"/>
      <c r="J521" s="1"/>
      <c r="K521" s="1"/>
      <c r="L521" s="1"/>
      <c r="M521" s="1"/>
      <c r="N521" s="1"/>
      <c r="O521" s="1"/>
      <c r="P521" s="1"/>
      <c r="Q521" s="1"/>
      <c r="R521" s="13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81"/>
      <c r="F522" s="201"/>
      <c r="G522" s="131"/>
      <c r="H522" s="131"/>
      <c r="I522" s="1"/>
      <c r="J522" s="1"/>
      <c r="K522" s="1"/>
      <c r="L522" s="1"/>
      <c r="M522" s="1"/>
      <c r="N522" s="1"/>
      <c r="O522" s="1"/>
      <c r="P522" s="1"/>
      <c r="Q522" s="1"/>
      <c r="R522" s="13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81"/>
      <c r="F523" s="201"/>
      <c r="G523" s="131"/>
      <c r="H523" s="131"/>
      <c r="I523" s="1"/>
      <c r="J523" s="1"/>
      <c r="K523" s="1"/>
      <c r="L523" s="1"/>
      <c r="M523" s="1"/>
      <c r="N523" s="1"/>
      <c r="O523" s="1"/>
      <c r="P523" s="1"/>
      <c r="Q523" s="1"/>
      <c r="R523" s="13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81"/>
      <c r="F524" s="201"/>
      <c r="G524" s="131"/>
      <c r="H524" s="131"/>
      <c r="I524" s="1"/>
      <c r="J524" s="1"/>
      <c r="K524" s="1"/>
      <c r="L524" s="1"/>
      <c r="M524" s="1"/>
      <c r="N524" s="1"/>
      <c r="O524" s="1"/>
      <c r="P524" s="1"/>
      <c r="Q524" s="1"/>
      <c r="R524" s="13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81"/>
      <c r="F525" s="201"/>
      <c r="G525" s="131"/>
      <c r="H525" s="131"/>
      <c r="I525" s="1"/>
      <c r="J525" s="1"/>
      <c r="K525" s="1"/>
      <c r="L525" s="1"/>
      <c r="M525" s="1"/>
      <c r="N525" s="1"/>
      <c r="O525" s="1"/>
      <c r="P525" s="1"/>
      <c r="Q525" s="1"/>
      <c r="R525" s="13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81"/>
      <c r="F526" s="201"/>
      <c r="G526" s="131"/>
      <c r="H526" s="131"/>
      <c r="I526" s="1"/>
      <c r="J526" s="1"/>
      <c r="K526" s="1"/>
      <c r="L526" s="1"/>
      <c r="M526" s="1"/>
      <c r="N526" s="1"/>
      <c r="O526" s="1"/>
      <c r="P526" s="1"/>
      <c r="Q526" s="1"/>
      <c r="R526" s="13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81"/>
      <c r="F527" s="201"/>
      <c r="G527" s="131"/>
      <c r="H527" s="131"/>
      <c r="I527" s="1"/>
      <c r="J527" s="1"/>
      <c r="K527" s="1"/>
      <c r="L527" s="1"/>
      <c r="M527" s="1"/>
      <c r="N527" s="1"/>
      <c r="O527" s="1"/>
      <c r="P527" s="1"/>
      <c r="Q527" s="1"/>
      <c r="R527" s="13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81"/>
      <c r="F528" s="201"/>
      <c r="G528" s="131"/>
      <c r="H528" s="131"/>
      <c r="I528" s="1"/>
      <c r="J528" s="1"/>
      <c r="K528" s="1"/>
      <c r="L528" s="1"/>
      <c r="M528" s="1"/>
      <c r="N528" s="1"/>
      <c r="O528" s="1"/>
      <c r="P528" s="1"/>
      <c r="Q528" s="1"/>
      <c r="R528" s="13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81"/>
      <c r="F529" s="201"/>
      <c r="G529" s="131"/>
      <c r="H529" s="131"/>
      <c r="I529" s="1"/>
      <c r="J529" s="1"/>
      <c r="K529" s="1"/>
      <c r="L529" s="1"/>
      <c r="M529" s="1"/>
      <c r="N529" s="1"/>
      <c r="O529" s="1"/>
      <c r="P529" s="1"/>
      <c r="Q529" s="1"/>
      <c r="R529" s="13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81"/>
      <c r="F530" s="201"/>
      <c r="G530" s="131"/>
      <c r="H530" s="131"/>
      <c r="I530" s="1"/>
      <c r="J530" s="1"/>
      <c r="K530" s="1"/>
      <c r="L530" s="1"/>
      <c r="M530" s="1"/>
      <c r="N530" s="1"/>
      <c r="O530" s="1"/>
      <c r="P530" s="1"/>
      <c r="Q530" s="1"/>
      <c r="R530" s="13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81"/>
      <c r="F531" s="201"/>
      <c r="G531" s="131"/>
      <c r="H531" s="131"/>
      <c r="I531" s="1"/>
      <c r="J531" s="1"/>
      <c r="K531" s="1"/>
      <c r="L531" s="1"/>
      <c r="M531" s="1"/>
      <c r="N531" s="1"/>
      <c r="O531" s="1"/>
      <c r="P531" s="1"/>
      <c r="Q531" s="1"/>
      <c r="R531" s="13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81"/>
      <c r="F532" s="201"/>
      <c r="G532" s="131"/>
      <c r="H532" s="131"/>
      <c r="I532" s="1"/>
      <c r="J532" s="1"/>
      <c r="K532" s="1"/>
      <c r="L532" s="1"/>
      <c r="M532" s="1"/>
      <c r="N532" s="1"/>
      <c r="O532" s="1"/>
      <c r="P532" s="1"/>
      <c r="Q532" s="1"/>
      <c r="R532" s="13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81"/>
      <c r="F533" s="201"/>
      <c r="G533" s="131"/>
      <c r="H533" s="131"/>
      <c r="I533" s="1"/>
      <c r="J533" s="1"/>
      <c r="K533" s="1"/>
      <c r="L533" s="1"/>
      <c r="M533" s="1"/>
      <c r="N533" s="1"/>
      <c r="O533" s="1"/>
      <c r="P533" s="1"/>
      <c r="Q533" s="1"/>
      <c r="R533" s="13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81"/>
      <c r="F534" s="201"/>
      <c r="G534" s="131"/>
      <c r="H534" s="131"/>
      <c r="I534" s="1"/>
      <c r="J534" s="1"/>
      <c r="K534" s="1"/>
      <c r="L534" s="1"/>
      <c r="M534" s="1"/>
      <c r="N534" s="1"/>
      <c r="O534" s="1"/>
      <c r="P534" s="1"/>
      <c r="Q534" s="1"/>
      <c r="R534" s="13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81"/>
      <c r="F535" s="201"/>
      <c r="G535" s="131"/>
      <c r="H535" s="131"/>
      <c r="I535" s="1"/>
      <c r="J535" s="1"/>
      <c r="K535" s="1"/>
      <c r="L535" s="1"/>
      <c r="M535" s="1"/>
      <c r="N535" s="1"/>
      <c r="O535" s="1"/>
      <c r="P535" s="1"/>
      <c r="Q535" s="1"/>
      <c r="R535" s="13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81"/>
      <c r="F536" s="201"/>
      <c r="G536" s="131"/>
      <c r="H536" s="131"/>
      <c r="I536" s="1"/>
      <c r="J536" s="1"/>
      <c r="K536" s="1"/>
      <c r="L536" s="1"/>
      <c r="M536" s="1"/>
      <c r="N536" s="1"/>
      <c r="O536" s="1"/>
      <c r="P536" s="1"/>
      <c r="Q536" s="1"/>
      <c r="R536" s="13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81"/>
      <c r="F537" s="201"/>
      <c r="G537" s="131"/>
      <c r="H537" s="131"/>
      <c r="I537" s="1"/>
      <c r="J537" s="1"/>
      <c r="K537" s="1"/>
      <c r="L537" s="1"/>
      <c r="M537" s="1"/>
      <c r="N537" s="1"/>
      <c r="O537" s="1"/>
      <c r="P537" s="1"/>
      <c r="Q537" s="1"/>
      <c r="R537" s="13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81"/>
      <c r="F538" s="201"/>
      <c r="G538" s="131"/>
      <c r="H538" s="131"/>
      <c r="I538" s="1"/>
      <c r="J538" s="1"/>
      <c r="K538" s="1"/>
      <c r="L538" s="1"/>
      <c r="M538" s="1"/>
      <c r="N538" s="1"/>
      <c r="O538" s="1"/>
      <c r="P538" s="1"/>
      <c r="Q538" s="1"/>
      <c r="R538" s="13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81"/>
      <c r="F539" s="201"/>
      <c r="G539" s="131"/>
      <c r="H539" s="131"/>
      <c r="I539" s="1"/>
      <c r="J539" s="1"/>
      <c r="K539" s="1"/>
      <c r="L539" s="1"/>
      <c r="M539" s="1"/>
      <c r="N539" s="1"/>
      <c r="O539" s="1"/>
      <c r="P539" s="1"/>
      <c r="Q539" s="1"/>
      <c r="R539" s="13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81"/>
      <c r="F540" s="201"/>
      <c r="G540" s="131"/>
      <c r="H540" s="131"/>
      <c r="I540" s="1"/>
      <c r="J540" s="1"/>
      <c r="K540" s="1"/>
      <c r="L540" s="1"/>
      <c r="M540" s="1"/>
      <c r="N540" s="1"/>
      <c r="O540" s="1"/>
      <c r="P540" s="1"/>
      <c r="Q540" s="1"/>
      <c r="R540" s="13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81"/>
      <c r="F541" s="201"/>
      <c r="G541" s="131"/>
      <c r="H541" s="131"/>
      <c r="I541" s="1"/>
      <c r="J541" s="1"/>
      <c r="K541" s="1"/>
      <c r="L541" s="1"/>
      <c r="M541" s="1"/>
      <c r="N541" s="1"/>
      <c r="O541" s="1"/>
      <c r="P541" s="1"/>
      <c r="Q541" s="1"/>
      <c r="R541" s="13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81"/>
      <c r="F542" s="201"/>
      <c r="G542" s="131"/>
      <c r="H542" s="131"/>
      <c r="I542" s="1"/>
      <c r="J542" s="1"/>
      <c r="K542" s="1"/>
      <c r="L542" s="1"/>
      <c r="M542" s="1"/>
      <c r="N542" s="1"/>
      <c r="O542" s="1"/>
      <c r="P542" s="1"/>
      <c r="Q542" s="1"/>
      <c r="R542" s="13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81"/>
      <c r="F543" s="201"/>
      <c r="G543" s="131"/>
      <c r="H543" s="131"/>
      <c r="I543" s="1"/>
      <c r="J543" s="1"/>
      <c r="K543" s="1"/>
      <c r="L543" s="1"/>
      <c r="M543" s="1"/>
      <c r="N543" s="1"/>
      <c r="O543" s="1"/>
      <c r="P543" s="1"/>
      <c r="Q543" s="1"/>
      <c r="R543" s="13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81"/>
      <c r="F544" s="201"/>
      <c r="G544" s="131"/>
      <c r="H544" s="131"/>
      <c r="I544" s="1"/>
      <c r="J544" s="1"/>
      <c r="K544" s="1"/>
      <c r="L544" s="1"/>
      <c r="M544" s="1"/>
      <c r="N544" s="1"/>
      <c r="O544" s="1"/>
      <c r="P544" s="1"/>
      <c r="Q544" s="1"/>
      <c r="R544" s="13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81"/>
      <c r="F545" s="201"/>
      <c r="G545" s="131"/>
      <c r="H545" s="131"/>
      <c r="I545" s="1"/>
      <c r="J545" s="1"/>
      <c r="K545" s="1"/>
      <c r="L545" s="1"/>
      <c r="M545" s="1"/>
      <c r="N545" s="1"/>
      <c r="O545" s="1"/>
      <c r="P545" s="1"/>
      <c r="Q545" s="1"/>
      <c r="R545" s="13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81"/>
      <c r="F546" s="201"/>
      <c r="G546" s="131"/>
      <c r="H546" s="131"/>
      <c r="I546" s="1"/>
      <c r="J546" s="1"/>
      <c r="K546" s="1"/>
      <c r="L546" s="1"/>
      <c r="M546" s="1"/>
      <c r="N546" s="1"/>
      <c r="O546" s="1"/>
      <c r="P546" s="1"/>
      <c r="Q546" s="1"/>
      <c r="R546" s="13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81"/>
      <c r="F547" s="201"/>
      <c r="G547" s="131"/>
      <c r="H547" s="131"/>
      <c r="I547" s="1"/>
      <c r="J547" s="1"/>
      <c r="K547" s="1"/>
      <c r="L547" s="1"/>
      <c r="M547" s="1"/>
      <c r="N547" s="1"/>
      <c r="O547" s="1"/>
      <c r="P547" s="1"/>
      <c r="Q547" s="1"/>
      <c r="R547" s="13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81"/>
      <c r="F548" s="201"/>
      <c r="G548" s="131"/>
      <c r="H548" s="131"/>
      <c r="I548" s="1"/>
      <c r="J548" s="1"/>
      <c r="K548" s="1"/>
      <c r="L548" s="1"/>
      <c r="M548" s="1"/>
      <c r="N548" s="1"/>
      <c r="O548" s="1"/>
      <c r="P548" s="1"/>
      <c r="Q548" s="1"/>
      <c r="R548" s="13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81"/>
      <c r="F549" s="201"/>
      <c r="G549" s="131"/>
      <c r="H549" s="131"/>
      <c r="I549" s="1"/>
      <c r="J549" s="1"/>
      <c r="K549" s="1"/>
      <c r="L549" s="1"/>
      <c r="M549" s="1"/>
      <c r="N549" s="1"/>
      <c r="O549" s="1"/>
      <c r="P549" s="1"/>
      <c r="Q549" s="1"/>
      <c r="R549" s="13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81"/>
      <c r="F550" s="201"/>
      <c r="G550" s="131"/>
      <c r="H550" s="131"/>
      <c r="I550" s="1"/>
      <c r="J550" s="1"/>
      <c r="K550" s="1"/>
      <c r="L550" s="1"/>
      <c r="M550" s="1"/>
      <c r="N550" s="1"/>
      <c r="O550" s="1"/>
      <c r="P550" s="1"/>
      <c r="Q550" s="1"/>
      <c r="R550" s="13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81"/>
      <c r="F551" s="201"/>
      <c r="G551" s="131"/>
      <c r="H551" s="131"/>
      <c r="I551" s="1"/>
      <c r="J551" s="1"/>
      <c r="K551" s="1"/>
      <c r="L551" s="1"/>
      <c r="M551" s="1"/>
      <c r="N551" s="1"/>
      <c r="O551" s="1"/>
      <c r="P551" s="1"/>
      <c r="Q551" s="1"/>
      <c r="R551" s="13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81"/>
      <c r="F552" s="201"/>
      <c r="G552" s="131"/>
      <c r="H552" s="131"/>
      <c r="I552" s="1"/>
      <c r="J552" s="1"/>
      <c r="K552" s="1"/>
      <c r="L552" s="1"/>
      <c r="M552" s="1"/>
      <c r="N552" s="1"/>
      <c r="O552" s="1"/>
      <c r="P552" s="1"/>
      <c r="Q552" s="1"/>
      <c r="R552" s="13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81"/>
      <c r="F553" s="201"/>
      <c r="G553" s="131"/>
      <c r="H553" s="131"/>
      <c r="I553" s="1"/>
      <c r="J553" s="1"/>
      <c r="K553" s="1"/>
      <c r="L553" s="1"/>
      <c r="M553" s="1"/>
      <c r="N553" s="1"/>
      <c r="O553" s="1"/>
      <c r="P553" s="1"/>
      <c r="Q553" s="1"/>
      <c r="R553" s="13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81"/>
      <c r="F554" s="201"/>
      <c r="G554" s="131"/>
      <c r="H554" s="131"/>
      <c r="I554" s="1"/>
      <c r="J554" s="1"/>
      <c r="K554" s="1"/>
      <c r="L554" s="1"/>
      <c r="M554" s="1"/>
      <c r="N554" s="1"/>
      <c r="O554" s="1"/>
      <c r="P554" s="1"/>
      <c r="Q554" s="1"/>
      <c r="R554" s="13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81"/>
      <c r="F555" s="201"/>
      <c r="G555" s="131"/>
      <c r="H555" s="131"/>
      <c r="I555" s="1"/>
      <c r="J555" s="1"/>
      <c r="K555" s="1"/>
      <c r="L555" s="1"/>
      <c r="M555" s="1"/>
      <c r="N555" s="1"/>
      <c r="O555" s="1"/>
      <c r="P555" s="1"/>
      <c r="Q555" s="1"/>
      <c r="R555" s="13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81"/>
      <c r="F556" s="201"/>
      <c r="G556" s="131"/>
      <c r="H556" s="131"/>
      <c r="I556" s="1"/>
      <c r="J556" s="1"/>
      <c r="K556" s="1"/>
      <c r="L556" s="1"/>
      <c r="M556" s="1"/>
      <c r="N556" s="1"/>
      <c r="O556" s="1"/>
      <c r="P556" s="1"/>
      <c r="Q556" s="1"/>
      <c r="R556" s="13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81"/>
      <c r="F557" s="201"/>
      <c r="G557" s="131"/>
      <c r="H557" s="131"/>
      <c r="I557" s="1"/>
      <c r="J557" s="1"/>
      <c r="K557" s="1"/>
      <c r="L557" s="1"/>
      <c r="M557" s="1"/>
      <c r="N557" s="1"/>
      <c r="O557" s="1"/>
      <c r="P557" s="1"/>
      <c r="Q557" s="1"/>
      <c r="R557" s="13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81"/>
      <c r="F558" s="201"/>
      <c r="G558" s="131"/>
      <c r="H558" s="131"/>
      <c r="I558" s="1"/>
      <c r="J558" s="1"/>
      <c r="K558" s="1"/>
      <c r="L558" s="1"/>
      <c r="M558" s="1"/>
      <c r="N558" s="1"/>
      <c r="O558" s="1"/>
      <c r="P558" s="1"/>
      <c r="Q558" s="1"/>
      <c r="R558" s="13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81"/>
      <c r="F559" s="201"/>
      <c r="G559" s="131"/>
      <c r="H559" s="131"/>
      <c r="I559" s="1"/>
      <c r="J559" s="1"/>
      <c r="K559" s="1"/>
      <c r="L559" s="1"/>
      <c r="M559" s="1"/>
      <c r="N559" s="1"/>
      <c r="O559" s="1"/>
      <c r="P559" s="1"/>
      <c r="Q559" s="1"/>
      <c r="R559" s="13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81"/>
      <c r="F560" s="201"/>
      <c r="G560" s="131"/>
      <c r="H560" s="131"/>
      <c r="I560" s="1"/>
      <c r="J560" s="1"/>
      <c r="K560" s="1"/>
      <c r="L560" s="1"/>
      <c r="M560" s="1"/>
      <c r="N560" s="1"/>
      <c r="O560" s="1"/>
      <c r="P560" s="1"/>
      <c r="Q560" s="1"/>
      <c r="R560" s="13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81"/>
      <c r="F561" s="201"/>
      <c r="G561" s="131"/>
      <c r="H561" s="131"/>
      <c r="I561" s="1"/>
      <c r="J561" s="1"/>
      <c r="K561" s="1"/>
      <c r="L561" s="1"/>
      <c r="M561" s="1"/>
      <c r="N561" s="1"/>
      <c r="O561" s="1"/>
      <c r="P561" s="1"/>
      <c r="Q561" s="1"/>
      <c r="R561" s="13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81"/>
      <c r="F562" s="201"/>
      <c r="G562" s="131"/>
      <c r="H562" s="131"/>
      <c r="I562" s="1"/>
      <c r="J562" s="1"/>
      <c r="K562" s="1"/>
      <c r="L562" s="1"/>
      <c r="M562" s="1"/>
      <c r="N562" s="1"/>
      <c r="O562" s="1"/>
      <c r="P562" s="1"/>
      <c r="Q562" s="1"/>
      <c r="R562" s="13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81"/>
      <c r="F563" s="201"/>
      <c r="G563" s="131"/>
      <c r="H563" s="131"/>
      <c r="I563" s="1"/>
      <c r="J563" s="1"/>
      <c r="K563" s="1"/>
      <c r="L563" s="1"/>
      <c r="M563" s="1"/>
      <c r="N563" s="1"/>
      <c r="O563" s="1"/>
      <c r="P563" s="1"/>
      <c r="Q563" s="1"/>
      <c r="R563" s="13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81"/>
      <c r="F564" s="201"/>
      <c r="G564" s="131"/>
      <c r="H564" s="131"/>
      <c r="I564" s="1"/>
      <c r="J564" s="1"/>
      <c r="K564" s="1"/>
      <c r="L564" s="1"/>
      <c r="M564" s="1"/>
      <c r="N564" s="1"/>
      <c r="O564" s="1"/>
      <c r="P564" s="1"/>
      <c r="Q564" s="1"/>
      <c r="R564" s="13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81"/>
      <c r="F565" s="201"/>
      <c r="G565" s="131"/>
      <c r="H565" s="131"/>
      <c r="I565" s="1"/>
      <c r="J565" s="1"/>
      <c r="K565" s="1"/>
      <c r="L565" s="1"/>
      <c r="M565" s="1"/>
      <c r="N565" s="1"/>
      <c r="O565" s="1"/>
      <c r="P565" s="1"/>
      <c r="Q565" s="1"/>
      <c r="R565" s="13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81"/>
      <c r="F566" s="201"/>
      <c r="G566" s="131"/>
      <c r="H566" s="131"/>
      <c r="I566" s="1"/>
      <c r="J566" s="1"/>
      <c r="K566" s="1"/>
      <c r="L566" s="1"/>
      <c r="M566" s="1"/>
      <c r="N566" s="1"/>
      <c r="O566" s="1"/>
      <c r="P566" s="1"/>
      <c r="Q566" s="1"/>
      <c r="R566" s="13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81"/>
      <c r="F567" s="201"/>
      <c r="G567" s="131"/>
      <c r="H567" s="131"/>
      <c r="I567" s="1"/>
      <c r="J567" s="1"/>
      <c r="K567" s="1"/>
      <c r="L567" s="1"/>
      <c r="M567" s="1"/>
      <c r="N567" s="1"/>
      <c r="O567" s="1"/>
      <c r="P567" s="1"/>
      <c r="Q567" s="1"/>
      <c r="R567" s="13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81"/>
      <c r="F568" s="201"/>
      <c r="G568" s="131"/>
      <c r="H568" s="131"/>
      <c r="I568" s="1"/>
      <c r="J568" s="1"/>
      <c r="K568" s="1"/>
      <c r="L568" s="1"/>
      <c r="M568" s="1"/>
      <c r="N568" s="1"/>
      <c r="O568" s="1"/>
      <c r="P568" s="1"/>
      <c r="Q568" s="1"/>
      <c r="R568" s="13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81"/>
      <c r="F569" s="201"/>
      <c r="G569" s="131"/>
      <c r="H569" s="131"/>
      <c r="I569" s="1"/>
      <c r="J569" s="1"/>
      <c r="K569" s="1"/>
      <c r="L569" s="1"/>
      <c r="M569" s="1"/>
      <c r="N569" s="1"/>
      <c r="O569" s="1"/>
      <c r="P569" s="1"/>
      <c r="Q569" s="1"/>
      <c r="R569" s="13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81"/>
      <c r="F570" s="201"/>
      <c r="G570" s="131"/>
      <c r="H570" s="131"/>
      <c r="I570" s="1"/>
      <c r="J570" s="1"/>
      <c r="K570" s="1"/>
      <c r="L570" s="1"/>
      <c r="M570" s="1"/>
      <c r="N570" s="1"/>
      <c r="O570" s="1"/>
      <c r="P570" s="1"/>
      <c r="Q570" s="1"/>
      <c r="R570" s="13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81"/>
      <c r="F571" s="201"/>
      <c r="G571" s="131"/>
      <c r="H571" s="131"/>
      <c r="I571" s="1"/>
      <c r="J571" s="1"/>
      <c r="K571" s="1"/>
      <c r="L571" s="1"/>
      <c r="M571" s="1"/>
      <c r="N571" s="1"/>
      <c r="O571" s="1"/>
      <c r="P571" s="1"/>
      <c r="Q571" s="1"/>
      <c r="R571" s="13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81"/>
      <c r="F572" s="201"/>
      <c r="G572" s="131"/>
      <c r="H572" s="131"/>
      <c r="I572" s="1"/>
      <c r="J572" s="1"/>
      <c r="K572" s="1"/>
      <c r="L572" s="1"/>
      <c r="M572" s="1"/>
      <c r="N572" s="1"/>
      <c r="O572" s="1"/>
      <c r="P572" s="1"/>
      <c r="Q572" s="1"/>
      <c r="R572" s="13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81"/>
      <c r="F573" s="201"/>
      <c r="G573" s="131"/>
      <c r="H573" s="131"/>
      <c r="I573" s="1"/>
      <c r="J573" s="1"/>
      <c r="K573" s="1"/>
      <c r="L573" s="1"/>
      <c r="M573" s="1"/>
      <c r="N573" s="1"/>
      <c r="O573" s="1"/>
      <c r="P573" s="1"/>
      <c r="Q573" s="1"/>
      <c r="R573" s="13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81"/>
      <c r="F574" s="201"/>
      <c r="G574" s="131"/>
      <c r="H574" s="131"/>
      <c r="I574" s="1"/>
      <c r="J574" s="1"/>
      <c r="K574" s="1"/>
      <c r="L574" s="1"/>
      <c r="M574" s="1"/>
      <c r="N574" s="1"/>
      <c r="O574" s="1"/>
      <c r="P574" s="1"/>
      <c r="Q574" s="1"/>
      <c r="R574" s="13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81"/>
      <c r="F575" s="201"/>
      <c r="G575" s="131"/>
      <c r="H575" s="131"/>
      <c r="I575" s="1"/>
      <c r="J575" s="1"/>
      <c r="K575" s="1"/>
      <c r="L575" s="1"/>
      <c r="M575" s="1"/>
      <c r="N575" s="1"/>
      <c r="O575" s="1"/>
      <c r="P575" s="1"/>
      <c r="Q575" s="1"/>
      <c r="R575" s="13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81"/>
      <c r="F576" s="201"/>
      <c r="G576" s="131"/>
      <c r="H576" s="131"/>
      <c r="I576" s="1"/>
      <c r="J576" s="1"/>
      <c r="K576" s="1"/>
      <c r="L576" s="1"/>
      <c r="M576" s="1"/>
      <c r="N576" s="1"/>
      <c r="O576" s="1"/>
      <c r="P576" s="1"/>
      <c r="Q576" s="1"/>
      <c r="R576" s="13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81"/>
      <c r="F577" s="201"/>
      <c r="G577" s="131"/>
      <c r="H577" s="131"/>
      <c r="I577" s="1"/>
      <c r="J577" s="1"/>
      <c r="K577" s="1"/>
      <c r="L577" s="1"/>
      <c r="M577" s="1"/>
      <c r="N577" s="1"/>
      <c r="O577" s="1"/>
      <c r="P577" s="1"/>
      <c r="Q577" s="1"/>
      <c r="R577" s="13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81"/>
      <c r="F578" s="201"/>
      <c r="G578" s="131"/>
      <c r="H578" s="131"/>
      <c r="I578" s="1"/>
      <c r="J578" s="1"/>
      <c r="K578" s="1"/>
      <c r="L578" s="1"/>
      <c r="M578" s="1"/>
      <c r="N578" s="1"/>
      <c r="O578" s="1"/>
      <c r="P578" s="1"/>
      <c r="Q578" s="1"/>
      <c r="R578" s="13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81"/>
      <c r="F579" s="201"/>
      <c r="G579" s="131"/>
      <c r="H579" s="131"/>
      <c r="I579" s="1"/>
      <c r="J579" s="1"/>
      <c r="K579" s="1"/>
      <c r="L579" s="1"/>
      <c r="M579" s="1"/>
      <c r="N579" s="1"/>
      <c r="O579" s="1"/>
      <c r="P579" s="1"/>
      <c r="Q579" s="1"/>
      <c r="R579" s="13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81"/>
      <c r="F580" s="201"/>
      <c r="G580" s="131"/>
      <c r="H580" s="131"/>
      <c r="I580" s="1"/>
      <c r="J580" s="1"/>
      <c r="K580" s="1"/>
      <c r="L580" s="1"/>
      <c r="M580" s="1"/>
      <c r="N580" s="1"/>
      <c r="O580" s="1"/>
      <c r="P580" s="1"/>
      <c r="Q580" s="1"/>
      <c r="R580" s="13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81"/>
      <c r="F581" s="201"/>
      <c r="G581" s="131"/>
      <c r="H581" s="131"/>
      <c r="I581" s="1"/>
      <c r="J581" s="1"/>
      <c r="K581" s="1"/>
      <c r="L581" s="1"/>
      <c r="M581" s="1"/>
      <c r="N581" s="1"/>
      <c r="O581" s="1"/>
      <c r="P581" s="1"/>
      <c r="Q581" s="1"/>
      <c r="R581" s="13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81"/>
      <c r="F582" s="201"/>
      <c r="G582" s="131"/>
      <c r="H582" s="131"/>
      <c r="I582" s="1"/>
      <c r="J582" s="1"/>
      <c r="K582" s="1"/>
      <c r="L582" s="1"/>
      <c r="M582" s="1"/>
      <c r="N582" s="1"/>
      <c r="O582" s="1"/>
      <c r="P582" s="1"/>
      <c r="Q582" s="1"/>
      <c r="R582" s="13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81"/>
      <c r="F583" s="201"/>
      <c r="G583" s="131"/>
      <c r="H583" s="131"/>
      <c r="I583" s="1"/>
      <c r="J583" s="1"/>
      <c r="K583" s="1"/>
      <c r="L583" s="1"/>
      <c r="M583" s="1"/>
      <c r="N583" s="1"/>
      <c r="O583" s="1"/>
      <c r="P583" s="1"/>
      <c r="Q583" s="1"/>
      <c r="R583" s="13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81"/>
      <c r="F584" s="201"/>
      <c r="G584" s="131"/>
      <c r="H584" s="131"/>
      <c r="I584" s="1"/>
      <c r="J584" s="1"/>
      <c r="K584" s="1"/>
      <c r="L584" s="1"/>
      <c r="M584" s="1"/>
      <c r="N584" s="1"/>
      <c r="O584" s="1"/>
      <c r="P584" s="1"/>
      <c r="Q584" s="1"/>
      <c r="R584" s="13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81"/>
      <c r="F585" s="201"/>
      <c r="G585" s="131"/>
      <c r="H585" s="131"/>
      <c r="I585" s="1"/>
      <c r="J585" s="1"/>
      <c r="K585" s="1"/>
      <c r="L585" s="1"/>
      <c r="M585" s="1"/>
      <c r="N585" s="1"/>
      <c r="O585" s="1"/>
      <c r="P585" s="1"/>
      <c r="Q585" s="1"/>
      <c r="R585" s="13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81"/>
      <c r="F586" s="201"/>
      <c r="G586" s="131"/>
      <c r="H586" s="131"/>
      <c r="I586" s="1"/>
      <c r="J586" s="1"/>
      <c r="K586" s="1"/>
      <c r="L586" s="1"/>
      <c r="M586" s="1"/>
      <c r="N586" s="1"/>
      <c r="O586" s="1"/>
      <c r="P586" s="1"/>
      <c r="Q586" s="1"/>
      <c r="R586" s="13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81"/>
      <c r="F587" s="201"/>
      <c r="G587" s="131"/>
      <c r="H587" s="131"/>
      <c r="I587" s="1"/>
      <c r="J587" s="1"/>
      <c r="K587" s="1"/>
      <c r="L587" s="1"/>
      <c r="M587" s="1"/>
      <c r="N587" s="1"/>
      <c r="O587" s="1"/>
      <c r="P587" s="1"/>
      <c r="Q587" s="1"/>
      <c r="R587" s="13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81"/>
      <c r="F588" s="201"/>
      <c r="G588" s="131"/>
      <c r="H588" s="131"/>
      <c r="I588" s="1"/>
      <c r="J588" s="1"/>
      <c r="K588" s="1"/>
      <c r="L588" s="1"/>
      <c r="M588" s="1"/>
      <c r="N588" s="1"/>
      <c r="O588" s="1"/>
      <c r="P588" s="1"/>
      <c r="Q588" s="1"/>
      <c r="R588" s="13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81"/>
      <c r="F589" s="201"/>
      <c r="G589" s="131"/>
      <c r="H589" s="131"/>
      <c r="I589" s="1"/>
      <c r="J589" s="1"/>
      <c r="K589" s="1"/>
      <c r="L589" s="1"/>
      <c r="M589" s="1"/>
      <c r="N589" s="1"/>
      <c r="O589" s="1"/>
      <c r="P589" s="1"/>
      <c r="Q589" s="1"/>
      <c r="R589" s="13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81"/>
      <c r="F590" s="201"/>
      <c r="G590" s="131"/>
      <c r="H590" s="131"/>
      <c r="I590" s="1"/>
      <c r="J590" s="1"/>
      <c r="K590" s="1"/>
      <c r="L590" s="1"/>
      <c r="M590" s="1"/>
      <c r="N590" s="1"/>
      <c r="O590" s="1"/>
      <c r="P590" s="1"/>
      <c r="Q590" s="1"/>
      <c r="R590" s="13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81"/>
      <c r="F591" s="201"/>
      <c r="G591" s="131"/>
      <c r="H591" s="131"/>
      <c r="I591" s="1"/>
      <c r="J591" s="1"/>
      <c r="K591" s="1"/>
      <c r="L591" s="1"/>
      <c r="M591" s="1"/>
      <c r="N591" s="1"/>
      <c r="O591" s="1"/>
      <c r="P591" s="1"/>
      <c r="Q591" s="1"/>
      <c r="R591" s="13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81"/>
      <c r="F592" s="201"/>
      <c r="G592" s="131"/>
      <c r="H592" s="131"/>
      <c r="I592" s="1"/>
      <c r="J592" s="1"/>
      <c r="K592" s="1"/>
      <c r="L592" s="1"/>
      <c r="M592" s="1"/>
      <c r="N592" s="1"/>
      <c r="O592" s="1"/>
      <c r="P592" s="1"/>
      <c r="Q592" s="1"/>
      <c r="R592" s="13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81"/>
      <c r="F593" s="201"/>
      <c r="G593" s="131"/>
      <c r="H593" s="131"/>
      <c r="I593" s="1"/>
      <c r="J593" s="1"/>
      <c r="K593" s="1"/>
      <c r="L593" s="1"/>
      <c r="M593" s="1"/>
      <c r="N593" s="1"/>
      <c r="O593" s="1"/>
      <c r="P593" s="1"/>
      <c r="Q593" s="1"/>
      <c r="R593" s="13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81"/>
      <c r="F594" s="201"/>
      <c r="G594" s="131"/>
      <c r="H594" s="131"/>
      <c r="I594" s="1"/>
      <c r="J594" s="1"/>
      <c r="K594" s="1"/>
      <c r="L594" s="1"/>
      <c r="M594" s="1"/>
      <c r="N594" s="1"/>
      <c r="O594" s="1"/>
      <c r="P594" s="1"/>
      <c r="Q594" s="1"/>
      <c r="R594" s="13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81"/>
      <c r="F595" s="201"/>
      <c r="G595" s="131"/>
      <c r="H595" s="131"/>
      <c r="I595" s="1"/>
      <c r="J595" s="1"/>
      <c r="K595" s="1"/>
      <c r="L595" s="1"/>
      <c r="M595" s="1"/>
      <c r="N595" s="1"/>
      <c r="O595" s="1"/>
      <c r="P595" s="1"/>
      <c r="Q595" s="1"/>
      <c r="R595" s="13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81"/>
      <c r="F596" s="201"/>
      <c r="G596" s="131"/>
      <c r="H596" s="131"/>
      <c r="I596" s="1"/>
      <c r="J596" s="1"/>
      <c r="K596" s="1"/>
      <c r="L596" s="1"/>
      <c r="M596" s="1"/>
      <c r="N596" s="1"/>
      <c r="O596" s="1"/>
      <c r="P596" s="1"/>
      <c r="Q596" s="1"/>
      <c r="R596" s="13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81"/>
      <c r="F597" s="201"/>
      <c r="G597" s="131"/>
      <c r="H597" s="131"/>
      <c r="I597" s="1"/>
      <c r="J597" s="1"/>
      <c r="K597" s="1"/>
      <c r="L597" s="1"/>
      <c r="M597" s="1"/>
      <c r="N597" s="1"/>
      <c r="O597" s="1"/>
      <c r="P597" s="1"/>
      <c r="Q597" s="1"/>
      <c r="R597" s="13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81"/>
      <c r="F598" s="201"/>
      <c r="G598" s="131"/>
      <c r="H598" s="131"/>
      <c r="I598" s="1"/>
      <c r="J598" s="1"/>
      <c r="K598" s="1"/>
      <c r="L598" s="1"/>
      <c r="M598" s="1"/>
      <c r="N598" s="1"/>
      <c r="O598" s="1"/>
      <c r="P598" s="1"/>
      <c r="Q598" s="1"/>
      <c r="R598" s="13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81"/>
      <c r="F599" s="201"/>
      <c r="G599" s="131"/>
      <c r="H599" s="131"/>
      <c r="I599" s="1"/>
      <c r="J599" s="1"/>
      <c r="K599" s="1"/>
      <c r="L599" s="1"/>
      <c r="M599" s="1"/>
      <c r="N599" s="1"/>
      <c r="O599" s="1"/>
      <c r="P599" s="1"/>
      <c r="Q599" s="1"/>
      <c r="R599" s="13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81"/>
      <c r="F600" s="201"/>
      <c r="G600" s="131"/>
      <c r="H600" s="131"/>
      <c r="I600" s="1"/>
      <c r="J600" s="1"/>
      <c r="K600" s="1"/>
      <c r="L600" s="1"/>
      <c r="M600" s="1"/>
      <c r="N600" s="1"/>
      <c r="O600" s="1"/>
      <c r="P600" s="1"/>
      <c r="Q600" s="1"/>
      <c r="R600" s="13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81"/>
      <c r="F601" s="201"/>
      <c r="G601" s="131"/>
      <c r="H601" s="131"/>
      <c r="I601" s="1"/>
      <c r="J601" s="1"/>
      <c r="K601" s="1"/>
      <c r="L601" s="1"/>
      <c r="M601" s="1"/>
      <c r="N601" s="1"/>
      <c r="O601" s="1"/>
      <c r="P601" s="1"/>
      <c r="Q601" s="1"/>
      <c r="R601" s="13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81"/>
      <c r="F602" s="201"/>
      <c r="G602" s="131"/>
      <c r="H602" s="131"/>
      <c r="I602" s="1"/>
      <c r="J602" s="1"/>
      <c r="K602" s="1"/>
      <c r="L602" s="1"/>
      <c r="M602" s="1"/>
      <c r="N602" s="1"/>
      <c r="O602" s="1"/>
      <c r="P602" s="1"/>
      <c r="Q602" s="1"/>
      <c r="R602" s="13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81"/>
      <c r="F603" s="201"/>
      <c r="G603" s="131"/>
      <c r="H603" s="131"/>
      <c r="I603" s="1"/>
      <c r="J603" s="1"/>
      <c r="K603" s="1"/>
      <c r="L603" s="1"/>
      <c r="M603" s="1"/>
      <c r="N603" s="1"/>
      <c r="O603" s="1"/>
      <c r="P603" s="1"/>
      <c r="Q603" s="1"/>
      <c r="R603" s="13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81"/>
      <c r="F604" s="201"/>
      <c r="G604" s="131"/>
      <c r="H604" s="131"/>
      <c r="I604" s="1"/>
      <c r="J604" s="1"/>
      <c r="K604" s="1"/>
      <c r="L604" s="1"/>
      <c r="M604" s="1"/>
      <c r="N604" s="1"/>
      <c r="O604" s="1"/>
      <c r="P604" s="1"/>
      <c r="Q604" s="1"/>
      <c r="R604" s="13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81"/>
      <c r="F605" s="201"/>
      <c r="G605" s="131"/>
      <c r="H605" s="131"/>
      <c r="I605" s="1"/>
      <c r="J605" s="1"/>
      <c r="K605" s="1"/>
      <c r="L605" s="1"/>
      <c r="M605" s="1"/>
      <c r="N605" s="1"/>
      <c r="O605" s="1"/>
      <c r="P605" s="1"/>
      <c r="Q605" s="1"/>
      <c r="R605" s="13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81"/>
      <c r="F606" s="201"/>
      <c r="G606" s="131"/>
      <c r="H606" s="131"/>
      <c r="I606" s="1"/>
      <c r="J606" s="1"/>
      <c r="K606" s="1"/>
      <c r="L606" s="1"/>
      <c r="M606" s="1"/>
      <c r="N606" s="1"/>
      <c r="O606" s="1"/>
      <c r="P606" s="1"/>
      <c r="Q606" s="1"/>
      <c r="R606" s="13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81"/>
      <c r="F607" s="201"/>
      <c r="G607" s="131"/>
      <c r="H607" s="131"/>
      <c r="I607" s="1"/>
      <c r="J607" s="1"/>
      <c r="K607" s="1"/>
      <c r="L607" s="1"/>
      <c r="M607" s="1"/>
      <c r="N607" s="1"/>
      <c r="O607" s="1"/>
      <c r="P607" s="1"/>
      <c r="Q607" s="1"/>
      <c r="R607" s="13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81"/>
      <c r="F608" s="201"/>
      <c r="G608" s="131"/>
      <c r="H608" s="131"/>
      <c r="I608" s="1"/>
      <c r="J608" s="1"/>
      <c r="K608" s="1"/>
      <c r="L608" s="1"/>
      <c r="M608" s="1"/>
      <c r="N608" s="1"/>
      <c r="O608" s="1"/>
      <c r="P608" s="1"/>
      <c r="Q608" s="1"/>
      <c r="R608" s="13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81"/>
      <c r="F609" s="201"/>
      <c r="G609" s="131"/>
      <c r="H609" s="131"/>
      <c r="I609" s="1"/>
      <c r="J609" s="1"/>
      <c r="K609" s="1"/>
      <c r="L609" s="1"/>
      <c r="M609" s="1"/>
      <c r="N609" s="1"/>
      <c r="O609" s="1"/>
      <c r="P609" s="1"/>
      <c r="Q609" s="1"/>
      <c r="R609" s="13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81"/>
      <c r="F610" s="201"/>
      <c r="G610" s="131"/>
      <c r="H610" s="131"/>
      <c r="I610" s="1"/>
      <c r="J610" s="1"/>
      <c r="K610" s="1"/>
      <c r="L610" s="1"/>
      <c r="M610" s="1"/>
      <c r="N610" s="1"/>
      <c r="O610" s="1"/>
      <c r="P610" s="1"/>
      <c r="Q610" s="1"/>
      <c r="R610" s="13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81"/>
      <c r="F611" s="201"/>
      <c r="G611" s="131"/>
      <c r="H611" s="131"/>
      <c r="I611" s="1"/>
      <c r="J611" s="1"/>
      <c r="K611" s="1"/>
      <c r="L611" s="1"/>
      <c r="M611" s="1"/>
      <c r="N611" s="1"/>
      <c r="O611" s="1"/>
      <c r="P611" s="1"/>
      <c r="Q611" s="1"/>
      <c r="R611" s="13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81"/>
      <c r="F612" s="201"/>
      <c r="G612" s="131"/>
      <c r="H612" s="131"/>
      <c r="I612" s="1"/>
      <c r="J612" s="1"/>
      <c r="K612" s="1"/>
      <c r="L612" s="1"/>
      <c r="M612" s="1"/>
      <c r="N612" s="1"/>
      <c r="O612" s="1"/>
      <c r="P612" s="1"/>
      <c r="Q612" s="1"/>
      <c r="R612" s="13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81"/>
      <c r="F613" s="201"/>
      <c r="G613" s="131"/>
      <c r="H613" s="131"/>
      <c r="I613" s="1"/>
      <c r="J613" s="1"/>
      <c r="K613" s="1"/>
      <c r="L613" s="1"/>
      <c r="M613" s="1"/>
      <c r="N613" s="1"/>
      <c r="O613" s="1"/>
      <c r="P613" s="1"/>
      <c r="Q613" s="1"/>
      <c r="R613" s="13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81"/>
      <c r="F614" s="201"/>
      <c r="G614" s="131"/>
      <c r="H614" s="131"/>
      <c r="I614" s="1"/>
      <c r="J614" s="1"/>
      <c r="K614" s="1"/>
      <c r="L614" s="1"/>
      <c r="M614" s="1"/>
      <c r="N614" s="1"/>
      <c r="O614" s="1"/>
      <c r="P614" s="1"/>
      <c r="Q614" s="1"/>
      <c r="R614" s="13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81"/>
      <c r="F615" s="201"/>
      <c r="G615" s="131"/>
      <c r="H615" s="131"/>
      <c r="I615" s="1"/>
      <c r="J615" s="1"/>
      <c r="K615" s="1"/>
      <c r="L615" s="1"/>
      <c r="M615" s="1"/>
      <c r="N615" s="1"/>
      <c r="O615" s="1"/>
      <c r="P615" s="1"/>
      <c r="Q615" s="1"/>
      <c r="R615" s="13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81"/>
      <c r="F616" s="201"/>
      <c r="G616" s="131"/>
      <c r="H616" s="131"/>
      <c r="I616" s="1"/>
      <c r="J616" s="1"/>
      <c r="K616" s="1"/>
      <c r="L616" s="1"/>
      <c r="M616" s="1"/>
      <c r="N616" s="1"/>
      <c r="O616" s="1"/>
      <c r="P616" s="1"/>
      <c r="Q616" s="1"/>
      <c r="R616" s="13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81"/>
      <c r="F617" s="201"/>
      <c r="G617" s="131"/>
      <c r="H617" s="131"/>
      <c r="I617" s="1"/>
      <c r="J617" s="1"/>
      <c r="K617" s="1"/>
      <c r="L617" s="1"/>
      <c r="M617" s="1"/>
      <c r="N617" s="1"/>
      <c r="O617" s="1"/>
      <c r="P617" s="1"/>
      <c r="Q617" s="1"/>
      <c r="R617" s="13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81"/>
      <c r="F618" s="201"/>
      <c r="G618" s="131"/>
      <c r="H618" s="131"/>
      <c r="I618" s="1"/>
      <c r="J618" s="1"/>
      <c r="K618" s="1"/>
      <c r="L618" s="1"/>
      <c r="M618" s="1"/>
      <c r="N618" s="1"/>
      <c r="O618" s="1"/>
      <c r="P618" s="1"/>
      <c r="Q618" s="1"/>
      <c r="R618" s="13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81"/>
      <c r="F619" s="201"/>
      <c r="G619" s="131"/>
      <c r="H619" s="131"/>
      <c r="I619" s="1"/>
      <c r="J619" s="1"/>
      <c r="K619" s="1"/>
      <c r="L619" s="1"/>
      <c r="M619" s="1"/>
      <c r="N619" s="1"/>
      <c r="O619" s="1"/>
      <c r="P619" s="1"/>
      <c r="Q619" s="1"/>
      <c r="R619" s="13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81"/>
      <c r="F620" s="201"/>
      <c r="G620" s="131"/>
      <c r="H620" s="131"/>
      <c r="I620" s="1"/>
      <c r="J620" s="1"/>
      <c r="K620" s="1"/>
      <c r="L620" s="1"/>
      <c r="M620" s="1"/>
      <c r="N620" s="1"/>
      <c r="O620" s="1"/>
      <c r="P620" s="1"/>
      <c r="Q620" s="1"/>
      <c r="R620" s="13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81"/>
      <c r="F621" s="201"/>
      <c r="G621" s="131"/>
      <c r="H621" s="131"/>
      <c r="I621" s="1"/>
      <c r="J621" s="1"/>
      <c r="K621" s="1"/>
      <c r="L621" s="1"/>
      <c r="M621" s="1"/>
      <c r="N621" s="1"/>
      <c r="O621" s="1"/>
      <c r="P621" s="1"/>
      <c r="Q621" s="1"/>
      <c r="R621" s="13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81"/>
      <c r="F622" s="201"/>
      <c r="G622" s="131"/>
      <c r="H622" s="131"/>
      <c r="I622" s="1"/>
      <c r="J622" s="1"/>
      <c r="K622" s="1"/>
      <c r="L622" s="1"/>
      <c r="M622" s="1"/>
      <c r="N622" s="1"/>
      <c r="O622" s="1"/>
      <c r="P622" s="1"/>
      <c r="Q622" s="1"/>
      <c r="R622" s="13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81"/>
      <c r="F623" s="201"/>
      <c r="G623" s="131"/>
      <c r="H623" s="131"/>
      <c r="I623" s="1"/>
      <c r="J623" s="1"/>
      <c r="K623" s="1"/>
      <c r="L623" s="1"/>
      <c r="M623" s="1"/>
      <c r="N623" s="1"/>
      <c r="O623" s="1"/>
      <c r="P623" s="1"/>
      <c r="Q623" s="1"/>
      <c r="R623" s="13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81"/>
      <c r="F624" s="201"/>
      <c r="G624" s="131"/>
      <c r="H624" s="131"/>
      <c r="I624" s="1"/>
      <c r="J624" s="1"/>
      <c r="K624" s="1"/>
      <c r="L624" s="1"/>
      <c r="M624" s="1"/>
      <c r="N624" s="1"/>
      <c r="O624" s="1"/>
      <c r="P624" s="1"/>
      <c r="Q624" s="1"/>
      <c r="R624" s="13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81"/>
      <c r="F625" s="201"/>
      <c r="G625" s="131"/>
      <c r="H625" s="131"/>
      <c r="I625" s="1"/>
      <c r="J625" s="1"/>
      <c r="K625" s="1"/>
      <c r="L625" s="1"/>
      <c r="M625" s="1"/>
      <c r="N625" s="1"/>
      <c r="O625" s="1"/>
      <c r="P625" s="1"/>
      <c r="Q625" s="1"/>
      <c r="R625" s="13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81"/>
      <c r="F626" s="201"/>
      <c r="G626" s="131"/>
      <c r="H626" s="131"/>
      <c r="I626" s="1"/>
      <c r="J626" s="1"/>
      <c r="K626" s="1"/>
      <c r="L626" s="1"/>
      <c r="M626" s="1"/>
      <c r="N626" s="1"/>
      <c r="O626" s="1"/>
      <c r="P626" s="1"/>
      <c r="Q626" s="1"/>
      <c r="R626" s="13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81"/>
      <c r="F627" s="201"/>
      <c r="G627" s="131"/>
      <c r="H627" s="131"/>
      <c r="I627" s="1"/>
      <c r="J627" s="1"/>
      <c r="K627" s="1"/>
      <c r="L627" s="1"/>
      <c r="M627" s="1"/>
      <c r="N627" s="1"/>
      <c r="O627" s="1"/>
      <c r="P627" s="1"/>
      <c r="Q627" s="1"/>
      <c r="R627" s="13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81"/>
      <c r="F628" s="201"/>
      <c r="G628" s="131"/>
      <c r="H628" s="131"/>
      <c r="I628" s="1"/>
      <c r="J628" s="1"/>
      <c r="K628" s="1"/>
      <c r="L628" s="1"/>
      <c r="M628" s="1"/>
      <c r="N628" s="1"/>
      <c r="O628" s="1"/>
      <c r="P628" s="1"/>
      <c r="Q628" s="1"/>
      <c r="R628" s="13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81"/>
      <c r="F629" s="201"/>
      <c r="G629" s="131"/>
      <c r="H629" s="131"/>
      <c r="I629" s="1"/>
      <c r="J629" s="1"/>
      <c r="K629" s="1"/>
      <c r="L629" s="1"/>
      <c r="M629" s="1"/>
      <c r="N629" s="1"/>
      <c r="O629" s="1"/>
      <c r="P629" s="1"/>
      <c r="Q629" s="1"/>
      <c r="R629" s="13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81"/>
      <c r="F630" s="201"/>
      <c r="G630" s="131"/>
      <c r="H630" s="131"/>
      <c r="I630" s="1"/>
      <c r="J630" s="1"/>
      <c r="K630" s="1"/>
      <c r="L630" s="1"/>
      <c r="M630" s="1"/>
      <c r="N630" s="1"/>
      <c r="O630" s="1"/>
      <c r="P630" s="1"/>
      <c r="Q630" s="1"/>
      <c r="R630" s="13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81"/>
      <c r="F631" s="201"/>
      <c r="G631" s="131"/>
      <c r="H631" s="131"/>
      <c r="I631" s="1"/>
      <c r="J631" s="1"/>
      <c r="K631" s="1"/>
      <c r="L631" s="1"/>
      <c r="M631" s="1"/>
      <c r="N631" s="1"/>
      <c r="O631" s="1"/>
      <c r="P631" s="1"/>
      <c r="Q631" s="1"/>
      <c r="R631" s="13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81"/>
      <c r="F632" s="201"/>
      <c r="G632" s="131"/>
      <c r="H632" s="131"/>
      <c r="I632" s="1"/>
      <c r="J632" s="1"/>
      <c r="K632" s="1"/>
      <c r="L632" s="1"/>
      <c r="M632" s="1"/>
      <c r="N632" s="1"/>
      <c r="O632" s="1"/>
      <c r="P632" s="1"/>
      <c r="Q632" s="1"/>
      <c r="R632" s="13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81"/>
      <c r="F633" s="201"/>
      <c r="G633" s="131"/>
      <c r="H633" s="131"/>
      <c r="I633" s="1"/>
      <c r="J633" s="1"/>
      <c r="K633" s="1"/>
      <c r="L633" s="1"/>
      <c r="M633" s="1"/>
      <c r="N633" s="1"/>
      <c r="O633" s="1"/>
      <c r="P633" s="1"/>
      <c r="Q633" s="1"/>
      <c r="R633" s="13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81"/>
      <c r="F634" s="201"/>
      <c r="G634" s="131"/>
      <c r="H634" s="131"/>
      <c r="I634" s="1"/>
      <c r="J634" s="1"/>
      <c r="K634" s="1"/>
      <c r="L634" s="1"/>
      <c r="M634" s="1"/>
      <c r="N634" s="1"/>
      <c r="O634" s="1"/>
      <c r="P634" s="1"/>
      <c r="Q634" s="1"/>
      <c r="R634" s="13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81"/>
      <c r="F635" s="201"/>
      <c r="G635" s="131"/>
      <c r="H635" s="131"/>
      <c r="I635" s="1"/>
      <c r="J635" s="1"/>
      <c r="K635" s="1"/>
      <c r="L635" s="1"/>
      <c r="M635" s="1"/>
      <c r="N635" s="1"/>
      <c r="O635" s="1"/>
      <c r="P635" s="1"/>
      <c r="Q635" s="1"/>
      <c r="R635" s="13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81"/>
      <c r="F636" s="201"/>
      <c r="G636" s="131"/>
      <c r="H636" s="131"/>
      <c r="I636" s="1"/>
      <c r="J636" s="1"/>
      <c r="K636" s="1"/>
      <c r="L636" s="1"/>
      <c r="M636" s="1"/>
      <c r="N636" s="1"/>
      <c r="O636" s="1"/>
      <c r="P636" s="1"/>
      <c r="Q636" s="1"/>
      <c r="R636" s="13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81"/>
      <c r="F637" s="201"/>
      <c r="G637" s="131"/>
      <c r="H637" s="131"/>
      <c r="I637" s="1"/>
      <c r="J637" s="1"/>
      <c r="K637" s="1"/>
      <c r="L637" s="1"/>
      <c r="M637" s="1"/>
      <c r="N637" s="1"/>
      <c r="O637" s="1"/>
      <c r="P637" s="1"/>
      <c r="Q637" s="1"/>
      <c r="R637" s="13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81"/>
      <c r="F638" s="201"/>
      <c r="G638" s="131"/>
      <c r="H638" s="131"/>
      <c r="I638" s="1"/>
      <c r="J638" s="1"/>
      <c r="K638" s="1"/>
      <c r="L638" s="1"/>
      <c r="M638" s="1"/>
      <c r="N638" s="1"/>
      <c r="O638" s="1"/>
      <c r="P638" s="1"/>
      <c r="Q638" s="1"/>
      <c r="R638" s="13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81"/>
      <c r="F639" s="201"/>
      <c r="G639" s="131"/>
      <c r="H639" s="131"/>
      <c r="I639" s="1"/>
      <c r="J639" s="1"/>
      <c r="K639" s="1"/>
      <c r="L639" s="1"/>
      <c r="M639" s="1"/>
      <c r="N639" s="1"/>
      <c r="O639" s="1"/>
      <c r="P639" s="1"/>
      <c r="Q639" s="1"/>
      <c r="R639" s="13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81"/>
      <c r="F640" s="201"/>
      <c r="G640" s="131"/>
      <c r="H640" s="131"/>
      <c r="I640" s="1"/>
      <c r="J640" s="1"/>
      <c r="K640" s="1"/>
      <c r="L640" s="1"/>
      <c r="M640" s="1"/>
      <c r="N640" s="1"/>
      <c r="O640" s="1"/>
      <c r="P640" s="1"/>
      <c r="Q640" s="1"/>
      <c r="R640" s="13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81"/>
      <c r="F641" s="201"/>
      <c r="G641" s="131"/>
      <c r="H641" s="131"/>
      <c r="I641" s="1"/>
      <c r="J641" s="1"/>
      <c r="K641" s="1"/>
      <c r="L641" s="1"/>
      <c r="M641" s="1"/>
      <c r="N641" s="1"/>
      <c r="O641" s="1"/>
      <c r="P641" s="1"/>
      <c r="Q641" s="1"/>
      <c r="R641" s="13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81"/>
      <c r="F642" s="201"/>
      <c r="G642" s="131"/>
      <c r="H642" s="131"/>
      <c r="I642" s="1"/>
      <c r="J642" s="1"/>
      <c r="K642" s="1"/>
      <c r="L642" s="1"/>
      <c r="M642" s="1"/>
      <c r="N642" s="1"/>
      <c r="O642" s="1"/>
      <c r="P642" s="1"/>
      <c r="Q642" s="1"/>
      <c r="R642" s="13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81"/>
      <c r="F643" s="201"/>
      <c r="G643" s="131"/>
      <c r="H643" s="131"/>
      <c r="I643" s="1"/>
      <c r="J643" s="1"/>
      <c r="K643" s="1"/>
      <c r="L643" s="1"/>
      <c r="M643" s="1"/>
      <c r="N643" s="1"/>
      <c r="O643" s="1"/>
      <c r="P643" s="1"/>
      <c r="Q643" s="1"/>
      <c r="R643" s="13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81"/>
      <c r="F644" s="201"/>
      <c r="G644" s="131"/>
      <c r="H644" s="131"/>
      <c r="I644" s="1"/>
      <c r="J644" s="1"/>
      <c r="K644" s="1"/>
      <c r="L644" s="1"/>
      <c r="M644" s="1"/>
      <c r="N644" s="1"/>
      <c r="O644" s="1"/>
      <c r="P644" s="1"/>
      <c r="Q644" s="1"/>
      <c r="R644" s="13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81"/>
      <c r="F645" s="201"/>
      <c r="G645" s="131"/>
      <c r="H645" s="131"/>
      <c r="I645" s="1"/>
      <c r="J645" s="1"/>
      <c r="K645" s="1"/>
      <c r="L645" s="1"/>
      <c r="M645" s="1"/>
      <c r="N645" s="1"/>
      <c r="O645" s="1"/>
      <c r="P645" s="1"/>
      <c r="Q645" s="1"/>
      <c r="R645" s="13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81"/>
      <c r="F646" s="201"/>
      <c r="G646" s="131"/>
      <c r="H646" s="131"/>
      <c r="I646" s="1"/>
      <c r="J646" s="1"/>
      <c r="K646" s="1"/>
      <c r="L646" s="1"/>
      <c r="M646" s="1"/>
      <c r="N646" s="1"/>
      <c r="O646" s="1"/>
      <c r="P646" s="1"/>
      <c r="Q646" s="1"/>
      <c r="R646" s="13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81"/>
      <c r="F647" s="201"/>
      <c r="G647" s="131"/>
      <c r="H647" s="131"/>
      <c r="I647" s="1"/>
      <c r="J647" s="1"/>
      <c r="K647" s="1"/>
      <c r="L647" s="1"/>
      <c r="M647" s="1"/>
      <c r="N647" s="1"/>
      <c r="O647" s="1"/>
      <c r="P647" s="1"/>
      <c r="Q647" s="1"/>
      <c r="R647" s="13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81"/>
      <c r="F648" s="201"/>
      <c r="G648" s="131"/>
      <c r="H648" s="131"/>
      <c r="I648" s="1"/>
      <c r="J648" s="1"/>
      <c r="K648" s="1"/>
      <c r="L648" s="1"/>
      <c r="M648" s="1"/>
      <c r="N648" s="1"/>
      <c r="O648" s="1"/>
      <c r="P648" s="1"/>
      <c r="Q648" s="1"/>
      <c r="R648" s="13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81"/>
      <c r="F649" s="201"/>
      <c r="G649" s="131"/>
      <c r="H649" s="131"/>
      <c r="I649" s="1"/>
      <c r="J649" s="1"/>
      <c r="K649" s="1"/>
      <c r="L649" s="1"/>
      <c r="M649" s="1"/>
      <c r="N649" s="1"/>
      <c r="O649" s="1"/>
      <c r="P649" s="1"/>
      <c r="Q649" s="1"/>
      <c r="R649" s="13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81"/>
      <c r="F650" s="201"/>
      <c r="G650" s="131"/>
      <c r="H650" s="131"/>
      <c r="I650" s="1"/>
      <c r="J650" s="1"/>
      <c r="K650" s="1"/>
      <c r="L650" s="1"/>
      <c r="M650" s="1"/>
      <c r="N650" s="1"/>
      <c r="O650" s="1"/>
      <c r="P650" s="1"/>
      <c r="Q650" s="1"/>
      <c r="R650" s="13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81"/>
      <c r="F651" s="201"/>
      <c r="G651" s="131"/>
      <c r="H651" s="131"/>
      <c r="I651" s="1"/>
      <c r="J651" s="1"/>
      <c r="K651" s="1"/>
      <c r="L651" s="1"/>
      <c r="M651" s="1"/>
      <c r="N651" s="1"/>
      <c r="O651" s="1"/>
      <c r="P651" s="1"/>
      <c r="Q651" s="1"/>
      <c r="R651" s="13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81"/>
      <c r="F652" s="201"/>
      <c r="G652" s="131"/>
      <c r="H652" s="131"/>
      <c r="I652" s="1"/>
      <c r="J652" s="1"/>
      <c r="K652" s="1"/>
      <c r="L652" s="1"/>
      <c r="M652" s="1"/>
      <c r="N652" s="1"/>
      <c r="O652" s="1"/>
      <c r="P652" s="1"/>
      <c r="Q652" s="1"/>
      <c r="R652" s="13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81"/>
      <c r="F653" s="201"/>
      <c r="G653" s="131"/>
      <c r="H653" s="131"/>
      <c r="I653" s="1"/>
      <c r="J653" s="1"/>
      <c r="K653" s="1"/>
      <c r="L653" s="1"/>
      <c r="M653" s="1"/>
      <c r="N653" s="1"/>
      <c r="O653" s="1"/>
      <c r="P653" s="1"/>
      <c r="Q653" s="1"/>
      <c r="R653" s="13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81"/>
      <c r="F654" s="201"/>
      <c r="G654" s="131"/>
      <c r="H654" s="131"/>
      <c r="I654" s="1"/>
      <c r="J654" s="1"/>
      <c r="K654" s="1"/>
      <c r="L654" s="1"/>
      <c r="M654" s="1"/>
      <c r="N654" s="1"/>
      <c r="O654" s="1"/>
      <c r="P654" s="1"/>
      <c r="Q654" s="1"/>
      <c r="R654" s="13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81"/>
      <c r="F655" s="201"/>
      <c r="G655" s="131"/>
      <c r="H655" s="131"/>
      <c r="I655" s="1"/>
      <c r="J655" s="1"/>
      <c r="K655" s="1"/>
      <c r="L655" s="1"/>
      <c r="M655" s="1"/>
      <c r="N655" s="1"/>
      <c r="O655" s="1"/>
      <c r="P655" s="1"/>
      <c r="Q655" s="1"/>
      <c r="R655" s="13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81"/>
      <c r="F656" s="201"/>
      <c r="G656" s="131"/>
      <c r="H656" s="131"/>
      <c r="I656" s="1"/>
      <c r="J656" s="1"/>
      <c r="K656" s="1"/>
      <c r="L656" s="1"/>
      <c r="M656" s="1"/>
      <c r="N656" s="1"/>
      <c r="O656" s="1"/>
      <c r="P656" s="1"/>
      <c r="Q656" s="1"/>
      <c r="R656" s="13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81"/>
      <c r="F657" s="201"/>
      <c r="G657" s="131"/>
      <c r="H657" s="131"/>
      <c r="I657" s="1"/>
      <c r="J657" s="1"/>
      <c r="K657" s="1"/>
      <c r="L657" s="1"/>
      <c r="M657" s="1"/>
      <c r="N657" s="1"/>
      <c r="O657" s="1"/>
      <c r="P657" s="1"/>
      <c r="Q657" s="1"/>
      <c r="R657" s="13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81"/>
      <c r="F658" s="201"/>
      <c r="G658" s="131"/>
      <c r="H658" s="131"/>
      <c r="I658" s="1"/>
      <c r="J658" s="1"/>
      <c r="K658" s="1"/>
      <c r="L658" s="1"/>
      <c r="M658" s="1"/>
      <c r="N658" s="1"/>
      <c r="O658" s="1"/>
      <c r="P658" s="1"/>
      <c r="Q658" s="1"/>
      <c r="R658" s="13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81"/>
      <c r="F659" s="201"/>
      <c r="G659" s="131"/>
      <c r="H659" s="131"/>
      <c r="I659" s="1"/>
      <c r="J659" s="1"/>
      <c r="K659" s="1"/>
      <c r="L659" s="1"/>
      <c r="M659" s="1"/>
      <c r="N659" s="1"/>
      <c r="O659" s="1"/>
      <c r="P659" s="1"/>
      <c r="Q659" s="1"/>
      <c r="R659" s="13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81"/>
      <c r="F660" s="201"/>
      <c r="G660" s="131"/>
      <c r="H660" s="131"/>
      <c r="I660" s="1"/>
      <c r="J660" s="1"/>
      <c r="K660" s="1"/>
      <c r="L660" s="1"/>
      <c r="M660" s="1"/>
      <c r="N660" s="1"/>
      <c r="O660" s="1"/>
      <c r="P660" s="1"/>
      <c r="Q660" s="1"/>
      <c r="R660" s="13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81"/>
      <c r="F661" s="201"/>
      <c r="G661" s="131"/>
      <c r="H661" s="131"/>
      <c r="I661" s="1"/>
      <c r="J661" s="1"/>
      <c r="K661" s="1"/>
      <c r="L661" s="1"/>
      <c r="M661" s="1"/>
      <c r="N661" s="1"/>
      <c r="O661" s="1"/>
      <c r="P661" s="1"/>
      <c r="Q661" s="1"/>
      <c r="R661" s="13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81"/>
      <c r="F662" s="201"/>
      <c r="G662" s="131"/>
      <c r="H662" s="131"/>
      <c r="I662" s="1"/>
      <c r="J662" s="1"/>
      <c r="K662" s="1"/>
      <c r="L662" s="1"/>
      <c r="M662" s="1"/>
      <c r="N662" s="1"/>
      <c r="O662" s="1"/>
      <c r="P662" s="1"/>
      <c r="Q662" s="1"/>
      <c r="R662" s="13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81"/>
      <c r="F663" s="201"/>
      <c r="G663" s="131"/>
      <c r="H663" s="131"/>
      <c r="I663" s="1"/>
      <c r="J663" s="1"/>
      <c r="K663" s="1"/>
      <c r="L663" s="1"/>
      <c r="M663" s="1"/>
      <c r="N663" s="1"/>
      <c r="O663" s="1"/>
      <c r="P663" s="1"/>
      <c r="Q663" s="1"/>
      <c r="R663" s="13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81"/>
      <c r="F664" s="201"/>
      <c r="G664" s="131"/>
      <c r="H664" s="131"/>
      <c r="I664" s="1"/>
      <c r="J664" s="1"/>
      <c r="K664" s="1"/>
      <c r="L664" s="1"/>
      <c r="M664" s="1"/>
      <c r="N664" s="1"/>
      <c r="O664" s="1"/>
      <c r="P664" s="1"/>
      <c r="Q664" s="1"/>
      <c r="R664" s="13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81"/>
      <c r="F665" s="201"/>
      <c r="G665" s="131"/>
      <c r="H665" s="131"/>
      <c r="I665" s="1"/>
      <c r="J665" s="1"/>
      <c r="K665" s="1"/>
      <c r="L665" s="1"/>
      <c r="M665" s="1"/>
      <c r="N665" s="1"/>
      <c r="O665" s="1"/>
      <c r="P665" s="1"/>
      <c r="Q665" s="1"/>
      <c r="R665" s="13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81"/>
      <c r="F666" s="201"/>
      <c r="G666" s="131"/>
      <c r="H666" s="131"/>
      <c r="I666" s="1"/>
      <c r="J666" s="1"/>
      <c r="K666" s="1"/>
      <c r="L666" s="1"/>
      <c r="M666" s="1"/>
      <c r="N666" s="1"/>
      <c r="O666" s="1"/>
      <c r="P666" s="1"/>
      <c r="Q666" s="1"/>
      <c r="R666" s="13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81"/>
      <c r="F667" s="201"/>
      <c r="G667" s="131"/>
      <c r="H667" s="131"/>
      <c r="I667" s="1"/>
      <c r="J667" s="1"/>
      <c r="K667" s="1"/>
      <c r="L667" s="1"/>
      <c r="M667" s="1"/>
      <c r="N667" s="1"/>
      <c r="O667" s="1"/>
      <c r="P667" s="1"/>
      <c r="Q667" s="1"/>
      <c r="R667" s="13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81"/>
      <c r="F668" s="201"/>
      <c r="G668" s="131"/>
      <c r="H668" s="131"/>
      <c r="I668" s="1"/>
      <c r="J668" s="1"/>
      <c r="K668" s="1"/>
      <c r="L668" s="1"/>
      <c r="M668" s="1"/>
      <c r="N668" s="1"/>
      <c r="O668" s="1"/>
      <c r="P668" s="1"/>
      <c r="Q668" s="1"/>
      <c r="R668" s="13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81"/>
      <c r="F669" s="201"/>
      <c r="G669" s="131"/>
      <c r="H669" s="131"/>
      <c r="I669" s="1"/>
      <c r="J669" s="1"/>
      <c r="K669" s="1"/>
      <c r="L669" s="1"/>
      <c r="M669" s="1"/>
      <c r="N669" s="1"/>
      <c r="O669" s="1"/>
      <c r="P669" s="1"/>
      <c r="Q669" s="1"/>
      <c r="R669" s="13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81"/>
      <c r="F670" s="201"/>
      <c r="G670" s="131"/>
      <c r="H670" s="131"/>
      <c r="I670" s="1"/>
      <c r="J670" s="1"/>
      <c r="K670" s="1"/>
      <c r="L670" s="1"/>
      <c r="M670" s="1"/>
      <c r="N670" s="1"/>
      <c r="O670" s="1"/>
      <c r="P670" s="1"/>
      <c r="Q670" s="1"/>
      <c r="R670" s="13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81"/>
      <c r="F671" s="201"/>
      <c r="G671" s="131"/>
      <c r="H671" s="131"/>
      <c r="I671" s="1"/>
      <c r="J671" s="1"/>
      <c r="K671" s="1"/>
      <c r="L671" s="1"/>
      <c r="M671" s="1"/>
      <c r="N671" s="1"/>
      <c r="O671" s="1"/>
      <c r="P671" s="1"/>
      <c r="Q671" s="1"/>
      <c r="R671" s="13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81"/>
      <c r="F672" s="201"/>
      <c r="G672" s="131"/>
      <c r="H672" s="131"/>
      <c r="I672" s="1"/>
      <c r="J672" s="1"/>
      <c r="K672" s="1"/>
      <c r="L672" s="1"/>
      <c r="M672" s="1"/>
      <c r="N672" s="1"/>
      <c r="O672" s="1"/>
      <c r="P672" s="1"/>
      <c r="Q672" s="1"/>
      <c r="R672" s="13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81"/>
      <c r="F673" s="201"/>
      <c r="G673" s="131"/>
      <c r="H673" s="131"/>
      <c r="I673" s="1"/>
      <c r="J673" s="1"/>
      <c r="K673" s="1"/>
      <c r="L673" s="1"/>
      <c r="M673" s="1"/>
      <c r="N673" s="1"/>
      <c r="O673" s="1"/>
      <c r="P673" s="1"/>
      <c r="Q673" s="1"/>
      <c r="R673" s="13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81"/>
      <c r="F674" s="201"/>
      <c r="G674" s="131"/>
      <c r="H674" s="131"/>
      <c r="I674" s="1"/>
      <c r="J674" s="1"/>
      <c r="K674" s="1"/>
      <c r="L674" s="1"/>
      <c r="M674" s="1"/>
      <c r="N674" s="1"/>
      <c r="O674" s="1"/>
      <c r="P674" s="1"/>
      <c r="Q674" s="1"/>
      <c r="R674" s="13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81"/>
      <c r="F675" s="201"/>
      <c r="G675" s="131"/>
      <c r="H675" s="131"/>
      <c r="I675" s="1"/>
      <c r="J675" s="1"/>
      <c r="K675" s="1"/>
      <c r="L675" s="1"/>
      <c r="M675" s="1"/>
      <c r="N675" s="1"/>
      <c r="O675" s="1"/>
      <c r="P675" s="1"/>
      <c r="Q675" s="1"/>
      <c r="R675" s="13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81"/>
      <c r="F676" s="201"/>
      <c r="G676" s="131"/>
      <c r="H676" s="131"/>
      <c r="I676" s="1"/>
      <c r="J676" s="1"/>
      <c r="K676" s="1"/>
      <c r="L676" s="1"/>
      <c r="M676" s="1"/>
      <c r="N676" s="1"/>
      <c r="O676" s="1"/>
      <c r="P676" s="1"/>
      <c r="Q676" s="1"/>
      <c r="R676" s="13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81"/>
      <c r="F677" s="201"/>
      <c r="G677" s="131"/>
      <c r="H677" s="131"/>
      <c r="I677" s="1"/>
      <c r="J677" s="1"/>
      <c r="K677" s="1"/>
      <c r="L677" s="1"/>
      <c r="M677" s="1"/>
      <c r="N677" s="1"/>
      <c r="O677" s="1"/>
      <c r="P677" s="1"/>
      <c r="Q677" s="1"/>
      <c r="R677" s="13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81"/>
      <c r="F678" s="201"/>
      <c r="G678" s="131"/>
      <c r="H678" s="131"/>
      <c r="I678" s="1"/>
      <c r="J678" s="1"/>
      <c r="K678" s="1"/>
      <c r="L678" s="1"/>
      <c r="M678" s="1"/>
      <c r="N678" s="1"/>
      <c r="O678" s="1"/>
      <c r="P678" s="1"/>
      <c r="Q678" s="1"/>
      <c r="R678" s="13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81"/>
      <c r="F679" s="201"/>
      <c r="G679" s="131"/>
      <c r="H679" s="131"/>
      <c r="I679" s="1"/>
      <c r="J679" s="1"/>
      <c r="K679" s="1"/>
      <c r="L679" s="1"/>
      <c r="M679" s="1"/>
      <c r="N679" s="1"/>
      <c r="O679" s="1"/>
      <c r="P679" s="1"/>
      <c r="Q679" s="1"/>
      <c r="R679" s="13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81"/>
      <c r="F680" s="201"/>
      <c r="G680" s="131"/>
      <c r="H680" s="131"/>
      <c r="I680" s="1"/>
      <c r="J680" s="1"/>
      <c r="K680" s="1"/>
      <c r="L680" s="1"/>
      <c r="M680" s="1"/>
      <c r="N680" s="1"/>
      <c r="O680" s="1"/>
      <c r="P680" s="1"/>
      <c r="Q680" s="1"/>
      <c r="R680" s="13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81"/>
      <c r="F681" s="201"/>
      <c r="G681" s="131"/>
      <c r="H681" s="131"/>
      <c r="I681" s="1"/>
      <c r="J681" s="1"/>
      <c r="K681" s="1"/>
      <c r="L681" s="1"/>
      <c r="M681" s="1"/>
      <c r="N681" s="1"/>
      <c r="O681" s="1"/>
      <c r="P681" s="1"/>
      <c r="Q681" s="1"/>
      <c r="R681" s="13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81"/>
      <c r="F682" s="201"/>
      <c r="G682" s="131"/>
      <c r="H682" s="131"/>
      <c r="I682" s="1"/>
      <c r="J682" s="1"/>
      <c r="K682" s="1"/>
      <c r="L682" s="1"/>
      <c r="M682" s="1"/>
      <c r="N682" s="1"/>
      <c r="O682" s="1"/>
      <c r="P682" s="1"/>
      <c r="Q682" s="1"/>
      <c r="R682" s="13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81"/>
      <c r="F683" s="201"/>
      <c r="G683" s="131"/>
      <c r="H683" s="131"/>
      <c r="I683" s="1"/>
      <c r="J683" s="1"/>
      <c r="K683" s="1"/>
      <c r="L683" s="1"/>
      <c r="M683" s="1"/>
      <c r="N683" s="1"/>
      <c r="O683" s="1"/>
      <c r="P683" s="1"/>
      <c r="Q683" s="1"/>
      <c r="R683" s="13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81"/>
      <c r="F684" s="201"/>
      <c r="G684" s="131"/>
      <c r="H684" s="131"/>
      <c r="I684" s="1"/>
      <c r="J684" s="1"/>
      <c r="K684" s="1"/>
      <c r="L684" s="1"/>
      <c r="M684" s="1"/>
      <c r="N684" s="1"/>
      <c r="O684" s="1"/>
      <c r="P684" s="1"/>
      <c r="Q684" s="1"/>
      <c r="R684" s="13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81"/>
      <c r="F685" s="201"/>
      <c r="G685" s="131"/>
      <c r="H685" s="131"/>
      <c r="I685" s="1"/>
      <c r="J685" s="1"/>
      <c r="K685" s="1"/>
      <c r="L685" s="1"/>
      <c r="M685" s="1"/>
      <c r="N685" s="1"/>
      <c r="O685" s="1"/>
      <c r="P685" s="1"/>
      <c r="Q685" s="1"/>
      <c r="R685" s="13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81"/>
      <c r="F686" s="201"/>
      <c r="G686" s="131"/>
      <c r="H686" s="131"/>
      <c r="I686" s="1"/>
      <c r="J686" s="1"/>
      <c r="K686" s="1"/>
      <c r="L686" s="1"/>
      <c r="M686" s="1"/>
      <c r="N686" s="1"/>
      <c r="O686" s="1"/>
      <c r="P686" s="1"/>
      <c r="Q686" s="1"/>
      <c r="R686" s="13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81"/>
      <c r="F687" s="201"/>
      <c r="G687" s="131"/>
      <c r="H687" s="131"/>
      <c r="I687" s="1"/>
      <c r="J687" s="1"/>
      <c r="K687" s="1"/>
      <c r="L687" s="1"/>
      <c r="M687" s="1"/>
      <c r="N687" s="1"/>
      <c r="O687" s="1"/>
      <c r="P687" s="1"/>
      <c r="Q687" s="1"/>
      <c r="R687" s="13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81"/>
      <c r="F688" s="201"/>
      <c r="G688" s="131"/>
      <c r="H688" s="131"/>
      <c r="I688" s="1"/>
      <c r="J688" s="1"/>
      <c r="K688" s="1"/>
      <c r="L688" s="1"/>
      <c r="M688" s="1"/>
      <c r="N688" s="1"/>
      <c r="O688" s="1"/>
      <c r="P688" s="1"/>
      <c r="Q688" s="1"/>
      <c r="R688" s="13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81"/>
      <c r="F689" s="201"/>
      <c r="G689" s="131"/>
      <c r="H689" s="131"/>
      <c r="I689" s="1"/>
      <c r="J689" s="1"/>
      <c r="K689" s="1"/>
      <c r="L689" s="1"/>
      <c r="M689" s="1"/>
      <c r="N689" s="1"/>
      <c r="O689" s="1"/>
      <c r="P689" s="1"/>
      <c r="Q689" s="1"/>
      <c r="R689" s="13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81"/>
      <c r="F690" s="201"/>
      <c r="G690" s="131"/>
      <c r="H690" s="131"/>
      <c r="I690" s="1"/>
      <c r="J690" s="1"/>
      <c r="K690" s="1"/>
      <c r="L690" s="1"/>
      <c r="M690" s="1"/>
      <c r="N690" s="1"/>
      <c r="O690" s="1"/>
      <c r="P690" s="1"/>
      <c r="Q690" s="1"/>
      <c r="R690" s="13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81"/>
      <c r="F691" s="201"/>
      <c r="G691" s="131"/>
      <c r="H691" s="131"/>
      <c r="I691" s="1"/>
      <c r="J691" s="1"/>
      <c r="K691" s="1"/>
      <c r="L691" s="1"/>
      <c r="M691" s="1"/>
      <c r="N691" s="1"/>
      <c r="O691" s="1"/>
      <c r="P691" s="1"/>
      <c r="Q691" s="1"/>
      <c r="R691" s="13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81"/>
      <c r="F692" s="201"/>
      <c r="G692" s="131"/>
      <c r="H692" s="131"/>
      <c r="I692" s="1"/>
      <c r="J692" s="1"/>
      <c r="K692" s="1"/>
      <c r="L692" s="1"/>
      <c r="M692" s="1"/>
      <c r="N692" s="1"/>
      <c r="O692" s="1"/>
      <c r="P692" s="1"/>
      <c r="Q692" s="1"/>
      <c r="R692" s="13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81"/>
      <c r="F693" s="201"/>
      <c r="G693" s="131"/>
      <c r="H693" s="131"/>
      <c r="I693" s="1"/>
      <c r="J693" s="1"/>
      <c r="K693" s="1"/>
      <c r="L693" s="1"/>
      <c r="M693" s="1"/>
      <c r="N693" s="1"/>
      <c r="O693" s="1"/>
      <c r="P693" s="1"/>
      <c r="Q693" s="1"/>
      <c r="R693" s="13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81"/>
      <c r="F694" s="201"/>
      <c r="G694" s="131"/>
      <c r="H694" s="131"/>
      <c r="I694" s="1"/>
      <c r="J694" s="1"/>
      <c r="K694" s="1"/>
      <c r="L694" s="1"/>
      <c r="M694" s="1"/>
      <c r="N694" s="1"/>
      <c r="O694" s="1"/>
      <c r="P694" s="1"/>
      <c r="Q694" s="1"/>
      <c r="R694" s="13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81"/>
      <c r="F695" s="201"/>
      <c r="G695" s="131"/>
      <c r="H695" s="131"/>
      <c r="I695" s="1"/>
      <c r="J695" s="1"/>
      <c r="K695" s="1"/>
      <c r="L695" s="1"/>
      <c r="M695" s="1"/>
      <c r="N695" s="1"/>
      <c r="O695" s="1"/>
      <c r="P695" s="1"/>
      <c r="Q695" s="1"/>
      <c r="R695" s="13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81"/>
      <c r="F696" s="201"/>
      <c r="G696" s="131"/>
      <c r="H696" s="131"/>
      <c r="I696" s="1"/>
      <c r="J696" s="1"/>
      <c r="K696" s="1"/>
      <c r="L696" s="1"/>
      <c r="M696" s="1"/>
      <c r="N696" s="1"/>
      <c r="O696" s="1"/>
      <c r="P696" s="1"/>
      <c r="Q696" s="1"/>
      <c r="R696" s="13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81"/>
      <c r="F697" s="201"/>
      <c r="G697" s="131"/>
      <c r="H697" s="131"/>
      <c r="I697" s="1"/>
      <c r="J697" s="1"/>
      <c r="K697" s="1"/>
      <c r="L697" s="1"/>
      <c r="M697" s="1"/>
      <c r="N697" s="1"/>
      <c r="O697" s="1"/>
      <c r="P697" s="1"/>
      <c r="Q697" s="1"/>
      <c r="R697" s="13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81"/>
      <c r="F698" s="201"/>
      <c r="G698" s="131"/>
      <c r="H698" s="131"/>
      <c r="I698" s="1"/>
      <c r="J698" s="1"/>
      <c r="K698" s="1"/>
      <c r="L698" s="1"/>
      <c r="M698" s="1"/>
      <c r="N698" s="1"/>
      <c r="O698" s="1"/>
      <c r="P698" s="1"/>
      <c r="Q698" s="1"/>
      <c r="R698" s="13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81"/>
      <c r="F699" s="201"/>
      <c r="G699" s="131"/>
      <c r="H699" s="131"/>
      <c r="I699" s="1"/>
      <c r="J699" s="1"/>
      <c r="K699" s="1"/>
      <c r="L699" s="1"/>
      <c r="M699" s="1"/>
      <c r="N699" s="1"/>
      <c r="O699" s="1"/>
      <c r="P699" s="1"/>
      <c r="Q699" s="1"/>
      <c r="R699" s="13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81"/>
      <c r="F700" s="201"/>
      <c r="G700" s="131"/>
      <c r="H700" s="131"/>
      <c r="I700" s="1"/>
      <c r="J700" s="1"/>
      <c r="K700" s="1"/>
      <c r="L700" s="1"/>
      <c r="M700" s="1"/>
      <c r="N700" s="1"/>
      <c r="O700" s="1"/>
      <c r="P700" s="1"/>
      <c r="Q700" s="1"/>
      <c r="R700" s="13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81"/>
      <c r="F701" s="201"/>
      <c r="G701" s="131"/>
      <c r="H701" s="131"/>
      <c r="I701" s="1"/>
      <c r="J701" s="1"/>
      <c r="K701" s="1"/>
      <c r="L701" s="1"/>
      <c r="M701" s="1"/>
      <c r="N701" s="1"/>
      <c r="O701" s="1"/>
      <c r="P701" s="1"/>
      <c r="Q701" s="1"/>
      <c r="R701" s="13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81"/>
      <c r="F702" s="201"/>
      <c r="G702" s="131"/>
      <c r="H702" s="131"/>
      <c r="I702" s="1"/>
      <c r="J702" s="1"/>
      <c r="K702" s="1"/>
      <c r="L702" s="1"/>
      <c r="M702" s="1"/>
      <c r="N702" s="1"/>
      <c r="O702" s="1"/>
      <c r="P702" s="1"/>
      <c r="Q702" s="1"/>
      <c r="R702" s="13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81"/>
      <c r="F703" s="201"/>
      <c r="G703" s="131"/>
      <c r="H703" s="131"/>
      <c r="I703" s="1"/>
      <c r="J703" s="1"/>
      <c r="K703" s="1"/>
      <c r="L703" s="1"/>
      <c r="M703" s="1"/>
      <c r="N703" s="1"/>
      <c r="O703" s="1"/>
      <c r="P703" s="1"/>
      <c r="Q703" s="1"/>
      <c r="R703" s="13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81"/>
      <c r="F704" s="201"/>
      <c r="G704" s="131"/>
      <c r="H704" s="131"/>
      <c r="I704" s="1"/>
      <c r="J704" s="1"/>
      <c r="K704" s="1"/>
      <c r="L704" s="1"/>
      <c r="M704" s="1"/>
      <c r="N704" s="1"/>
      <c r="O704" s="1"/>
      <c r="P704" s="1"/>
      <c r="Q704" s="1"/>
      <c r="R704" s="13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81"/>
      <c r="F705" s="201"/>
      <c r="G705" s="131"/>
      <c r="H705" s="131"/>
      <c r="I705" s="1"/>
      <c r="J705" s="1"/>
      <c r="K705" s="1"/>
      <c r="L705" s="1"/>
      <c r="M705" s="1"/>
      <c r="N705" s="1"/>
      <c r="O705" s="1"/>
      <c r="P705" s="1"/>
      <c r="Q705" s="1"/>
      <c r="R705" s="13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81"/>
      <c r="F706" s="201"/>
      <c r="G706" s="131"/>
      <c r="H706" s="131"/>
      <c r="I706" s="1"/>
      <c r="J706" s="1"/>
      <c r="K706" s="1"/>
      <c r="L706" s="1"/>
      <c r="M706" s="1"/>
      <c r="N706" s="1"/>
      <c r="O706" s="1"/>
      <c r="P706" s="1"/>
      <c r="Q706" s="1"/>
      <c r="R706" s="13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81"/>
      <c r="F707" s="201"/>
      <c r="G707" s="131"/>
      <c r="H707" s="131"/>
      <c r="I707" s="1"/>
      <c r="J707" s="1"/>
      <c r="K707" s="1"/>
      <c r="L707" s="1"/>
      <c r="M707" s="1"/>
      <c r="N707" s="1"/>
      <c r="O707" s="1"/>
      <c r="P707" s="1"/>
      <c r="Q707" s="1"/>
      <c r="R707" s="13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81"/>
      <c r="F708" s="201"/>
      <c r="G708" s="131"/>
      <c r="H708" s="131"/>
      <c r="I708" s="1"/>
      <c r="J708" s="1"/>
      <c r="K708" s="1"/>
      <c r="L708" s="1"/>
      <c r="M708" s="1"/>
      <c r="N708" s="1"/>
      <c r="O708" s="1"/>
      <c r="P708" s="1"/>
      <c r="Q708" s="1"/>
      <c r="R708" s="13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81"/>
      <c r="F709" s="201"/>
      <c r="G709" s="131"/>
      <c r="H709" s="131"/>
      <c r="I709" s="1"/>
      <c r="J709" s="1"/>
      <c r="K709" s="1"/>
      <c r="L709" s="1"/>
      <c r="M709" s="1"/>
      <c r="N709" s="1"/>
      <c r="O709" s="1"/>
      <c r="P709" s="1"/>
      <c r="Q709" s="1"/>
      <c r="R709" s="13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81"/>
      <c r="F710" s="201"/>
      <c r="G710" s="131"/>
      <c r="H710" s="131"/>
      <c r="I710" s="1"/>
      <c r="J710" s="1"/>
      <c r="K710" s="1"/>
      <c r="L710" s="1"/>
      <c r="M710" s="1"/>
      <c r="N710" s="1"/>
      <c r="O710" s="1"/>
      <c r="P710" s="1"/>
      <c r="Q710" s="1"/>
      <c r="R710" s="13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81"/>
      <c r="F711" s="201"/>
      <c r="G711" s="131"/>
      <c r="H711" s="131"/>
      <c r="I711" s="1"/>
      <c r="J711" s="1"/>
      <c r="K711" s="1"/>
      <c r="L711" s="1"/>
      <c r="M711" s="1"/>
      <c r="N711" s="1"/>
      <c r="O711" s="1"/>
      <c r="P711" s="1"/>
      <c r="Q711" s="1"/>
      <c r="R711" s="13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81"/>
      <c r="F712" s="201"/>
      <c r="G712" s="131"/>
      <c r="H712" s="131"/>
      <c r="I712" s="1"/>
      <c r="J712" s="1"/>
      <c r="K712" s="1"/>
      <c r="L712" s="1"/>
      <c r="M712" s="1"/>
      <c r="N712" s="1"/>
      <c r="O712" s="1"/>
      <c r="P712" s="1"/>
      <c r="Q712" s="1"/>
      <c r="R712" s="13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81"/>
      <c r="F713" s="201"/>
      <c r="G713" s="131"/>
      <c r="H713" s="131"/>
      <c r="I713" s="1"/>
      <c r="J713" s="1"/>
      <c r="K713" s="1"/>
      <c r="L713" s="1"/>
      <c r="M713" s="1"/>
      <c r="N713" s="1"/>
      <c r="O713" s="1"/>
      <c r="P713" s="1"/>
      <c r="Q713" s="1"/>
      <c r="R713" s="13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81"/>
      <c r="F714" s="201"/>
      <c r="G714" s="131"/>
      <c r="H714" s="131"/>
      <c r="I714" s="1"/>
      <c r="J714" s="1"/>
      <c r="K714" s="1"/>
      <c r="L714" s="1"/>
      <c r="M714" s="1"/>
      <c r="N714" s="1"/>
      <c r="O714" s="1"/>
      <c r="P714" s="1"/>
      <c r="Q714" s="1"/>
      <c r="R714" s="13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81"/>
      <c r="F715" s="201"/>
      <c r="G715" s="131"/>
      <c r="H715" s="131"/>
      <c r="I715" s="1"/>
      <c r="J715" s="1"/>
      <c r="K715" s="1"/>
      <c r="L715" s="1"/>
      <c r="M715" s="1"/>
      <c r="N715" s="1"/>
      <c r="O715" s="1"/>
      <c r="P715" s="1"/>
      <c r="Q715" s="1"/>
      <c r="R715" s="13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81"/>
      <c r="F716" s="201"/>
      <c r="G716" s="131"/>
      <c r="H716" s="131"/>
      <c r="I716" s="1"/>
      <c r="J716" s="1"/>
      <c r="K716" s="1"/>
      <c r="L716" s="1"/>
      <c r="M716" s="1"/>
      <c r="N716" s="1"/>
      <c r="O716" s="1"/>
      <c r="P716" s="1"/>
      <c r="Q716" s="1"/>
      <c r="R716" s="13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81"/>
      <c r="F717" s="201"/>
      <c r="G717" s="131"/>
      <c r="H717" s="131"/>
      <c r="I717" s="1"/>
      <c r="J717" s="1"/>
      <c r="K717" s="1"/>
      <c r="L717" s="1"/>
      <c r="M717" s="1"/>
      <c r="N717" s="1"/>
      <c r="O717" s="1"/>
      <c r="P717" s="1"/>
      <c r="Q717" s="1"/>
      <c r="R717" s="13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81"/>
      <c r="F718" s="201"/>
      <c r="G718" s="131"/>
      <c r="H718" s="131"/>
      <c r="I718" s="1"/>
      <c r="J718" s="1"/>
      <c r="K718" s="1"/>
      <c r="L718" s="1"/>
      <c r="M718" s="1"/>
      <c r="N718" s="1"/>
      <c r="O718" s="1"/>
      <c r="P718" s="1"/>
      <c r="Q718" s="1"/>
      <c r="R718" s="13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81"/>
      <c r="F719" s="201"/>
      <c r="G719" s="131"/>
      <c r="H719" s="131"/>
      <c r="I719" s="1"/>
      <c r="J719" s="1"/>
      <c r="K719" s="1"/>
      <c r="L719" s="1"/>
      <c r="M719" s="1"/>
      <c r="N719" s="1"/>
      <c r="O719" s="1"/>
      <c r="P719" s="1"/>
      <c r="Q719" s="1"/>
      <c r="R719" s="13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81"/>
      <c r="F720" s="201"/>
      <c r="G720" s="131"/>
      <c r="H720" s="131"/>
      <c r="I720" s="1"/>
      <c r="J720" s="1"/>
      <c r="K720" s="1"/>
      <c r="L720" s="1"/>
      <c r="M720" s="1"/>
      <c r="N720" s="1"/>
      <c r="O720" s="1"/>
      <c r="P720" s="1"/>
      <c r="Q720" s="1"/>
      <c r="R720" s="13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81"/>
      <c r="F721" s="201"/>
      <c r="G721" s="131"/>
      <c r="H721" s="131"/>
      <c r="I721" s="1"/>
      <c r="J721" s="1"/>
      <c r="K721" s="1"/>
      <c r="L721" s="1"/>
      <c r="M721" s="1"/>
      <c r="N721" s="1"/>
      <c r="O721" s="1"/>
      <c r="P721" s="1"/>
      <c r="Q721" s="1"/>
      <c r="R721" s="13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81"/>
      <c r="F722" s="201"/>
      <c r="G722" s="131"/>
      <c r="H722" s="131"/>
      <c r="I722" s="1"/>
      <c r="J722" s="1"/>
      <c r="K722" s="1"/>
      <c r="L722" s="1"/>
      <c r="M722" s="1"/>
      <c r="N722" s="1"/>
      <c r="O722" s="1"/>
      <c r="P722" s="1"/>
      <c r="Q722" s="1"/>
      <c r="R722" s="13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81"/>
      <c r="F723" s="201"/>
      <c r="G723" s="131"/>
      <c r="H723" s="131"/>
      <c r="I723" s="1"/>
      <c r="J723" s="1"/>
      <c r="K723" s="1"/>
      <c r="L723" s="1"/>
      <c r="M723" s="1"/>
      <c r="N723" s="1"/>
      <c r="O723" s="1"/>
      <c r="P723" s="1"/>
      <c r="Q723" s="1"/>
      <c r="R723" s="13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81"/>
      <c r="F724" s="201"/>
      <c r="G724" s="131"/>
      <c r="H724" s="131"/>
      <c r="I724" s="1"/>
      <c r="J724" s="1"/>
      <c r="K724" s="1"/>
      <c r="L724" s="1"/>
      <c r="M724" s="1"/>
      <c r="N724" s="1"/>
      <c r="O724" s="1"/>
      <c r="P724" s="1"/>
      <c r="Q724" s="1"/>
      <c r="R724" s="13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81"/>
      <c r="F725" s="201"/>
      <c r="G725" s="131"/>
      <c r="H725" s="131"/>
      <c r="I725" s="1"/>
      <c r="J725" s="1"/>
      <c r="K725" s="1"/>
      <c r="L725" s="1"/>
      <c r="M725" s="1"/>
      <c r="N725" s="1"/>
      <c r="O725" s="1"/>
      <c r="P725" s="1"/>
      <c r="Q725" s="1"/>
      <c r="R725" s="13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81"/>
      <c r="F726" s="201"/>
      <c r="G726" s="131"/>
      <c r="H726" s="131"/>
      <c r="I726" s="1"/>
      <c r="J726" s="1"/>
      <c r="K726" s="1"/>
      <c r="L726" s="1"/>
      <c r="M726" s="1"/>
      <c r="N726" s="1"/>
      <c r="O726" s="1"/>
      <c r="P726" s="1"/>
      <c r="Q726" s="1"/>
      <c r="R726" s="13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81"/>
      <c r="F727" s="201"/>
      <c r="G727" s="131"/>
      <c r="H727" s="131"/>
      <c r="I727" s="1"/>
      <c r="J727" s="1"/>
      <c r="K727" s="1"/>
      <c r="L727" s="1"/>
      <c r="M727" s="1"/>
      <c r="N727" s="1"/>
      <c r="O727" s="1"/>
      <c r="P727" s="1"/>
      <c r="Q727" s="1"/>
      <c r="R727" s="13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81"/>
      <c r="F728" s="201"/>
      <c r="G728" s="131"/>
      <c r="H728" s="131"/>
      <c r="I728" s="1"/>
      <c r="J728" s="1"/>
      <c r="K728" s="1"/>
      <c r="L728" s="1"/>
      <c r="M728" s="1"/>
      <c r="N728" s="1"/>
      <c r="O728" s="1"/>
      <c r="P728" s="1"/>
      <c r="Q728" s="1"/>
      <c r="R728" s="13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81"/>
      <c r="F729" s="201"/>
      <c r="G729" s="131"/>
      <c r="H729" s="131"/>
      <c r="I729" s="1"/>
      <c r="J729" s="1"/>
      <c r="K729" s="1"/>
      <c r="L729" s="1"/>
      <c r="M729" s="1"/>
      <c r="N729" s="1"/>
      <c r="O729" s="1"/>
      <c r="P729" s="1"/>
      <c r="Q729" s="1"/>
      <c r="R729" s="13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81"/>
      <c r="F730" s="201"/>
      <c r="G730" s="131"/>
      <c r="H730" s="131"/>
      <c r="I730" s="1"/>
      <c r="J730" s="1"/>
      <c r="K730" s="1"/>
      <c r="L730" s="1"/>
      <c r="M730" s="1"/>
      <c r="N730" s="1"/>
      <c r="O730" s="1"/>
      <c r="P730" s="1"/>
      <c r="Q730" s="1"/>
      <c r="R730" s="13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81"/>
      <c r="F731" s="201"/>
      <c r="G731" s="131"/>
      <c r="H731" s="131"/>
      <c r="I731" s="1"/>
      <c r="J731" s="1"/>
      <c r="K731" s="1"/>
      <c r="L731" s="1"/>
      <c r="M731" s="1"/>
      <c r="N731" s="1"/>
      <c r="O731" s="1"/>
      <c r="P731" s="1"/>
      <c r="Q731" s="1"/>
      <c r="R731" s="13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81"/>
      <c r="F732" s="201"/>
      <c r="G732" s="131"/>
      <c r="H732" s="131"/>
      <c r="I732" s="1"/>
      <c r="J732" s="1"/>
      <c r="K732" s="1"/>
      <c r="L732" s="1"/>
      <c r="M732" s="1"/>
      <c r="N732" s="1"/>
      <c r="O732" s="1"/>
      <c r="P732" s="1"/>
      <c r="Q732" s="1"/>
      <c r="R732" s="13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81"/>
      <c r="F733" s="201"/>
      <c r="G733" s="131"/>
      <c r="H733" s="131"/>
      <c r="I733" s="1"/>
      <c r="J733" s="1"/>
      <c r="K733" s="1"/>
      <c r="L733" s="1"/>
      <c r="M733" s="1"/>
      <c r="N733" s="1"/>
      <c r="O733" s="1"/>
      <c r="P733" s="1"/>
      <c r="Q733" s="1"/>
      <c r="R733" s="13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81"/>
      <c r="F734" s="201"/>
      <c r="G734" s="131"/>
      <c r="H734" s="131"/>
      <c r="I734" s="1"/>
      <c r="J734" s="1"/>
      <c r="K734" s="1"/>
      <c r="L734" s="1"/>
      <c r="M734" s="1"/>
      <c r="N734" s="1"/>
      <c r="O734" s="1"/>
      <c r="P734" s="1"/>
      <c r="Q734" s="1"/>
      <c r="R734" s="13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81"/>
      <c r="F735" s="201"/>
      <c r="G735" s="131"/>
      <c r="H735" s="131"/>
      <c r="I735" s="1"/>
      <c r="J735" s="1"/>
      <c r="K735" s="1"/>
      <c r="L735" s="1"/>
      <c r="M735" s="1"/>
      <c r="N735" s="1"/>
      <c r="O735" s="1"/>
      <c r="P735" s="1"/>
      <c r="Q735" s="1"/>
      <c r="R735" s="13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81"/>
      <c r="F736" s="201"/>
      <c r="G736" s="131"/>
      <c r="H736" s="131"/>
      <c r="I736" s="1"/>
      <c r="J736" s="1"/>
      <c r="K736" s="1"/>
      <c r="L736" s="1"/>
      <c r="M736" s="1"/>
      <c r="N736" s="1"/>
      <c r="O736" s="1"/>
      <c r="P736" s="1"/>
      <c r="Q736" s="1"/>
      <c r="R736" s="13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81"/>
      <c r="F737" s="201"/>
      <c r="G737" s="131"/>
      <c r="H737" s="131"/>
      <c r="I737" s="1"/>
      <c r="J737" s="1"/>
      <c r="K737" s="1"/>
      <c r="L737" s="1"/>
      <c r="M737" s="1"/>
      <c r="N737" s="1"/>
      <c r="O737" s="1"/>
      <c r="P737" s="1"/>
      <c r="Q737" s="1"/>
      <c r="R737" s="13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81"/>
      <c r="F738" s="201"/>
      <c r="G738" s="131"/>
      <c r="H738" s="131"/>
      <c r="I738" s="1"/>
      <c r="J738" s="1"/>
      <c r="K738" s="1"/>
      <c r="L738" s="1"/>
      <c r="M738" s="1"/>
      <c r="N738" s="1"/>
      <c r="O738" s="1"/>
      <c r="P738" s="1"/>
      <c r="Q738" s="1"/>
      <c r="R738" s="13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81"/>
      <c r="F739" s="201"/>
      <c r="G739" s="131"/>
      <c r="H739" s="131"/>
      <c r="I739" s="1"/>
      <c r="J739" s="1"/>
      <c r="K739" s="1"/>
      <c r="L739" s="1"/>
      <c r="M739" s="1"/>
      <c r="N739" s="1"/>
      <c r="O739" s="1"/>
      <c r="P739" s="1"/>
      <c r="Q739" s="1"/>
      <c r="R739" s="13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81"/>
      <c r="F740" s="201"/>
      <c r="G740" s="131"/>
      <c r="H740" s="131"/>
      <c r="I740" s="1"/>
      <c r="J740" s="1"/>
      <c r="K740" s="1"/>
      <c r="L740" s="1"/>
      <c r="M740" s="1"/>
      <c r="N740" s="1"/>
      <c r="O740" s="1"/>
      <c r="P740" s="1"/>
      <c r="Q740" s="1"/>
      <c r="R740" s="13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81"/>
      <c r="F741" s="201"/>
      <c r="G741" s="131"/>
      <c r="H741" s="131"/>
      <c r="I741" s="1"/>
      <c r="J741" s="1"/>
      <c r="K741" s="1"/>
      <c r="L741" s="1"/>
      <c r="M741" s="1"/>
      <c r="N741" s="1"/>
      <c r="O741" s="1"/>
      <c r="P741" s="1"/>
      <c r="Q741" s="1"/>
      <c r="R741" s="13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81"/>
      <c r="F742" s="201"/>
      <c r="G742" s="131"/>
      <c r="H742" s="131"/>
      <c r="I742" s="1"/>
      <c r="J742" s="1"/>
      <c r="K742" s="1"/>
      <c r="L742" s="1"/>
      <c r="M742" s="1"/>
      <c r="N742" s="1"/>
      <c r="O742" s="1"/>
      <c r="P742" s="1"/>
      <c r="Q742" s="1"/>
      <c r="R742" s="13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81"/>
      <c r="F743" s="201"/>
      <c r="G743" s="131"/>
      <c r="H743" s="131"/>
      <c r="I743" s="1"/>
      <c r="J743" s="1"/>
      <c r="K743" s="1"/>
      <c r="L743" s="1"/>
      <c r="M743" s="1"/>
      <c r="N743" s="1"/>
      <c r="O743" s="1"/>
      <c r="P743" s="1"/>
      <c r="Q743" s="1"/>
      <c r="R743" s="13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81"/>
      <c r="F744" s="201"/>
      <c r="G744" s="131"/>
      <c r="H744" s="131"/>
      <c r="I744" s="1"/>
      <c r="J744" s="1"/>
      <c r="K744" s="1"/>
      <c r="L744" s="1"/>
      <c r="M744" s="1"/>
      <c r="N744" s="1"/>
      <c r="O744" s="1"/>
      <c r="P744" s="1"/>
      <c r="Q744" s="1"/>
      <c r="R744" s="13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81"/>
      <c r="F745" s="201"/>
      <c r="G745" s="131"/>
      <c r="H745" s="131"/>
      <c r="I745" s="1"/>
      <c r="J745" s="1"/>
      <c r="K745" s="1"/>
      <c r="L745" s="1"/>
      <c r="M745" s="1"/>
      <c r="N745" s="1"/>
      <c r="O745" s="1"/>
      <c r="P745" s="1"/>
      <c r="Q745" s="1"/>
      <c r="R745" s="13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81"/>
      <c r="F746" s="201"/>
      <c r="G746" s="131"/>
      <c r="H746" s="131"/>
      <c r="I746" s="1"/>
      <c r="J746" s="1"/>
      <c r="K746" s="1"/>
      <c r="L746" s="1"/>
      <c r="M746" s="1"/>
      <c r="N746" s="1"/>
      <c r="O746" s="1"/>
      <c r="P746" s="1"/>
      <c r="Q746" s="1"/>
      <c r="R746" s="13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81"/>
      <c r="F747" s="201"/>
      <c r="G747" s="131"/>
      <c r="H747" s="131"/>
      <c r="I747" s="1"/>
      <c r="J747" s="1"/>
      <c r="K747" s="1"/>
      <c r="L747" s="1"/>
      <c r="M747" s="1"/>
      <c r="N747" s="1"/>
      <c r="O747" s="1"/>
      <c r="P747" s="1"/>
      <c r="Q747" s="1"/>
      <c r="R747" s="13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81"/>
      <c r="F748" s="201"/>
      <c r="G748" s="131"/>
      <c r="H748" s="131"/>
      <c r="I748" s="1"/>
      <c r="J748" s="1"/>
      <c r="K748" s="1"/>
      <c r="L748" s="1"/>
      <c r="M748" s="1"/>
      <c r="N748" s="1"/>
      <c r="O748" s="1"/>
      <c r="P748" s="1"/>
      <c r="Q748" s="1"/>
      <c r="R748" s="13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81"/>
      <c r="F749" s="201"/>
      <c r="G749" s="131"/>
      <c r="H749" s="131"/>
      <c r="I749" s="1"/>
      <c r="J749" s="1"/>
      <c r="K749" s="1"/>
      <c r="L749" s="1"/>
      <c r="M749" s="1"/>
      <c r="N749" s="1"/>
      <c r="O749" s="1"/>
      <c r="P749" s="1"/>
      <c r="Q749" s="1"/>
      <c r="R749" s="13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81"/>
      <c r="F750" s="201"/>
      <c r="G750" s="131"/>
      <c r="H750" s="131"/>
      <c r="I750" s="1"/>
      <c r="J750" s="1"/>
      <c r="K750" s="1"/>
      <c r="L750" s="1"/>
      <c r="M750" s="1"/>
      <c r="N750" s="1"/>
      <c r="O750" s="1"/>
      <c r="P750" s="1"/>
      <c r="Q750" s="1"/>
      <c r="R750" s="13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81"/>
      <c r="F751" s="201"/>
      <c r="G751" s="131"/>
      <c r="H751" s="131"/>
      <c r="I751" s="1"/>
      <c r="J751" s="1"/>
      <c r="K751" s="1"/>
      <c r="L751" s="1"/>
      <c r="M751" s="1"/>
      <c r="N751" s="1"/>
      <c r="O751" s="1"/>
      <c r="P751" s="1"/>
      <c r="Q751" s="1"/>
      <c r="R751" s="13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81"/>
      <c r="F752" s="201"/>
      <c r="G752" s="131"/>
      <c r="H752" s="131"/>
      <c r="I752" s="1"/>
      <c r="J752" s="1"/>
      <c r="K752" s="1"/>
      <c r="L752" s="1"/>
      <c r="M752" s="1"/>
      <c r="N752" s="1"/>
      <c r="O752" s="1"/>
      <c r="P752" s="1"/>
      <c r="Q752" s="1"/>
      <c r="R752" s="13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81"/>
      <c r="F753" s="201"/>
      <c r="G753" s="131"/>
      <c r="H753" s="131"/>
      <c r="I753" s="1"/>
      <c r="J753" s="1"/>
      <c r="K753" s="1"/>
      <c r="L753" s="1"/>
      <c r="M753" s="1"/>
      <c r="N753" s="1"/>
      <c r="O753" s="1"/>
      <c r="P753" s="1"/>
      <c r="Q753" s="1"/>
      <c r="R753" s="13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81"/>
      <c r="F754" s="201"/>
      <c r="G754" s="131"/>
      <c r="H754" s="131"/>
      <c r="I754" s="1"/>
      <c r="J754" s="1"/>
      <c r="K754" s="1"/>
      <c r="L754" s="1"/>
      <c r="M754" s="1"/>
      <c r="N754" s="1"/>
      <c r="O754" s="1"/>
      <c r="P754" s="1"/>
      <c r="Q754" s="1"/>
      <c r="R754" s="13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81"/>
      <c r="F755" s="201"/>
      <c r="G755" s="131"/>
      <c r="H755" s="131"/>
      <c r="I755" s="1"/>
      <c r="J755" s="1"/>
      <c r="K755" s="1"/>
      <c r="L755" s="1"/>
      <c r="M755" s="1"/>
      <c r="N755" s="1"/>
      <c r="O755" s="1"/>
      <c r="P755" s="1"/>
      <c r="Q755" s="1"/>
      <c r="R755" s="13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81"/>
      <c r="F756" s="201"/>
      <c r="G756" s="131"/>
      <c r="H756" s="131"/>
      <c r="I756" s="1"/>
      <c r="J756" s="1"/>
      <c r="K756" s="1"/>
      <c r="L756" s="1"/>
      <c r="M756" s="1"/>
      <c r="N756" s="1"/>
      <c r="O756" s="1"/>
      <c r="P756" s="1"/>
      <c r="Q756" s="1"/>
      <c r="R756" s="13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81"/>
      <c r="F757" s="201"/>
      <c r="G757" s="131"/>
      <c r="H757" s="131"/>
      <c r="I757" s="1"/>
      <c r="J757" s="1"/>
      <c r="K757" s="1"/>
      <c r="L757" s="1"/>
      <c r="M757" s="1"/>
      <c r="N757" s="1"/>
      <c r="O757" s="1"/>
      <c r="P757" s="1"/>
      <c r="Q757" s="1"/>
      <c r="R757" s="13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81"/>
      <c r="F758" s="201"/>
      <c r="G758" s="131"/>
      <c r="H758" s="131"/>
      <c r="I758" s="1"/>
      <c r="J758" s="1"/>
      <c r="K758" s="1"/>
      <c r="L758" s="1"/>
      <c r="M758" s="1"/>
      <c r="N758" s="1"/>
      <c r="O758" s="1"/>
      <c r="P758" s="1"/>
      <c r="Q758" s="1"/>
      <c r="R758" s="13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81"/>
      <c r="F759" s="201"/>
      <c r="G759" s="131"/>
      <c r="H759" s="131"/>
      <c r="I759" s="1"/>
      <c r="J759" s="1"/>
      <c r="K759" s="1"/>
      <c r="L759" s="1"/>
      <c r="M759" s="1"/>
      <c r="N759" s="1"/>
      <c r="O759" s="1"/>
      <c r="P759" s="1"/>
      <c r="Q759" s="1"/>
      <c r="R759" s="13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81"/>
      <c r="F760" s="201"/>
      <c r="G760" s="131"/>
      <c r="H760" s="131"/>
      <c r="I760" s="1"/>
      <c r="J760" s="1"/>
      <c r="K760" s="1"/>
      <c r="L760" s="1"/>
      <c r="M760" s="1"/>
      <c r="N760" s="1"/>
      <c r="O760" s="1"/>
      <c r="P760" s="1"/>
      <c r="Q760" s="1"/>
      <c r="R760" s="13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81"/>
      <c r="F761" s="201"/>
      <c r="G761" s="131"/>
      <c r="H761" s="131"/>
      <c r="I761" s="1"/>
      <c r="J761" s="1"/>
      <c r="K761" s="1"/>
      <c r="L761" s="1"/>
      <c r="M761" s="1"/>
      <c r="N761" s="1"/>
      <c r="O761" s="1"/>
      <c r="P761" s="1"/>
      <c r="Q761" s="1"/>
      <c r="R761" s="13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81"/>
      <c r="F762" s="201"/>
      <c r="G762" s="131"/>
      <c r="H762" s="131"/>
      <c r="I762" s="1"/>
      <c r="J762" s="1"/>
      <c r="K762" s="1"/>
      <c r="L762" s="1"/>
      <c r="M762" s="1"/>
      <c r="N762" s="1"/>
      <c r="O762" s="1"/>
      <c r="P762" s="1"/>
      <c r="Q762" s="1"/>
      <c r="R762" s="13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81"/>
      <c r="F763" s="201"/>
      <c r="G763" s="131"/>
      <c r="H763" s="131"/>
      <c r="I763" s="1"/>
      <c r="J763" s="1"/>
      <c r="K763" s="1"/>
      <c r="L763" s="1"/>
      <c r="M763" s="1"/>
      <c r="N763" s="1"/>
      <c r="O763" s="1"/>
      <c r="P763" s="1"/>
      <c r="Q763" s="1"/>
      <c r="R763" s="13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81"/>
      <c r="F764" s="201"/>
      <c r="G764" s="131"/>
      <c r="H764" s="131"/>
      <c r="I764" s="1"/>
      <c r="J764" s="1"/>
      <c r="K764" s="1"/>
      <c r="L764" s="1"/>
      <c r="M764" s="1"/>
      <c r="N764" s="1"/>
      <c r="O764" s="1"/>
      <c r="P764" s="1"/>
      <c r="Q764" s="1"/>
      <c r="R764" s="13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81"/>
      <c r="F765" s="201"/>
      <c r="G765" s="131"/>
      <c r="H765" s="131"/>
      <c r="I765" s="1"/>
      <c r="J765" s="1"/>
      <c r="K765" s="1"/>
      <c r="L765" s="1"/>
      <c r="M765" s="1"/>
      <c r="N765" s="1"/>
      <c r="O765" s="1"/>
      <c r="P765" s="1"/>
      <c r="Q765" s="1"/>
      <c r="R765" s="13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81"/>
      <c r="F766" s="201"/>
      <c r="G766" s="131"/>
      <c r="H766" s="131"/>
      <c r="I766" s="1"/>
      <c r="J766" s="1"/>
      <c r="K766" s="1"/>
      <c r="L766" s="1"/>
      <c r="M766" s="1"/>
      <c r="N766" s="1"/>
      <c r="O766" s="1"/>
      <c r="P766" s="1"/>
      <c r="Q766" s="1"/>
      <c r="R766" s="13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81"/>
      <c r="F767" s="201"/>
      <c r="G767" s="131"/>
      <c r="H767" s="131"/>
      <c r="I767" s="1"/>
      <c r="J767" s="1"/>
      <c r="K767" s="1"/>
      <c r="L767" s="1"/>
      <c r="M767" s="1"/>
      <c r="N767" s="1"/>
      <c r="O767" s="1"/>
      <c r="P767" s="1"/>
      <c r="Q767" s="1"/>
      <c r="R767" s="13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81"/>
      <c r="F768" s="201"/>
      <c r="G768" s="131"/>
      <c r="H768" s="131"/>
      <c r="I768" s="1"/>
      <c r="J768" s="1"/>
      <c r="K768" s="1"/>
      <c r="L768" s="1"/>
      <c r="M768" s="1"/>
      <c r="N768" s="1"/>
      <c r="O768" s="1"/>
      <c r="P768" s="1"/>
      <c r="Q768" s="1"/>
      <c r="R768" s="13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81"/>
      <c r="F769" s="201"/>
      <c r="G769" s="131"/>
      <c r="H769" s="131"/>
      <c r="I769" s="1"/>
      <c r="J769" s="1"/>
      <c r="K769" s="1"/>
      <c r="L769" s="1"/>
      <c r="M769" s="1"/>
      <c r="N769" s="1"/>
      <c r="O769" s="1"/>
      <c r="P769" s="1"/>
      <c r="Q769" s="1"/>
      <c r="R769" s="13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81"/>
      <c r="F770" s="201"/>
      <c r="G770" s="131"/>
      <c r="H770" s="131"/>
      <c r="I770" s="1"/>
      <c r="J770" s="1"/>
      <c r="K770" s="1"/>
      <c r="L770" s="1"/>
      <c r="M770" s="1"/>
      <c r="N770" s="1"/>
      <c r="O770" s="1"/>
      <c r="P770" s="1"/>
      <c r="Q770" s="1"/>
      <c r="R770" s="13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81"/>
      <c r="F771" s="201"/>
      <c r="G771" s="131"/>
      <c r="H771" s="131"/>
      <c r="I771" s="1"/>
      <c r="J771" s="1"/>
      <c r="K771" s="1"/>
      <c r="L771" s="1"/>
      <c r="M771" s="1"/>
      <c r="N771" s="1"/>
      <c r="O771" s="1"/>
      <c r="P771" s="1"/>
      <c r="Q771" s="1"/>
      <c r="R771" s="13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81"/>
      <c r="F772" s="201"/>
      <c r="G772" s="131"/>
      <c r="H772" s="131"/>
      <c r="I772" s="1"/>
      <c r="J772" s="1"/>
      <c r="K772" s="1"/>
      <c r="L772" s="1"/>
      <c r="M772" s="1"/>
      <c r="N772" s="1"/>
      <c r="O772" s="1"/>
      <c r="P772" s="1"/>
      <c r="Q772" s="1"/>
      <c r="R772" s="13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81"/>
      <c r="F773" s="201"/>
      <c r="G773" s="131"/>
      <c r="H773" s="131"/>
      <c r="I773" s="1"/>
      <c r="J773" s="1"/>
      <c r="K773" s="1"/>
      <c r="L773" s="1"/>
      <c r="M773" s="1"/>
      <c r="N773" s="1"/>
      <c r="O773" s="1"/>
      <c r="P773" s="1"/>
      <c r="Q773" s="1"/>
      <c r="R773" s="13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81"/>
      <c r="F774" s="201"/>
      <c r="G774" s="131"/>
      <c r="H774" s="131"/>
      <c r="I774" s="1"/>
      <c r="J774" s="1"/>
      <c r="K774" s="1"/>
      <c r="L774" s="1"/>
      <c r="M774" s="1"/>
      <c r="N774" s="1"/>
      <c r="O774" s="1"/>
      <c r="P774" s="1"/>
      <c r="Q774" s="1"/>
      <c r="R774" s="13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81"/>
      <c r="F775" s="201"/>
      <c r="G775" s="131"/>
      <c r="H775" s="131"/>
      <c r="I775" s="1"/>
      <c r="J775" s="1"/>
      <c r="K775" s="1"/>
      <c r="L775" s="1"/>
      <c r="M775" s="1"/>
      <c r="N775" s="1"/>
      <c r="O775" s="1"/>
      <c r="P775" s="1"/>
      <c r="Q775" s="1"/>
      <c r="R775" s="13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81"/>
      <c r="F776" s="201"/>
      <c r="G776" s="131"/>
      <c r="H776" s="131"/>
      <c r="I776" s="1"/>
      <c r="J776" s="1"/>
      <c r="K776" s="1"/>
      <c r="L776" s="1"/>
      <c r="M776" s="1"/>
      <c r="N776" s="1"/>
      <c r="O776" s="1"/>
      <c r="P776" s="1"/>
      <c r="Q776" s="1"/>
      <c r="R776" s="13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81"/>
      <c r="F777" s="201"/>
      <c r="G777" s="131"/>
      <c r="H777" s="131"/>
      <c r="I777" s="1"/>
      <c r="J777" s="1"/>
      <c r="K777" s="1"/>
      <c r="L777" s="1"/>
      <c r="M777" s="1"/>
      <c r="N777" s="1"/>
      <c r="O777" s="1"/>
      <c r="P777" s="1"/>
      <c r="Q777" s="1"/>
      <c r="R777" s="13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81"/>
      <c r="F778" s="201"/>
      <c r="G778" s="131"/>
      <c r="H778" s="131"/>
      <c r="I778" s="1"/>
      <c r="J778" s="1"/>
      <c r="K778" s="1"/>
      <c r="L778" s="1"/>
      <c r="M778" s="1"/>
      <c r="N778" s="1"/>
      <c r="O778" s="1"/>
      <c r="P778" s="1"/>
      <c r="Q778" s="1"/>
      <c r="R778" s="13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81"/>
      <c r="F779" s="201"/>
      <c r="G779" s="131"/>
      <c r="H779" s="131"/>
      <c r="I779" s="1"/>
      <c r="J779" s="1"/>
      <c r="K779" s="1"/>
      <c r="L779" s="1"/>
      <c r="M779" s="1"/>
      <c r="N779" s="1"/>
      <c r="O779" s="1"/>
      <c r="P779" s="1"/>
      <c r="Q779" s="1"/>
      <c r="R779" s="13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81"/>
      <c r="F780" s="201"/>
      <c r="G780" s="131"/>
      <c r="H780" s="131"/>
      <c r="I780" s="1"/>
      <c r="J780" s="1"/>
      <c r="K780" s="1"/>
      <c r="L780" s="1"/>
      <c r="M780" s="1"/>
      <c r="N780" s="1"/>
      <c r="O780" s="1"/>
      <c r="P780" s="1"/>
      <c r="Q780" s="1"/>
      <c r="R780" s="13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81"/>
      <c r="F781" s="201"/>
      <c r="G781" s="131"/>
      <c r="H781" s="131"/>
      <c r="I781" s="1"/>
      <c r="J781" s="1"/>
      <c r="K781" s="1"/>
      <c r="L781" s="1"/>
      <c r="M781" s="1"/>
      <c r="N781" s="1"/>
      <c r="O781" s="1"/>
      <c r="P781" s="1"/>
      <c r="Q781" s="1"/>
      <c r="R781" s="13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81"/>
      <c r="F782" s="201"/>
      <c r="G782" s="131"/>
      <c r="H782" s="131"/>
      <c r="I782" s="1"/>
      <c r="J782" s="1"/>
      <c r="K782" s="1"/>
      <c r="L782" s="1"/>
      <c r="M782" s="1"/>
      <c r="N782" s="1"/>
      <c r="O782" s="1"/>
      <c r="P782" s="1"/>
      <c r="Q782" s="1"/>
      <c r="R782" s="13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81"/>
      <c r="F783" s="201"/>
      <c r="G783" s="131"/>
      <c r="H783" s="131"/>
      <c r="I783" s="1"/>
      <c r="J783" s="1"/>
      <c r="K783" s="1"/>
      <c r="L783" s="1"/>
      <c r="M783" s="1"/>
      <c r="N783" s="1"/>
      <c r="O783" s="1"/>
      <c r="P783" s="1"/>
      <c r="Q783" s="1"/>
      <c r="R783" s="13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81"/>
      <c r="F784" s="201"/>
      <c r="G784" s="131"/>
      <c r="H784" s="131"/>
      <c r="I784" s="1"/>
      <c r="J784" s="1"/>
      <c r="K784" s="1"/>
      <c r="L784" s="1"/>
      <c r="M784" s="1"/>
      <c r="N784" s="1"/>
      <c r="O784" s="1"/>
      <c r="P784" s="1"/>
      <c r="Q784" s="1"/>
      <c r="R784" s="13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81"/>
      <c r="F785" s="201"/>
      <c r="G785" s="131"/>
      <c r="H785" s="131"/>
      <c r="I785" s="1"/>
      <c r="J785" s="1"/>
      <c r="K785" s="1"/>
      <c r="L785" s="1"/>
      <c r="M785" s="1"/>
      <c r="N785" s="1"/>
      <c r="O785" s="1"/>
      <c r="P785" s="1"/>
      <c r="Q785" s="1"/>
      <c r="R785" s="13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81"/>
      <c r="F786" s="201"/>
      <c r="G786" s="131"/>
      <c r="H786" s="131"/>
      <c r="I786" s="1"/>
      <c r="J786" s="1"/>
      <c r="K786" s="1"/>
      <c r="L786" s="1"/>
      <c r="M786" s="1"/>
      <c r="N786" s="1"/>
      <c r="O786" s="1"/>
      <c r="P786" s="1"/>
      <c r="Q786" s="1"/>
      <c r="R786" s="13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81"/>
      <c r="F787" s="201"/>
      <c r="G787" s="131"/>
      <c r="H787" s="131"/>
      <c r="I787" s="1"/>
      <c r="J787" s="1"/>
      <c r="K787" s="1"/>
      <c r="L787" s="1"/>
      <c r="M787" s="1"/>
      <c r="N787" s="1"/>
      <c r="O787" s="1"/>
      <c r="P787" s="1"/>
      <c r="Q787" s="1"/>
      <c r="R787" s="13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81"/>
      <c r="F788" s="201"/>
      <c r="G788" s="131"/>
      <c r="H788" s="131"/>
      <c r="I788" s="1"/>
      <c r="J788" s="1"/>
      <c r="K788" s="1"/>
      <c r="L788" s="1"/>
      <c r="M788" s="1"/>
      <c r="N788" s="1"/>
      <c r="O788" s="1"/>
      <c r="P788" s="1"/>
      <c r="Q788" s="1"/>
      <c r="R788" s="13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81"/>
      <c r="F789" s="201"/>
      <c r="G789" s="131"/>
      <c r="H789" s="131"/>
      <c r="I789" s="1"/>
      <c r="J789" s="1"/>
      <c r="K789" s="1"/>
      <c r="L789" s="1"/>
      <c r="M789" s="1"/>
      <c r="N789" s="1"/>
      <c r="O789" s="1"/>
      <c r="P789" s="1"/>
      <c r="Q789" s="1"/>
      <c r="R789" s="13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81"/>
      <c r="F790" s="201"/>
      <c r="G790" s="131"/>
      <c r="H790" s="131"/>
      <c r="I790" s="1"/>
      <c r="J790" s="1"/>
      <c r="K790" s="1"/>
      <c r="L790" s="1"/>
      <c r="M790" s="1"/>
      <c r="N790" s="1"/>
      <c r="O790" s="1"/>
      <c r="P790" s="1"/>
      <c r="Q790" s="1"/>
      <c r="R790" s="13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81"/>
      <c r="F791" s="201"/>
      <c r="G791" s="131"/>
      <c r="H791" s="131"/>
      <c r="I791" s="1"/>
      <c r="J791" s="1"/>
      <c r="K791" s="1"/>
      <c r="L791" s="1"/>
      <c r="M791" s="1"/>
      <c r="N791" s="1"/>
      <c r="O791" s="1"/>
      <c r="P791" s="1"/>
      <c r="Q791" s="1"/>
      <c r="R791" s="13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81"/>
      <c r="F792" s="201"/>
      <c r="G792" s="131"/>
      <c r="H792" s="131"/>
      <c r="I792" s="1"/>
      <c r="J792" s="1"/>
      <c r="K792" s="1"/>
      <c r="L792" s="1"/>
      <c r="M792" s="1"/>
      <c r="N792" s="1"/>
      <c r="O792" s="1"/>
      <c r="P792" s="1"/>
      <c r="Q792" s="1"/>
      <c r="R792" s="13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81"/>
      <c r="F793" s="201"/>
      <c r="G793" s="131"/>
      <c r="H793" s="131"/>
      <c r="I793" s="1"/>
      <c r="J793" s="1"/>
      <c r="K793" s="1"/>
      <c r="L793" s="1"/>
      <c r="M793" s="1"/>
      <c r="N793" s="1"/>
      <c r="O793" s="1"/>
      <c r="P793" s="1"/>
      <c r="Q793" s="1"/>
      <c r="R793" s="13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81"/>
      <c r="F794" s="201"/>
      <c r="G794" s="131"/>
      <c r="H794" s="131"/>
      <c r="I794" s="1"/>
      <c r="J794" s="1"/>
      <c r="K794" s="1"/>
      <c r="L794" s="1"/>
      <c r="M794" s="1"/>
      <c r="N794" s="1"/>
      <c r="O794" s="1"/>
      <c r="P794" s="1"/>
      <c r="Q794" s="1"/>
      <c r="R794" s="13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81"/>
      <c r="F795" s="201"/>
      <c r="G795" s="131"/>
      <c r="H795" s="131"/>
      <c r="I795" s="1"/>
      <c r="J795" s="1"/>
      <c r="K795" s="1"/>
      <c r="L795" s="1"/>
      <c r="M795" s="1"/>
      <c r="N795" s="1"/>
      <c r="O795" s="1"/>
      <c r="P795" s="1"/>
      <c r="Q795" s="1"/>
      <c r="R795" s="13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81"/>
      <c r="F796" s="201"/>
      <c r="G796" s="131"/>
      <c r="H796" s="131"/>
      <c r="I796" s="1"/>
      <c r="J796" s="1"/>
      <c r="K796" s="1"/>
      <c r="L796" s="1"/>
      <c r="M796" s="1"/>
      <c r="N796" s="1"/>
      <c r="O796" s="1"/>
      <c r="P796" s="1"/>
      <c r="Q796" s="1"/>
      <c r="R796" s="13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81"/>
      <c r="F797" s="201"/>
      <c r="G797" s="131"/>
      <c r="H797" s="131"/>
      <c r="I797" s="1"/>
      <c r="J797" s="1"/>
      <c r="K797" s="1"/>
      <c r="L797" s="1"/>
      <c r="M797" s="1"/>
      <c r="N797" s="1"/>
      <c r="O797" s="1"/>
      <c r="P797" s="1"/>
      <c r="Q797" s="1"/>
      <c r="R797" s="13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81"/>
      <c r="F798" s="201"/>
      <c r="G798" s="131"/>
      <c r="H798" s="131"/>
      <c r="I798" s="1"/>
      <c r="J798" s="1"/>
      <c r="K798" s="1"/>
      <c r="L798" s="1"/>
      <c r="M798" s="1"/>
      <c r="N798" s="1"/>
      <c r="O798" s="1"/>
      <c r="P798" s="1"/>
      <c r="Q798" s="1"/>
      <c r="R798" s="13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81"/>
      <c r="F799" s="201"/>
      <c r="G799" s="131"/>
      <c r="H799" s="131"/>
      <c r="I799" s="1"/>
      <c r="J799" s="1"/>
      <c r="K799" s="1"/>
      <c r="L799" s="1"/>
      <c r="M799" s="1"/>
      <c r="N799" s="1"/>
      <c r="O799" s="1"/>
      <c r="P799" s="1"/>
      <c r="Q799" s="1"/>
      <c r="R799" s="13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81"/>
      <c r="F800" s="201"/>
      <c r="G800" s="131"/>
      <c r="H800" s="131"/>
      <c r="I800" s="1"/>
      <c r="J800" s="1"/>
      <c r="K800" s="1"/>
      <c r="L800" s="1"/>
      <c r="M800" s="1"/>
      <c r="N800" s="1"/>
      <c r="O800" s="1"/>
      <c r="P800" s="1"/>
      <c r="Q800" s="1"/>
      <c r="R800" s="13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81"/>
      <c r="F801" s="201"/>
      <c r="G801" s="131"/>
      <c r="H801" s="131"/>
      <c r="I801" s="1"/>
      <c r="J801" s="1"/>
      <c r="K801" s="1"/>
      <c r="L801" s="1"/>
      <c r="M801" s="1"/>
      <c r="N801" s="1"/>
      <c r="O801" s="1"/>
      <c r="P801" s="1"/>
      <c r="Q801" s="1"/>
      <c r="R801" s="13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81"/>
      <c r="F802" s="201"/>
      <c r="G802" s="131"/>
      <c r="H802" s="131"/>
      <c r="I802" s="1"/>
      <c r="J802" s="1"/>
      <c r="K802" s="1"/>
      <c r="L802" s="1"/>
      <c r="M802" s="1"/>
      <c r="N802" s="1"/>
      <c r="O802" s="1"/>
      <c r="P802" s="1"/>
      <c r="Q802" s="1"/>
      <c r="R802" s="13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81"/>
      <c r="F803" s="18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81"/>
      <c r="F804" s="18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81"/>
      <c r="F805" s="18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81"/>
      <c r="F806" s="18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81"/>
      <c r="F807" s="18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81"/>
      <c r="F808" s="18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81"/>
      <c r="F809" s="18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81"/>
      <c r="F810" s="18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81"/>
      <c r="F811" s="18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81"/>
      <c r="F812" s="18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81"/>
      <c r="F813" s="18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81"/>
      <c r="F814" s="18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81"/>
      <c r="F815" s="18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81"/>
      <c r="F816" s="18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81"/>
      <c r="F817" s="18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81"/>
      <c r="F818" s="18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81"/>
      <c r="F819" s="18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81"/>
      <c r="F820" s="18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81"/>
      <c r="F821" s="18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81"/>
      <c r="F822" s="18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81"/>
      <c r="F823" s="18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81"/>
      <c r="F824" s="18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81"/>
      <c r="F825" s="18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81"/>
      <c r="F826" s="18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81"/>
      <c r="F827" s="18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81"/>
      <c r="F828" s="18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81"/>
      <c r="F829" s="18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81"/>
      <c r="F830" s="18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81"/>
      <c r="F831" s="18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81"/>
      <c r="F832" s="18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81"/>
      <c r="F833" s="18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81"/>
      <c r="F834" s="18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81"/>
      <c r="F835" s="18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81"/>
      <c r="F836" s="18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81"/>
      <c r="F837" s="18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81"/>
      <c r="F838" s="18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81"/>
      <c r="F839" s="18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81"/>
      <c r="F840" s="18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81"/>
      <c r="F841" s="18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81"/>
      <c r="F842" s="18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81"/>
      <c r="F843" s="18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81"/>
      <c r="F844" s="18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81"/>
      <c r="F845" s="18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81"/>
      <c r="F846" s="18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81"/>
      <c r="F847" s="18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81"/>
      <c r="F848" s="18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81"/>
      <c r="F849" s="18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81"/>
      <c r="F850" s="18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81"/>
      <c r="F851" s="18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81"/>
      <c r="F852" s="18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81"/>
      <c r="F853" s="18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81"/>
      <c r="F854" s="18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81"/>
      <c r="F855" s="18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81"/>
      <c r="F856" s="18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81"/>
      <c r="F857" s="18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81"/>
      <c r="F858" s="18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81"/>
      <c r="F859" s="18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81"/>
      <c r="F860" s="18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81"/>
      <c r="F861" s="18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81"/>
      <c r="F862" s="18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81"/>
      <c r="F863" s="18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81"/>
      <c r="F864" s="18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81"/>
      <c r="F865" s="18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81"/>
      <c r="F866" s="18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81"/>
      <c r="F867" s="18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81"/>
      <c r="F868" s="18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81"/>
      <c r="F869" s="18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81"/>
      <c r="F870" s="18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81"/>
      <c r="F871" s="18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81"/>
      <c r="F872" s="18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81"/>
      <c r="F873" s="18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81"/>
      <c r="F874" s="18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81"/>
      <c r="F875" s="18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81"/>
      <c r="F876" s="18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81"/>
      <c r="F877" s="18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81"/>
      <c r="F878" s="18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81"/>
      <c r="F879" s="18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81"/>
      <c r="F880" s="18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81"/>
      <c r="F881" s="18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81"/>
      <c r="F882" s="18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81"/>
      <c r="F883" s="18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81"/>
      <c r="F884" s="18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81"/>
      <c r="F885" s="18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81"/>
      <c r="F886" s="18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81"/>
      <c r="F887" s="18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81"/>
      <c r="F888" s="18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81"/>
      <c r="F889" s="18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81"/>
      <c r="F890" s="18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81"/>
      <c r="F891" s="18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81"/>
      <c r="F892" s="18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81"/>
      <c r="F893" s="18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81"/>
      <c r="F894" s="18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81"/>
      <c r="F895" s="18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81"/>
      <c r="F896" s="18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81"/>
      <c r="F897" s="18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81"/>
      <c r="F898" s="18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81"/>
      <c r="F899" s="18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81"/>
      <c r="F900" s="18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81"/>
      <c r="F901" s="18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81"/>
      <c r="F902" s="18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81"/>
      <c r="F903" s="18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81"/>
      <c r="F904" s="18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81"/>
      <c r="F905" s="18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81"/>
      <c r="F906" s="18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81"/>
      <c r="F907" s="18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81"/>
      <c r="F908" s="18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81"/>
      <c r="F909" s="18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81"/>
      <c r="F910" s="18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81"/>
      <c r="F911" s="18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81"/>
      <c r="F912" s="18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81"/>
      <c r="F913" s="18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81"/>
      <c r="F914" s="18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81"/>
      <c r="F915" s="18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81"/>
      <c r="F916" s="18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81"/>
      <c r="F917" s="18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81"/>
      <c r="F918" s="18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81"/>
      <c r="F919" s="18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81"/>
      <c r="F920" s="18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81"/>
      <c r="F921" s="18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81"/>
      <c r="F922" s="18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81"/>
      <c r="F923" s="18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81"/>
      <c r="F924" s="18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81"/>
      <c r="F925" s="18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81"/>
      <c r="F926" s="18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81"/>
      <c r="F927" s="18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81"/>
      <c r="F928" s="18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81"/>
      <c r="F929" s="18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81"/>
      <c r="F930" s="18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81"/>
      <c r="F931" s="18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81"/>
      <c r="F932" s="18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81"/>
      <c r="F933" s="18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81"/>
      <c r="F934" s="18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81"/>
      <c r="F935" s="18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81"/>
      <c r="F936" s="18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81"/>
      <c r="F937" s="18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81"/>
      <c r="F938" s="18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81"/>
      <c r="F939" s="18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81"/>
      <c r="F940" s="18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81"/>
      <c r="F941" s="18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81"/>
      <c r="F942" s="18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81"/>
      <c r="F943" s="18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81"/>
      <c r="F944" s="18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81"/>
      <c r="F945" s="18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81"/>
      <c r="F946" s="18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81"/>
      <c r="F947" s="18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81"/>
      <c r="F948" s="18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81"/>
      <c r="F949" s="18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81"/>
      <c r="F950" s="18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81"/>
      <c r="F951" s="18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81"/>
      <c r="F952" s="18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81"/>
      <c r="F953" s="18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81"/>
      <c r="F954" s="18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81"/>
      <c r="F955" s="18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81"/>
      <c r="F956" s="18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81"/>
      <c r="F957" s="18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81"/>
      <c r="F958" s="18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81"/>
      <c r="F959" s="18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81"/>
      <c r="F960" s="18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81"/>
      <c r="F961" s="18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81"/>
      <c r="F962" s="18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81"/>
      <c r="F963" s="18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81"/>
      <c r="F964" s="18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81"/>
      <c r="F965" s="18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81"/>
      <c r="F966" s="18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81"/>
      <c r="F967" s="18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81"/>
      <c r="F968" s="18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81"/>
      <c r="F969" s="18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81"/>
      <c r="F970" s="18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81"/>
      <c r="F971" s="18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81"/>
      <c r="F972" s="18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81"/>
      <c r="F973" s="18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81"/>
      <c r="F974" s="18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81"/>
      <c r="F975" s="18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81"/>
      <c r="F976" s="18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81"/>
      <c r="F977" s="18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81"/>
      <c r="F978" s="18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81"/>
      <c r="F979" s="18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81"/>
      <c r="F980" s="18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81"/>
      <c r="F981" s="18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81"/>
      <c r="F982" s="18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81"/>
      <c r="F983" s="18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81"/>
      <c r="F984" s="18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81"/>
      <c r="F985" s="18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81"/>
      <c r="F986" s="18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81"/>
      <c r="F987" s="18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81"/>
      <c r="F988" s="18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81"/>
      <c r="F989" s="18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81"/>
      <c r="F990" s="18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81"/>
      <c r="F991" s="18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81"/>
      <c r="F992" s="18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81"/>
      <c r="F993" s="18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81"/>
      <c r="F994" s="18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81"/>
      <c r="F995" s="18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81"/>
      <c r="F996" s="18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81"/>
      <c r="F997" s="18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81"/>
      <c r="F998" s="18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81"/>
      <c r="F999" s="18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81"/>
      <c r="F1000" s="18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81"/>
      <c r="F1001" s="18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81"/>
      <c r="F1002" s="18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81"/>
      <c r="F1003" s="18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81"/>
      <c r="F1004" s="18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81"/>
      <c r="F1005" s="18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81"/>
      <c r="F1006" s="18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81"/>
      <c r="F1007" s="18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81"/>
      <c r="F1008" s="18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81"/>
      <c r="F1009" s="18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1"/>
      <c r="D1010" s="1"/>
      <c r="E1010" s="181"/>
      <c r="F1010" s="18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1"/>
      <c r="D1011" s="1"/>
      <c r="E1011" s="181"/>
      <c r="F1011" s="18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</sheetData>
  <mergeCells count="23">
    <mergeCell ref="I2:I3"/>
    <mergeCell ref="L2:L3"/>
    <mergeCell ref="M2:M3"/>
    <mergeCell ref="O2:O3"/>
    <mergeCell ref="K1:M1"/>
    <mergeCell ref="N1:P1"/>
    <mergeCell ref="B2:B3"/>
    <mergeCell ref="C2:C3"/>
    <mergeCell ref="D2:D3"/>
    <mergeCell ref="E2:E3"/>
    <mergeCell ref="F2:F3"/>
    <mergeCell ref="P2:P3"/>
    <mergeCell ref="G29:G30"/>
    <mergeCell ref="G32:G35"/>
    <mergeCell ref="G37:G39"/>
    <mergeCell ref="G41:G42"/>
    <mergeCell ref="G2:G3"/>
    <mergeCell ref="H2:H3"/>
    <mergeCell ref="G5:G7"/>
    <mergeCell ref="G10:G11"/>
    <mergeCell ref="G13:G14"/>
    <mergeCell ref="G15:G17"/>
    <mergeCell ref="G18:G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4.0"/>
    <col customWidth="1" min="3" max="3" width="11.25"/>
    <col customWidth="1" min="4" max="4" width="8.75"/>
    <col customWidth="1" min="5" max="5" width="19.25"/>
    <col customWidth="1" min="6" max="6" width="18.88"/>
    <col customWidth="1" min="7" max="7" width="19.25"/>
    <col customWidth="1" min="8" max="8" width="40.25"/>
    <col customWidth="1" min="9" max="10" width="14.25"/>
    <col customWidth="1" min="11" max="11" width="16.88"/>
    <col customWidth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21.5"/>
  </cols>
  <sheetData>
    <row r="1">
      <c r="A1" s="1"/>
      <c r="B1" s="2"/>
      <c r="C1" s="2"/>
      <c r="D1" s="2"/>
      <c r="E1" s="4"/>
      <c r="F1" s="4"/>
      <c r="G1" s="4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42"/>
      <c r="F3" s="42"/>
      <c r="G3" s="42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49" t="s">
        <v>327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328</v>
      </c>
      <c r="C4" s="53" t="s">
        <v>329</v>
      </c>
      <c r="D4" s="56"/>
      <c r="E4" s="59"/>
      <c r="F4" s="60"/>
      <c r="G4" s="60"/>
      <c r="H4" s="62" t="s">
        <v>158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182" t="s">
        <v>330</v>
      </c>
      <c r="F5" s="182" t="s">
        <v>331</v>
      </c>
      <c r="G5" s="182" t="s">
        <v>332</v>
      </c>
      <c r="H5" s="76" t="s">
        <v>333</v>
      </c>
      <c r="I5" s="84">
        <f>7750/1.07</f>
        <v>7242.990654</v>
      </c>
      <c r="J5" s="86">
        <f>3845/1.07</f>
        <v>3593.457944</v>
      </c>
      <c r="K5" s="87">
        <f t="shared" ref="K5:K6" si="1">I5-J5</f>
        <v>3649.53271</v>
      </c>
      <c r="L5" s="88">
        <f t="shared" ref="L5:L6" si="2">K5/I5</f>
        <v>0.5038709677</v>
      </c>
      <c r="M5" s="86">
        <f>3845</f>
        <v>3845</v>
      </c>
      <c r="N5" s="87">
        <f t="shared" ref="N5:N6" si="3">I5-M5</f>
        <v>3397.990654</v>
      </c>
      <c r="O5" s="88">
        <f t="shared" ref="O5:O6" si="4">N5/I5</f>
        <v>0.4691419355</v>
      </c>
      <c r="P5" s="129" t="s">
        <v>76</v>
      </c>
      <c r="Q5" s="130">
        <v>46209.0</v>
      </c>
      <c r="R5" s="98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182"/>
      <c r="F6" s="182"/>
      <c r="G6" s="182"/>
      <c r="H6" s="76" t="s">
        <v>334</v>
      </c>
      <c r="I6" s="84">
        <v>0.0</v>
      </c>
      <c r="J6" s="86">
        <f>500/1.07</f>
        <v>467.2897196</v>
      </c>
      <c r="K6" s="87">
        <f t="shared" si="1"/>
        <v>-467.2897196</v>
      </c>
      <c r="L6" s="88" t="str">
        <f t="shared" si="2"/>
        <v>#DIV/0!</v>
      </c>
      <c r="M6" s="86">
        <v>500.0</v>
      </c>
      <c r="N6" s="87">
        <f t="shared" si="3"/>
        <v>-500</v>
      </c>
      <c r="O6" s="88" t="str">
        <f t="shared" si="4"/>
        <v>#DIV/0!</v>
      </c>
      <c r="P6" s="129"/>
      <c r="Q6" s="130"/>
      <c r="R6" s="9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104"/>
      <c r="F7" s="104"/>
      <c r="G7" s="104"/>
      <c r="H7" s="76"/>
      <c r="I7" s="84"/>
      <c r="J7" s="86"/>
      <c r="K7" s="87"/>
      <c r="L7" s="88"/>
      <c r="M7" s="86"/>
      <c r="N7" s="87"/>
      <c r="O7" s="88"/>
      <c r="P7" s="59"/>
      <c r="Q7" s="105"/>
      <c r="R7" s="9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104"/>
      <c r="F8" s="104"/>
      <c r="G8" s="104"/>
      <c r="H8" s="76"/>
      <c r="I8" s="102"/>
      <c r="J8" s="86"/>
      <c r="K8" s="87"/>
      <c r="L8" s="74"/>
      <c r="M8" s="87"/>
      <c r="N8" s="86"/>
      <c r="O8" s="103"/>
      <c r="P8" s="59"/>
      <c r="Q8" s="105"/>
      <c r="R8" s="9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104"/>
      <c r="F9" s="104"/>
      <c r="G9" s="104"/>
      <c r="H9" s="109"/>
      <c r="I9" s="102"/>
      <c r="J9" s="87"/>
      <c r="K9" s="87"/>
      <c r="L9" s="74"/>
      <c r="M9" s="87"/>
      <c r="N9" s="86"/>
      <c r="O9" s="103"/>
      <c r="P9" s="59"/>
      <c r="Q9" s="105"/>
      <c r="R9" s="9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4"/>
      <c r="F10" s="104"/>
      <c r="G10" s="104"/>
      <c r="H10" s="190" t="s">
        <v>335</v>
      </c>
      <c r="I10" s="102"/>
      <c r="J10" s="87"/>
      <c r="K10" s="87"/>
      <c r="L10" s="74"/>
      <c r="M10" s="87"/>
      <c r="N10" s="86"/>
      <c r="O10" s="103"/>
      <c r="P10" s="59"/>
      <c r="Q10" s="105"/>
      <c r="R10" s="9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04"/>
      <c r="F11" s="104"/>
      <c r="G11" s="104"/>
      <c r="H11" s="109"/>
      <c r="I11" s="114"/>
      <c r="J11" s="87"/>
      <c r="K11" s="87"/>
      <c r="L11" s="74"/>
      <c r="M11" s="87"/>
      <c r="N11" s="86"/>
      <c r="O11" s="103"/>
      <c r="P11" s="59"/>
      <c r="Q11" s="105"/>
      <c r="R11" s="98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04"/>
      <c r="F12" s="104"/>
      <c r="G12" s="104"/>
      <c r="H12" s="109"/>
      <c r="I12" s="114"/>
      <c r="J12" s="87"/>
      <c r="K12" s="87"/>
      <c r="L12" s="74"/>
      <c r="M12" s="87"/>
      <c r="N12" s="86"/>
      <c r="O12" s="103"/>
      <c r="P12" s="59"/>
      <c r="Q12" s="105"/>
      <c r="R12" s="9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04"/>
      <c r="F13" s="104"/>
      <c r="G13" s="104"/>
      <c r="H13" s="109"/>
      <c r="I13" s="114"/>
      <c r="J13" s="87"/>
      <c r="K13" s="87"/>
      <c r="L13" s="74"/>
      <c r="M13" s="87"/>
      <c r="N13" s="86"/>
      <c r="O13" s="103"/>
      <c r="P13" s="59"/>
      <c r="Q13" s="105"/>
      <c r="R13" s="98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04"/>
      <c r="F14" s="104"/>
      <c r="G14" s="104"/>
      <c r="H14" s="109"/>
      <c r="I14" s="114"/>
      <c r="J14" s="87"/>
      <c r="K14" s="87"/>
      <c r="L14" s="74"/>
      <c r="M14" s="87"/>
      <c r="N14" s="86"/>
      <c r="O14" s="103"/>
      <c r="P14" s="59"/>
      <c r="Q14" s="105"/>
      <c r="R14" s="98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04"/>
      <c r="F15" s="104"/>
      <c r="G15" s="104"/>
      <c r="H15" s="109"/>
      <c r="I15" s="114"/>
      <c r="J15" s="87"/>
      <c r="K15" s="87"/>
      <c r="L15" s="74"/>
      <c r="M15" s="87"/>
      <c r="N15" s="86"/>
      <c r="O15" s="103"/>
      <c r="P15" s="59"/>
      <c r="Q15" s="105"/>
      <c r="R15" s="98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04"/>
      <c r="F16" s="104"/>
      <c r="G16" s="104"/>
      <c r="H16" s="109"/>
      <c r="I16" s="114"/>
      <c r="J16" s="87"/>
      <c r="K16" s="87"/>
      <c r="L16" s="74"/>
      <c r="M16" s="87"/>
      <c r="N16" s="86"/>
      <c r="O16" s="103"/>
      <c r="P16" s="59"/>
      <c r="Q16" s="105"/>
      <c r="R16" s="9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104"/>
      <c r="F17" s="104"/>
      <c r="G17" s="104"/>
      <c r="H17" s="109"/>
      <c r="I17" s="114"/>
      <c r="J17" s="87"/>
      <c r="K17" s="87"/>
      <c r="L17" s="74"/>
      <c r="M17" s="87"/>
      <c r="N17" s="86"/>
      <c r="O17" s="103"/>
      <c r="P17" s="59"/>
      <c r="Q17" s="105"/>
      <c r="R17" s="98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04"/>
      <c r="F18" s="104"/>
      <c r="G18" s="104"/>
      <c r="H18" s="109"/>
      <c r="I18" s="114"/>
      <c r="J18" s="87"/>
      <c r="K18" s="87"/>
      <c r="L18" s="74"/>
      <c r="M18" s="87"/>
      <c r="N18" s="86"/>
      <c r="O18" s="103"/>
      <c r="P18" s="59"/>
      <c r="Q18" s="105"/>
      <c r="R18" s="98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13" t="str">
        <f t="shared" ref="B19:C19" si="5">B4</f>
        <v>The Origin Bangkae</v>
      </c>
      <c r="C19" s="113" t="str">
        <f t="shared" si="5"/>
        <v>Room C310</v>
      </c>
      <c r="D19" s="115">
        <f>SUM(D4:D18)</f>
        <v>0</v>
      </c>
      <c r="E19" s="116"/>
      <c r="F19" s="116"/>
      <c r="G19" s="116"/>
      <c r="H19" s="113" t="s">
        <v>95</v>
      </c>
      <c r="I19" s="118">
        <f t="shared" ref="I19:J19" si="6">SUM(I4:I18)</f>
        <v>7242.990654</v>
      </c>
      <c r="J19" s="118">
        <f t="shared" si="6"/>
        <v>4060.747664</v>
      </c>
      <c r="K19" s="118">
        <f>I19-J19</f>
        <v>3182.242991</v>
      </c>
      <c r="L19" s="119">
        <f>K19/I19</f>
        <v>0.4393548387</v>
      </c>
      <c r="M19" s="118">
        <f>SUM(M4:M18)</f>
        <v>4345</v>
      </c>
      <c r="N19" s="118">
        <f>I19-M19</f>
        <v>2897.990654</v>
      </c>
      <c r="O19" s="119">
        <f>N19/I19</f>
        <v>0.4001096774</v>
      </c>
      <c r="P19" s="120"/>
      <c r="Q19" s="121"/>
      <c r="R19" s="11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22"/>
      <c r="B20" s="123"/>
      <c r="C20" s="124"/>
      <c r="D20" s="124"/>
      <c r="E20" s="125"/>
      <c r="F20" s="125"/>
      <c r="G20" s="125"/>
      <c r="H20" s="126"/>
      <c r="I20" s="127"/>
      <c r="J20" s="127"/>
      <c r="K20" s="127"/>
      <c r="L20" s="128"/>
      <c r="M20" s="127"/>
      <c r="N20" s="127"/>
      <c r="O20" s="128"/>
      <c r="P20" s="125"/>
      <c r="Q20" s="125"/>
      <c r="R20" s="125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</row>
    <row r="21">
      <c r="A21" s="1"/>
      <c r="B21" s="51" t="s">
        <v>328</v>
      </c>
      <c r="C21" s="53" t="s">
        <v>336</v>
      </c>
      <c r="D21" s="56"/>
      <c r="E21" s="59"/>
      <c r="F21" s="60"/>
      <c r="G21" s="60"/>
      <c r="H21" s="62" t="s">
        <v>158</v>
      </c>
      <c r="I21" s="63"/>
      <c r="J21" s="65"/>
      <c r="K21" s="63"/>
      <c r="L21" s="67"/>
      <c r="M21" s="65"/>
      <c r="N21" s="63"/>
      <c r="O21" s="67"/>
      <c r="P21" s="59"/>
      <c r="Q21" s="59"/>
      <c r="R21" s="5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1"/>
      <c r="C22" s="73"/>
      <c r="D22" s="74"/>
      <c r="E22" s="182" t="s">
        <v>337</v>
      </c>
      <c r="F22" s="182" t="s">
        <v>338</v>
      </c>
      <c r="G22" s="182" t="s">
        <v>339</v>
      </c>
      <c r="H22" s="76" t="s">
        <v>340</v>
      </c>
      <c r="I22" s="84">
        <f>5000/1.07</f>
        <v>4672.897196</v>
      </c>
      <c r="J22" s="86">
        <v>2200.0</v>
      </c>
      <c r="K22" s="87">
        <f>I22-J22</f>
        <v>2472.897196</v>
      </c>
      <c r="L22" s="88">
        <f>K22/I22</f>
        <v>0.5292</v>
      </c>
      <c r="M22" s="86">
        <v>2200.0</v>
      </c>
      <c r="N22" s="87">
        <f>I22-M22</f>
        <v>2472.897196</v>
      </c>
      <c r="O22" s="88">
        <f>N22/I22</f>
        <v>0.5292</v>
      </c>
      <c r="P22" s="129" t="s">
        <v>76</v>
      </c>
      <c r="Q22" s="130">
        <v>46209.0</v>
      </c>
      <c r="R22" s="98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71"/>
      <c r="C23" s="73"/>
      <c r="D23" s="74"/>
      <c r="E23" s="182"/>
      <c r="F23" s="182"/>
      <c r="G23" s="182"/>
      <c r="H23" s="76"/>
      <c r="I23" s="84"/>
      <c r="J23" s="86"/>
      <c r="K23" s="87"/>
      <c r="L23" s="88"/>
      <c r="M23" s="86"/>
      <c r="N23" s="87"/>
      <c r="O23" s="88"/>
      <c r="P23" s="129"/>
      <c r="Q23" s="130"/>
      <c r="R23" s="98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71"/>
      <c r="C24" s="73"/>
      <c r="D24" s="74"/>
      <c r="E24" s="104"/>
      <c r="F24" s="104"/>
      <c r="G24" s="104"/>
      <c r="H24" s="76"/>
      <c r="I24" s="84"/>
      <c r="J24" s="86"/>
      <c r="K24" s="87"/>
      <c r="L24" s="88"/>
      <c r="M24" s="86"/>
      <c r="N24" s="87"/>
      <c r="O24" s="88"/>
      <c r="P24" s="59"/>
      <c r="Q24" s="105"/>
      <c r="R24" s="9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71"/>
      <c r="C25" s="73"/>
      <c r="D25" s="74"/>
      <c r="E25" s="104"/>
      <c r="F25" s="104"/>
      <c r="G25" s="104"/>
      <c r="H25" s="76"/>
      <c r="I25" s="102"/>
      <c r="J25" s="86"/>
      <c r="K25" s="87"/>
      <c r="L25" s="74"/>
      <c r="M25" s="87"/>
      <c r="N25" s="86"/>
      <c r="O25" s="103"/>
      <c r="P25" s="59"/>
      <c r="Q25" s="105"/>
      <c r="R25" s="9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71"/>
      <c r="C26" s="73"/>
      <c r="D26" s="74"/>
      <c r="E26" s="104"/>
      <c r="F26" s="104"/>
      <c r="G26" s="104"/>
      <c r="H26" s="109"/>
      <c r="I26" s="102"/>
      <c r="J26" s="87"/>
      <c r="K26" s="87"/>
      <c r="L26" s="74"/>
      <c r="M26" s="87"/>
      <c r="N26" s="86"/>
      <c r="O26" s="103"/>
      <c r="P26" s="59"/>
      <c r="Q26" s="105"/>
      <c r="R26" s="9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1"/>
      <c r="C27" s="73"/>
      <c r="D27" s="74"/>
      <c r="E27" s="104"/>
      <c r="F27" s="104"/>
      <c r="G27" s="104"/>
      <c r="H27" s="109"/>
      <c r="I27" s="102"/>
      <c r="J27" s="87"/>
      <c r="K27" s="87"/>
      <c r="L27" s="74"/>
      <c r="M27" s="87"/>
      <c r="N27" s="86"/>
      <c r="O27" s="103"/>
      <c r="P27" s="59"/>
      <c r="Q27" s="105"/>
      <c r="R27" s="9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1"/>
      <c r="C28" s="73"/>
      <c r="D28" s="74"/>
      <c r="E28" s="104"/>
      <c r="F28" s="104"/>
      <c r="G28" s="104"/>
      <c r="H28" s="109"/>
      <c r="I28" s="114"/>
      <c r="J28" s="87"/>
      <c r="K28" s="87"/>
      <c r="L28" s="74"/>
      <c r="M28" s="87"/>
      <c r="N28" s="86"/>
      <c r="O28" s="103"/>
      <c r="P28" s="59"/>
      <c r="Q28" s="105"/>
      <c r="R28" s="9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1"/>
      <c r="C29" s="73"/>
      <c r="D29" s="74"/>
      <c r="E29" s="104"/>
      <c r="F29" s="104"/>
      <c r="G29" s="104"/>
      <c r="H29" s="109"/>
      <c r="I29" s="114"/>
      <c r="J29" s="87"/>
      <c r="K29" s="87"/>
      <c r="L29" s="74"/>
      <c r="M29" s="87"/>
      <c r="N29" s="86"/>
      <c r="O29" s="103"/>
      <c r="P29" s="59"/>
      <c r="Q29" s="105"/>
      <c r="R29" s="98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1"/>
      <c r="C30" s="73"/>
      <c r="D30" s="74"/>
      <c r="E30" s="104"/>
      <c r="F30" s="104"/>
      <c r="G30" s="104"/>
      <c r="H30" s="109"/>
      <c r="I30" s="114"/>
      <c r="J30" s="87"/>
      <c r="K30" s="87"/>
      <c r="L30" s="74"/>
      <c r="M30" s="87"/>
      <c r="N30" s="86"/>
      <c r="O30" s="103"/>
      <c r="P30" s="59"/>
      <c r="Q30" s="105"/>
      <c r="R30" s="9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1"/>
      <c r="C31" s="73"/>
      <c r="D31" s="74"/>
      <c r="E31" s="104"/>
      <c r="F31" s="104"/>
      <c r="G31" s="104"/>
      <c r="H31" s="109"/>
      <c r="I31" s="114"/>
      <c r="J31" s="87"/>
      <c r="K31" s="87"/>
      <c r="L31" s="74"/>
      <c r="M31" s="87"/>
      <c r="N31" s="86"/>
      <c r="O31" s="103"/>
      <c r="P31" s="59"/>
      <c r="Q31" s="105"/>
      <c r="R31" s="98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1"/>
      <c r="C32" s="73"/>
      <c r="D32" s="74"/>
      <c r="E32" s="104"/>
      <c r="F32" s="104"/>
      <c r="G32" s="104"/>
      <c r="H32" s="109"/>
      <c r="I32" s="114"/>
      <c r="J32" s="87"/>
      <c r="K32" s="87"/>
      <c r="L32" s="74"/>
      <c r="M32" s="87"/>
      <c r="N32" s="86"/>
      <c r="O32" s="103"/>
      <c r="P32" s="59"/>
      <c r="Q32" s="105"/>
      <c r="R32" s="9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1"/>
      <c r="C33" s="73"/>
      <c r="D33" s="74"/>
      <c r="E33" s="104"/>
      <c r="F33" s="104"/>
      <c r="G33" s="104"/>
      <c r="H33" s="109"/>
      <c r="I33" s="114"/>
      <c r="J33" s="87"/>
      <c r="K33" s="87"/>
      <c r="L33" s="74"/>
      <c r="M33" s="87"/>
      <c r="N33" s="86"/>
      <c r="O33" s="103"/>
      <c r="P33" s="59"/>
      <c r="Q33" s="105"/>
      <c r="R33" s="9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1"/>
      <c r="C34" s="73"/>
      <c r="D34" s="74"/>
      <c r="E34" s="104"/>
      <c r="F34" s="104"/>
      <c r="G34" s="104"/>
      <c r="H34" s="109"/>
      <c r="I34" s="114"/>
      <c r="J34" s="87"/>
      <c r="K34" s="87"/>
      <c r="L34" s="74"/>
      <c r="M34" s="87"/>
      <c r="N34" s="86"/>
      <c r="O34" s="103"/>
      <c r="P34" s="59"/>
      <c r="Q34" s="105"/>
      <c r="R34" s="9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1"/>
      <c r="C35" s="73"/>
      <c r="D35" s="74"/>
      <c r="E35" s="104"/>
      <c r="F35" s="104"/>
      <c r="G35" s="104"/>
      <c r="H35" s="109"/>
      <c r="I35" s="114"/>
      <c r="J35" s="87"/>
      <c r="K35" s="87"/>
      <c r="L35" s="74"/>
      <c r="M35" s="87"/>
      <c r="N35" s="86"/>
      <c r="O35" s="103"/>
      <c r="P35" s="59"/>
      <c r="Q35" s="105"/>
      <c r="R35" s="9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13" t="str">
        <f t="shared" ref="B36:C36" si="7">B21</f>
        <v>The Origin Bangkae</v>
      </c>
      <c r="C36" s="113" t="str">
        <f t="shared" si="7"/>
        <v>Room A202</v>
      </c>
      <c r="D36" s="115">
        <f>SUM(D21:D35)</f>
        <v>0</v>
      </c>
      <c r="E36" s="116"/>
      <c r="F36" s="116"/>
      <c r="G36" s="116"/>
      <c r="H36" s="113" t="s">
        <v>95</v>
      </c>
      <c r="I36" s="118">
        <f t="shared" ref="I36:J36" si="8">SUM(I21:I35)</f>
        <v>4672.897196</v>
      </c>
      <c r="J36" s="118">
        <f t="shared" si="8"/>
        <v>2200</v>
      </c>
      <c r="K36" s="118">
        <f>I36-J36</f>
        <v>2472.897196</v>
      </c>
      <c r="L36" s="119">
        <f>K36/I36</f>
        <v>0.5292</v>
      </c>
      <c r="M36" s="118">
        <f>SUM(M21:M35)</f>
        <v>2200</v>
      </c>
      <c r="N36" s="118">
        <f>I36-M36</f>
        <v>2472.897196</v>
      </c>
      <c r="O36" s="119">
        <f>N36/I36</f>
        <v>0.5292</v>
      </c>
      <c r="P36" s="120"/>
      <c r="Q36" s="121"/>
      <c r="R36" s="11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22"/>
      <c r="B37" s="123"/>
      <c r="C37" s="124"/>
      <c r="D37" s="124"/>
      <c r="E37" s="125"/>
      <c r="F37" s="125"/>
      <c r="G37" s="125"/>
      <c r="H37" s="126"/>
      <c r="I37" s="127"/>
      <c r="J37" s="127"/>
      <c r="K37" s="127"/>
      <c r="L37" s="128"/>
      <c r="M37" s="127"/>
      <c r="N37" s="127"/>
      <c r="O37" s="128"/>
      <c r="P37" s="125"/>
      <c r="Q37" s="125"/>
      <c r="R37" s="125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</row>
    <row r="38">
      <c r="A38" s="1"/>
      <c r="B38" s="51" t="s">
        <v>328</v>
      </c>
      <c r="C38" s="53"/>
      <c r="D38" s="56"/>
      <c r="E38" s="59"/>
      <c r="F38" s="60"/>
      <c r="G38" s="60"/>
      <c r="H38" s="62" t="s">
        <v>158</v>
      </c>
      <c r="I38" s="63"/>
      <c r="J38" s="65"/>
      <c r="K38" s="63"/>
      <c r="L38" s="67"/>
      <c r="M38" s="65"/>
      <c r="N38" s="63"/>
      <c r="O38" s="67"/>
      <c r="P38" s="59"/>
      <c r="Q38" s="59"/>
      <c r="R38" s="59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1"/>
      <c r="C39" s="73"/>
      <c r="D39" s="74"/>
      <c r="E39" s="182"/>
      <c r="F39" s="182"/>
      <c r="G39" s="182"/>
      <c r="H39" s="76"/>
      <c r="I39" s="84"/>
      <c r="J39" s="86"/>
      <c r="K39" s="87"/>
      <c r="L39" s="88"/>
      <c r="M39" s="86"/>
      <c r="N39" s="87"/>
      <c r="O39" s="88"/>
      <c r="P39" s="129"/>
      <c r="Q39" s="130"/>
      <c r="R39" s="98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1"/>
      <c r="C40" s="73"/>
      <c r="D40" s="74"/>
      <c r="E40" s="182"/>
      <c r="F40" s="182"/>
      <c r="G40" s="182"/>
      <c r="H40" s="76"/>
      <c r="I40" s="84"/>
      <c r="J40" s="86"/>
      <c r="K40" s="87"/>
      <c r="L40" s="88"/>
      <c r="M40" s="86"/>
      <c r="N40" s="87"/>
      <c r="O40" s="88"/>
      <c r="P40" s="129"/>
      <c r="Q40" s="130"/>
      <c r="R40" s="98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1"/>
      <c r="C41" s="73"/>
      <c r="D41" s="74"/>
      <c r="E41" s="104"/>
      <c r="F41" s="104"/>
      <c r="G41" s="104"/>
      <c r="H41" s="76"/>
      <c r="I41" s="84"/>
      <c r="J41" s="86"/>
      <c r="K41" s="87"/>
      <c r="L41" s="88"/>
      <c r="M41" s="86"/>
      <c r="N41" s="87"/>
      <c r="O41" s="88"/>
      <c r="P41" s="59"/>
      <c r="Q41" s="105"/>
      <c r="R41" s="9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1"/>
      <c r="C42" s="73"/>
      <c r="D42" s="74"/>
      <c r="E42" s="104"/>
      <c r="F42" s="104"/>
      <c r="G42" s="104"/>
      <c r="H42" s="76"/>
      <c r="I42" s="102"/>
      <c r="J42" s="86"/>
      <c r="K42" s="87"/>
      <c r="L42" s="74"/>
      <c r="M42" s="87"/>
      <c r="N42" s="86"/>
      <c r="O42" s="103"/>
      <c r="P42" s="59"/>
      <c r="Q42" s="105"/>
      <c r="R42" s="9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1"/>
      <c r="C43" s="73"/>
      <c r="D43" s="74"/>
      <c r="E43" s="104"/>
      <c r="F43" s="104"/>
      <c r="G43" s="104"/>
      <c r="H43" s="109"/>
      <c r="I43" s="102"/>
      <c r="J43" s="87"/>
      <c r="K43" s="87"/>
      <c r="L43" s="74"/>
      <c r="M43" s="87"/>
      <c r="N43" s="86"/>
      <c r="O43" s="103"/>
      <c r="P43" s="59"/>
      <c r="Q43" s="105"/>
      <c r="R43" s="98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1"/>
      <c r="C44" s="73"/>
      <c r="D44" s="74"/>
      <c r="E44" s="104"/>
      <c r="F44" s="104"/>
      <c r="G44" s="104"/>
      <c r="H44" s="109"/>
      <c r="I44" s="102"/>
      <c r="J44" s="87"/>
      <c r="K44" s="87"/>
      <c r="L44" s="74"/>
      <c r="M44" s="87"/>
      <c r="N44" s="86"/>
      <c r="O44" s="103"/>
      <c r="P44" s="59"/>
      <c r="Q44" s="105"/>
      <c r="R44" s="98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1"/>
      <c r="C45" s="73"/>
      <c r="D45" s="74"/>
      <c r="E45" s="104"/>
      <c r="F45" s="104"/>
      <c r="G45" s="104"/>
      <c r="H45" s="109"/>
      <c r="I45" s="114"/>
      <c r="J45" s="87"/>
      <c r="K45" s="87"/>
      <c r="L45" s="74"/>
      <c r="M45" s="87"/>
      <c r="N45" s="86"/>
      <c r="O45" s="103"/>
      <c r="P45" s="59"/>
      <c r="Q45" s="105"/>
      <c r="R45" s="98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1"/>
      <c r="C46" s="73"/>
      <c r="D46" s="74"/>
      <c r="E46" s="104"/>
      <c r="F46" s="104"/>
      <c r="G46" s="104"/>
      <c r="H46" s="109"/>
      <c r="I46" s="114"/>
      <c r="J46" s="87"/>
      <c r="K46" s="87"/>
      <c r="L46" s="74"/>
      <c r="M46" s="87"/>
      <c r="N46" s="86"/>
      <c r="O46" s="103"/>
      <c r="P46" s="59"/>
      <c r="Q46" s="105"/>
      <c r="R46" s="98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1"/>
      <c r="C47" s="73"/>
      <c r="D47" s="74"/>
      <c r="E47" s="104"/>
      <c r="F47" s="104"/>
      <c r="G47" s="104"/>
      <c r="H47" s="109"/>
      <c r="I47" s="114"/>
      <c r="J47" s="87"/>
      <c r="K47" s="87"/>
      <c r="L47" s="74"/>
      <c r="M47" s="87"/>
      <c r="N47" s="86"/>
      <c r="O47" s="103"/>
      <c r="P47" s="59"/>
      <c r="Q47" s="105"/>
      <c r="R47" s="98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1"/>
      <c r="C48" s="73"/>
      <c r="D48" s="74"/>
      <c r="E48" s="104"/>
      <c r="F48" s="104"/>
      <c r="G48" s="104"/>
      <c r="H48" s="109"/>
      <c r="I48" s="114"/>
      <c r="J48" s="87"/>
      <c r="K48" s="87"/>
      <c r="L48" s="74"/>
      <c r="M48" s="87"/>
      <c r="N48" s="86"/>
      <c r="O48" s="103"/>
      <c r="P48" s="59"/>
      <c r="Q48" s="105"/>
      <c r="R48" s="98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1"/>
      <c r="C49" s="73"/>
      <c r="D49" s="74"/>
      <c r="E49" s="104"/>
      <c r="F49" s="104"/>
      <c r="G49" s="104"/>
      <c r="H49" s="109"/>
      <c r="I49" s="114"/>
      <c r="J49" s="87"/>
      <c r="K49" s="87"/>
      <c r="L49" s="74"/>
      <c r="M49" s="87"/>
      <c r="N49" s="86"/>
      <c r="O49" s="103"/>
      <c r="P49" s="59"/>
      <c r="Q49" s="105"/>
      <c r="R49" s="98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1"/>
      <c r="C50" s="73"/>
      <c r="D50" s="74"/>
      <c r="E50" s="104"/>
      <c r="F50" s="104"/>
      <c r="G50" s="104"/>
      <c r="H50" s="109"/>
      <c r="I50" s="114"/>
      <c r="J50" s="87"/>
      <c r="K50" s="87"/>
      <c r="L50" s="74"/>
      <c r="M50" s="87"/>
      <c r="N50" s="86"/>
      <c r="O50" s="103"/>
      <c r="P50" s="59"/>
      <c r="Q50" s="105"/>
      <c r="R50" s="98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1"/>
      <c r="C51" s="73"/>
      <c r="D51" s="74"/>
      <c r="E51" s="104"/>
      <c r="F51" s="104"/>
      <c r="G51" s="104"/>
      <c r="H51" s="109"/>
      <c r="I51" s="114"/>
      <c r="J51" s="87"/>
      <c r="K51" s="87"/>
      <c r="L51" s="74"/>
      <c r="M51" s="87"/>
      <c r="N51" s="86"/>
      <c r="O51" s="103"/>
      <c r="P51" s="59"/>
      <c r="Q51" s="105"/>
      <c r="R51" s="98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1"/>
      <c r="C52" s="73"/>
      <c r="D52" s="74"/>
      <c r="E52" s="104"/>
      <c r="F52" s="104"/>
      <c r="G52" s="104"/>
      <c r="H52" s="109"/>
      <c r="I52" s="114"/>
      <c r="J52" s="87"/>
      <c r="K52" s="87"/>
      <c r="L52" s="74"/>
      <c r="M52" s="87"/>
      <c r="N52" s="86"/>
      <c r="O52" s="103"/>
      <c r="P52" s="59"/>
      <c r="Q52" s="105"/>
      <c r="R52" s="98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3" t="str">
        <f t="shared" ref="B53:C53" si="9">B38</f>
        <v>The Origin Bangkae</v>
      </c>
      <c r="C53" s="113" t="str">
        <f t="shared" si="9"/>
        <v/>
      </c>
      <c r="D53" s="115">
        <f>SUM(D38:D52)</f>
        <v>0</v>
      </c>
      <c r="E53" s="116"/>
      <c r="F53" s="116"/>
      <c r="G53" s="116"/>
      <c r="H53" s="113" t="s">
        <v>95</v>
      </c>
      <c r="I53" s="118">
        <f t="shared" ref="I53:J53" si="10">SUM(I38:I52)</f>
        <v>0</v>
      </c>
      <c r="J53" s="118">
        <f t="shared" si="10"/>
        <v>0</v>
      </c>
      <c r="K53" s="118">
        <f>I53-J53</f>
        <v>0</v>
      </c>
      <c r="L53" s="119" t="str">
        <f>K53/I53</f>
        <v>#DIV/0!</v>
      </c>
      <c r="M53" s="118">
        <f>SUM(M38:M52)</f>
        <v>0</v>
      </c>
      <c r="N53" s="118">
        <f>I53-M53</f>
        <v>0</v>
      </c>
      <c r="O53" s="119" t="str">
        <f>N53/I53</f>
        <v>#DIV/0!</v>
      </c>
      <c r="P53" s="120"/>
      <c r="Q53" s="121"/>
      <c r="R53" s="11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22"/>
      <c r="B54" s="123"/>
      <c r="C54" s="124"/>
      <c r="D54" s="124"/>
      <c r="E54" s="125"/>
      <c r="F54" s="125"/>
      <c r="G54" s="125"/>
      <c r="H54" s="126"/>
      <c r="I54" s="127"/>
      <c r="J54" s="127"/>
      <c r="K54" s="127"/>
      <c r="L54" s="128"/>
      <c r="M54" s="127"/>
      <c r="N54" s="127"/>
      <c r="O54" s="128"/>
      <c r="P54" s="125"/>
      <c r="Q54" s="125"/>
      <c r="R54" s="125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>
      <c r="A55" s="1"/>
      <c r="B55" s="51" t="s">
        <v>328</v>
      </c>
      <c r="C55" s="53"/>
      <c r="D55" s="56"/>
      <c r="E55" s="59"/>
      <c r="F55" s="60"/>
      <c r="G55" s="60"/>
      <c r="H55" s="62" t="s">
        <v>158</v>
      </c>
      <c r="I55" s="63"/>
      <c r="J55" s="65"/>
      <c r="K55" s="63"/>
      <c r="L55" s="67"/>
      <c r="M55" s="65"/>
      <c r="N55" s="63"/>
      <c r="O55" s="67"/>
      <c r="P55" s="59"/>
      <c r="Q55" s="59"/>
      <c r="R55" s="59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1"/>
      <c r="C56" s="73"/>
      <c r="D56" s="74"/>
      <c r="E56" s="182"/>
      <c r="F56" s="182"/>
      <c r="G56" s="182"/>
      <c r="H56" s="76"/>
      <c r="I56" s="84"/>
      <c r="J56" s="86"/>
      <c r="K56" s="87"/>
      <c r="L56" s="88"/>
      <c r="M56" s="86"/>
      <c r="N56" s="87"/>
      <c r="O56" s="88"/>
      <c r="P56" s="129"/>
      <c r="Q56" s="130"/>
      <c r="R56" s="98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1"/>
      <c r="C57" s="73"/>
      <c r="D57" s="74"/>
      <c r="E57" s="182"/>
      <c r="F57" s="182"/>
      <c r="G57" s="182"/>
      <c r="H57" s="76"/>
      <c r="I57" s="84"/>
      <c r="J57" s="86"/>
      <c r="K57" s="87"/>
      <c r="L57" s="88"/>
      <c r="M57" s="86"/>
      <c r="N57" s="87"/>
      <c r="O57" s="88"/>
      <c r="P57" s="129"/>
      <c r="Q57" s="130"/>
      <c r="R57" s="98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1"/>
      <c r="C58" s="73"/>
      <c r="D58" s="74"/>
      <c r="E58" s="104"/>
      <c r="F58" s="104"/>
      <c r="G58" s="104"/>
      <c r="H58" s="76"/>
      <c r="I58" s="84"/>
      <c r="J58" s="86"/>
      <c r="K58" s="87"/>
      <c r="L58" s="88"/>
      <c r="M58" s="86"/>
      <c r="N58" s="87"/>
      <c r="O58" s="88"/>
      <c r="P58" s="59"/>
      <c r="Q58" s="105"/>
      <c r="R58" s="98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1"/>
      <c r="C59" s="73"/>
      <c r="D59" s="74"/>
      <c r="E59" s="104"/>
      <c r="F59" s="104"/>
      <c r="G59" s="104"/>
      <c r="H59" s="76"/>
      <c r="I59" s="102"/>
      <c r="J59" s="86"/>
      <c r="K59" s="87"/>
      <c r="L59" s="74"/>
      <c r="M59" s="87"/>
      <c r="N59" s="86"/>
      <c r="O59" s="103"/>
      <c r="P59" s="59"/>
      <c r="Q59" s="105"/>
      <c r="R59" s="98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1"/>
      <c r="C60" s="73"/>
      <c r="D60" s="74"/>
      <c r="E60" s="104"/>
      <c r="F60" s="104"/>
      <c r="G60" s="104"/>
      <c r="H60" s="109"/>
      <c r="I60" s="102"/>
      <c r="J60" s="87"/>
      <c r="K60" s="87"/>
      <c r="L60" s="74"/>
      <c r="M60" s="87"/>
      <c r="N60" s="86"/>
      <c r="O60" s="103"/>
      <c r="P60" s="59"/>
      <c r="Q60" s="105"/>
      <c r="R60" s="98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1"/>
      <c r="C61" s="73"/>
      <c r="D61" s="74"/>
      <c r="E61" s="104"/>
      <c r="F61" s="104"/>
      <c r="G61" s="104"/>
      <c r="H61" s="109"/>
      <c r="I61" s="102"/>
      <c r="J61" s="87"/>
      <c r="K61" s="87"/>
      <c r="L61" s="74"/>
      <c r="M61" s="87"/>
      <c r="N61" s="86"/>
      <c r="O61" s="103"/>
      <c r="P61" s="59"/>
      <c r="Q61" s="105"/>
      <c r="R61" s="98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1"/>
      <c r="C62" s="73"/>
      <c r="D62" s="74"/>
      <c r="E62" s="104"/>
      <c r="F62" s="104"/>
      <c r="G62" s="104"/>
      <c r="H62" s="109"/>
      <c r="I62" s="114"/>
      <c r="J62" s="87"/>
      <c r="K62" s="87"/>
      <c r="L62" s="74"/>
      <c r="M62" s="87"/>
      <c r="N62" s="86"/>
      <c r="O62" s="103"/>
      <c r="P62" s="59"/>
      <c r="Q62" s="105"/>
      <c r="R62" s="98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1"/>
      <c r="C63" s="73"/>
      <c r="D63" s="74"/>
      <c r="E63" s="104"/>
      <c r="F63" s="104"/>
      <c r="G63" s="104"/>
      <c r="H63" s="109"/>
      <c r="I63" s="114"/>
      <c r="J63" s="87"/>
      <c r="K63" s="87"/>
      <c r="L63" s="74"/>
      <c r="M63" s="87"/>
      <c r="N63" s="86"/>
      <c r="O63" s="103"/>
      <c r="P63" s="59"/>
      <c r="Q63" s="105"/>
      <c r="R63" s="98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1"/>
      <c r="C64" s="73"/>
      <c r="D64" s="74"/>
      <c r="E64" s="104"/>
      <c r="F64" s="104"/>
      <c r="G64" s="104"/>
      <c r="H64" s="109"/>
      <c r="I64" s="114"/>
      <c r="J64" s="87"/>
      <c r="K64" s="87"/>
      <c r="L64" s="74"/>
      <c r="M64" s="87"/>
      <c r="N64" s="86"/>
      <c r="O64" s="103"/>
      <c r="P64" s="59"/>
      <c r="Q64" s="105"/>
      <c r="R64" s="98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1"/>
      <c r="C65" s="73"/>
      <c r="D65" s="74"/>
      <c r="E65" s="104"/>
      <c r="F65" s="104"/>
      <c r="G65" s="104"/>
      <c r="H65" s="109"/>
      <c r="I65" s="114"/>
      <c r="J65" s="87"/>
      <c r="K65" s="87"/>
      <c r="L65" s="74"/>
      <c r="M65" s="87"/>
      <c r="N65" s="86"/>
      <c r="O65" s="103"/>
      <c r="P65" s="59"/>
      <c r="Q65" s="105"/>
      <c r="R65" s="98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1"/>
      <c r="C66" s="73"/>
      <c r="D66" s="74"/>
      <c r="E66" s="104"/>
      <c r="F66" s="104"/>
      <c r="G66" s="104"/>
      <c r="H66" s="109"/>
      <c r="I66" s="114"/>
      <c r="J66" s="87"/>
      <c r="K66" s="87"/>
      <c r="L66" s="74"/>
      <c r="M66" s="87"/>
      <c r="N66" s="86"/>
      <c r="O66" s="103"/>
      <c r="P66" s="59"/>
      <c r="Q66" s="105"/>
      <c r="R66" s="98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1"/>
      <c r="C67" s="73"/>
      <c r="D67" s="74"/>
      <c r="E67" s="104"/>
      <c r="F67" s="104"/>
      <c r="G67" s="104"/>
      <c r="H67" s="109"/>
      <c r="I67" s="114"/>
      <c r="J67" s="87"/>
      <c r="K67" s="87"/>
      <c r="L67" s="74"/>
      <c r="M67" s="87"/>
      <c r="N67" s="86"/>
      <c r="O67" s="103"/>
      <c r="P67" s="59"/>
      <c r="Q67" s="105"/>
      <c r="R67" s="98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1"/>
      <c r="C68" s="73"/>
      <c r="D68" s="74"/>
      <c r="E68" s="104"/>
      <c r="F68" s="104"/>
      <c r="G68" s="104"/>
      <c r="H68" s="109"/>
      <c r="I68" s="114"/>
      <c r="J68" s="87"/>
      <c r="K68" s="87"/>
      <c r="L68" s="74"/>
      <c r="M68" s="87"/>
      <c r="N68" s="86"/>
      <c r="O68" s="103"/>
      <c r="P68" s="59"/>
      <c r="Q68" s="105"/>
      <c r="R68" s="98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1"/>
      <c r="C69" s="73"/>
      <c r="D69" s="74"/>
      <c r="E69" s="104"/>
      <c r="F69" s="104"/>
      <c r="G69" s="104"/>
      <c r="H69" s="109"/>
      <c r="I69" s="114"/>
      <c r="J69" s="87"/>
      <c r="K69" s="87"/>
      <c r="L69" s="74"/>
      <c r="M69" s="87"/>
      <c r="N69" s="86"/>
      <c r="O69" s="103"/>
      <c r="P69" s="59"/>
      <c r="Q69" s="105"/>
      <c r="R69" s="98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13" t="str">
        <f t="shared" ref="B70:C70" si="11">B55</f>
        <v>The Origin Bangkae</v>
      </c>
      <c r="C70" s="113" t="str">
        <f t="shared" si="11"/>
        <v/>
      </c>
      <c r="D70" s="115">
        <f>SUM(D55:D69)</f>
        <v>0</v>
      </c>
      <c r="E70" s="116"/>
      <c r="F70" s="116"/>
      <c r="G70" s="116"/>
      <c r="H70" s="113" t="s">
        <v>95</v>
      </c>
      <c r="I70" s="118">
        <f t="shared" ref="I70:J70" si="12">SUM(I55:I69)</f>
        <v>0</v>
      </c>
      <c r="J70" s="118">
        <f t="shared" si="12"/>
        <v>0</v>
      </c>
      <c r="K70" s="118">
        <f>I70-J70</f>
        <v>0</v>
      </c>
      <c r="L70" s="119" t="str">
        <f>K70/I70</f>
        <v>#DIV/0!</v>
      </c>
      <c r="M70" s="118">
        <f>SUM(M55:M69)</f>
        <v>0</v>
      </c>
      <c r="N70" s="118">
        <f>I70-M70</f>
        <v>0</v>
      </c>
      <c r="O70" s="119" t="str">
        <f>N70/I70</f>
        <v>#DIV/0!</v>
      </c>
      <c r="P70" s="120"/>
      <c r="Q70" s="121"/>
      <c r="R70" s="11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31"/>
      <c r="F71" s="131"/>
      <c r="G71" s="131"/>
      <c r="H71" s="1"/>
      <c r="I71" s="1"/>
      <c r="J71" s="1"/>
      <c r="K71" s="1"/>
      <c r="L71" s="1"/>
      <c r="M71" s="1"/>
      <c r="N71" s="1"/>
      <c r="O71" s="1"/>
      <c r="P71" s="1"/>
      <c r="Q71" s="13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31"/>
      <c r="F72" s="131"/>
      <c r="G72" s="131"/>
      <c r="H72" s="1"/>
      <c r="I72" s="1"/>
      <c r="J72" s="1"/>
      <c r="K72" s="1"/>
      <c r="L72" s="1"/>
      <c r="M72" s="1"/>
      <c r="N72" s="1"/>
      <c r="O72" s="1"/>
      <c r="P72" s="1"/>
      <c r="Q72" s="13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31"/>
      <c r="F73" s="131"/>
      <c r="G73" s="131"/>
      <c r="H73" s="1"/>
      <c r="I73" s="1"/>
      <c r="J73" s="1"/>
      <c r="K73" s="1"/>
      <c r="L73" s="1"/>
      <c r="M73" s="1"/>
      <c r="N73" s="1"/>
      <c r="O73" s="1"/>
      <c r="P73" s="1"/>
      <c r="Q73" s="13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31"/>
      <c r="F74" s="131"/>
      <c r="G74" s="131"/>
      <c r="H74" s="1"/>
      <c r="I74" s="1"/>
      <c r="J74" s="1"/>
      <c r="K74" s="1"/>
      <c r="L74" s="1"/>
      <c r="M74" s="1"/>
      <c r="N74" s="1"/>
      <c r="O74" s="1"/>
      <c r="P74" s="1"/>
      <c r="Q74" s="13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31"/>
      <c r="F75" s="131"/>
      <c r="G75" s="131"/>
      <c r="H75" s="1"/>
      <c r="I75" s="1"/>
      <c r="J75" s="1"/>
      <c r="K75" s="1"/>
      <c r="L75" s="1"/>
      <c r="M75" s="1"/>
      <c r="N75" s="1"/>
      <c r="O75" s="1"/>
      <c r="P75" s="1"/>
      <c r="Q75" s="13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31"/>
      <c r="F76" s="131"/>
      <c r="G76" s="131"/>
      <c r="H76" s="1"/>
      <c r="I76" s="1"/>
      <c r="J76" s="1"/>
      <c r="K76" s="1"/>
      <c r="L76" s="1"/>
      <c r="M76" s="1"/>
      <c r="N76" s="1"/>
      <c r="O76" s="1"/>
      <c r="P76" s="1"/>
      <c r="Q76" s="13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31"/>
      <c r="F77" s="131"/>
      <c r="G77" s="131"/>
      <c r="H77" s="1"/>
      <c r="I77" s="1"/>
      <c r="J77" s="1"/>
      <c r="K77" s="1"/>
      <c r="L77" s="1"/>
      <c r="M77" s="1"/>
      <c r="N77" s="1"/>
      <c r="O77" s="1"/>
      <c r="P77" s="1"/>
      <c r="Q77" s="13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31"/>
      <c r="F78" s="131"/>
      <c r="G78" s="131"/>
      <c r="H78" s="1"/>
      <c r="I78" s="1"/>
      <c r="J78" s="1"/>
      <c r="K78" s="1"/>
      <c r="L78" s="1"/>
      <c r="M78" s="1"/>
      <c r="N78" s="1"/>
      <c r="O78" s="1"/>
      <c r="P78" s="1"/>
      <c r="Q78" s="13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31"/>
      <c r="F79" s="131"/>
      <c r="G79" s="131"/>
      <c r="H79" s="1"/>
      <c r="I79" s="1"/>
      <c r="J79" s="1"/>
      <c r="K79" s="1"/>
      <c r="L79" s="1"/>
      <c r="M79" s="1"/>
      <c r="N79" s="1"/>
      <c r="O79" s="1"/>
      <c r="P79" s="1"/>
      <c r="Q79" s="13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31"/>
      <c r="F80" s="131"/>
      <c r="G80" s="131"/>
      <c r="H80" s="1"/>
      <c r="I80" s="1"/>
      <c r="J80" s="1"/>
      <c r="K80" s="1"/>
      <c r="L80" s="1"/>
      <c r="M80" s="1"/>
      <c r="N80" s="1"/>
      <c r="O80" s="1"/>
      <c r="P80" s="1"/>
      <c r="Q80" s="13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31"/>
      <c r="F81" s="131"/>
      <c r="G81" s="131"/>
      <c r="H81" s="1"/>
      <c r="I81" s="1"/>
      <c r="J81" s="1"/>
      <c r="K81" s="1"/>
      <c r="L81" s="1"/>
      <c r="M81" s="1"/>
      <c r="N81" s="1"/>
      <c r="O81" s="1"/>
      <c r="P81" s="1"/>
      <c r="Q81" s="13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31"/>
      <c r="F82" s="131"/>
      <c r="G82" s="131"/>
      <c r="H82" s="1"/>
      <c r="I82" s="1"/>
      <c r="J82" s="1"/>
      <c r="K82" s="1"/>
      <c r="L82" s="1"/>
      <c r="M82" s="1"/>
      <c r="N82" s="1"/>
      <c r="O82" s="1"/>
      <c r="P82" s="1"/>
      <c r="Q82" s="13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31"/>
      <c r="F83" s="131"/>
      <c r="G83" s="131"/>
      <c r="H83" s="1"/>
      <c r="I83" s="1"/>
      <c r="J83" s="1"/>
      <c r="K83" s="1"/>
      <c r="L83" s="1"/>
      <c r="M83" s="1"/>
      <c r="N83" s="1"/>
      <c r="O83" s="1"/>
      <c r="P83" s="1"/>
      <c r="Q83" s="13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31"/>
      <c r="F84" s="131"/>
      <c r="G84" s="131"/>
      <c r="H84" s="1"/>
      <c r="I84" s="1"/>
      <c r="J84" s="1"/>
      <c r="K84" s="1"/>
      <c r="L84" s="1"/>
      <c r="M84" s="1"/>
      <c r="N84" s="1"/>
      <c r="O84" s="1"/>
      <c r="P84" s="1"/>
      <c r="Q84" s="13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31"/>
      <c r="F85" s="131"/>
      <c r="G85" s="131"/>
      <c r="H85" s="1"/>
      <c r="I85" s="1"/>
      <c r="J85" s="1"/>
      <c r="K85" s="1"/>
      <c r="L85" s="1"/>
      <c r="M85" s="1"/>
      <c r="N85" s="1"/>
      <c r="O85" s="1"/>
      <c r="P85" s="1"/>
      <c r="Q85" s="13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31"/>
      <c r="F86" s="131"/>
      <c r="G86" s="131"/>
      <c r="H86" s="1"/>
      <c r="I86" s="1"/>
      <c r="J86" s="1"/>
      <c r="K86" s="1"/>
      <c r="L86" s="1"/>
      <c r="M86" s="1"/>
      <c r="N86" s="1"/>
      <c r="O86" s="1"/>
      <c r="P86" s="1"/>
      <c r="Q86" s="13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31"/>
      <c r="F87" s="131"/>
      <c r="G87" s="131"/>
      <c r="H87" s="1"/>
      <c r="I87" s="1"/>
      <c r="J87" s="1"/>
      <c r="K87" s="1"/>
      <c r="L87" s="1"/>
      <c r="M87" s="1"/>
      <c r="N87" s="1"/>
      <c r="O87" s="1"/>
      <c r="P87" s="1"/>
      <c r="Q87" s="13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31"/>
      <c r="F88" s="131"/>
      <c r="G88" s="131"/>
      <c r="H88" s="1"/>
      <c r="I88" s="1"/>
      <c r="J88" s="1"/>
      <c r="K88" s="1"/>
      <c r="L88" s="1"/>
      <c r="M88" s="1"/>
      <c r="N88" s="1"/>
      <c r="O88" s="1"/>
      <c r="P88" s="1"/>
      <c r="Q88" s="13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31"/>
      <c r="F89" s="131"/>
      <c r="G89" s="131"/>
      <c r="H89" s="1"/>
      <c r="I89" s="1"/>
      <c r="J89" s="1"/>
      <c r="K89" s="1"/>
      <c r="L89" s="1"/>
      <c r="M89" s="1"/>
      <c r="N89" s="1"/>
      <c r="O89" s="1"/>
      <c r="P89" s="1"/>
      <c r="Q89" s="13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31"/>
      <c r="F90" s="131"/>
      <c r="G90" s="131"/>
      <c r="H90" s="1"/>
      <c r="I90" s="1"/>
      <c r="J90" s="1"/>
      <c r="K90" s="1"/>
      <c r="L90" s="1"/>
      <c r="M90" s="1"/>
      <c r="N90" s="1"/>
      <c r="O90" s="1"/>
      <c r="P90" s="1"/>
      <c r="Q90" s="13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31"/>
      <c r="F91" s="131"/>
      <c r="G91" s="131"/>
      <c r="H91" s="1"/>
      <c r="I91" s="1"/>
      <c r="J91" s="1"/>
      <c r="K91" s="1"/>
      <c r="L91" s="1"/>
      <c r="M91" s="1"/>
      <c r="N91" s="1"/>
      <c r="O91" s="1"/>
      <c r="P91" s="1"/>
      <c r="Q91" s="13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31"/>
      <c r="F92" s="131"/>
      <c r="G92" s="131"/>
      <c r="H92" s="1"/>
      <c r="I92" s="1"/>
      <c r="J92" s="1"/>
      <c r="K92" s="1"/>
      <c r="L92" s="1"/>
      <c r="M92" s="1"/>
      <c r="N92" s="1"/>
      <c r="O92" s="1"/>
      <c r="P92" s="1"/>
      <c r="Q92" s="13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31"/>
      <c r="F93" s="131"/>
      <c r="G93" s="131"/>
      <c r="H93" s="1"/>
      <c r="I93" s="1"/>
      <c r="J93" s="1"/>
      <c r="K93" s="1"/>
      <c r="L93" s="1"/>
      <c r="M93" s="1"/>
      <c r="N93" s="1"/>
      <c r="O93" s="1"/>
      <c r="P93" s="1"/>
      <c r="Q93" s="13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31"/>
      <c r="F94" s="131"/>
      <c r="G94" s="131"/>
      <c r="H94" s="1"/>
      <c r="I94" s="1"/>
      <c r="J94" s="1"/>
      <c r="K94" s="1"/>
      <c r="L94" s="1"/>
      <c r="M94" s="1"/>
      <c r="N94" s="1"/>
      <c r="O94" s="1"/>
      <c r="P94" s="1"/>
      <c r="Q94" s="13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31"/>
      <c r="F95" s="131"/>
      <c r="G95" s="131"/>
      <c r="H95" s="1"/>
      <c r="I95" s="1"/>
      <c r="J95" s="1"/>
      <c r="K95" s="1"/>
      <c r="L95" s="1"/>
      <c r="M95" s="1"/>
      <c r="N95" s="1"/>
      <c r="O95" s="1"/>
      <c r="P95" s="1"/>
      <c r="Q95" s="13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31"/>
      <c r="F96" s="131"/>
      <c r="G96" s="131"/>
      <c r="H96" s="1"/>
      <c r="I96" s="1"/>
      <c r="J96" s="1"/>
      <c r="K96" s="1"/>
      <c r="L96" s="1"/>
      <c r="M96" s="1"/>
      <c r="N96" s="1"/>
      <c r="O96" s="1"/>
      <c r="P96" s="1"/>
      <c r="Q96" s="13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31"/>
      <c r="F97" s="131"/>
      <c r="G97" s="131"/>
      <c r="H97" s="1"/>
      <c r="I97" s="1"/>
      <c r="J97" s="1"/>
      <c r="K97" s="1"/>
      <c r="L97" s="1"/>
      <c r="M97" s="1"/>
      <c r="N97" s="1"/>
      <c r="O97" s="1"/>
      <c r="P97" s="1"/>
      <c r="Q97" s="13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31"/>
      <c r="F98" s="131"/>
      <c r="G98" s="131"/>
      <c r="H98" s="1"/>
      <c r="I98" s="1"/>
      <c r="J98" s="1"/>
      <c r="K98" s="1"/>
      <c r="L98" s="1"/>
      <c r="M98" s="1"/>
      <c r="N98" s="1"/>
      <c r="O98" s="1"/>
      <c r="P98" s="1"/>
      <c r="Q98" s="13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31"/>
      <c r="F99" s="131"/>
      <c r="G99" s="131"/>
      <c r="H99" s="1"/>
      <c r="I99" s="1"/>
      <c r="J99" s="1"/>
      <c r="K99" s="1"/>
      <c r="L99" s="1"/>
      <c r="M99" s="1"/>
      <c r="N99" s="1"/>
      <c r="O99" s="1"/>
      <c r="P99" s="1"/>
      <c r="Q99" s="13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31"/>
      <c r="F100" s="131"/>
      <c r="G100" s="131"/>
      <c r="H100" s="1"/>
      <c r="I100" s="1"/>
      <c r="J100" s="1"/>
      <c r="K100" s="1"/>
      <c r="L100" s="1"/>
      <c r="M100" s="1"/>
      <c r="N100" s="1"/>
      <c r="O100" s="1"/>
      <c r="P100" s="1"/>
      <c r="Q100" s="13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31"/>
      <c r="F101" s="131"/>
      <c r="G101" s="131"/>
      <c r="H101" s="1"/>
      <c r="I101" s="1"/>
      <c r="J101" s="1"/>
      <c r="K101" s="1"/>
      <c r="L101" s="1"/>
      <c r="M101" s="1"/>
      <c r="N101" s="1"/>
      <c r="O101" s="1"/>
      <c r="P101" s="1"/>
      <c r="Q101" s="13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31"/>
      <c r="F102" s="131"/>
      <c r="G102" s="131"/>
      <c r="H102" s="1"/>
      <c r="I102" s="1"/>
      <c r="J102" s="1"/>
      <c r="K102" s="1"/>
      <c r="L102" s="1"/>
      <c r="M102" s="1"/>
      <c r="N102" s="1"/>
      <c r="O102" s="1"/>
      <c r="P102" s="1"/>
      <c r="Q102" s="13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31"/>
      <c r="F103" s="131"/>
      <c r="G103" s="131"/>
      <c r="H103" s="1"/>
      <c r="I103" s="1"/>
      <c r="J103" s="1"/>
      <c r="K103" s="1"/>
      <c r="L103" s="1"/>
      <c r="M103" s="1"/>
      <c r="N103" s="1"/>
      <c r="O103" s="1"/>
      <c r="P103" s="1"/>
      <c r="Q103" s="13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31"/>
      <c r="F104" s="131"/>
      <c r="G104" s="131"/>
      <c r="H104" s="1"/>
      <c r="I104" s="1"/>
      <c r="J104" s="1"/>
      <c r="K104" s="1"/>
      <c r="L104" s="1"/>
      <c r="M104" s="1"/>
      <c r="N104" s="1"/>
      <c r="O104" s="1"/>
      <c r="P104" s="1"/>
      <c r="Q104" s="13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31"/>
      <c r="F105" s="131"/>
      <c r="G105" s="131"/>
      <c r="H105" s="1"/>
      <c r="I105" s="1"/>
      <c r="J105" s="1"/>
      <c r="K105" s="1"/>
      <c r="L105" s="1"/>
      <c r="M105" s="1"/>
      <c r="N105" s="1"/>
      <c r="O105" s="1"/>
      <c r="P105" s="1"/>
      <c r="Q105" s="13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31"/>
      <c r="F106" s="131"/>
      <c r="G106" s="131"/>
      <c r="H106" s="1"/>
      <c r="I106" s="1"/>
      <c r="J106" s="1"/>
      <c r="K106" s="1"/>
      <c r="L106" s="1"/>
      <c r="M106" s="1"/>
      <c r="N106" s="1"/>
      <c r="O106" s="1"/>
      <c r="P106" s="1"/>
      <c r="Q106" s="13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31"/>
      <c r="F107" s="131"/>
      <c r="G107" s="131"/>
      <c r="H107" s="1"/>
      <c r="I107" s="1"/>
      <c r="J107" s="1"/>
      <c r="K107" s="1"/>
      <c r="L107" s="1"/>
      <c r="M107" s="1"/>
      <c r="N107" s="1"/>
      <c r="O107" s="1"/>
      <c r="P107" s="1"/>
      <c r="Q107" s="13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31"/>
      <c r="F108" s="131"/>
      <c r="G108" s="131"/>
      <c r="H108" s="1"/>
      <c r="I108" s="1"/>
      <c r="J108" s="1"/>
      <c r="K108" s="1"/>
      <c r="L108" s="1"/>
      <c r="M108" s="1"/>
      <c r="N108" s="1"/>
      <c r="O108" s="1"/>
      <c r="P108" s="1"/>
      <c r="Q108" s="13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31"/>
      <c r="F109" s="131"/>
      <c r="G109" s="131"/>
      <c r="H109" s="1"/>
      <c r="I109" s="1"/>
      <c r="J109" s="1"/>
      <c r="K109" s="1"/>
      <c r="L109" s="1"/>
      <c r="M109" s="1"/>
      <c r="N109" s="1"/>
      <c r="O109" s="1"/>
      <c r="P109" s="1"/>
      <c r="Q109" s="13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31"/>
      <c r="F110" s="131"/>
      <c r="G110" s="131"/>
      <c r="H110" s="1"/>
      <c r="I110" s="1"/>
      <c r="J110" s="1"/>
      <c r="K110" s="1"/>
      <c r="L110" s="1"/>
      <c r="M110" s="1"/>
      <c r="N110" s="1"/>
      <c r="O110" s="1"/>
      <c r="P110" s="1"/>
      <c r="Q110" s="13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31"/>
      <c r="F111" s="131"/>
      <c r="G111" s="131"/>
      <c r="H111" s="1"/>
      <c r="I111" s="1"/>
      <c r="J111" s="1"/>
      <c r="K111" s="1"/>
      <c r="L111" s="1"/>
      <c r="M111" s="1"/>
      <c r="N111" s="1"/>
      <c r="O111" s="1"/>
      <c r="P111" s="1"/>
      <c r="Q111" s="13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31"/>
      <c r="F112" s="131"/>
      <c r="G112" s="131"/>
      <c r="H112" s="1"/>
      <c r="I112" s="1"/>
      <c r="J112" s="1"/>
      <c r="K112" s="1"/>
      <c r="L112" s="1"/>
      <c r="M112" s="1"/>
      <c r="N112" s="1"/>
      <c r="O112" s="1"/>
      <c r="P112" s="1"/>
      <c r="Q112" s="13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31"/>
      <c r="F113" s="131"/>
      <c r="G113" s="131"/>
      <c r="H113" s="1"/>
      <c r="I113" s="1"/>
      <c r="J113" s="1"/>
      <c r="K113" s="1"/>
      <c r="L113" s="1"/>
      <c r="M113" s="1"/>
      <c r="N113" s="1"/>
      <c r="O113" s="1"/>
      <c r="P113" s="1"/>
      <c r="Q113" s="13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31"/>
      <c r="F114" s="131"/>
      <c r="G114" s="131"/>
      <c r="H114" s="1"/>
      <c r="I114" s="1"/>
      <c r="J114" s="1"/>
      <c r="K114" s="1"/>
      <c r="L114" s="1"/>
      <c r="M114" s="1"/>
      <c r="N114" s="1"/>
      <c r="O114" s="1"/>
      <c r="P114" s="1"/>
      <c r="Q114" s="13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31"/>
      <c r="F115" s="131"/>
      <c r="G115" s="131"/>
      <c r="H115" s="1"/>
      <c r="I115" s="1"/>
      <c r="J115" s="1"/>
      <c r="K115" s="1"/>
      <c r="L115" s="1"/>
      <c r="M115" s="1"/>
      <c r="N115" s="1"/>
      <c r="O115" s="1"/>
      <c r="P115" s="1"/>
      <c r="Q115" s="13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31"/>
      <c r="F116" s="131"/>
      <c r="G116" s="131"/>
      <c r="H116" s="1"/>
      <c r="I116" s="1"/>
      <c r="J116" s="1"/>
      <c r="K116" s="1"/>
      <c r="L116" s="1"/>
      <c r="M116" s="1"/>
      <c r="N116" s="1"/>
      <c r="O116" s="1"/>
      <c r="P116" s="1"/>
      <c r="Q116" s="13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31"/>
      <c r="F117" s="131"/>
      <c r="G117" s="131"/>
      <c r="H117" s="1"/>
      <c r="I117" s="1"/>
      <c r="J117" s="1"/>
      <c r="K117" s="1"/>
      <c r="L117" s="1"/>
      <c r="M117" s="1"/>
      <c r="N117" s="1"/>
      <c r="O117" s="1"/>
      <c r="P117" s="1"/>
      <c r="Q117" s="13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31"/>
      <c r="F118" s="131"/>
      <c r="G118" s="131"/>
      <c r="H118" s="1"/>
      <c r="I118" s="1"/>
      <c r="J118" s="1"/>
      <c r="K118" s="1"/>
      <c r="L118" s="1"/>
      <c r="M118" s="1"/>
      <c r="N118" s="1"/>
      <c r="O118" s="1"/>
      <c r="P118" s="1"/>
      <c r="Q118" s="13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31"/>
      <c r="F119" s="131"/>
      <c r="G119" s="131"/>
      <c r="H119" s="1"/>
      <c r="I119" s="1"/>
      <c r="J119" s="1"/>
      <c r="K119" s="1"/>
      <c r="L119" s="1"/>
      <c r="M119" s="1"/>
      <c r="N119" s="1"/>
      <c r="O119" s="1"/>
      <c r="P119" s="1"/>
      <c r="Q119" s="13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31"/>
      <c r="F120" s="131"/>
      <c r="G120" s="131"/>
      <c r="H120" s="1"/>
      <c r="I120" s="1"/>
      <c r="J120" s="1"/>
      <c r="K120" s="1"/>
      <c r="L120" s="1"/>
      <c r="M120" s="1"/>
      <c r="N120" s="1"/>
      <c r="O120" s="1"/>
      <c r="P120" s="1"/>
      <c r="Q120" s="13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31"/>
      <c r="F121" s="131"/>
      <c r="G121" s="131"/>
      <c r="H121" s="1"/>
      <c r="I121" s="1"/>
      <c r="J121" s="1"/>
      <c r="K121" s="1"/>
      <c r="L121" s="1"/>
      <c r="M121" s="1"/>
      <c r="N121" s="1"/>
      <c r="O121" s="1"/>
      <c r="P121" s="1"/>
      <c r="Q121" s="13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31"/>
      <c r="F122" s="131"/>
      <c r="G122" s="131"/>
      <c r="H122" s="1"/>
      <c r="I122" s="1"/>
      <c r="J122" s="1"/>
      <c r="K122" s="1"/>
      <c r="L122" s="1"/>
      <c r="M122" s="1"/>
      <c r="N122" s="1"/>
      <c r="O122" s="1"/>
      <c r="P122" s="1"/>
      <c r="Q122" s="13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31"/>
      <c r="F123" s="131"/>
      <c r="G123" s="131"/>
      <c r="H123" s="1"/>
      <c r="I123" s="1"/>
      <c r="J123" s="1"/>
      <c r="K123" s="1"/>
      <c r="L123" s="1"/>
      <c r="M123" s="1"/>
      <c r="N123" s="1"/>
      <c r="O123" s="1"/>
      <c r="P123" s="1"/>
      <c r="Q123" s="13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31"/>
      <c r="F124" s="131"/>
      <c r="G124" s="131"/>
      <c r="H124" s="1"/>
      <c r="I124" s="1"/>
      <c r="J124" s="1"/>
      <c r="K124" s="1"/>
      <c r="L124" s="1"/>
      <c r="M124" s="1"/>
      <c r="N124" s="1"/>
      <c r="O124" s="1"/>
      <c r="P124" s="1"/>
      <c r="Q124" s="13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31"/>
      <c r="F125" s="131"/>
      <c r="G125" s="131"/>
      <c r="H125" s="1"/>
      <c r="I125" s="1"/>
      <c r="J125" s="1"/>
      <c r="K125" s="1"/>
      <c r="L125" s="1"/>
      <c r="M125" s="1"/>
      <c r="N125" s="1"/>
      <c r="O125" s="1"/>
      <c r="P125" s="1"/>
      <c r="Q125" s="13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31"/>
      <c r="F126" s="131"/>
      <c r="G126" s="131"/>
      <c r="H126" s="1"/>
      <c r="I126" s="1"/>
      <c r="J126" s="1"/>
      <c r="K126" s="1"/>
      <c r="L126" s="1"/>
      <c r="M126" s="1"/>
      <c r="N126" s="1"/>
      <c r="O126" s="1"/>
      <c r="P126" s="1"/>
      <c r="Q126" s="13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31"/>
      <c r="F127" s="131"/>
      <c r="G127" s="131"/>
      <c r="H127" s="1"/>
      <c r="I127" s="1"/>
      <c r="J127" s="1"/>
      <c r="K127" s="1"/>
      <c r="L127" s="1"/>
      <c r="M127" s="1"/>
      <c r="N127" s="1"/>
      <c r="O127" s="1"/>
      <c r="P127" s="1"/>
      <c r="Q127" s="13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31"/>
      <c r="F128" s="131"/>
      <c r="G128" s="131"/>
      <c r="H128" s="1"/>
      <c r="I128" s="1"/>
      <c r="J128" s="1"/>
      <c r="K128" s="1"/>
      <c r="L128" s="1"/>
      <c r="M128" s="1"/>
      <c r="N128" s="1"/>
      <c r="O128" s="1"/>
      <c r="P128" s="1"/>
      <c r="Q128" s="13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31"/>
      <c r="F129" s="131"/>
      <c r="G129" s="131"/>
      <c r="H129" s="1"/>
      <c r="I129" s="1"/>
      <c r="J129" s="1"/>
      <c r="K129" s="1"/>
      <c r="L129" s="1"/>
      <c r="M129" s="1"/>
      <c r="N129" s="1"/>
      <c r="O129" s="1"/>
      <c r="P129" s="1"/>
      <c r="Q129" s="13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31"/>
      <c r="F130" s="131"/>
      <c r="G130" s="131"/>
      <c r="H130" s="1"/>
      <c r="I130" s="1"/>
      <c r="J130" s="1"/>
      <c r="K130" s="1"/>
      <c r="L130" s="1"/>
      <c r="M130" s="1"/>
      <c r="N130" s="1"/>
      <c r="O130" s="1"/>
      <c r="P130" s="1"/>
      <c r="Q130" s="13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31"/>
      <c r="F131" s="131"/>
      <c r="G131" s="131"/>
      <c r="H131" s="1"/>
      <c r="I131" s="1"/>
      <c r="J131" s="1"/>
      <c r="K131" s="1"/>
      <c r="L131" s="1"/>
      <c r="M131" s="1"/>
      <c r="N131" s="1"/>
      <c r="O131" s="1"/>
      <c r="P131" s="1"/>
      <c r="Q131" s="13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31"/>
      <c r="F132" s="131"/>
      <c r="G132" s="131"/>
      <c r="H132" s="1"/>
      <c r="I132" s="1"/>
      <c r="J132" s="1"/>
      <c r="K132" s="1"/>
      <c r="L132" s="1"/>
      <c r="M132" s="1"/>
      <c r="N132" s="1"/>
      <c r="O132" s="1"/>
      <c r="P132" s="1"/>
      <c r="Q132" s="13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31"/>
      <c r="F133" s="131"/>
      <c r="G133" s="131"/>
      <c r="H133" s="1"/>
      <c r="I133" s="1"/>
      <c r="J133" s="1"/>
      <c r="K133" s="1"/>
      <c r="L133" s="1"/>
      <c r="M133" s="1"/>
      <c r="N133" s="1"/>
      <c r="O133" s="1"/>
      <c r="P133" s="1"/>
      <c r="Q133" s="13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31"/>
      <c r="F134" s="131"/>
      <c r="G134" s="131"/>
      <c r="H134" s="1"/>
      <c r="I134" s="1"/>
      <c r="J134" s="1"/>
      <c r="K134" s="1"/>
      <c r="L134" s="1"/>
      <c r="M134" s="1"/>
      <c r="N134" s="1"/>
      <c r="O134" s="1"/>
      <c r="P134" s="1"/>
      <c r="Q134" s="13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31"/>
      <c r="F135" s="131"/>
      <c r="G135" s="131"/>
      <c r="H135" s="1"/>
      <c r="I135" s="1"/>
      <c r="J135" s="1"/>
      <c r="K135" s="1"/>
      <c r="L135" s="1"/>
      <c r="M135" s="1"/>
      <c r="N135" s="1"/>
      <c r="O135" s="1"/>
      <c r="P135" s="1"/>
      <c r="Q135" s="13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31"/>
      <c r="F136" s="131"/>
      <c r="G136" s="131"/>
      <c r="H136" s="1"/>
      <c r="I136" s="1"/>
      <c r="J136" s="1"/>
      <c r="K136" s="1"/>
      <c r="L136" s="1"/>
      <c r="M136" s="1"/>
      <c r="N136" s="1"/>
      <c r="O136" s="1"/>
      <c r="P136" s="1"/>
      <c r="Q136" s="13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31"/>
      <c r="F137" s="131"/>
      <c r="G137" s="131"/>
      <c r="H137" s="1"/>
      <c r="I137" s="1"/>
      <c r="J137" s="1"/>
      <c r="K137" s="1"/>
      <c r="L137" s="1"/>
      <c r="M137" s="1"/>
      <c r="N137" s="1"/>
      <c r="O137" s="1"/>
      <c r="P137" s="1"/>
      <c r="Q137" s="13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31"/>
      <c r="F138" s="131"/>
      <c r="G138" s="131"/>
      <c r="H138" s="1"/>
      <c r="I138" s="1"/>
      <c r="J138" s="1"/>
      <c r="K138" s="1"/>
      <c r="L138" s="1"/>
      <c r="M138" s="1"/>
      <c r="N138" s="1"/>
      <c r="O138" s="1"/>
      <c r="P138" s="1"/>
      <c r="Q138" s="13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31"/>
      <c r="F139" s="131"/>
      <c r="G139" s="131"/>
      <c r="H139" s="1"/>
      <c r="I139" s="1"/>
      <c r="J139" s="1"/>
      <c r="K139" s="1"/>
      <c r="L139" s="1"/>
      <c r="M139" s="1"/>
      <c r="N139" s="1"/>
      <c r="O139" s="1"/>
      <c r="P139" s="1"/>
      <c r="Q139" s="13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31"/>
      <c r="F140" s="131"/>
      <c r="G140" s="131"/>
      <c r="H140" s="1"/>
      <c r="I140" s="1"/>
      <c r="J140" s="1"/>
      <c r="K140" s="1"/>
      <c r="L140" s="1"/>
      <c r="M140" s="1"/>
      <c r="N140" s="1"/>
      <c r="O140" s="1"/>
      <c r="P140" s="1"/>
      <c r="Q140" s="13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31"/>
      <c r="F141" s="131"/>
      <c r="G141" s="131"/>
      <c r="H141" s="1"/>
      <c r="I141" s="1"/>
      <c r="J141" s="1"/>
      <c r="K141" s="1"/>
      <c r="L141" s="1"/>
      <c r="M141" s="1"/>
      <c r="N141" s="1"/>
      <c r="O141" s="1"/>
      <c r="P141" s="1"/>
      <c r="Q141" s="13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31"/>
      <c r="F142" s="131"/>
      <c r="G142" s="131"/>
      <c r="H142" s="1"/>
      <c r="I142" s="1"/>
      <c r="J142" s="1"/>
      <c r="K142" s="1"/>
      <c r="L142" s="1"/>
      <c r="M142" s="1"/>
      <c r="N142" s="1"/>
      <c r="O142" s="1"/>
      <c r="P142" s="1"/>
      <c r="Q142" s="13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31"/>
      <c r="F143" s="131"/>
      <c r="G143" s="131"/>
      <c r="H143" s="1"/>
      <c r="I143" s="1"/>
      <c r="J143" s="1"/>
      <c r="K143" s="1"/>
      <c r="L143" s="1"/>
      <c r="M143" s="1"/>
      <c r="N143" s="1"/>
      <c r="O143" s="1"/>
      <c r="P143" s="1"/>
      <c r="Q143" s="13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31"/>
      <c r="F144" s="131"/>
      <c r="G144" s="131"/>
      <c r="H144" s="1"/>
      <c r="I144" s="1"/>
      <c r="J144" s="1"/>
      <c r="K144" s="1"/>
      <c r="L144" s="1"/>
      <c r="M144" s="1"/>
      <c r="N144" s="1"/>
      <c r="O144" s="1"/>
      <c r="P144" s="1"/>
      <c r="Q144" s="13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31"/>
      <c r="F145" s="131"/>
      <c r="G145" s="131"/>
      <c r="H145" s="1"/>
      <c r="I145" s="1"/>
      <c r="J145" s="1"/>
      <c r="K145" s="1"/>
      <c r="L145" s="1"/>
      <c r="M145" s="1"/>
      <c r="N145" s="1"/>
      <c r="O145" s="1"/>
      <c r="P145" s="1"/>
      <c r="Q145" s="13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31"/>
      <c r="F146" s="131"/>
      <c r="G146" s="131"/>
      <c r="H146" s="1"/>
      <c r="I146" s="1"/>
      <c r="J146" s="1"/>
      <c r="K146" s="1"/>
      <c r="L146" s="1"/>
      <c r="M146" s="1"/>
      <c r="N146" s="1"/>
      <c r="O146" s="1"/>
      <c r="P146" s="1"/>
      <c r="Q146" s="13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31"/>
      <c r="F147" s="131"/>
      <c r="G147" s="131"/>
      <c r="H147" s="1"/>
      <c r="I147" s="1"/>
      <c r="J147" s="1"/>
      <c r="K147" s="1"/>
      <c r="L147" s="1"/>
      <c r="M147" s="1"/>
      <c r="N147" s="1"/>
      <c r="O147" s="1"/>
      <c r="P147" s="1"/>
      <c r="Q147" s="13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31"/>
      <c r="F148" s="131"/>
      <c r="G148" s="131"/>
      <c r="H148" s="1"/>
      <c r="I148" s="1"/>
      <c r="J148" s="1"/>
      <c r="K148" s="1"/>
      <c r="L148" s="1"/>
      <c r="M148" s="1"/>
      <c r="N148" s="1"/>
      <c r="O148" s="1"/>
      <c r="P148" s="1"/>
      <c r="Q148" s="13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31"/>
      <c r="F149" s="131"/>
      <c r="G149" s="131"/>
      <c r="H149" s="1"/>
      <c r="I149" s="1"/>
      <c r="J149" s="1"/>
      <c r="K149" s="1"/>
      <c r="L149" s="1"/>
      <c r="M149" s="1"/>
      <c r="N149" s="1"/>
      <c r="O149" s="1"/>
      <c r="P149" s="1"/>
      <c r="Q149" s="13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31"/>
      <c r="F150" s="131"/>
      <c r="G150" s="131"/>
      <c r="H150" s="1"/>
      <c r="I150" s="1"/>
      <c r="J150" s="1"/>
      <c r="K150" s="1"/>
      <c r="L150" s="1"/>
      <c r="M150" s="1"/>
      <c r="N150" s="1"/>
      <c r="O150" s="1"/>
      <c r="P150" s="1"/>
      <c r="Q150" s="13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31"/>
      <c r="F151" s="131"/>
      <c r="G151" s="131"/>
      <c r="H151" s="1"/>
      <c r="I151" s="1"/>
      <c r="J151" s="1"/>
      <c r="K151" s="1"/>
      <c r="L151" s="1"/>
      <c r="M151" s="1"/>
      <c r="N151" s="1"/>
      <c r="O151" s="1"/>
      <c r="P151" s="1"/>
      <c r="Q151" s="13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31"/>
      <c r="F152" s="131"/>
      <c r="G152" s="131"/>
      <c r="H152" s="1"/>
      <c r="I152" s="1"/>
      <c r="J152" s="1"/>
      <c r="K152" s="1"/>
      <c r="L152" s="1"/>
      <c r="M152" s="1"/>
      <c r="N152" s="1"/>
      <c r="O152" s="1"/>
      <c r="P152" s="1"/>
      <c r="Q152" s="13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31"/>
      <c r="F153" s="131"/>
      <c r="G153" s="131"/>
      <c r="H153" s="1"/>
      <c r="I153" s="1"/>
      <c r="J153" s="1"/>
      <c r="K153" s="1"/>
      <c r="L153" s="1"/>
      <c r="M153" s="1"/>
      <c r="N153" s="1"/>
      <c r="O153" s="1"/>
      <c r="P153" s="1"/>
      <c r="Q153" s="13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31"/>
      <c r="F154" s="131"/>
      <c r="G154" s="131"/>
      <c r="H154" s="1"/>
      <c r="I154" s="1"/>
      <c r="J154" s="1"/>
      <c r="K154" s="1"/>
      <c r="L154" s="1"/>
      <c r="M154" s="1"/>
      <c r="N154" s="1"/>
      <c r="O154" s="1"/>
      <c r="P154" s="1"/>
      <c r="Q154" s="13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31"/>
      <c r="F155" s="131"/>
      <c r="G155" s="131"/>
      <c r="H155" s="1"/>
      <c r="I155" s="1"/>
      <c r="J155" s="1"/>
      <c r="K155" s="1"/>
      <c r="L155" s="1"/>
      <c r="M155" s="1"/>
      <c r="N155" s="1"/>
      <c r="O155" s="1"/>
      <c r="P155" s="1"/>
      <c r="Q155" s="13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31"/>
      <c r="F156" s="131"/>
      <c r="G156" s="131"/>
      <c r="H156" s="1"/>
      <c r="I156" s="1"/>
      <c r="J156" s="1"/>
      <c r="K156" s="1"/>
      <c r="L156" s="1"/>
      <c r="M156" s="1"/>
      <c r="N156" s="1"/>
      <c r="O156" s="1"/>
      <c r="P156" s="1"/>
      <c r="Q156" s="13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31"/>
      <c r="F157" s="131"/>
      <c r="G157" s="131"/>
      <c r="H157" s="1"/>
      <c r="I157" s="1"/>
      <c r="J157" s="1"/>
      <c r="K157" s="1"/>
      <c r="L157" s="1"/>
      <c r="M157" s="1"/>
      <c r="N157" s="1"/>
      <c r="O157" s="1"/>
      <c r="P157" s="1"/>
      <c r="Q157" s="13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31"/>
      <c r="F158" s="131"/>
      <c r="G158" s="131"/>
      <c r="H158" s="1"/>
      <c r="I158" s="1"/>
      <c r="J158" s="1"/>
      <c r="K158" s="1"/>
      <c r="L158" s="1"/>
      <c r="M158" s="1"/>
      <c r="N158" s="1"/>
      <c r="O158" s="1"/>
      <c r="P158" s="1"/>
      <c r="Q158" s="13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31"/>
      <c r="F159" s="131"/>
      <c r="G159" s="131"/>
      <c r="H159" s="1"/>
      <c r="I159" s="1"/>
      <c r="J159" s="1"/>
      <c r="K159" s="1"/>
      <c r="L159" s="1"/>
      <c r="M159" s="1"/>
      <c r="N159" s="1"/>
      <c r="O159" s="1"/>
      <c r="P159" s="1"/>
      <c r="Q159" s="13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31"/>
      <c r="F160" s="131"/>
      <c r="G160" s="131"/>
      <c r="H160" s="1"/>
      <c r="I160" s="1"/>
      <c r="J160" s="1"/>
      <c r="K160" s="1"/>
      <c r="L160" s="1"/>
      <c r="M160" s="1"/>
      <c r="N160" s="1"/>
      <c r="O160" s="1"/>
      <c r="P160" s="1"/>
      <c r="Q160" s="13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31"/>
      <c r="F161" s="131"/>
      <c r="G161" s="131"/>
      <c r="H161" s="1"/>
      <c r="I161" s="1"/>
      <c r="J161" s="1"/>
      <c r="K161" s="1"/>
      <c r="L161" s="1"/>
      <c r="M161" s="1"/>
      <c r="N161" s="1"/>
      <c r="O161" s="1"/>
      <c r="P161" s="1"/>
      <c r="Q161" s="13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31"/>
      <c r="F162" s="131"/>
      <c r="G162" s="131"/>
      <c r="H162" s="1"/>
      <c r="I162" s="1"/>
      <c r="J162" s="1"/>
      <c r="K162" s="1"/>
      <c r="L162" s="1"/>
      <c r="M162" s="1"/>
      <c r="N162" s="1"/>
      <c r="O162" s="1"/>
      <c r="P162" s="1"/>
      <c r="Q162" s="13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31"/>
      <c r="F163" s="131"/>
      <c r="G163" s="131"/>
      <c r="H163" s="1"/>
      <c r="I163" s="1"/>
      <c r="J163" s="1"/>
      <c r="K163" s="1"/>
      <c r="L163" s="1"/>
      <c r="M163" s="1"/>
      <c r="N163" s="1"/>
      <c r="O163" s="1"/>
      <c r="P163" s="1"/>
      <c r="Q163" s="13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31"/>
      <c r="F164" s="131"/>
      <c r="G164" s="131"/>
      <c r="H164" s="1"/>
      <c r="I164" s="1"/>
      <c r="J164" s="1"/>
      <c r="K164" s="1"/>
      <c r="L164" s="1"/>
      <c r="M164" s="1"/>
      <c r="N164" s="1"/>
      <c r="O164" s="1"/>
      <c r="P164" s="1"/>
      <c r="Q164" s="13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31"/>
      <c r="F165" s="131"/>
      <c r="G165" s="131"/>
      <c r="H165" s="1"/>
      <c r="I165" s="1"/>
      <c r="J165" s="1"/>
      <c r="K165" s="1"/>
      <c r="L165" s="1"/>
      <c r="M165" s="1"/>
      <c r="N165" s="1"/>
      <c r="O165" s="1"/>
      <c r="P165" s="1"/>
      <c r="Q165" s="13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31"/>
      <c r="F166" s="131"/>
      <c r="G166" s="131"/>
      <c r="H166" s="1"/>
      <c r="I166" s="1"/>
      <c r="J166" s="1"/>
      <c r="K166" s="1"/>
      <c r="L166" s="1"/>
      <c r="M166" s="1"/>
      <c r="N166" s="1"/>
      <c r="O166" s="1"/>
      <c r="P166" s="1"/>
      <c r="Q166" s="13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31"/>
      <c r="F167" s="131"/>
      <c r="G167" s="131"/>
      <c r="H167" s="1"/>
      <c r="I167" s="1"/>
      <c r="J167" s="1"/>
      <c r="K167" s="1"/>
      <c r="L167" s="1"/>
      <c r="M167" s="1"/>
      <c r="N167" s="1"/>
      <c r="O167" s="1"/>
      <c r="P167" s="1"/>
      <c r="Q167" s="13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31"/>
      <c r="F168" s="131"/>
      <c r="G168" s="131"/>
      <c r="H168" s="1"/>
      <c r="I168" s="1"/>
      <c r="J168" s="1"/>
      <c r="K168" s="1"/>
      <c r="L168" s="1"/>
      <c r="M168" s="1"/>
      <c r="N168" s="1"/>
      <c r="O168" s="1"/>
      <c r="P168" s="1"/>
      <c r="Q168" s="13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31"/>
      <c r="F169" s="131"/>
      <c r="G169" s="131"/>
      <c r="H169" s="1"/>
      <c r="I169" s="1"/>
      <c r="J169" s="1"/>
      <c r="K169" s="1"/>
      <c r="L169" s="1"/>
      <c r="M169" s="1"/>
      <c r="N169" s="1"/>
      <c r="O169" s="1"/>
      <c r="P169" s="1"/>
      <c r="Q169" s="13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31"/>
      <c r="F170" s="131"/>
      <c r="G170" s="131"/>
      <c r="H170" s="1"/>
      <c r="I170" s="1"/>
      <c r="J170" s="1"/>
      <c r="K170" s="1"/>
      <c r="L170" s="1"/>
      <c r="M170" s="1"/>
      <c r="N170" s="1"/>
      <c r="O170" s="1"/>
      <c r="P170" s="1"/>
      <c r="Q170" s="13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31"/>
      <c r="F171" s="131"/>
      <c r="G171" s="131"/>
      <c r="H171" s="1"/>
      <c r="I171" s="1"/>
      <c r="J171" s="1"/>
      <c r="K171" s="1"/>
      <c r="L171" s="1"/>
      <c r="M171" s="1"/>
      <c r="N171" s="1"/>
      <c r="O171" s="1"/>
      <c r="P171" s="1"/>
      <c r="Q171" s="13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31"/>
      <c r="F172" s="131"/>
      <c r="G172" s="131"/>
      <c r="H172" s="1"/>
      <c r="I172" s="1"/>
      <c r="J172" s="1"/>
      <c r="K172" s="1"/>
      <c r="L172" s="1"/>
      <c r="M172" s="1"/>
      <c r="N172" s="1"/>
      <c r="O172" s="1"/>
      <c r="P172" s="1"/>
      <c r="Q172" s="13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31"/>
      <c r="F173" s="131"/>
      <c r="G173" s="131"/>
      <c r="H173" s="1"/>
      <c r="I173" s="1"/>
      <c r="J173" s="1"/>
      <c r="K173" s="1"/>
      <c r="L173" s="1"/>
      <c r="M173" s="1"/>
      <c r="N173" s="1"/>
      <c r="O173" s="1"/>
      <c r="P173" s="1"/>
      <c r="Q173" s="13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31"/>
      <c r="F174" s="131"/>
      <c r="G174" s="131"/>
      <c r="H174" s="1"/>
      <c r="I174" s="1"/>
      <c r="J174" s="1"/>
      <c r="K174" s="1"/>
      <c r="L174" s="1"/>
      <c r="M174" s="1"/>
      <c r="N174" s="1"/>
      <c r="O174" s="1"/>
      <c r="P174" s="1"/>
      <c r="Q174" s="13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31"/>
      <c r="F175" s="131"/>
      <c r="G175" s="131"/>
      <c r="H175" s="1"/>
      <c r="I175" s="1"/>
      <c r="J175" s="1"/>
      <c r="K175" s="1"/>
      <c r="L175" s="1"/>
      <c r="M175" s="1"/>
      <c r="N175" s="1"/>
      <c r="O175" s="1"/>
      <c r="P175" s="1"/>
      <c r="Q175" s="13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31"/>
      <c r="F176" s="131"/>
      <c r="G176" s="131"/>
      <c r="H176" s="1"/>
      <c r="I176" s="1"/>
      <c r="J176" s="1"/>
      <c r="K176" s="1"/>
      <c r="L176" s="1"/>
      <c r="M176" s="1"/>
      <c r="N176" s="1"/>
      <c r="O176" s="1"/>
      <c r="P176" s="1"/>
      <c r="Q176" s="13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31"/>
      <c r="F177" s="131"/>
      <c r="G177" s="131"/>
      <c r="H177" s="1"/>
      <c r="I177" s="1"/>
      <c r="J177" s="1"/>
      <c r="K177" s="1"/>
      <c r="L177" s="1"/>
      <c r="M177" s="1"/>
      <c r="N177" s="1"/>
      <c r="O177" s="1"/>
      <c r="P177" s="1"/>
      <c r="Q177" s="13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31"/>
      <c r="F178" s="131"/>
      <c r="G178" s="131"/>
      <c r="H178" s="1"/>
      <c r="I178" s="1"/>
      <c r="J178" s="1"/>
      <c r="K178" s="1"/>
      <c r="L178" s="1"/>
      <c r="M178" s="1"/>
      <c r="N178" s="1"/>
      <c r="O178" s="1"/>
      <c r="P178" s="1"/>
      <c r="Q178" s="13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31"/>
      <c r="F179" s="131"/>
      <c r="G179" s="131"/>
      <c r="H179" s="1"/>
      <c r="I179" s="1"/>
      <c r="J179" s="1"/>
      <c r="K179" s="1"/>
      <c r="L179" s="1"/>
      <c r="M179" s="1"/>
      <c r="N179" s="1"/>
      <c r="O179" s="1"/>
      <c r="P179" s="1"/>
      <c r="Q179" s="13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31"/>
      <c r="F180" s="131"/>
      <c r="G180" s="131"/>
      <c r="H180" s="1"/>
      <c r="I180" s="1"/>
      <c r="J180" s="1"/>
      <c r="K180" s="1"/>
      <c r="L180" s="1"/>
      <c r="M180" s="1"/>
      <c r="N180" s="1"/>
      <c r="O180" s="1"/>
      <c r="P180" s="1"/>
      <c r="Q180" s="13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31"/>
      <c r="F181" s="131"/>
      <c r="G181" s="131"/>
      <c r="H181" s="1"/>
      <c r="I181" s="1"/>
      <c r="J181" s="1"/>
      <c r="K181" s="1"/>
      <c r="L181" s="1"/>
      <c r="M181" s="1"/>
      <c r="N181" s="1"/>
      <c r="O181" s="1"/>
      <c r="P181" s="1"/>
      <c r="Q181" s="13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31"/>
      <c r="F182" s="131"/>
      <c r="G182" s="131"/>
      <c r="H182" s="1"/>
      <c r="I182" s="1"/>
      <c r="J182" s="1"/>
      <c r="K182" s="1"/>
      <c r="L182" s="1"/>
      <c r="M182" s="1"/>
      <c r="N182" s="1"/>
      <c r="O182" s="1"/>
      <c r="P182" s="1"/>
      <c r="Q182" s="13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31"/>
      <c r="F183" s="131"/>
      <c r="G183" s="131"/>
      <c r="H183" s="1"/>
      <c r="I183" s="1"/>
      <c r="J183" s="1"/>
      <c r="K183" s="1"/>
      <c r="L183" s="1"/>
      <c r="M183" s="1"/>
      <c r="N183" s="1"/>
      <c r="O183" s="1"/>
      <c r="P183" s="1"/>
      <c r="Q183" s="13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31"/>
      <c r="F184" s="131"/>
      <c r="G184" s="131"/>
      <c r="H184" s="1"/>
      <c r="I184" s="1"/>
      <c r="J184" s="1"/>
      <c r="K184" s="1"/>
      <c r="L184" s="1"/>
      <c r="M184" s="1"/>
      <c r="N184" s="1"/>
      <c r="O184" s="1"/>
      <c r="P184" s="1"/>
      <c r="Q184" s="13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31"/>
      <c r="F185" s="131"/>
      <c r="G185" s="131"/>
      <c r="H185" s="1"/>
      <c r="I185" s="1"/>
      <c r="J185" s="1"/>
      <c r="K185" s="1"/>
      <c r="L185" s="1"/>
      <c r="M185" s="1"/>
      <c r="N185" s="1"/>
      <c r="O185" s="1"/>
      <c r="P185" s="1"/>
      <c r="Q185" s="13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31"/>
      <c r="F186" s="131"/>
      <c r="G186" s="131"/>
      <c r="H186" s="1"/>
      <c r="I186" s="1"/>
      <c r="J186" s="1"/>
      <c r="K186" s="1"/>
      <c r="L186" s="1"/>
      <c r="M186" s="1"/>
      <c r="N186" s="1"/>
      <c r="O186" s="1"/>
      <c r="P186" s="1"/>
      <c r="Q186" s="13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31"/>
      <c r="F187" s="131"/>
      <c r="G187" s="131"/>
      <c r="H187" s="1"/>
      <c r="I187" s="1"/>
      <c r="J187" s="1"/>
      <c r="K187" s="1"/>
      <c r="L187" s="1"/>
      <c r="M187" s="1"/>
      <c r="N187" s="1"/>
      <c r="O187" s="1"/>
      <c r="P187" s="1"/>
      <c r="Q187" s="13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31"/>
      <c r="F188" s="131"/>
      <c r="G188" s="131"/>
      <c r="H188" s="1"/>
      <c r="I188" s="1"/>
      <c r="J188" s="1"/>
      <c r="K188" s="1"/>
      <c r="L188" s="1"/>
      <c r="M188" s="1"/>
      <c r="N188" s="1"/>
      <c r="O188" s="1"/>
      <c r="P188" s="1"/>
      <c r="Q188" s="13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31"/>
      <c r="F189" s="131"/>
      <c r="G189" s="131"/>
      <c r="H189" s="1"/>
      <c r="I189" s="1"/>
      <c r="J189" s="1"/>
      <c r="K189" s="1"/>
      <c r="L189" s="1"/>
      <c r="M189" s="1"/>
      <c r="N189" s="1"/>
      <c r="O189" s="1"/>
      <c r="P189" s="1"/>
      <c r="Q189" s="13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31"/>
      <c r="F190" s="131"/>
      <c r="G190" s="131"/>
      <c r="H190" s="1"/>
      <c r="I190" s="1"/>
      <c r="J190" s="1"/>
      <c r="K190" s="1"/>
      <c r="L190" s="1"/>
      <c r="M190" s="1"/>
      <c r="N190" s="1"/>
      <c r="O190" s="1"/>
      <c r="P190" s="1"/>
      <c r="Q190" s="13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31"/>
      <c r="F191" s="131"/>
      <c r="G191" s="131"/>
      <c r="H191" s="1"/>
      <c r="I191" s="1"/>
      <c r="J191" s="1"/>
      <c r="K191" s="1"/>
      <c r="L191" s="1"/>
      <c r="M191" s="1"/>
      <c r="N191" s="1"/>
      <c r="O191" s="1"/>
      <c r="P191" s="1"/>
      <c r="Q191" s="13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31"/>
      <c r="F192" s="131"/>
      <c r="G192" s="131"/>
      <c r="H192" s="1"/>
      <c r="I192" s="1"/>
      <c r="J192" s="1"/>
      <c r="K192" s="1"/>
      <c r="L192" s="1"/>
      <c r="M192" s="1"/>
      <c r="N192" s="1"/>
      <c r="O192" s="1"/>
      <c r="P192" s="1"/>
      <c r="Q192" s="13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31"/>
      <c r="F193" s="131"/>
      <c r="G193" s="131"/>
      <c r="H193" s="1"/>
      <c r="I193" s="1"/>
      <c r="J193" s="1"/>
      <c r="K193" s="1"/>
      <c r="L193" s="1"/>
      <c r="M193" s="1"/>
      <c r="N193" s="1"/>
      <c r="O193" s="1"/>
      <c r="P193" s="1"/>
      <c r="Q193" s="13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31"/>
      <c r="F194" s="131"/>
      <c r="G194" s="131"/>
      <c r="H194" s="1"/>
      <c r="I194" s="1"/>
      <c r="J194" s="1"/>
      <c r="K194" s="1"/>
      <c r="L194" s="1"/>
      <c r="M194" s="1"/>
      <c r="N194" s="1"/>
      <c r="O194" s="1"/>
      <c r="P194" s="1"/>
      <c r="Q194" s="13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31"/>
      <c r="F195" s="131"/>
      <c r="G195" s="131"/>
      <c r="H195" s="1"/>
      <c r="I195" s="1"/>
      <c r="J195" s="1"/>
      <c r="K195" s="1"/>
      <c r="L195" s="1"/>
      <c r="M195" s="1"/>
      <c r="N195" s="1"/>
      <c r="O195" s="1"/>
      <c r="P195" s="1"/>
      <c r="Q195" s="13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31"/>
      <c r="F196" s="131"/>
      <c r="G196" s="131"/>
      <c r="H196" s="1"/>
      <c r="I196" s="1"/>
      <c r="J196" s="1"/>
      <c r="K196" s="1"/>
      <c r="L196" s="1"/>
      <c r="M196" s="1"/>
      <c r="N196" s="1"/>
      <c r="O196" s="1"/>
      <c r="P196" s="1"/>
      <c r="Q196" s="13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31"/>
      <c r="F197" s="131"/>
      <c r="G197" s="131"/>
      <c r="H197" s="1"/>
      <c r="I197" s="1"/>
      <c r="J197" s="1"/>
      <c r="K197" s="1"/>
      <c r="L197" s="1"/>
      <c r="M197" s="1"/>
      <c r="N197" s="1"/>
      <c r="O197" s="1"/>
      <c r="P197" s="1"/>
      <c r="Q197" s="13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31"/>
      <c r="F198" s="131"/>
      <c r="G198" s="131"/>
      <c r="H198" s="1"/>
      <c r="I198" s="1"/>
      <c r="J198" s="1"/>
      <c r="K198" s="1"/>
      <c r="L198" s="1"/>
      <c r="M198" s="1"/>
      <c r="N198" s="1"/>
      <c r="O198" s="1"/>
      <c r="P198" s="1"/>
      <c r="Q198" s="13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31"/>
      <c r="F199" s="131"/>
      <c r="G199" s="131"/>
      <c r="H199" s="1"/>
      <c r="I199" s="1"/>
      <c r="J199" s="1"/>
      <c r="K199" s="1"/>
      <c r="L199" s="1"/>
      <c r="M199" s="1"/>
      <c r="N199" s="1"/>
      <c r="O199" s="1"/>
      <c r="P199" s="1"/>
      <c r="Q199" s="13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31"/>
      <c r="F200" s="131"/>
      <c r="G200" s="131"/>
      <c r="H200" s="1"/>
      <c r="I200" s="1"/>
      <c r="J200" s="1"/>
      <c r="K200" s="1"/>
      <c r="L200" s="1"/>
      <c r="M200" s="1"/>
      <c r="N200" s="1"/>
      <c r="O200" s="1"/>
      <c r="P200" s="1"/>
      <c r="Q200" s="13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31"/>
      <c r="F201" s="131"/>
      <c r="G201" s="131"/>
      <c r="H201" s="1"/>
      <c r="I201" s="1"/>
      <c r="J201" s="1"/>
      <c r="K201" s="1"/>
      <c r="L201" s="1"/>
      <c r="M201" s="1"/>
      <c r="N201" s="1"/>
      <c r="O201" s="1"/>
      <c r="P201" s="1"/>
      <c r="Q201" s="13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31"/>
      <c r="F202" s="131"/>
      <c r="G202" s="131"/>
      <c r="H202" s="1"/>
      <c r="I202" s="1"/>
      <c r="J202" s="1"/>
      <c r="K202" s="1"/>
      <c r="L202" s="1"/>
      <c r="M202" s="1"/>
      <c r="N202" s="1"/>
      <c r="O202" s="1"/>
      <c r="P202" s="1"/>
      <c r="Q202" s="13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31"/>
      <c r="F203" s="131"/>
      <c r="G203" s="131"/>
      <c r="H203" s="1"/>
      <c r="I203" s="1"/>
      <c r="J203" s="1"/>
      <c r="K203" s="1"/>
      <c r="L203" s="1"/>
      <c r="M203" s="1"/>
      <c r="N203" s="1"/>
      <c r="O203" s="1"/>
      <c r="P203" s="1"/>
      <c r="Q203" s="13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31"/>
      <c r="F204" s="131"/>
      <c r="G204" s="131"/>
      <c r="H204" s="1"/>
      <c r="I204" s="1"/>
      <c r="J204" s="1"/>
      <c r="K204" s="1"/>
      <c r="L204" s="1"/>
      <c r="M204" s="1"/>
      <c r="N204" s="1"/>
      <c r="O204" s="1"/>
      <c r="P204" s="1"/>
      <c r="Q204" s="13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31"/>
      <c r="F205" s="131"/>
      <c r="G205" s="131"/>
      <c r="H205" s="1"/>
      <c r="I205" s="1"/>
      <c r="J205" s="1"/>
      <c r="K205" s="1"/>
      <c r="L205" s="1"/>
      <c r="M205" s="1"/>
      <c r="N205" s="1"/>
      <c r="O205" s="1"/>
      <c r="P205" s="1"/>
      <c r="Q205" s="13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31"/>
      <c r="F206" s="131"/>
      <c r="G206" s="131"/>
      <c r="H206" s="1"/>
      <c r="I206" s="1"/>
      <c r="J206" s="1"/>
      <c r="K206" s="1"/>
      <c r="L206" s="1"/>
      <c r="M206" s="1"/>
      <c r="N206" s="1"/>
      <c r="O206" s="1"/>
      <c r="P206" s="1"/>
      <c r="Q206" s="13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31"/>
      <c r="F207" s="131"/>
      <c r="G207" s="131"/>
      <c r="H207" s="1"/>
      <c r="I207" s="1"/>
      <c r="J207" s="1"/>
      <c r="K207" s="1"/>
      <c r="L207" s="1"/>
      <c r="M207" s="1"/>
      <c r="N207" s="1"/>
      <c r="O207" s="1"/>
      <c r="P207" s="1"/>
      <c r="Q207" s="13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31"/>
      <c r="F208" s="131"/>
      <c r="G208" s="131"/>
      <c r="H208" s="1"/>
      <c r="I208" s="1"/>
      <c r="J208" s="1"/>
      <c r="K208" s="1"/>
      <c r="L208" s="1"/>
      <c r="M208" s="1"/>
      <c r="N208" s="1"/>
      <c r="O208" s="1"/>
      <c r="P208" s="1"/>
      <c r="Q208" s="13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31"/>
      <c r="F209" s="131"/>
      <c r="G209" s="131"/>
      <c r="H209" s="1"/>
      <c r="I209" s="1"/>
      <c r="J209" s="1"/>
      <c r="K209" s="1"/>
      <c r="L209" s="1"/>
      <c r="M209" s="1"/>
      <c r="N209" s="1"/>
      <c r="O209" s="1"/>
      <c r="P209" s="1"/>
      <c r="Q209" s="13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31"/>
      <c r="F210" s="131"/>
      <c r="G210" s="131"/>
      <c r="H210" s="1"/>
      <c r="I210" s="1"/>
      <c r="J210" s="1"/>
      <c r="K210" s="1"/>
      <c r="L210" s="1"/>
      <c r="M210" s="1"/>
      <c r="N210" s="1"/>
      <c r="O210" s="1"/>
      <c r="P210" s="1"/>
      <c r="Q210" s="13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31"/>
      <c r="F211" s="131"/>
      <c r="G211" s="131"/>
      <c r="H211" s="1"/>
      <c r="I211" s="1"/>
      <c r="J211" s="1"/>
      <c r="K211" s="1"/>
      <c r="L211" s="1"/>
      <c r="M211" s="1"/>
      <c r="N211" s="1"/>
      <c r="O211" s="1"/>
      <c r="P211" s="1"/>
      <c r="Q211" s="13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31"/>
      <c r="F212" s="131"/>
      <c r="G212" s="131"/>
      <c r="H212" s="1"/>
      <c r="I212" s="1"/>
      <c r="J212" s="1"/>
      <c r="K212" s="1"/>
      <c r="L212" s="1"/>
      <c r="M212" s="1"/>
      <c r="N212" s="1"/>
      <c r="O212" s="1"/>
      <c r="P212" s="1"/>
      <c r="Q212" s="13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31"/>
      <c r="F213" s="131"/>
      <c r="G213" s="131"/>
      <c r="H213" s="1"/>
      <c r="I213" s="1"/>
      <c r="J213" s="1"/>
      <c r="K213" s="1"/>
      <c r="L213" s="1"/>
      <c r="M213" s="1"/>
      <c r="N213" s="1"/>
      <c r="O213" s="1"/>
      <c r="P213" s="1"/>
      <c r="Q213" s="13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31"/>
      <c r="F214" s="131"/>
      <c r="G214" s="131"/>
      <c r="H214" s="1"/>
      <c r="I214" s="1"/>
      <c r="J214" s="1"/>
      <c r="K214" s="1"/>
      <c r="L214" s="1"/>
      <c r="M214" s="1"/>
      <c r="N214" s="1"/>
      <c r="O214" s="1"/>
      <c r="P214" s="1"/>
      <c r="Q214" s="13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31"/>
      <c r="F215" s="131"/>
      <c r="G215" s="131"/>
      <c r="H215" s="1"/>
      <c r="I215" s="1"/>
      <c r="J215" s="1"/>
      <c r="K215" s="1"/>
      <c r="L215" s="1"/>
      <c r="M215" s="1"/>
      <c r="N215" s="1"/>
      <c r="O215" s="1"/>
      <c r="P215" s="1"/>
      <c r="Q215" s="13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31"/>
      <c r="F216" s="131"/>
      <c r="G216" s="131"/>
      <c r="H216" s="1"/>
      <c r="I216" s="1"/>
      <c r="J216" s="1"/>
      <c r="K216" s="1"/>
      <c r="L216" s="1"/>
      <c r="M216" s="1"/>
      <c r="N216" s="1"/>
      <c r="O216" s="1"/>
      <c r="P216" s="1"/>
      <c r="Q216" s="13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31"/>
      <c r="F217" s="131"/>
      <c r="G217" s="131"/>
      <c r="H217" s="1"/>
      <c r="I217" s="1"/>
      <c r="J217" s="1"/>
      <c r="K217" s="1"/>
      <c r="L217" s="1"/>
      <c r="M217" s="1"/>
      <c r="N217" s="1"/>
      <c r="O217" s="1"/>
      <c r="P217" s="1"/>
      <c r="Q217" s="13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31"/>
      <c r="F218" s="131"/>
      <c r="G218" s="131"/>
      <c r="H218" s="1"/>
      <c r="I218" s="1"/>
      <c r="J218" s="1"/>
      <c r="K218" s="1"/>
      <c r="L218" s="1"/>
      <c r="M218" s="1"/>
      <c r="N218" s="1"/>
      <c r="O218" s="1"/>
      <c r="P218" s="1"/>
      <c r="Q218" s="13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31"/>
      <c r="F219" s="131"/>
      <c r="G219" s="131"/>
      <c r="H219" s="1"/>
      <c r="I219" s="1"/>
      <c r="J219" s="1"/>
      <c r="K219" s="1"/>
      <c r="L219" s="1"/>
      <c r="M219" s="1"/>
      <c r="N219" s="1"/>
      <c r="O219" s="1"/>
      <c r="P219" s="1"/>
      <c r="Q219" s="13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31"/>
      <c r="F220" s="131"/>
      <c r="G220" s="131"/>
      <c r="H220" s="1"/>
      <c r="I220" s="1"/>
      <c r="J220" s="1"/>
      <c r="K220" s="1"/>
      <c r="L220" s="1"/>
      <c r="M220" s="1"/>
      <c r="N220" s="1"/>
      <c r="O220" s="1"/>
      <c r="P220" s="1"/>
      <c r="Q220" s="13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31"/>
      <c r="F221" s="131"/>
      <c r="G221" s="131"/>
      <c r="H221" s="1"/>
      <c r="I221" s="1"/>
      <c r="J221" s="1"/>
      <c r="K221" s="1"/>
      <c r="L221" s="1"/>
      <c r="M221" s="1"/>
      <c r="N221" s="1"/>
      <c r="O221" s="1"/>
      <c r="P221" s="1"/>
      <c r="Q221" s="13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31"/>
      <c r="F222" s="131"/>
      <c r="G222" s="131"/>
      <c r="H222" s="1"/>
      <c r="I222" s="1"/>
      <c r="J222" s="1"/>
      <c r="K222" s="1"/>
      <c r="L222" s="1"/>
      <c r="M222" s="1"/>
      <c r="N222" s="1"/>
      <c r="O222" s="1"/>
      <c r="P222" s="1"/>
      <c r="Q222" s="13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31"/>
      <c r="F223" s="131"/>
      <c r="G223" s="131"/>
      <c r="H223" s="1"/>
      <c r="I223" s="1"/>
      <c r="J223" s="1"/>
      <c r="K223" s="1"/>
      <c r="L223" s="1"/>
      <c r="M223" s="1"/>
      <c r="N223" s="1"/>
      <c r="O223" s="1"/>
      <c r="P223" s="1"/>
      <c r="Q223" s="13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31"/>
      <c r="F224" s="131"/>
      <c r="G224" s="131"/>
      <c r="H224" s="1"/>
      <c r="I224" s="1"/>
      <c r="J224" s="1"/>
      <c r="K224" s="1"/>
      <c r="L224" s="1"/>
      <c r="M224" s="1"/>
      <c r="N224" s="1"/>
      <c r="O224" s="1"/>
      <c r="P224" s="1"/>
      <c r="Q224" s="13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31"/>
      <c r="F225" s="131"/>
      <c r="G225" s="131"/>
      <c r="H225" s="1"/>
      <c r="I225" s="1"/>
      <c r="J225" s="1"/>
      <c r="K225" s="1"/>
      <c r="L225" s="1"/>
      <c r="M225" s="1"/>
      <c r="N225" s="1"/>
      <c r="O225" s="1"/>
      <c r="P225" s="1"/>
      <c r="Q225" s="13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31"/>
      <c r="F226" s="131"/>
      <c r="G226" s="131"/>
      <c r="H226" s="1"/>
      <c r="I226" s="1"/>
      <c r="J226" s="1"/>
      <c r="K226" s="1"/>
      <c r="L226" s="1"/>
      <c r="M226" s="1"/>
      <c r="N226" s="1"/>
      <c r="O226" s="1"/>
      <c r="P226" s="1"/>
      <c r="Q226" s="13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31"/>
      <c r="F227" s="131"/>
      <c r="G227" s="131"/>
      <c r="H227" s="1"/>
      <c r="I227" s="1"/>
      <c r="J227" s="1"/>
      <c r="K227" s="1"/>
      <c r="L227" s="1"/>
      <c r="M227" s="1"/>
      <c r="N227" s="1"/>
      <c r="O227" s="1"/>
      <c r="P227" s="1"/>
      <c r="Q227" s="13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31"/>
      <c r="F228" s="131"/>
      <c r="G228" s="131"/>
      <c r="H228" s="1"/>
      <c r="I228" s="1"/>
      <c r="J228" s="1"/>
      <c r="K228" s="1"/>
      <c r="L228" s="1"/>
      <c r="M228" s="1"/>
      <c r="N228" s="1"/>
      <c r="O228" s="1"/>
      <c r="P228" s="1"/>
      <c r="Q228" s="13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31"/>
      <c r="F229" s="131"/>
      <c r="G229" s="131"/>
      <c r="H229" s="1"/>
      <c r="I229" s="1"/>
      <c r="J229" s="1"/>
      <c r="K229" s="1"/>
      <c r="L229" s="1"/>
      <c r="M229" s="1"/>
      <c r="N229" s="1"/>
      <c r="O229" s="1"/>
      <c r="P229" s="1"/>
      <c r="Q229" s="13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31"/>
      <c r="F230" s="131"/>
      <c r="G230" s="131"/>
      <c r="H230" s="1"/>
      <c r="I230" s="1"/>
      <c r="J230" s="1"/>
      <c r="K230" s="1"/>
      <c r="L230" s="1"/>
      <c r="M230" s="1"/>
      <c r="N230" s="1"/>
      <c r="O230" s="1"/>
      <c r="P230" s="1"/>
      <c r="Q230" s="13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31"/>
      <c r="F231" s="131"/>
      <c r="G231" s="131"/>
      <c r="H231" s="1"/>
      <c r="I231" s="1"/>
      <c r="J231" s="1"/>
      <c r="K231" s="1"/>
      <c r="L231" s="1"/>
      <c r="M231" s="1"/>
      <c r="N231" s="1"/>
      <c r="O231" s="1"/>
      <c r="P231" s="1"/>
      <c r="Q231" s="13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31"/>
      <c r="F232" s="131"/>
      <c r="G232" s="131"/>
      <c r="H232" s="1"/>
      <c r="I232" s="1"/>
      <c r="J232" s="1"/>
      <c r="K232" s="1"/>
      <c r="L232" s="1"/>
      <c r="M232" s="1"/>
      <c r="N232" s="1"/>
      <c r="O232" s="1"/>
      <c r="P232" s="1"/>
      <c r="Q232" s="13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31"/>
      <c r="F233" s="131"/>
      <c r="G233" s="131"/>
      <c r="H233" s="1"/>
      <c r="I233" s="1"/>
      <c r="J233" s="1"/>
      <c r="K233" s="1"/>
      <c r="L233" s="1"/>
      <c r="M233" s="1"/>
      <c r="N233" s="1"/>
      <c r="O233" s="1"/>
      <c r="P233" s="1"/>
      <c r="Q233" s="13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31"/>
      <c r="F234" s="131"/>
      <c r="G234" s="131"/>
      <c r="H234" s="1"/>
      <c r="I234" s="1"/>
      <c r="J234" s="1"/>
      <c r="K234" s="1"/>
      <c r="L234" s="1"/>
      <c r="M234" s="1"/>
      <c r="N234" s="1"/>
      <c r="O234" s="1"/>
      <c r="P234" s="1"/>
      <c r="Q234" s="13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31"/>
      <c r="F235" s="131"/>
      <c r="G235" s="131"/>
      <c r="H235" s="1"/>
      <c r="I235" s="1"/>
      <c r="J235" s="1"/>
      <c r="K235" s="1"/>
      <c r="L235" s="1"/>
      <c r="M235" s="1"/>
      <c r="N235" s="1"/>
      <c r="O235" s="1"/>
      <c r="P235" s="1"/>
      <c r="Q235" s="13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31"/>
      <c r="F236" s="131"/>
      <c r="G236" s="131"/>
      <c r="H236" s="1"/>
      <c r="I236" s="1"/>
      <c r="J236" s="1"/>
      <c r="K236" s="1"/>
      <c r="L236" s="1"/>
      <c r="M236" s="1"/>
      <c r="N236" s="1"/>
      <c r="O236" s="1"/>
      <c r="P236" s="1"/>
      <c r="Q236" s="13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31"/>
      <c r="F237" s="131"/>
      <c r="G237" s="131"/>
      <c r="H237" s="1"/>
      <c r="I237" s="1"/>
      <c r="J237" s="1"/>
      <c r="K237" s="1"/>
      <c r="L237" s="1"/>
      <c r="M237" s="1"/>
      <c r="N237" s="1"/>
      <c r="O237" s="1"/>
      <c r="P237" s="1"/>
      <c r="Q237" s="13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31"/>
      <c r="F238" s="131"/>
      <c r="G238" s="131"/>
      <c r="H238" s="1"/>
      <c r="I238" s="1"/>
      <c r="J238" s="1"/>
      <c r="K238" s="1"/>
      <c r="L238" s="1"/>
      <c r="M238" s="1"/>
      <c r="N238" s="1"/>
      <c r="O238" s="1"/>
      <c r="P238" s="1"/>
      <c r="Q238" s="13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31"/>
      <c r="F239" s="131"/>
      <c r="G239" s="131"/>
      <c r="H239" s="1"/>
      <c r="I239" s="1"/>
      <c r="J239" s="1"/>
      <c r="K239" s="1"/>
      <c r="L239" s="1"/>
      <c r="M239" s="1"/>
      <c r="N239" s="1"/>
      <c r="O239" s="1"/>
      <c r="P239" s="1"/>
      <c r="Q239" s="13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31"/>
      <c r="F240" s="131"/>
      <c r="G240" s="131"/>
      <c r="H240" s="1"/>
      <c r="I240" s="1"/>
      <c r="J240" s="1"/>
      <c r="K240" s="1"/>
      <c r="L240" s="1"/>
      <c r="M240" s="1"/>
      <c r="N240" s="1"/>
      <c r="O240" s="1"/>
      <c r="P240" s="1"/>
      <c r="Q240" s="13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31"/>
      <c r="F241" s="131"/>
      <c r="G241" s="131"/>
      <c r="H241" s="1"/>
      <c r="I241" s="1"/>
      <c r="J241" s="1"/>
      <c r="K241" s="1"/>
      <c r="L241" s="1"/>
      <c r="M241" s="1"/>
      <c r="N241" s="1"/>
      <c r="O241" s="1"/>
      <c r="P241" s="1"/>
      <c r="Q241" s="13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31"/>
      <c r="F242" s="131"/>
      <c r="G242" s="131"/>
      <c r="H242" s="1"/>
      <c r="I242" s="1"/>
      <c r="J242" s="1"/>
      <c r="K242" s="1"/>
      <c r="L242" s="1"/>
      <c r="M242" s="1"/>
      <c r="N242" s="1"/>
      <c r="O242" s="1"/>
      <c r="P242" s="1"/>
      <c r="Q242" s="13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31"/>
      <c r="F243" s="131"/>
      <c r="G243" s="131"/>
      <c r="H243" s="1"/>
      <c r="I243" s="1"/>
      <c r="J243" s="1"/>
      <c r="K243" s="1"/>
      <c r="L243" s="1"/>
      <c r="M243" s="1"/>
      <c r="N243" s="1"/>
      <c r="O243" s="1"/>
      <c r="P243" s="1"/>
      <c r="Q243" s="13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31"/>
      <c r="F244" s="131"/>
      <c r="G244" s="131"/>
      <c r="H244" s="1"/>
      <c r="I244" s="1"/>
      <c r="J244" s="1"/>
      <c r="K244" s="1"/>
      <c r="L244" s="1"/>
      <c r="M244" s="1"/>
      <c r="N244" s="1"/>
      <c r="O244" s="1"/>
      <c r="P244" s="1"/>
      <c r="Q244" s="13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31"/>
      <c r="F245" s="131"/>
      <c r="G245" s="131"/>
      <c r="H245" s="1"/>
      <c r="I245" s="1"/>
      <c r="J245" s="1"/>
      <c r="K245" s="1"/>
      <c r="L245" s="1"/>
      <c r="M245" s="1"/>
      <c r="N245" s="1"/>
      <c r="O245" s="1"/>
      <c r="P245" s="1"/>
      <c r="Q245" s="13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31"/>
      <c r="F246" s="131"/>
      <c r="G246" s="131"/>
      <c r="H246" s="1"/>
      <c r="I246" s="1"/>
      <c r="J246" s="1"/>
      <c r="K246" s="1"/>
      <c r="L246" s="1"/>
      <c r="M246" s="1"/>
      <c r="N246" s="1"/>
      <c r="O246" s="1"/>
      <c r="P246" s="1"/>
      <c r="Q246" s="13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31"/>
      <c r="F247" s="131"/>
      <c r="G247" s="131"/>
      <c r="H247" s="1"/>
      <c r="I247" s="1"/>
      <c r="J247" s="1"/>
      <c r="K247" s="1"/>
      <c r="L247" s="1"/>
      <c r="M247" s="1"/>
      <c r="N247" s="1"/>
      <c r="O247" s="1"/>
      <c r="P247" s="1"/>
      <c r="Q247" s="13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31"/>
      <c r="F248" s="131"/>
      <c r="G248" s="131"/>
      <c r="H248" s="1"/>
      <c r="I248" s="1"/>
      <c r="J248" s="1"/>
      <c r="K248" s="1"/>
      <c r="L248" s="1"/>
      <c r="M248" s="1"/>
      <c r="N248" s="1"/>
      <c r="O248" s="1"/>
      <c r="P248" s="1"/>
      <c r="Q248" s="13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31"/>
      <c r="F249" s="131"/>
      <c r="G249" s="131"/>
      <c r="H249" s="1"/>
      <c r="I249" s="1"/>
      <c r="J249" s="1"/>
      <c r="K249" s="1"/>
      <c r="L249" s="1"/>
      <c r="M249" s="1"/>
      <c r="N249" s="1"/>
      <c r="O249" s="1"/>
      <c r="P249" s="1"/>
      <c r="Q249" s="13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31"/>
      <c r="F250" s="131"/>
      <c r="G250" s="131"/>
      <c r="H250" s="1"/>
      <c r="I250" s="1"/>
      <c r="J250" s="1"/>
      <c r="K250" s="1"/>
      <c r="L250" s="1"/>
      <c r="M250" s="1"/>
      <c r="N250" s="1"/>
      <c r="O250" s="1"/>
      <c r="P250" s="1"/>
      <c r="Q250" s="13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31"/>
      <c r="F251" s="131"/>
      <c r="G251" s="131"/>
      <c r="H251" s="1"/>
      <c r="I251" s="1"/>
      <c r="J251" s="1"/>
      <c r="K251" s="1"/>
      <c r="L251" s="1"/>
      <c r="M251" s="1"/>
      <c r="N251" s="1"/>
      <c r="O251" s="1"/>
      <c r="P251" s="1"/>
      <c r="Q251" s="13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31"/>
      <c r="F252" s="131"/>
      <c r="G252" s="131"/>
      <c r="H252" s="1"/>
      <c r="I252" s="1"/>
      <c r="J252" s="1"/>
      <c r="K252" s="1"/>
      <c r="L252" s="1"/>
      <c r="M252" s="1"/>
      <c r="N252" s="1"/>
      <c r="O252" s="1"/>
      <c r="P252" s="1"/>
      <c r="Q252" s="13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31"/>
      <c r="F253" s="131"/>
      <c r="G253" s="131"/>
      <c r="H253" s="1"/>
      <c r="I253" s="1"/>
      <c r="J253" s="1"/>
      <c r="K253" s="1"/>
      <c r="L253" s="1"/>
      <c r="M253" s="1"/>
      <c r="N253" s="1"/>
      <c r="O253" s="1"/>
      <c r="P253" s="1"/>
      <c r="Q253" s="13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31"/>
      <c r="F254" s="131"/>
      <c r="G254" s="131"/>
      <c r="H254" s="1"/>
      <c r="I254" s="1"/>
      <c r="J254" s="1"/>
      <c r="K254" s="1"/>
      <c r="L254" s="1"/>
      <c r="M254" s="1"/>
      <c r="N254" s="1"/>
      <c r="O254" s="1"/>
      <c r="P254" s="1"/>
      <c r="Q254" s="13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31"/>
      <c r="F255" s="131"/>
      <c r="G255" s="131"/>
      <c r="H255" s="1"/>
      <c r="I255" s="1"/>
      <c r="J255" s="1"/>
      <c r="K255" s="1"/>
      <c r="L255" s="1"/>
      <c r="M255" s="1"/>
      <c r="N255" s="1"/>
      <c r="O255" s="1"/>
      <c r="P255" s="1"/>
      <c r="Q255" s="13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31"/>
      <c r="F256" s="131"/>
      <c r="G256" s="131"/>
      <c r="H256" s="1"/>
      <c r="I256" s="1"/>
      <c r="J256" s="1"/>
      <c r="K256" s="1"/>
      <c r="L256" s="1"/>
      <c r="M256" s="1"/>
      <c r="N256" s="1"/>
      <c r="O256" s="1"/>
      <c r="P256" s="1"/>
      <c r="Q256" s="13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31"/>
      <c r="F257" s="131"/>
      <c r="G257" s="131"/>
      <c r="H257" s="1"/>
      <c r="I257" s="1"/>
      <c r="J257" s="1"/>
      <c r="K257" s="1"/>
      <c r="L257" s="1"/>
      <c r="M257" s="1"/>
      <c r="N257" s="1"/>
      <c r="O257" s="1"/>
      <c r="P257" s="1"/>
      <c r="Q257" s="13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31"/>
      <c r="F258" s="131"/>
      <c r="G258" s="131"/>
      <c r="H258" s="1"/>
      <c r="I258" s="1"/>
      <c r="J258" s="1"/>
      <c r="K258" s="1"/>
      <c r="L258" s="1"/>
      <c r="M258" s="1"/>
      <c r="N258" s="1"/>
      <c r="O258" s="1"/>
      <c r="P258" s="1"/>
      <c r="Q258" s="13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31"/>
      <c r="F259" s="131"/>
      <c r="G259" s="131"/>
      <c r="H259" s="1"/>
      <c r="I259" s="1"/>
      <c r="J259" s="1"/>
      <c r="K259" s="1"/>
      <c r="L259" s="1"/>
      <c r="M259" s="1"/>
      <c r="N259" s="1"/>
      <c r="O259" s="1"/>
      <c r="P259" s="1"/>
      <c r="Q259" s="13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31"/>
      <c r="F260" s="131"/>
      <c r="G260" s="131"/>
      <c r="H260" s="1"/>
      <c r="I260" s="1"/>
      <c r="J260" s="1"/>
      <c r="K260" s="1"/>
      <c r="L260" s="1"/>
      <c r="M260" s="1"/>
      <c r="N260" s="1"/>
      <c r="O260" s="1"/>
      <c r="P260" s="1"/>
      <c r="Q260" s="13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31"/>
      <c r="F261" s="131"/>
      <c r="G261" s="131"/>
      <c r="H261" s="1"/>
      <c r="I261" s="1"/>
      <c r="J261" s="1"/>
      <c r="K261" s="1"/>
      <c r="L261" s="1"/>
      <c r="M261" s="1"/>
      <c r="N261" s="1"/>
      <c r="O261" s="1"/>
      <c r="P261" s="1"/>
      <c r="Q261" s="13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31"/>
      <c r="F262" s="131"/>
      <c r="G262" s="131"/>
      <c r="H262" s="1"/>
      <c r="I262" s="1"/>
      <c r="J262" s="1"/>
      <c r="K262" s="1"/>
      <c r="L262" s="1"/>
      <c r="M262" s="1"/>
      <c r="N262" s="1"/>
      <c r="O262" s="1"/>
      <c r="P262" s="1"/>
      <c r="Q262" s="13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31"/>
      <c r="F263" s="131"/>
      <c r="G263" s="131"/>
      <c r="H263" s="1"/>
      <c r="I263" s="1"/>
      <c r="J263" s="1"/>
      <c r="K263" s="1"/>
      <c r="L263" s="1"/>
      <c r="M263" s="1"/>
      <c r="N263" s="1"/>
      <c r="O263" s="1"/>
      <c r="P263" s="1"/>
      <c r="Q263" s="13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31"/>
      <c r="F264" s="131"/>
      <c r="G264" s="131"/>
      <c r="H264" s="1"/>
      <c r="I264" s="1"/>
      <c r="J264" s="1"/>
      <c r="K264" s="1"/>
      <c r="L264" s="1"/>
      <c r="M264" s="1"/>
      <c r="N264" s="1"/>
      <c r="O264" s="1"/>
      <c r="P264" s="1"/>
      <c r="Q264" s="13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31"/>
      <c r="F265" s="131"/>
      <c r="G265" s="131"/>
      <c r="H265" s="1"/>
      <c r="I265" s="1"/>
      <c r="J265" s="1"/>
      <c r="K265" s="1"/>
      <c r="L265" s="1"/>
      <c r="M265" s="1"/>
      <c r="N265" s="1"/>
      <c r="O265" s="1"/>
      <c r="P265" s="1"/>
      <c r="Q265" s="13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31"/>
      <c r="F266" s="131"/>
      <c r="G266" s="131"/>
      <c r="H266" s="1"/>
      <c r="I266" s="1"/>
      <c r="J266" s="1"/>
      <c r="K266" s="1"/>
      <c r="L266" s="1"/>
      <c r="M266" s="1"/>
      <c r="N266" s="1"/>
      <c r="O266" s="1"/>
      <c r="P266" s="1"/>
      <c r="Q266" s="13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31"/>
      <c r="F267" s="131"/>
      <c r="G267" s="131"/>
      <c r="H267" s="1"/>
      <c r="I267" s="1"/>
      <c r="J267" s="1"/>
      <c r="K267" s="1"/>
      <c r="L267" s="1"/>
      <c r="M267" s="1"/>
      <c r="N267" s="1"/>
      <c r="O267" s="1"/>
      <c r="P267" s="1"/>
      <c r="Q267" s="13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31"/>
      <c r="F268" s="131"/>
      <c r="G268" s="131"/>
      <c r="H268" s="1"/>
      <c r="I268" s="1"/>
      <c r="J268" s="1"/>
      <c r="K268" s="1"/>
      <c r="L268" s="1"/>
      <c r="M268" s="1"/>
      <c r="N268" s="1"/>
      <c r="O268" s="1"/>
      <c r="P268" s="1"/>
      <c r="Q268" s="13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31"/>
      <c r="F269" s="131"/>
      <c r="G269" s="131"/>
      <c r="H269" s="1"/>
      <c r="I269" s="1"/>
      <c r="J269" s="1"/>
      <c r="K269" s="1"/>
      <c r="L269" s="1"/>
      <c r="M269" s="1"/>
      <c r="N269" s="1"/>
      <c r="O269" s="1"/>
      <c r="P269" s="1"/>
      <c r="Q269" s="13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31"/>
      <c r="F270" s="131"/>
      <c r="G270" s="131"/>
      <c r="H270" s="1"/>
      <c r="I270" s="1"/>
      <c r="J270" s="1"/>
      <c r="K270" s="1"/>
      <c r="L270" s="1"/>
      <c r="M270" s="1"/>
      <c r="N270" s="1"/>
      <c r="O270" s="1"/>
      <c r="P270" s="1"/>
      <c r="Q270" s="13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31"/>
      <c r="F271" s="131"/>
      <c r="G271" s="131"/>
      <c r="H271" s="1"/>
      <c r="I271" s="1"/>
      <c r="J271" s="1"/>
      <c r="K271" s="1"/>
      <c r="L271" s="1"/>
      <c r="M271" s="1"/>
      <c r="N271" s="1"/>
      <c r="O271" s="1"/>
      <c r="P271" s="1"/>
      <c r="Q271" s="13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31"/>
      <c r="F272" s="131"/>
      <c r="G272" s="131"/>
      <c r="H272" s="1"/>
      <c r="I272" s="1"/>
      <c r="J272" s="1"/>
      <c r="K272" s="1"/>
      <c r="L272" s="1"/>
      <c r="M272" s="1"/>
      <c r="N272" s="1"/>
      <c r="O272" s="1"/>
      <c r="P272" s="1"/>
      <c r="Q272" s="13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31"/>
      <c r="F273" s="131"/>
      <c r="G273" s="131"/>
      <c r="H273" s="1"/>
      <c r="I273" s="1"/>
      <c r="J273" s="1"/>
      <c r="K273" s="1"/>
      <c r="L273" s="1"/>
      <c r="M273" s="1"/>
      <c r="N273" s="1"/>
      <c r="O273" s="1"/>
      <c r="P273" s="1"/>
      <c r="Q273" s="13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31"/>
      <c r="F274" s="131"/>
      <c r="G274" s="131"/>
      <c r="H274" s="1"/>
      <c r="I274" s="1"/>
      <c r="J274" s="1"/>
      <c r="K274" s="1"/>
      <c r="L274" s="1"/>
      <c r="M274" s="1"/>
      <c r="N274" s="1"/>
      <c r="O274" s="1"/>
      <c r="P274" s="1"/>
      <c r="Q274" s="13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31"/>
      <c r="F275" s="131"/>
      <c r="G275" s="131"/>
      <c r="H275" s="1"/>
      <c r="I275" s="1"/>
      <c r="J275" s="1"/>
      <c r="K275" s="1"/>
      <c r="L275" s="1"/>
      <c r="M275" s="1"/>
      <c r="N275" s="1"/>
      <c r="O275" s="1"/>
      <c r="P275" s="1"/>
      <c r="Q275" s="13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31"/>
      <c r="F276" s="131"/>
      <c r="G276" s="131"/>
      <c r="H276" s="1"/>
      <c r="I276" s="1"/>
      <c r="J276" s="1"/>
      <c r="K276" s="1"/>
      <c r="L276" s="1"/>
      <c r="M276" s="1"/>
      <c r="N276" s="1"/>
      <c r="O276" s="1"/>
      <c r="P276" s="1"/>
      <c r="Q276" s="13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31"/>
      <c r="F277" s="131"/>
      <c r="G277" s="131"/>
      <c r="H277" s="1"/>
      <c r="I277" s="1"/>
      <c r="J277" s="1"/>
      <c r="K277" s="1"/>
      <c r="L277" s="1"/>
      <c r="M277" s="1"/>
      <c r="N277" s="1"/>
      <c r="O277" s="1"/>
      <c r="P277" s="1"/>
      <c r="Q277" s="13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31"/>
      <c r="F278" s="131"/>
      <c r="G278" s="131"/>
      <c r="H278" s="1"/>
      <c r="I278" s="1"/>
      <c r="J278" s="1"/>
      <c r="K278" s="1"/>
      <c r="L278" s="1"/>
      <c r="M278" s="1"/>
      <c r="N278" s="1"/>
      <c r="O278" s="1"/>
      <c r="P278" s="1"/>
      <c r="Q278" s="13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31"/>
      <c r="F279" s="131"/>
      <c r="G279" s="131"/>
      <c r="H279" s="1"/>
      <c r="I279" s="1"/>
      <c r="J279" s="1"/>
      <c r="K279" s="1"/>
      <c r="L279" s="1"/>
      <c r="M279" s="1"/>
      <c r="N279" s="1"/>
      <c r="O279" s="1"/>
      <c r="P279" s="1"/>
      <c r="Q279" s="13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31"/>
      <c r="F280" s="131"/>
      <c r="G280" s="131"/>
      <c r="H280" s="1"/>
      <c r="I280" s="1"/>
      <c r="J280" s="1"/>
      <c r="K280" s="1"/>
      <c r="L280" s="1"/>
      <c r="M280" s="1"/>
      <c r="N280" s="1"/>
      <c r="O280" s="1"/>
      <c r="P280" s="1"/>
      <c r="Q280" s="13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31"/>
      <c r="F281" s="131"/>
      <c r="G281" s="131"/>
      <c r="H281" s="1"/>
      <c r="I281" s="1"/>
      <c r="J281" s="1"/>
      <c r="K281" s="1"/>
      <c r="L281" s="1"/>
      <c r="M281" s="1"/>
      <c r="N281" s="1"/>
      <c r="O281" s="1"/>
      <c r="P281" s="1"/>
      <c r="Q281" s="13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31"/>
      <c r="F282" s="131"/>
      <c r="G282" s="131"/>
      <c r="H282" s="1"/>
      <c r="I282" s="1"/>
      <c r="J282" s="1"/>
      <c r="K282" s="1"/>
      <c r="L282" s="1"/>
      <c r="M282" s="1"/>
      <c r="N282" s="1"/>
      <c r="O282" s="1"/>
      <c r="P282" s="1"/>
      <c r="Q282" s="13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31"/>
      <c r="F283" s="131"/>
      <c r="G283" s="131"/>
      <c r="H283" s="1"/>
      <c r="I283" s="1"/>
      <c r="J283" s="1"/>
      <c r="K283" s="1"/>
      <c r="L283" s="1"/>
      <c r="M283" s="1"/>
      <c r="N283" s="1"/>
      <c r="O283" s="1"/>
      <c r="P283" s="1"/>
      <c r="Q283" s="13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31"/>
      <c r="F284" s="131"/>
      <c r="G284" s="131"/>
      <c r="H284" s="1"/>
      <c r="I284" s="1"/>
      <c r="J284" s="1"/>
      <c r="K284" s="1"/>
      <c r="L284" s="1"/>
      <c r="M284" s="1"/>
      <c r="N284" s="1"/>
      <c r="O284" s="1"/>
      <c r="P284" s="1"/>
      <c r="Q284" s="13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31"/>
      <c r="F285" s="131"/>
      <c r="G285" s="131"/>
      <c r="H285" s="1"/>
      <c r="I285" s="1"/>
      <c r="J285" s="1"/>
      <c r="K285" s="1"/>
      <c r="L285" s="1"/>
      <c r="M285" s="1"/>
      <c r="N285" s="1"/>
      <c r="O285" s="1"/>
      <c r="P285" s="1"/>
      <c r="Q285" s="13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31"/>
      <c r="F286" s="131"/>
      <c r="G286" s="131"/>
      <c r="H286" s="1"/>
      <c r="I286" s="1"/>
      <c r="J286" s="1"/>
      <c r="K286" s="1"/>
      <c r="L286" s="1"/>
      <c r="M286" s="1"/>
      <c r="N286" s="1"/>
      <c r="O286" s="1"/>
      <c r="P286" s="1"/>
      <c r="Q286" s="13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31"/>
      <c r="F287" s="131"/>
      <c r="G287" s="131"/>
      <c r="H287" s="1"/>
      <c r="I287" s="1"/>
      <c r="J287" s="1"/>
      <c r="K287" s="1"/>
      <c r="L287" s="1"/>
      <c r="M287" s="1"/>
      <c r="N287" s="1"/>
      <c r="O287" s="1"/>
      <c r="P287" s="1"/>
      <c r="Q287" s="13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31"/>
      <c r="F288" s="131"/>
      <c r="G288" s="131"/>
      <c r="H288" s="1"/>
      <c r="I288" s="1"/>
      <c r="J288" s="1"/>
      <c r="K288" s="1"/>
      <c r="L288" s="1"/>
      <c r="M288" s="1"/>
      <c r="N288" s="1"/>
      <c r="O288" s="1"/>
      <c r="P288" s="1"/>
      <c r="Q288" s="13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31"/>
      <c r="F289" s="131"/>
      <c r="G289" s="131"/>
      <c r="H289" s="1"/>
      <c r="I289" s="1"/>
      <c r="J289" s="1"/>
      <c r="K289" s="1"/>
      <c r="L289" s="1"/>
      <c r="M289" s="1"/>
      <c r="N289" s="1"/>
      <c r="O289" s="1"/>
      <c r="P289" s="1"/>
      <c r="Q289" s="13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31"/>
      <c r="F290" s="131"/>
      <c r="G290" s="131"/>
      <c r="H290" s="1"/>
      <c r="I290" s="1"/>
      <c r="J290" s="1"/>
      <c r="K290" s="1"/>
      <c r="L290" s="1"/>
      <c r="M290" s="1"/>
      <c r="N290" s="1"/>
      <c r="O290" s="1"/>
      <c r="P290" s="1"/>
      <c r="Q290" s="13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31"/>
      <c r="F291" s="131"/>
      <c r="G291" s="131"/>
      <c r="H291" s="1"/>
      <c r="I291" s="1"/>
      <c r="J291" s="1"/>
      <c r="K291" s="1"/>
      <c r="L291" s="1"/>
      <c r="M291" s="1"/>
      <c r="N291" s="1"/>
      <c r="O291" s="1"/>
      <c r="P291" s="1"/>
      <c r="Q291" s="13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31"/>
      <c r="F292" s="131"/>
      <c r="G292" s="131"/>
      <c r="H292" s="1"/>
      <c r="I292" s="1"/>
      <c r="J292" s="1"/>
      <c r="K292" s="1"/>
      <c r="L292" s="1"/>
      <c r="M292" s="1"/>
      <c r="N292" s="1"/>
      <c r="O292" s="1"/>
      <c r="P292" s="1"/>
      <c r="Q292" s="13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31"/>
      <c r="F293" s="131"/>
      <c r="G293" s="131"/>
      <c r="H293" s="1"/>
      <c r="I293" s="1"/>
      <c r="J293" s="1"/>
      <c r="K293" s="1"/>
      <c r="L293" s="1"/>
      <c r="M293" s="1"/>
      <c r="N293" s="1"/>
      <c r="O293" s="1"/>
      <c r="P293" s="1"/>
      <c r="Q293" s="13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31"/>
      <c r="F294" s="131"/>
      <c r="G294" s="131"/>
      <c r="H294" s="1"/>
      <c r="I294" s="1"/>
      <c r="J294" s="1"/>
      <c r="K294" s="1"/>
      <c r="L294" s="1"/>
      <c r="M294" s="1"/>
      <c r="N294" s="1"/>
      <c r="O294" s="1"/>
      <c r="P294" s="1"/>
      <c r="Q294" s="13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31"/>
      <c r="F295" s="131"/>
      <c r="G295" s="131"/>
      <c r="H295" s="1"/>
      <c r="I295" s="1"/>
      <c r="J295" s="1"/>
      <c r="K295" s="1"/>
      <c r="L295" s="1"/>
      <c r="M295" s="1"/>
      <c r="N295" s="1"/>
      <c r="O295" s="1"/>
      <c r="P295" s="1"/>
      <c r="Q295" s="13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31"/>
      <c r="F296" s="131"/>
      <c r="G296" s="131"/>
      <c r="H296" s="1"/>
      <c r="I296" s="1"/>
      <c r="J296" s="1"/>
      <c r="K296" s="1"/>
      <c r="L296" s="1"/>
      <c r="M296" s="1"/>
      <c r="N296" s="1"/>
      <c r="O296" s="1"/>
      <c r="P296" s="1"/>
      <c r="Q296" s="13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31"/>
      <c r="F297" s="131"/>
      <c r="G297" s="131"/>
      <c r="H297" s="1"/>
      <c r="I297" s="1"/>
      <c r="J297" s="1"/>
      <c r="K297" s="1"/>
      <c r="L297" s="1"/>
      <c r="M297" s="1"/>
      <c r="N297" s="1"/>
      <c r="O297" s="1"/>
      <c r="P297" s="1"/>
      <c r="Q297" s="13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31"/>
      <c r="F298" s="131"/>
      <c r="G298" s="131"/>
      <c r="H298" s="1"/>
      <c r="I298" s="1"/>
      <c r="J298" s="1"/>
      <c r="K298" s="1"/>
      <c r="L298" s="1"/>
      <c r="M298" s="1"/>
      <c r="N298" s="1"/>
      <c r="O298" s="1"/>
      <c r="P298" s="1"/>
      <c r="Q298" s="13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31"/>
      <c r="F299" s="131"/>
      <c r="G299" s="131"/>
      <c r="H299" s="1"/>
      <c r="I299" s="1"/>
      <c r="J299" s="1"/>
      <c r="K299" s="1"/>
      <c r="L299" s="1"/>
      <c r="M299" s="1"/>
      <c r="N299" s="1"/>
      <c r="O299" s="1"/>
      <c r="P299" s="1"/>
      <c r="Q299" s="13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31"/>
      <c r="F300" s="131"/>
      <c r="G300" s="131"/>
      <c r="H300" s="1"/>
      <c r="I300" s="1"/>
      <c r="J300" s="1"/>
      <c r="K300" s="1"/>
      <c r="L300" s="1"/>
      <c r="M300" s="1"/>
      <c r="N300" s="1"/>
      <c r="O300" s="1"/>
      <c r="P300" s="1"/>
      <c r="Q300" s="13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31"/>
      <c r="F301" s="131"/>
      <c r="G301" s="131"/>
      <c r="H301" s="1"/>
      <c r="I301" s="1"/>
      <c r="J301" s="1"/>
      <c r="K301" s="1"/>
      <c r="L301" s="1"/>
      <c r="M301" s="1"/>
      <c r="N301" s="1"/>
      <c r="O301" s="1"/>
      <c r="P301" s="1"/>
      <c r="Q301" s="13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31"/>
      <c r="F302" s="131"/>
      <c r="G302" s="131"/>
      <c r="H302" s="1"/>
      <c r="I302" s="1"/>
      <c r="J302" s="1"/>
      <c r="K302" s="1"/>
      <c r="L302" s="1"/>
      <c r="M302" s="1"/>
      <c r="N302" s="1"/>
      <c r="O302" s="1"/>
      <c r="P302" s="1"/>
      <c r="Q302" s="13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31"/>
      <c r="F303" s="131"/>
      <c r="G303" s="131"/>
      <c r="H303" s="1"/>
      <c r="I303" s="1"/>
      <c r="J303" s="1"/>
      <c r="K303" s="1"/>
      <c r="L303" s="1"/>
      <c r="M303" s="1"/>
      <c r="N303" s="1"/>
      <c r="O303" s="1"/>
      <c r="P303" s="1"/>
      <c r="Q303" s="13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31"/>
      <c r="F304" s="131"/>
      <c r="G304" s="131"/>
      <c r="H304" s="1"/>
      <c r="I304" s="1"/>
      <c r="J304" s="1"/>
      <c r="K304" s="1"/>
      <c r="L304" s="1"/>
      <c r="M304" s="1"/>
      <c r="N304" s="1"/>
      <c r="O304" s="1"/>
      <c r="P304" s="1"/>
      <c r="Q304" s="13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31"/>
      <c r="F305" s="131"/>
      <c r="G305" s="131"/>
      <c r="H305" s="1"/>
      <c r="I305" s="1"/>
      <c r="J305" s="1"/>
      <c r="K305" s="1"/>
      <c r="L305" s="1"/>
      <c r="M305" s="1"/>
      <c r="N305" s="1"/>
      <c r="O305" s="1"/>
      <c r="P305" s="1"/>
      <c r="Q305" s="13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31"/>
      <c r="F306" s="131"/>
      <c r="G306" s="131"/>
      <c r="H306" s="1"/>
      <c r="I306" s="1"/>
      <c r="J306" s="1"/>
      <c r="K306" s="1"/>
      <c r="L306" s="1"/>
      <c r="M306" s="1"/>
      <c r="N306" s="1"/>
      <c r="O306" s="1"/>
      <c r="P306" s="1"/>
      <c r="Q306" s="13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31"/>
      <c r="F307" s="131"/>
      <c r="G307" s="131"/>
      <c r="H307" s="1"/>
      <c r="I307" s="1"/>
      <c r="J307" s="1"/>
      <c r="K307" s="1"/>
      <c r="L307" s="1"/>
      <c r="M307" s="1"/>
      <c r="N307" s="1"/>
      <c r="O307" s="1"/>
      <c r="P307" s="1"/>
      <c r="Q307" s="13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31"/>
      <c r="F308" s="131"/>
      <c r="G308" s="131"/>
      <c r="H308" s="1"/>
      <c r="I308" s="1"/>
      <c r="J308" s="1"/>
      <c r="K308" s="1"/>
      <c r="L308" s="1"/>
      <c r="M308" s="1"/>
      <c r="N308" s="1"/>
      <c r="O308" s="1"/>
      <c r="P308" s="1"/>
      <c r="Q308" s="13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31"/>
      <c r="F309" s="131"/>
      <c r="G309" s="131"/>
      <c r="H309" s="1"/>
      <c r="I309" s="1"/>
      <c r="J309" s="1"/>
      <c r="K309" s="1"/>
      <c r="L309" s="1"/>
      <c r="M309" s="1"/>
      <c r="N309" s="1"/>
      <c r="O309" s="1"/>
      <c r="P309" s="1"/>
      <c r="Q309" s="13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31"/>
      <c r="F310" s="131"/>
      <c r="G310" s="131"/>
      <c r="H310" s="1"/>
      <c r="I310" s="1"/>
      <c r="J310" s="1"/>
      <c r="K310" s="1"/>
      <c r="L310" s="1"/>
      <c r="M310" s="1"/>
      <c r="N310" s="1"/>
      <c r="O310" s="1"/>
      <c r="P310" s="1"/>
      <c r="Q310" s="13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31"/>
      <c r="F311" s="131"/>
      <c r="G311" s="131"/>
      <c r="H311" s="1"/>
      <c r="I311" s="1"/>
      <c r="J311" s="1"/>
      <c r="K311" s="1"/>
      <c r="L311" s="1"/>
      <c r="M311" s="1"/>
      <c r="N311" s="1"/>
      <c r="O311" s="1"/>
      <c r="P311" s="1"/>
      <c r="Q311" s="13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31"/>
      <c r="F312" s="131"/>
      <c r="G312" s="131"/>
      <c r="H312" s="1"/>
      <c r="I312" s="1"/>
      <c r="J312" s="1"/>
      <c r="K312" s="1"/>
      <c r="L312" s="1"/>
      <c r="M312" s="1"/>
      <c r="N312" s="1"/>
      <c r="O312" s="1"/>
      <c r="P312" s="1"/>
      <c r="Q312" s="13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31"/>
      <c r="F313" s="131"/>
      <c r="G313" s="131"/>
      <c r="H313" s="1"/>
      <c r="I313" s="1"/>
      <c r="J313" s="1"/>
      <c r="K313" s="1"/>
      <c r="L313" s="1"/>
      <c r="M313" s="1"/>
      <c r="N313" s="1"/>
      <c r="O313" s="1"/>
      <c r="P313" s="1"/>
      <c r="Q313" s="13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31"/>
      <c r="F314" s="131"/>
      <c r="G314" s="131"/>
      <c r="H314" s="1"/>
      <c r="I314" s="1"/>
      <c r="J314" s="1"/>
      <c r="K314" s="1"/>
      <c r="L314" s="1"/>
      <c r="M314" s="1"/>
      <c r="N314" s="1"/>
      <c r="O314" s="1"/>
      <c r="P314" s="1"/>
      <c r="Q314" s="13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31"/>
      <c r="F315" s="131"/>
      <c r="G315" s="131"/>
      <c r="H315" s="1"/>
      <c r="I315" s="1"/>
      <c r="J315" s="1"/>
      <c r="K315" s="1"/>
      <c r="L315" s="1"/>
      <c r="M315" s="1"/>
      <c r="N315" s="1"/>
      <c r="O315" s="1"/>
      <c r="P315" s="1"/>
      <c r="Q315" s="13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31"/>
      <c r="F316" s="131"/>
      <c r="G316" s="131"/>
      <c r="H316" s="1"/>
      <c r="I316" s="1"/>
      <c r="J316" s="1"/>
      <c r="K316" s="1"/>
      <c r="L316" s="1"/>
      <c r="M316" s="1"/>
      <c r="N316" s="1"/>
      <c r="O316" s="1"/>
      <c r="P316" s="1"/>
      <c r="Q316" s="13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31"/>
      <c r="F317" s="131"/>
      <c r="G317" s="131"/>
      <c r="H317" s="1"/>
      <c r="I317" s="1"/>
      <c r="J317" s="1"/>
      <c r="K317" s="1"/>
      <c r="L317" s="1"/>
      <c r="M317" s="1"/>
      <c r="N317" s="1"/>
      <c r="O317" s="1"/>
      <c r="P317" s="1"/>
      <c r="Q317" s="13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31"/>
      <c r="F318" s="131"/>
      <c r="G318" s="131"/>
      <c r="H318" s="1"/>
      <c r="I318" s="1"/>
      <c r="J318" s="1"/>
      <c r="K318" s="1"/>
      <c r="L318" s="1"/>
      <c r="M318" s="1"/>
      <c r="N318" s="1"/>
      <c r="O318" s="1"/>
      <c r="P318" s="1"/>
      <c r="Q318" s="13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31"/>
      <c r="F319" s="131"/>
      <c r="G319" s="131"/>
      <c r="H319" s="1"/>
      <c r="I319" s="1"/>
      <c r="J319" s="1"/>
      <c r="K319" s="1"/>
      <c r="L319" s="1"/>
      <c r="M319" s="1"/>
      <c r="N319" s="1"/>
      <c r="O319" s="1"/>
      <c r="P319" s="1"/>
      <c r="Q319" s="13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31"/>
      <c r="F320" s="131"/>
      <c r="G320" s="131"/>
      <c r="H320" s="1"/>
      <c r="I320" s="1"/>
      <c r="J320" s="1"/>
      <c r="K320" s="1"/>
      <c r="L320" s="1"/>
      <c r="M320" s="1"/>
      <c r="N320" s="1"/>
      <c r="O320" s="1"/>
      <c r="P320" s="1"/>
      <c r="Q320" s="13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31"/>
      <c r="F321" s="131"/>
      <c r="G321" s="131"/>
      <c r="H321" s="1"/>
      <c r="I321" s="1"/>
      <c r="J321" s="1"/>
      <c r="K321" s="1"/>
      <c r="L321" s="1"/>
      <c r="M321" s="1"/>
      <c r="N321" s="1"/>
      <c r="O321" s="1"/>
      <c r="P321" s="1"/>
      <c r="Q321" s="13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31"/>
      <c r="F322" s="131"/>
      <c r="G322" s="131"/>
      <c r="H322" s="1"/>
      <c r="I322" s="1"/>
      <c r="J322" s="1"/>
      <c r="K322" s="1"/>
      <c r="L322" s="1"/>
      <c r="M322" s="1"/>
      <c r="N322" s="1"/>
      <c r="O322" s="1"/>
      <c r="P322" s="1"/>
      <c r="Q322" s="13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31"/>
      <c r="F323" s="131"/>
      <c r="G323" s="131"/>
      <c r="H323" s="1"/>
      <c r="I323" s="1"/>
      <c r="J323" s="1"/>
      <c r="K323" s="1"/>
      <c r="L323" s="1"/>
      <c r="M323" s="1"/>
      <c r="N323" s="1"/>
      <c r="O323" s="1"/>
      <c r="P323" s="1"/>
      <c r="Q323" s="13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31"/>
      <c r="F324" s="131"/>
      <c r="G324" s="131"/>
      <c r="H324" s="1"/>
      <c r="I324" s="1"/>
      <c r="J324" s="1"/>
      <c r="K324" s="1"/>
      <c r="L324" s="1"/>
      <c r="M324" s="1"/>
      <c r="N324" s="1"/>
      <c r="O324" s="1"/>
      <c r="P324" s="1"/>
      <c r="Q324" s="13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31"/>
      <c r="F325" s="131"/>
      <c r="G325" s="131"/>
      <c r="H325" s="1"/>
      <c r="I325" s="1"/>
      <c r="J325" s="1"/>
      <c r="K325" s="1"/>
      <c r="L325" s="1"/>
      <c r="M325" s="1"/>
      <c r="N325" s="1"/>
      <c r="O325" s="1"/>
      <c r="P325" s="1"/>
      <c r="Q325" s="13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31"/>
      <c r="F326" s="131"/>
      <c r="G326" s="131"/>
      <c r="H326" s="1"/>
      <c r="I326" s="1"/>
      <c r="J326" s="1"/>
      <c r="K326" s="1"/>
      <c r="L326" s="1"/>
      <c r="M326" s="1"/>
      <c r="N326" s="1"/>
      <c r="O326" s="1"/>
      <c r="P326" s="1"/>
      <c r="Q326" s="13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31"/>
      <c r="F327" s="131"/>
      <c r="G327" s="131"/>
      <c r="H327" s="1"/>
      <c r="I327" s="1"/>
      <c r="J327" s="1"/>
      <c r="K327" s="1"/>
      <c r="L327" s="1"/>
      <c r="M327" s="1"/>
      <c r="N327" s="1"/>
      <c r="O327" s="1"/>
      <c r="P327" s="1"/>
      <c r="Q327" s="13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31"/>
      <c r="F328" s="131"/>
      <c r="G328" s="131"/>
      <c r="H328" s="1"/>
      <c r="I328" s="1"/>
      <c r="J328" s="1"/>
      <c r="K328" s="1"/>
      <c r="L328" s="1"/>
      <c r="M328" s="1"/>
      <c r="N328" s="1"/>
      <c r="O328" s="1"/>
      <c r="P328" s="1"/>
      <c r="Q328" s="13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31"/>
      <c r="F329" s="131"/>
      <c r="G329" s="131"/>
      <c r="H329" s="1"/>
      <c r="I329" s="1"/>
      <c r="J329" s="1"/>
      <c r="K329" s="1"/>
      <c r="L329" s="1"/>
      <c r="M329" s="1"/>
      <c r="N329" s="1"/>
      <c r="O329" s="1"/>
      <c r="P329" s="1"/>
      <c r="Q329" s="13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31"/>
      <c r="F330" s="131"/>
      <c r="G330" s="131"/>
      <c r="H330" s="1"/>
      <c r="I330" s="1"/>
      <c r="J330" s="1"/>
      <c r="K330" s="1"/>
      <c r="L330" s="1"/>
      <c r="M330" s="1"/>
      <c r="N330" s="1"/>
      <c r="O330" s="1"/>
      <c r="P330" s="1"/>
      <c r="Q330" s="13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31"/>
      <c r="F331" s="131"/>
      <c r="G331" s="131"/>
      <c r="H331" s="1"/>
      <c r="I331" s="1"/>
      <c r="J331" s="1"/>
      <c r="K331" s="1"/>
      <c r="L331" s="1"/>
      <c r="M331" s="1"/>
      <c r="N331" s="1"/>
      <c r="O331" s="1"/>
      <c r="P331" s="1"/>
      <c r="Q331" s="13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31"/>
      <c r="F332" s="131"/>
      <c r="G332" s="131"/>
      <c r="H332" s="1"/>
      <c r="I332" s="1"/>
      <c r="J332" s="1"/>
      <c r="K332" s="1"/>
      <c r="L332" s="1"/>
      <c r="M332" s="1"/>
      <c r="N332" s="1"/>
      <c r="O332" s="1"/>
      <c r="P332" s="1"/>
      <c r="Q332" s="13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31"/>
      <c r="F333" s="131"/>
      <c r="G333" s="131"/>
      <c r="H333" s="1"/>
      <c r="I333" s="1"/>
      <c r="J333" s="1"/>
      <c r="K333" s="1"/>
      <c r="L333" s="1"/>
      <c r="M333" s="1"/>
      <c r="N333" s="1"/>
      <c r="O333" s="1"/>
      <c r="P333" s="1"/>
      <c r="Q333" s="13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31"/>
      <c r="F334" s="131"/>
      <c r="G334" s="131"/>
      <c r="H334" s="1"/>
      <c r="I334" s="1"/>
      <c r="J334" s="1"/>
      <c r="K334" s="1"/>
      <c r="L334" s="1"/>
      <c r="M334" s="1"/>
      <c r="N334" s="1"/>
      <c r="O334" s="1"/>
      <c r="P334" s="1"/>
      <c r="Q334" s="13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31"/>
      <c r="F335" s="131"/>
      <c r="G335" s="131"/>
      <c r="H335" s="1"/>
      <c r="I335" s="1"/>
      <c r="J335" s="1"/>
      <c r="K335" s="1"/>
      <c r="L335" s="1"/>
      <c r="M335" s="1"/>
      <c r="N335" s="1"/>
      <c r="O335" s="1"/>
      <c r="P335" s="1"/>
      <c r="Q335" s="13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31"/>
      <c r="F336" s="131"/>
      <c r="G336" s="131"/>
      <c r="H336" s="1"/>
      <c r="I336" s="1"/>
      <c r="J336" s="1"/>
      <c r="K336" s="1"/>
      <c r="L336" s="1"/>
      <c r="M336" s="1"/>
      <c r="N336" s="1"/>
      <c r="O336" s="1"/>
      <c r="P336" s="1"/>
      <c r="Q336" s="13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31"/>
      <c r="F337" s="131"/>
      <c r="G337" s="131"/>
      <c r="H337" s="1"/>
      <c r="I337" s="1"/>
      <c r="J337" s="1"/>
      <c r="K337" s="1"/>
      <c r="L337" s="1"/>
      <c r="M337" s="1"/>
      <c r="N337" s="1"/>
      <c r="O337" s="1"/>
      <c r="P337" s="1"/>
      <c r="Q337" s="13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31"/>
      <c r="F338" s="131"/>
      <c r="G338" s="131"/>
      <c r="H338" s="1"/>
      <c r="I338" s="1"/>
      <c r="J338" s="1"/>
      <c r="K338" s="1"/>
      <c r="L338" s="1"/>
      <c r="M338" s="1"/>
      <c r="N338" s="1"/>
      <c r="O338" s="1"/>
      <c r="P338" s="1"/>
      <c r="Q338" s="13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31"/>
      <c r="F339" s="131"/>
      <c r="G339" s="131"/>
      <c r="H339" s="1"/>
      <c r="I339" s="1"/>
      <c r="J339" s="1"/>
      <c r="K339" s="1"/>
      <c r="L339" s="1"/>
      <c r="M339" s="1"/>
      <c r="N339" s="1"/>
      <c r="O339" s="1"/>
      <c r="P339" s="1"/>
      <c r="Q339" s="13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31"/>
      <c r="F340" s="131"/>
      <c r="G340" s="131"/>
      <c r="H340" s="1"/>
      <c r="I340" s="1"/>
      <c r="J340" s="1"/>
      <c r="K340" s="1"/>
      <c r="L340" s="1"/>
      <c r="M340" s="1"/>
      <c r="N340" s="1"/>
      <c r="O340" s="1"/>
      <c r="P340" s="1"/>
      <c r="Q340" s="13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31"/>
      <c r="F341" s="131"/>
      <c r="G341" s="131"/>
      <c r="H341" s="1"/>
      <c r="I341" s="1"/>
      <c r="J341" s="1"/>
      <c r="K341" s="1"/>
      <c r="L341" s="1"/>
      <c r="M341" s="1"/>
      <c r="N341" s="1"/>
      <c r="O341" s="1"/>
      <c r="P341" s="1"/>
      <c r="Q341" s="13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31"/>
      <c r="F342" s="131"/>
      <c r="G342" s="131"/>
      <c r="H342" s="1"/>
      <c r="I342" s="1"/>
      <c r="J342" s="1"/>
      <c r="K342" s="1"/>
      <c r="L342" s="1"/>
      <c r="M342" s="1"/>
      <c r="N342" s="1"/>
      <c r="O342" s="1"/>
      <c r="P342" s="1"/>
      <c r="Q342" s="13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31"/>
      <c r="F343" s="131"/>
      <c r="G343" s="131"/>
      <c r="H343" s="1"/>
      <c r="I343" s="1"/>
      <c r="J343" s="1"/>
      <c r="K343" s="1"/>
      <c r="L343" s="1"/>
      <c r="M343" s="1"/>
      <c r="N343" s="1"/>
      <c r="O343" s="1"/>
      <c r="P343" s="1"/>
      <c r="Q343" s="13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31"/>
      <c r="F344" s="131"/>
      <c r="G344" s="131"/>
      <c r="H344" s="1"/>
      <c r="I344" s="1"/>
      <c r="J344" s="1"/>
      <c r="K344" s="1"/>
      <c r="L344" s="1"/>
      <c r="M344" s="1"/>
      <c r="N344" s="1"/>
      <c r="O344" s="1"/>
      <c r="P344" s="1"/>
      <c r="Q344" s="13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31"/>
      <c r="F345" s="131"/>
      <c r="G345" s="131"/>
      <c r="H345" s="1"/>
      <c r="I345" s="1"/>
      <c r="J345" s="1"/>
      <c r="K345" s="1"/>
      <c r="L345" s="1"/>
      <c r="M345" s="1"/>
      <c r="N345" s="1"/>
      <c r="O345" s="1"/>
      <c r="P345" s="1"/>
      <c r="Q345" s="13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31"/>
      <c r="F346" s="131"/>
      <c r="G346" s="131"/>
      <c r="H346" s="1"/>
      <c r="I346" s="1"/>
      <c r="J346" s="1"/>
      <c r="K346" s="1"/>
      <c r="L346" s="1"/>
      <c r="M346" s="1"/>
      <c r="N346" s="1"/>
      <c r="O346" s="1"/>
      <c r="P346" s="1"/>
      <c r="Q346" s="13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31"/>
      <c r="F347" s="131"/>
      <c r="G347" s="131"/>
      <c r="H347" s="1"/>
      <c r="I347" s="1"/>
      <c r="J347" s="1"/>
      <c r="K347" s="1"/>
      <c r="L347" s="1"/>
      <c r="M347" s="1"/>
      <c r="N347" s="1"/>
      <c r="O347" s="1"/>
      <c r="P347" s="1"/>
      <c r="Q347" s="13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31"/>
      <c r="F348" s="131"/>
      <c r="G348" s="131"/>
      <c r="H348" s="1"/>
      <c r="I348" s="1"/>
      <c r="J348" s="1"/>
      <c r="K348" s="1"/>
      <c r="L348" s="1"/>
      <c r="M348" s="1"/>
      <c r="N348" s="1"/>
      <c r="O348" s="1"/>
      <c r="P348" s="1"/>
      <c r="Q348" s="13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31"/>
      <c r="F349" s="131"/>
      <c r="G349" s="131"/>
      <c r="H349" s="1"/>
      <c r="I349" s="1"/>
      <c r="J349" s="1"/>
      <c r="K349" s="1"/>
      <c r="L349" s="1"/>
      <c r="M349" s="1"/>
      <c r="N349" s="1"/>
      <c r="O349" s="1"/>
      <c r="P349" s="1"/>
      <c r="Q349" s="13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31"/>
      <c r="F350" s="131"/>
      <c r="G350" s="131"/>
      <c r="H350" s="1"/>
      <c r="I350" s="1"/>
      <c r="J350" s="1"/>
      <c r="K350" s="1"/>
      <c r="L350" s="1"/>
      <c r="M350" s="1"/>
      <c r="N350" s="1"/>
      <c r="O350" s="1"/>
      <c r="P350" s="1"/>
      <c r="Q350" s="13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31"/>
      <c r="F351" s="131"/>
      <c r="G351" s="131"/>
      <c r="H351" s="1"/>
      <c r="I351" s="1"/>
      <c r="J351" s="1"/>
      <c r="K351" s="1"/>
      <c r="L351" s="1"/>
      <c r="M351" s="1"/>
      <c r="N351" s="1"/>
      <c r="O351" s="1"/>
      <c r="P351" s="1"/>
      <c r="Q351" s="13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31"/>
      <c r="F352" s="131"/>
      <c r="G352" s="131"/>
      <c r="H352" s="1"/>
      <c r="I352" s="1"/>
      <c r="J352" s="1"/>
      <c r="K352" s="1"/>
      <c r="L352" s="1"/>
      <c r="M352" s="1"/>
      <c r="N352" s="1"/>
      <c r="O352" s="1"/>
      <c r="P352" s="1"/>
      <c r="Q352" s="13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31"/>
      <c r="F353" s="131"/>
      <c r="G353" s="131"/>
      <c r="H353" s="1"/>
      <c r="I353" s="1"/>
      <c r="J353" s="1"/>
      <c r="K353" s="1"/>
      <c r="L353" s="1"/>
      <c r="M353" s="1"/>
      <c r="N353" s="1"/>
      <c r="O353" s="1"/>
      <c r="P353" s="1"/>
      <c r="Q353" s="13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31"/>
      <c r="F354" s="131"/>
      <c r="G354" s="131"/>
      <c r="H354" s="1"/>
      <c r="I354" s="1"/>
      <c r="J354" s="1"/>
      <c r="K354" s="1"/>
      <c r="L354" s="1"/>
      <c r="M354" s="1"/>
      <c r="N354" s="1"/>
      <c r="O354" s="1"/>
      <c r="P354" s="1"/>
      <c r="Q354" s="13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31"/>
      <c r="F355" s="131"/>
      <c r="G355" s="131"/>
      <c r="H355" s="1"/>
      <c r="I355" s="1"/>
      <c r="J355" s="1"/>
      <c r="K355" s="1"/>
      <c r="L355" s="1"/>
      <c r="M355" s="1"/>
      <c r="N355" s="1"/>
      <c r="O355" s="1"/>
      <c r="P355" s="1"/>
      <c r="Q355" s="13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31"/>
      <c r="F356" s="131"/>
      <c r="G356" s="131"/>
      <c r="H356" s="1"/>
      <c r="I356" s="1"/>
      <c r="J356" s="1"/>
      <c r="K356" s="1"/>
      <c r="L356" s="1"/>
      <c r="M356" s="1"/>
      <c r="N356" s="1"/>
      <c r="O356" s="1"/>
      <c r="P356" s="1"/>
      <c r="Q356" s="13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31"/>
      <c r="F357" s="131"/>
      <c r="G357" s="131"/>
      <c r="H357" s="1"/>
      <c r="I357" s="1"/>
      <c r="J357" s="1"/>
      <c r="K357" s="1"/>
      <c r="L357" s="1"/>
      <c r="M357" s="1"/>
      <c r="N357" s="1"/>
      <c r="O357" s="1"/>
      <c r="P357" s="1"/>
      <c r="Q357" s="13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31"/>
      <c r="F358" s="131"/>
      <c r="G358" s="131"/>
      <c r="H358" s="1"/>
      <c r="I358" s="1"/>
      <c r="J358" s="1"/>
      <c r="K358" s="1"/>
      <c r="L358" s="1"/>
      <c r="M358" s="1"/>
      <c r="N358" s="1"/>
      <c r="O358" s="1"/>
      <c r="P358" s="1"/>
      <c r="Q358" s="13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31"/>
      <c r="F359" s="131"/>
      <c r="G359" s="131"/>
      <c r="H359" s="1"/>
      <c r="I359" s="1"/>
      <c r="J359" s="1"/>
      <c r="K359" s="1"/>
      <c r="L359" s="1"/>
      <c r="M359" s="1"/>
      <c r="N359" s="1"/>
      <c r="O359" s="1"/>
      <c r="P359" s="1"/>
      <c r="Q359" s="13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31"/>
      <c r="F360" s="131"/>
      <c r="G360" s="131"/>
      <c r="H360" s="1"/>
      <c r="I360" s="1"/>
      <c r="J360" s="1"/>
      <c r="K360" s="1"/>
      <c r="L360" s="1"/>
      <c r="M360" s="1"/>
      <c r="N360" s="1"/>
      <c r="O360" s="1"/>
      <c r="P360" s="1"/>
      <c r="Q360" s="13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31"/>
      <c r="F361" s="131"/>
      <c r="G361" s="131"/>
      <c r="H361" s="1"/>
      <c r="I361" s="1"/>
      <c r="J361" s="1"/>
      <c r="K361" s="1"/>
      <c r="L361" s="1"/>
      <c r="M361" s="1"/>
      <c r="N361" s="1"/>
      <c r="O361" s="1"/>
      <c r="P361" s="1"/>
      <c r="Q361" s="13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31"/>
      <c r="F362" s="131"/>
      <c r="G362" s="131"/>
      <c r="H362" s="1"/>
      <c r="I362" s="1"/>
      <c r="J362" s="1"/>
      <c r="K362" s="1"/>
      <c r="L362" s="1"/>
      <c r="M362" s="1"/>
      <c r="N362" s="1"/>
      <c r="O362" s="1"/>
      <c r="P362" s="1"/>
      <c r="Q362" s="13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31"/>
      <c r="F363" s="131"/>
      <c r="G363" s="131"/>
      <c r="H363" s="1"/>
      <c r="I363" s="1"/>
      <c r="J363" s="1"/>
      <c r="K363" s="1"/>
      <c r="L363" s="1"/>
      <c r="M363" s="1"/>
      <c r="N363" s="1"/>
      <c r="O363" s="1"/>
      <c r="P363" s="1"/>
      <c r="Q363" s="13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31"/>
      <c r="F364" s="131"/>
      <c r="G364" s="131"/>
      <c r="H364" s="1"/>
      <c r="I364" s="1"/>
      <c r="J364" s="1"/>
      <c r="K364" s="1"/>
      <c r="L364" s="1"/>
      <c r="M364" s="1"/>
      <c r="N364" s="1"/>
      <c r="O364" s="1"/>
      <c r="P364" s="1"/>
      <c r="Q364" s="13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31"/>
      <c r="F365" s="131"/>
      <c r="G365" s="131"/>
      <c r="H365" s="1"/>
      <c r="I365" s="1"/>
      <c r="J365" s="1"/>
      <c r="K365" s="1"/>
      <c r="L365" s="1"/>
      <c r="M365" s="1"/>
      <c r="N365" s="1"/>
      <c r="O365" s="1"/>
      <c r="P365" s="1"/>
      <c r="Q365" s="13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31"/>
      <c r="F366" s="131"/>
      <c r="G366" s="131"/>
      <c r="H366" s="1"/>
      <c r="I366" s="1"/>
      <c r="J366" s="1"/>
      <c r="K366" s="1"/>
      <c r="L366" s="1"/>
      <c r="M366" s="1"/>
      <c r="N366" s="1"/>
      <c r="O366" s="1"/>
      <c r="P366" s="1"/>
      <c r="Q366" s="13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31"/>
      <c r="F367" s="131"/>
      <c r="G367" s="131"/>
      <c r="H367" s="1"/>
      <c r="I367" s="1"/>
      <c r="J367" s="1"/>
      <c r="K367" s="1"/>
      <c r="L367" s="1"/>
      <c r="M367" s="1"/>
      <c r="N367" s="1"/>
      <c r="O367" s="1"/>
      <c r="P367" s="1"/>
      <c r="Q367" s="13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31"/>
      <c r="F368" s="131"/>
      <c r="G368" s="131"/>
      <c r="H368" s="1"/>
      <c r="I368" s="1"/>
      <c r="J368" s="1"/>
      <c r="K368" s="1"/>
      <c r="L368" s="1"/>
      <c r="M368" s="1"/>
      <c r="N368" s="1"/>
      <c r="O368" s="1"/>
      <c r="P368" s="1"/>
      <c r="Q368" s="13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31"/>
      <c r="F369" s="131"/>
      <c r="G369" s="131"/>
      <c r="H369" s="1"/>
      <c r="I369" s="1"/>
      <c r="J369" s="1"/>
      <c r="K369" s="1"/>
      <c r="L369" s="1"/>
      <c r="M369" s="1"/>
      <c r="N369" s="1"/>
      <c r="O369" s="1"/>
      <c r="P369" s="1"/>
      <c r="Q369" s="13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31"/>
      <c r="F370" s="131"/>
      <c r="G370" s="131"/>
      <c r="H370" s="1"/>
      <c r="I370" s="1"/>
      <c r="J370" s="1"/>
      <c r="K370" s="1"/>
      <c r="L370" s="1"/>
      <c r="M370" s="1"/>
      <c r="N370" s="1"/>
      <c r="O370" s="1"/>
      <c r="P370" s="1"/>
      <c r="Q370" s="13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31"/>
      <c r="F371" s="131"/>
      <c r="G371" s="131"/>
      <c r="H371" s="1"/>
      <c r="I371" s="1"/>
      <c r="J371" s="1"/>
      <c r="K371" s="1"/>
      <c r="L371" s="1"/>
      <c r="M371" s="1"/>
      <c r="N371" s="1"/>
      <c r="O371" s="1"/>
      <c r="P371" s="1"/>
      <c r="Q371" s="13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31"/>
      <c r="F372" s="131"/>
      <c r="G372" s="131"/>
      <c r="H372" s="1"/>
      <c r="I372" s="1"/>
      <c r="J372" s="1"/>
      <c r="K372" s="1"/>
      <c r="L372" s="1"/>
      <c r="M372" s="1"/>
      <c r="N372" s="1"/>
      <c r="O372" s="1"/>
      <c r="P372" s="1"/>
      <c r="Q372" s="13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31"/>
      <c r="F373" s="131"/>
      <c r="G373" s="131"/>
      <c r="H373" s="1"/>
      <c r="I373" s="1"/>
      <c r="J373" s="1"/>
      <c r="K373" s="1"/>
      <c r="L373" s="1"/>
      <c r="M373" s="1"/>
      <c r="N373" s="1"/>
      <c r="O373" s="1"/>
      <c r="P373" s="1"/>
      <c r="Q373" s="13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31"/>
      <c r="F374" s="131"/>
      <c r="G374" s="131"/>
      <c r="H374" s="1"/>
      <c r="I374" s="1"/>
      <c r="J374" s="1"/>
      <c r="K374" s="1"/>
      <c r="L374" s="1"/>
      <c r="M374" s="1"/>
      <c r="N374" s="1"/>
      <c r="O374" s="1"/>
      <c r="P374" s="1"/>
      <c r="Q374" s="13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31"/>
      <c r="F375" s="131"/>
      <c r="G375" s="131"/>
      <c r="H375" s="1"/>
      <c r="I375" s="1"/>
      <c r="J375" s="1"/>
      <c r="K375" s="1"/>
      <c r="L375" s="1"/>
      <c r="M375" s="1"/>
      <c r="N375" s="1"/>
      <c r="O375" s="1"/>
      <c r="P375" s="1"/>
      <c r="Q375" s="13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31"/>
      <c r="F376" s="131"/>
      <c r="G376" s="131"/>
      <c r="H376" s="1"/>
      <c r="I376" s="1"/>
      <c r="J376" s="1"/>
      <c r="K376" s="1"/>
      <c r="L376" s="1"/>
      <c r="M376" s="1"/>
      <c r="N376" s="1"/>
      <c r="O376" s="1"/>
      <c r="P376" s="1"/>
      <c r="Q376" s="13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31"/>
      <c r="F377" s="131"/>
      <c r="G377" s="131"/>
      <c r="H377" s="1"/>
      <c r="I377" s="1"/>
      <c r="J377" s="1"/>
      <c r="K377" s="1"/>
      <c r="L377" s="1"/>
      <c r="M377" s="1"/>
      <c r="N377" s="1"/>
      <c r="O377" s="1"/>
      <c r="P377" s="1"/>
      <c r="Q377" s="13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31"/>
      <c r="F378" s="131"/>
      <c r="G378" s="131"/>
      <c r="H378" s="1"/>
      <c r="I378" s="1"/>
      <c r="J378" s="1"/>
      <c r="K378" s="1"/>
      <c r="L378" s="1"/>
      <c r="M378" s="1"/>
      <c r="N378" s="1"/>
      <c r="O378" s="1"/>
      <c r="P378" s="1"/>
      <c r="Q378" s="13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31"/>
      <c r="F379" s="131"/>
      <c r="G379" s="131"/>
      <c r="H379" s="1"/>
      <c r="I379" s="1"/>
      <c r="J379" s="1"/>
      <c r="K379" s="1"/>
      <c r="L379" s="1"/>
      <c r="M379" s="1"/>
      <c r="N379" s="1"/>
      <c r="O379" s="1"/>
      <c r="P379" s="1"/>
      <c r="Q379" s="13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31"/>
      <c r="F380" s="131"/>
      <c r="G380" s="131"/>
      <c r="H380" s="1"/>
      <c r="I380" s="1"/>
      <c r="J380" s="1"/>
      <c r="K380" s="1"/>
      <c r="L380" s="1"/>
      <c r="M380" s="1"/>
      <c r="N380" s="1"/>
      <c r="O380" s="1"/>
      <c r="P380" s="1"/>
      <c r="Q380" s="13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31"/>
      <c r="F381" s="131"/>
      <c r="G381" s="131"/>
      <c r="H381" s="1"/>
      <c r="I381" s="1"/>
      <c r="J381" s="1"/>
      <c r="K381" s="1"/>
      <c r="L381" s="1"/>
      <c r="M381" s="1"/>
      <c r="N381" s="1"/>
      <c r="O381" s="1"/>
      <c r="P381" s="1"/>
      <c r="Q381" s="13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31"/>
      <c r="F382" s="131"/>
      <c r="G382" s="131"/>
      <c r="H382" s="1"/>
      <c r="I382" s="1"/>
      <c r="J382" s="1"/>
      <c r="K382" s="1"/>
      <c r="L382" s="1"/>
      <c r="M382" s="1"/>
      <c r="N382" s="1"/>
      <c r="O382" s="1"/>
      <c r="P382" s="1"/>
      <c r="Q382" s="13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31"/>
      <c r="F383" s="131"/>
      <c r="G383" s="131"/>
      <c r="H383" s="1"/>
      <c r="I383" s="1"/>
      <c r="J383" s="1"/>
      <c r="K383" s="1"/>
      <c r="L383" s="1"/>
      <c r="M383" s="1"/>
      <c r="N383" s="1"/>
      <c r="O383" s="1"/>
      <c r="P383" s="1"/>
      <c r="Q383" s="13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31"/>
      <c r="F384" s="131"/>
      <c r="G384" s="131"/>
      <c r="H384" s="1"/>
      <c r="I384" s="1"/>
      <c r="J384" s="1"/>
      <c r="K384" s="1"/>
      <c r="L384" s="1"/>
      <c r="M384" s="1"/>
      <c r="N384" s="1"/>
      <c r="O384" s="1"/>
      <c r="P384" s="1"/>
      <c r="Q384" s="13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31"/>
      <c r="F385" s="131"/>
      <c r="G385" s="131"/>
      <c r="H385" s="1"/>
      <c r="I385" s="1"/>
      <c r="J385" s="1"/>
      <c r="K385" s="1"/>
      <c r="L385" s="1"/>
      <c r="M385" s="1"/>
      <c r="N385" s="1"/>
      <c r="O385" s="1"/>
      <c r="P385" s="1"/>
      <c r="Q385" s="13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31"/>
      <c r="F386" s="131"/>
      <c r="G386" s="131"/>
      <c r="H386" s="1"/>
      <c r="I386" s="1"/>
      <c r="J386" s="1"/>
      <c r="K386" s="1"/>
      <c r="L386" s="1"/>
      <c r="M386" s="1"/>
      <c r="N386" s="1"/>
      <c r="O386" s="1"/>
      <c r="P386" s="1"/>
      <c r="Q386" s="13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31"/>
      <c r="F387" s="131"/>
      <c r="G387" s="131"/>
      <c r="H387" s="1"/>
      <c r="I387" s="1"/>
      <c r="J387" s="1"/>
      <c r="K387" s="1"/>
      <c r="L387" s="1"/>
      <c r="M387" s="1"/>
      <c r="N387" s="1"/>
      <c r="O387" s="1"/>
      <c r="P387" s="1"/>
      <c r="Q387" s="13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31"/>
      <c r="F388" s="131"/>
      <c r="G388" s="131"/>
      <c r="H388" s="1"/>
      <c r="I388" s="1"/>
      <c r="J388" s="1"/>
      <c r="K388" s="1"/>
      <c r="L388" s="1"/>
      <c r="M388" s="1"/>
      <c r="N388" s="1"/>
      <c r="O388" s="1"/>
      <c r="P388" s="1"/>
      <c r="Q388" s="13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31"/>
      <c r="F389" s="131"/>
      <c r="G389" s="131"/>
      <c r="H389" s="1"/>
      <c r="I389" s="1"/>
      <c r="J389" s="1"/>
      <c r="K389" s="1"/>
      <c r="L389" s="1"/>
      <c r="M389" s="1"/>
      <c r="N389" s="1"/>
      <c r="O389" s="1"/>
      <c r="P389" s="1"/>
      <c r="Q389" s="13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31"/>
      <c r="F390" s="131"/>
      <c r="G390" s="131"/>
      <c r="H390" s="1"/>
      <c r="I390" s="1"/>
      <c r="J390" s="1"/>
      <c r="K390" s="1"/>
      <c r="L390" s="1"/>
      <c r="M390" s="1"/>
      <c r="N390" s="1"/>
      <c r="O390" s="1"/>
      <c r="P390" s="1"/>
      <c r="Q390" s="13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31"/>
      <c r="F391" s="131"/>
      <c r="G391" s="131"/>
      <c r="H391" s="1"/>
      <c r="I391" s="1"/>
      <c r="J391" s="1"/>
      <c r="K391" s="1"/>
      <c r="L391" s="1"/>
      <c r="M391" s="1"/>
      <c r="N391" s="1"/>
      <c r="O391" s="1"/>
      <c r="P391" s="1"/>
      <c r="Q391" s="13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31"/>
      <c r="F392" s="131"/>
      <c r="G392" s="131"/>
      <c r="H392" s="1"/>
      <c r="I392" s="1"/>
      <c r="J392" s="1"/>
      <c r="K392" s="1"/>
      <c r="L392" s="1"/>
      <c r="M392" s="1"/>
      <c r="N392" s="1"/>
      <c r="O392" s="1"/>
      <c r="P392" s="1"/>
      <c r="Q392" s="13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31"/>
      <c r="F393" s="131"/>
      <c r="G393" s="131"/>
      <c r="H393" s="1"/>
      <c r="I393" s="1"/>
      <c r="J393" s="1"/>
      <c r="K393" s="1"/>
      <c r="L393" s="1"/>
      <c r="M393" s="1"/>
      <c r="N393" s="1"/>
      <c r="O393" s="1"/>
      <c r="P393" s="1"/>
      <c r="Q393" s="13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31"/>
      <c r="F394" s="131"/>
      <c r="G394" s="131"/>
      <c r="H394" s="1"/>
      <c r="I394" s="1"/>
      <c r="J394" s="1"/>
      <c r="K394" s="1"/>
      <c r="L394" s="1"/>
      <c r="M394" s="1"/>
      <c r="N394" s="1"/>
      <c r="O394" s="1"/>
      <c r="P394" s="1"/>
      <c r="Q394" s="13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31"/>
      <c r="F395" s="131"/>
      <c r="G395" s="131"/>
      <c r="H395" s="1"/>
      <c r="I395" s="1"/>
      <c r="J395" s="1"/>
      <c r="K395" s="1"/>
      <c r="L395" s="1"/>
      <c r="M395" s="1"/>
      <c r="N395" s="1"/>
      <c r="O395" s="1"/>
      <c r="P395" s="1"/>
      <c r="Q395" s="13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31"/>
      <c r="F396" s="131"/>
      <c r="G396" s="131"/>
      <c r="H396" s="1"/>
      <c r="I396" s="1"/>
      <c r="J396" s="1"/>
      <c r="K396" s="1"/>
      <c r="L396" s="1"/>
      <c r="M396" s="1"/>
      <c r="N396" s="1"/>
      <c r="O396" s="1"/>
      <c r="P396" s="1"/>
      <c r="Q396" s="13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31"/>
      <c r="F397" s="131"/>
      <c r="G397" s="131"/>
      <c r="H397" s="1"/>
      <c r="I397" s="1"/>
      <c r="J397" s="1"/>
      <c r="K397" s="1"/>
      <c r="L397" s="1"/>
      <c r="M397" s="1"/>
      <c r="N397" s="1"/>
      <c r="O397" s="1"/>
      <c r="P397" s="1"/>
      <c r="Q397" s="13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31"/>
      <c r="F398" s="131"/>
      <c r="G398" s="131"/>
      <c r="H398" s="1"/>
      <c r="I398" s="1"/>
      <c r="J398" s="1"/>
      <c r="K398" s="1"/>
      <c r="L398" s="1"/>
      <c r="M398" s="1"/>
      <c r="N398" s="1"/>
      <c r="O398" s="1"/>
      <c r="P398" s="1"/>
      <c r="Q398" s="13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31"/>
      <c r="F399" s="131"/>
      <c r="G399" s="131"/>
      <c r="H399" s="1"/>
      <c r="I399" s="1"/>
      <c r="J399" s="1"/>
      <c r="K399" s="1"/>
      <c r="L399" s="1"/>
      <c r="M399" s="1"/>
      <c r="N399" s="1"/>
      <c r="O399" s="1"/>
      <c r="P399" s="1"/>
      <c r="Q399" s="13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31"/>
      <c r="F400" s="131"/>
      <c r="G400" s="131"/>
      <c r="H400" s="1"/>
      <c r="I400" s="1"/>
      <c r="J400" s="1"/>
      <c r="K400" s="1"/>
      <c r="L400" s="1"/>
      <c r="M400" s="1"/>
      <c r="N400" s="1"/>
      <c r="O400" s="1"/>
      <c r="P400" s="1"/>
      <c r="Q400" s="13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31"/>
      <c r="F401" s="131"/>
      <c r="G401" s="131"/>
      <c r="H401" s="1"/>
      <c r="I401" s="1"/>
      <c r="J401" s="1"/>
      <c r="K401" s="1"/>
      <c r="L401" s="1"/>
      <c r="M401" s="1"/>
      <c r="N401" s="1"/>
      <c r="O401" s="1"/>
      <c r="P401" s="1"/>
      <c r="Q401" s="13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31"/>
      <c r="F402" s="131"/>
      <c r="G402" s="131"/>
      <c r="H402" s="1"/>
      <c r="I402" s="1"/>
      <c r="J402" s="1"/>
      <c r="K402" s="1"/>
      <c r="L402" s="1"/>
      <c r="M402" s="1"/>
      <c r="N402" s="1"/>
      <c r="O402" s="1"/>
      <c r="P402" s="1"/>
      <c r="Q402" s="13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31"/>
      <c r="F403" s="131"/>
      <c r="G403" s="131"/>
      <c r="H403" s="1"/>
      <c r="I403" s="1"/>
      <c r="J403" s="1"/>
      <c r="K403" s="1"/>
      <c r="L403" s="1"/>
      <c r="M403" s="1"/>
      <c r="N403" s="1"/>
      <c r="O403" s="1"/>
      <c r="P403" s="1"/>
      <c r="Q403" s="13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31"/>
      <c r="F404" s="131"/>
      <c r="G404" s="131"/>
      <c r="H404" s="1"/>
      <c r="I404" s="1"/>
      <c r="J404" s="1"/>
      <c r="K404" s="1"/>
      <c r="L404" s="1"/>
      <c r="M404" s="1"/>
      <c r="N404" s="1"/>
      <c r="O404" s="1"/>
      <c r="P404" s="1"/>
      <c r="Q404" s="13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31"/>
      <c r="F405" s="131"/>
      <c r="G405" s="131"/>
      <c r="H405" s="1"/>
      <c r="I405" s="1"/>
      <c r="J405" s="1"/>
      <c r="K405" s="1"/>
      <c r="L405" s="1"/>
      <c r="M405" s="1"/>
      <c r="N405" s="1"/>
      <c r="O405" s="1"/>
      <c r="P405" s="1"/>
      <c r="Q405" s="13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31"/>
      <c r="F406" s="131"/>
      <c r="G406" s="131"/>
      <c r="H406" s="1"/>
      <c r="I406" s="1"/>
      <c r="J406" s="1"/>
      <c r="K406" s="1"/>
      <c r="L406" s="1"/>
      <c r="M406" s="1"/>
      <c r="N406" s="1"/>
      <c r="O406" s="1"/>
      <c r="P406" s="1"/>
      <c r="Q406" s="13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31"/>
      <c r="F407" s="131"/>
      <c r="G407" s="131"/>
      <c r="H407" s="1"/>
      <c r="I407" s="1"/>
      <c r="J407" s="1"/>
      <c r="K407" s="1"/>
      <c r="L407" s="1"/>
      <c r="M407" s="1"/>
      <c r="N407" s="1"/>
      <c r="O407" s="1"/>
      <c r="P407" s="1"/>
      <c r="Q407" s="13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31"/>
      <c r="F408" s="131"/>
      <c r="G408" s="131"/>
      <c r="H408" s="1"/>
      <c r="I408" s="1"/>
      <c r="J408" s="1"/>
      <c r="K408" s="1"/>
      <c r="L408" s="1"/>
      <c r="M408" s="1"/>
      <c r="N408" s="1"/>
      <c r="O408" s="1"/>
      <c r="P408" s="1"/>
      <c r="Q408" s="13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31"/>
      <c r="F409" s="131"/>
      <c r="G409" s="131"/>
      <c r="H409" s="1"/>
      <c r="I409" s="1"/>
      <c r="J409" s="1"/>
      <c r="K409" s="1"/>
      <c r="L409" s="1"/>
      <c r="M409" s="1"/>
      <c r="N409" s="1"/>
      <c r="O409" s="1"/>
      <c r="P409" s="1"/>
      <c r="Q409" s="13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31"/>
      <c r="F410" s="131"/>
      <c r="G410" s="131"/>
      <c r="H410" s="1"/>
      <c r="I410" s="1"/>
      <c r="J410" s="1"/>
      <c r="K410" s="1"/>
      <c r="L410" s="1"/>
      <c r="M410" s="1"/>
      <c r="N410" s="1"/>
      <c r="O410" s="1"/>
      <c r="P410" s="1"/>
      <c r="Q410" s="13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31"/>
      <c r="F411" s="131"/>
      <c r="G411" s="131"/>
      <c r="H411" s="1"/>
      <c r="I411" s="1"/>
      <c r="J411" s="1"/>
      <c r="K411" s="1"/>
      <c r="L411" s="1"/>
      <c r="M411" s="1"/>
      <c r="N411" s="1"/>
      <c r="O411" s="1"/>
      <c r="P411" s="1"/>
      <c r="Q411" s="13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31"/>
      <c r="F412" s="131"/>
      <c r="G412" s="131"/>
      <c r="H412" s="1"/>
      <c r="I412" s="1"/>
      <c r="J412" s="1"/>
      <c r="K412" s="1"/>
      <c r="L412" s="1"/>
      <c r="M412" s="1"/>
      <c r="N412" s="1"/>
      <c r="O412" s="1"/>
      <c r="P412" s="1"/>
      <c r="Q412" s="13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31"/>
      <c r="F413" s="131"/>
      <c r="G413" s="131"/>
      <c r="H413" s="1"/>
      <c r="I413" s="1"/>
      <c r="J413" s="1"/>
      <c r="K413" s="1"/>
      <c r="L413" s="1"/>
      <c r="M413" s="1"/>
      <c r="N413" s="1"/>
      <c r="O413" s="1"/>
      <c r="P413" s="1"/>
      <c r="Q413" s="13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31"/>
      <c r="F414" s="131"/>
      <c r="G414" s="131"/>
      <c r="H414" s="1"/>
      <c r="I414" s="1"/>
      <c r="J414" s="1"/>
      <c r="K414" s="1"/>
      <c r="L414" s="1"/>
      <c r="M414" s="1"/>
      <c r="N414" s="1"/>
      <c r="O414" s="1"/>
      <c r="P414" s="1"/>
      <c r="Q414" s="13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31"/>
      <c r="F415" s="131"/>
      <c r="G415" s="131"/>
      <c r="H415" s="1"/>
      <c r="I415" s="1"/>
      <c r="J415" s="1"/>
      <c r="K415" s="1"/>
      <c r="L415" s="1"/>
      <c r="M415" s="1"/>
      <c r="N415" s="1"/>
      <c r="O415" s="1"/>
      <c r="P415" s="1"/>
      <c r="Q415" s="13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31"/>
      <c r="F416" s="131"/>
      <c r="G416" s="131"/>
      <c r="H416" s="1"/>
      <c r="I416" s="1"/>
      <c r="J416" s="1"/>
      <c r="K416" s="1"/>
      <c r="L416" s="1"/>
      <c r="M416" s="1"/>
      <c r="N416" s="1"/>
      <c r="O416" s="1"/>
      <c r="P416" s="1"/>
      <c r="Q416" s="13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31"/>
      <c r="F417" s="131"/>
      <c r="G417" s="131"/>
      <c r="H417" s="1"/>
      <c r="I417" s="1"/>
      <c r="J417" s="1"/>
      <c r="K417" s="1"/>
      <c r="L417" s="1"/>
      <c r="M417" s="1"/>
      <c r="N417" s="1"/>
      <c r="O417" s="1"/>
      <c r="P417" s="1"/>
      <c r="Q417" s="13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31"/>
      <c r="F418" s="131"/>
      <c r="G418" s="131"/>
      <c r="H418" s="1"/>
      <c r="I418" s="1"/>
      <c r="J418" s="1"/>
      <c r="K418" s="1"/>
      <c r="L418" s="1"/>
      <c r="M418" s="1"/>
      <c r="N418" s="1"/>
      <c r="O418" s="1"/>
      <c r="P418" s="1"/>
      <c r="Q418" s="13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31"/>
      <c r="F419" s="131"/>
      <c r="G419" s="131"/>
      <c r="H419" s="1"/>
      <c r="I419" s="1"/>
      <c r="J419" s="1"/>
      <c r="K419" s="1"/>
      <c r="L419" s="1"/>
      <c r="M419" s="1"/>
      <c r="N419" s="1"/>
      <c r="O419" s="1"/>
      <c r="P419" s="1"/>
      <c r="Q419" s="13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31"/>
      <c r="F420" s="131"/>
      <c r="G420" s="131"/>
      <c r="H420" s="1"/>
      <c r="I420" s="1"/>
      <c r="J420" s="1"/>
      <c r="K420" s="1"/>
      <c r="L420" s="1"/>
      <c r="M420" s="1"/>
      <c r="N420" s="1"/>
      <c r="O420" s="1"/>
      <c r="P420" s="1"/>
      <c r="Q420" s="13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31"/>
      <c r="F421" s="131"/>
      <c r="G421" s="131"/>
      <c r="H421" s="1"/>
      <c r="I421" s="1"/>
      <c r="J421" s="1"/>
      <c r="K421" s="1"/>
      <c r="L421" s="1"/>
      <c r="M421" s="1"/>
      <c r="N421" s="1"/>
      <c r="O421" s="1"/>
      <c r="P421" s="1"/>
      <c r="Q421" s="13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31"/>
      <c r="F422" s="131"/>
      <c r="G422" s="131"/>
      <c r="H422" s="1"/>
      <c r="I422" s="1"/>
      <c r="J422" s="1"/>
      <c r="K422" s="1"/>
      <c r="L422" s="1"/>
      <c r="M422" s="1"/>
      <c r="N422" s="1"/>
      <c r="O422" s="1"/>
      <c r="P422" s="1"/>
      <c r="Q422" s="13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31"/>
      <c r="F423" s="131"/>
      <c r="G423" s="131"/>
      <c r="H423" s="1"/>
      <c r="I423" s="1"/>
      <c r="J423" s="1"/>
      <c r="K423" s="1"/>
      <c r="L423" s="1"/>
      <c r="M423" s="1"/>
      <c r="N423" s="1"/>
      <c r="O423" s="1"/>
      <c r="P423" s="1"/>
      <c r="Q423" s="13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31"/>
      <c r="F424" s="131"/>
      <c r="G424" s="131"/>
      <c r="H424" s="1"/>
      <c r="I424" s="1"/>
      <c r="J424" s="1"/>
      <c r="K424" s="1"/>
      <c r="L424" s="1"/>
      <c r="M424" s="1"/>
      <c r="N424" s="1"/>
      <c r="O424" s="1"/>
      <c r="P424" s="1"/>
      <c r="Q424" s="13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31"/>
      <c r="F425" s="131"/>
      <c r="G425" s="131"/>
      <c r="H425" s="1"/>
      <c r="I425" s="1"/>
      <c r="J425" s="1"/>
      <c r="K425" s="1"/>
      <c r="L425" s="1"/>
      <c r="M425" s="1"/>
      <c r="N425" s="1"/>
      <c r="O425" s="1"/>
      <c r="P425" s="1"/>
      <c r="Q425" s="13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31"/>
      <c r="F426" s="131"/>
      <c r="G426" s="131"/>
      <c r="H426" s="1"/>
      <c r="I426" s="1"/>
      <c r="J426" s="1"/>
      <c r="K426" s="1"/>
      <c r="L426" s="1"/>
      <c r="M426" s="1"/>
      <c r="N426" s="1"/>
      <c r="O426" s="1"/>
      <c r="P426" s="1"/>
      <c r="Q426" s="13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31"/>
      <c r="F427" s="131"/>
      <c r="G427" s="131"/>
      <c r="H427" s="1"/>
      <c r="I427" s="1"/>
      <c r="J427" s="1"/>
      <c r="K427" s="1"/>
      <c r="L427" s="1"/>
      <c r="M427" s="1"/>
      <c r="N427" s="1"/>
      <c r="O427" s="1"/>
      <c r="P427" s="1"/>
      <c r="Q427" s="13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31"/>
      <c r="F428" s="131"/>
      <c r="G428" s="131"/>
      <c r="H428" s="1"/>
      <c r="I428" s="1"/>
      <c r="J428" s="1"/>
      <c r="K428" s="1"/>
      <c r="L428" s="1"/>
      <c r="M428" s="1"/>
      <c r="N428" s="1"/>
      <c r="O428" s="1"/>
      <c r="P428" s="1"/>
      <c r="Q428" s="13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31"/>
      <c r="F429" s="131"/>
      <c r="G429" s="131"/>
      <c r="H429" s="1"/>
      <c r="I429" s="1"/>
      <c r="J429" s="1"/>
      <c r="K429" s="1"/>
      <c r="L429" s="1"/>
      <c r="M429" s="1"/>
      <c r="N429" s="1"/>
      <c r="O429" s="1"/>
      <c r="P429" s="1"/>
      <c r="Q429" s="13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31"/>
      <c r="F430" s="131"/>
      <c r="G430" s="131"/>
      <c r="H430" s="1"/>
      <c r="I430" s="1"/>
      <c r="J430" s="1"/>
      <c r="K430" s="1"/>
      <c r="L430" s="1"/>
      <c r="M430" s="1"/>
      <c r="N430" s="1"/>
      <c r="O430" s="1"/>
      <c r="P430" s="1"/>
      <c r="Q430" s="13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31"/>
      <c r="F431" s="131"/>
      <c r="G431" s="131"/>
      <c r="H431" s="1"/>
      <c r="I431" s="1"/>
      <c r="J431" s="1"/>
      <c r="K431" s="1"/>
      <c r="L431" s="1"/>
      <c r="M431" s="1"/>
      <c r="N431" s="1"/>
      <c r="O431" s="1"/>
      <c r="P431" s="1"/>
      <c r="Q431" s="13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31"/>
      <c r="F432" s="131"/>
      <c r="G432" s="131"/>
      <c r="H432" s="1"/>
      <c r="I432" s="1"/>
      <c r="J432" s="1"/>
      <c r="K432" s="1"/>
      <c r="L432" s="1"/>
      <c r="M432" s="1"/>
      <c r="N432" s="1"/>
      <c r="O432" s="1"/>
      <c r="P432" s="1"/>
      <c r="Q432" s="13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31"/>
      <c r="F433" s="131"/>
      <c r="G433" s="131"/>
      <c r="H433" s="1"/>
      <c r="I433" s="1"/>
      <c r="J433" s="1"/>
      <c r="K433" s="1"/>
      <c r="L433" s="1"/>
      <c r="M433" s="1"/>
      <c r="N433" s="1"/>
      <c r="O433" s="1"/>
      <c r="P433" s="1"/>
      <c r="Q433" s="13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31"/>
      <c r="F434" s="131"/>
      <c r="G434" s="131"/>
      <c r="H434" s="1"/>
      <c r="I434" s="1"/>
      <c r="J434" s="1"/>
      <c r="K434" s="1"/>
      <c r="L434" s="1"/>
      <c r="M434" s="1"/>
      <c r="N434" s="1"/>
      <c r="O434" s="1"/>
      <c r="P434" s="1"/>
      <c r="Q434" s="13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31"/>
      <c r="F435" s="131"/>
      <c r="G435" s="131"/>
      <c r="H435" s="1"/>
      <c r="I435" s="1"/>
      <c r="J435" s="1"/>
      <c r="K435" s="1"/>
      <c r="L435" s="1"/>
      <c r="M435" s="1"/>
      <c r="N435" s="1"/>
      <c r="O435" s="1"/>
      <c r="P435" s="1"/>
      <c r="Q435" s="13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31"/>
      <c r="F436" s="131"/>
      <c r="G436" s="131"/>
      <c r="H436" s="1"/>
      <c r="I436" s="1"/>
      <c r="J436" s="1"/>
      <c r="K436" s="1"/>
      <c r="L436" s="1"/>
      <c r="M436" s="1"/>
      <c r="N436" s="1"/>
      <c r="O436" s="1"/>
      <c r="P436" s="1"/>
      <c r="Q436" s="13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31"/>
      <c r="F437" s="131"/>
      <c r="G437" s="131"/>
      <c r="H437" s="1"/>
      <c r="I437" s="1"/>
      <c r="J437" s="1"/>
      <c r="K437" s="1"/>
      <c r="L437" s="1"/>
      <c r="M437" s="1"/>
      <c r="N437" s="1"/>
      <c r="O437" s="1"/>
      <c r="P437" s="1"/>
      <c r="Q437" s="13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31"/>
      <c r="F438" s="131"/>
      <c r="G438" s="131"/>
      <c r="H438" s="1"/>
      <c r="I438" s="1"/>
      <c r="J438" s="1"/>
      <c r="K438" s="1"/>
      <c r="L438" s="1"/>
      <c r="M438" s="1"/>
      <c r="N438" s="1"/>
      <c r="O438" s="1"/>
      <c r="P438" s="1"/>
      <c r="Q438" s="13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31"/>
      <c r="F439" s="131"/>
      <c r="G439" s="131"/>
      <c r="H439" s="1"/>
      <c r="I439" s="1"/>
      <c r="J439" s="1"/>
      <c r="K439" s="1"/>
      <c r="L439" s="1"/>
      <c r="M439" s="1"/>
      <c r="N439" s="1"/>
      <c r="O439" s="1"/>
      <c r="P439" s="1"/>
      <c r="Q439" s="13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31"/>
      <c r="F440" s="131"/>
      <c r="G440" s="131"/>
      <c r="H440" s="1"/>
      <c r="I440" s="1"/>
      <c r="J440" s="1"/>
      <c r="K440" s="1"/>
      <c r="L440" s="1"/>
      <c r="M440" s="1"/>
      <c r="N440" s="1"/>
      <c r="O440" s="1"/>
      <c r="P440" s="1"/>
      <c r="Q440" s="13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31"/>
      <c r="F441" s="131"/>
      <c r="G441" s="131"/>
      <c r="H441" s="1"/>
      <c r="I441" s="1"/>
      <c r="J441" s="1"/>
      <c r="K441" s="1"/>
      <c r="L441" s="1"/>
      <c r="M441" s="1"/>
      <c r="N441" s="1"/>
      <c r="O441" s="1"/>
      <c r="P441" s="1"/>
      <c r="Q441" s="13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31"/>
      <c r="F442" s="131"/>
      <c r="G442" s="131"/>
      <c r="H442" s="1"/>
      <c r="I442" s="1"/>
      <c r="J442" s="1"/>
      <c r="K442" s="1"/>
      <c r="L442" s="1"/>
      <c r="M442" s="1"/>
      <c r="N442" s="1"/>
      <c r="O442" s="1"/>
      <c r="P442" s="1"/>
      <c r="Q442" s="13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31"/>
      <c r="F443" s="131"/>
      <c r="G443" s="131"/>
      <c r="H443" s="1"/>
      <c r="I443" s="1"/>
      <c r="J443" s="1"/>
      <c r="K443" s="1"/>
      <c r="L443" s="1"/>
      <c r="M443" s="1"/>
      <c r="N443" s="1"/>
      <c r="O443" s="1"/>
      <c r="P443" s="1"/>
      <c r="Q443" s="13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31"/>
      <c r="F444" s="131"/>
      <c r="G444" s="131"/>
      <c r="H444" s="1"/>
      <c r="I444" s="1"/>
      <c r="J444" s="1"/>
      <c r="K444" s="1"/>
      <c r="L444" s="1"/>
      <c r="M444" s="1"/>
      <c r="N444" s="1"/>
      <c r="O444" s="1"/>
      <c r="P444" s="1"/>
      <c r="Q444" s="13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31"/>
      <c r="F445" s="131"/>
      <c r="G445" s="131"/>
      <c r="H445" s="1"/>
      <c r="I445" s="1"/>
      <c r="J445" s="1"/>
      <c r="K445" s="1"/>
      <c r="L445" s="1"/>
      <c r="M445" s="1"/>
      <c r="N445" s="1"/>
      <c r="O445" s="1"/>
      <c r="P445" s="1"/>
      <c r="Q445" s="13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31"/>
      <c r="F446" s="131"/>
      <c r="G446" s="131"/>
      <c r="H446" s="1"/>
      <c r="I446" s="1"/>
      <c r="J446" s="1"/>
      <c r="K446" s="1"/>
      <c r="L446" s="1"/>
      <c r="M446" s="1"/>
      <c r="N446" s="1"/>
      <c r="O446" s="1"/>
      <c r="P446" s="1"/>
      <c r="Q446" s="13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31"/>
      <c r="F447" s="131"/>
      <c r="G447" s="131"/>
      <c r="H447" s="1"/>
      <c r="I447" s="1"/>
      <c r="J447" s="1"/>
      <c r="K447" s="1"/>
      <c r="L447" s="1"/>
      <c r="M447" s="1"/>
      <c r="N447" s="1"/>
      <c r="O447" s="1"/>
      <c r="P447" s="1"/>
      <c r="Q447" s="13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31"/>
      <c r="F448" s="131"/>
      <c r="G448" s="131"/>
      <c r="H448" s="1"/>
      <c r="I448" s="1"/>
      <c r="J448" s="1"/>
      <c r="K448" s="1"/>
      <c r="L448" s="1"/>
      <c r="M448" s="1"/>
      <c r="N448" s="1"/>
      <c r="O448" s="1"/>
      <c r="P448" s="1"/>
      <c r="Q448" s="13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31"/>
      <c r="F449" s="131"/>
      <c r="G449" s="131"/>
      <c r="H449" s="1"/>
      <c r="I449" s="1"/>
      <c r="J449" s="1"/>
      <c r="K449" s="1"/>
      <c r="L449" s="1"/>
      <c r="M449" s="1"/>
      <c r="N449" s="1"/>
      <c r="O449" s="1"/>
      <c r="P449" s="1"/>
      <c r="Q449" s="13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31"/>
      <c r="F450" s="131"/>
      <c r="G450" s="131"/>
      <c r="H450" s="1"/>
      <c r="I450" s="1"/>
      <c r="J450" s="1"/>
      <c r="K450" s="1"/>
      <c r="L450" s="1"/>
      <c r="M450" s="1"/>
      <c r="N450" s="1"/>
      <c r="O450" s="1"/>
      <c r="P450" s="1"/>
      <c r="Q450" s="13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31"/>
      <c r="F451" s="131"/>
      <c r="G451" s="131"/>
      <c r="H451" s="1"/>
      <c r="I451" s="1"/>
      <c r="J451" s="1"/>
      <c r="K451" s="1"/>
      <c r="L451" s="1"/>
      <c r="M451" s="1"/>
      <c r="N451" s="1"/>
      <c r="O451" s="1"/>
      <c r="P451" s="1"/>
      <c r="Q451" s="13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31"/>
      <c r="F452" s="131"/>
      <c r="G452" s="131"/>
      <c r="H452" s="1"/>
      <c r="I452" s="1"/>
      <c r="J452" s="1"/>
      <c r="K452" s="1"/>
      <c r="L452" s="1"/>
      <c r="M452" s="1"/>
      <c r="N452" s="1"/>
      <c r="O452" s="1"/>
      <c r="P452" s="1"/>
      <c r="Q452" s="13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31"/>
      <c r="F453" s="131"/>
      <c r="G453" s="131"/>
      <c r="H453" s="1"/>
      <c r="I453" s="1"/>
      <c r="J453" s="1"/>
      <c r="K453" s="1"/>
      <c r="L453" s="1"/>
      <c r="M453" s="1"/>
      <c r="N453" s="1"/>
      <c r="O453" s="1"/>
      <c r="P453" s="1"/>
      <c r="Q453" s="13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31"/>
      <c r="F454" s="131"/>
      <c r="G454" s="131"/>
      <c r="H454" s="1"/>
      <c r="I454" s="1"/>
      <c r="J454" s="1"/>
      <c r="K454" s="1"/>
      <c r="L454" s="1"/>
      <c r="M454" s="1"/>
      <c r="N454" s="1"/>
      <c r="O454" s="1"/>
      <c r="P454" s="1"/>
      <c r="Q454" s="13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31"/>
      <c r="F455" s="131"/>
      <c r="G455" s="131"/>
      <c r="H455" s="1"/>
      <c r="I455" s="1"/>
      <c r="J455" s="1"/>
      <c r="K455" s="1"/>
      <c r="L455" s="1"/>
      <c r="M455" s="1"/>
      <c r="N455" s="1"/>
      <c r="O455" s="1"/>
      <c r="P455" s="1"/>
      <c r="Q455" s="13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31"/>
      <c r="F456" s="131"/>
      <c r="G456" s="131"/>
      <c r="H456" s="1"/>
      <c r="I456" s="1"/>
      <c r="J456" s="1"/>
      <c r="K456" s="1"/>
      <c r="L456" s="1"/>
      <c r="M456" s="1"/>
      <c r="N456" s="1"/>
      <c r="O456" s="1"/>
      <c r="P456" s="1"/>
      <c r="Q456" s="13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31"/>
      <c r="F457" s="131"/>
      <c r="G457" s="131"/>
      <c r="H457" s="1"/>
      <c r="I457" s="1"/>
      <c r="J457" s="1"/>
      <c r="K457" s="1"/>
      <c r="L457" s="1"/>
      <c r="M457" s="1"/>
      <c r="N457" s="1"/>
      <c r="O457" s="1"/>
      <c r="P457" s="1"/>
      <c r="Q457" s="13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31"/>
      <c r="F458" s="131"/>
      <c r="G458" s="131"/>
      <c r="H458" s="1"/>
      <c r="I458" s="1"/>
      <c r="J458" s="1"/>
      <c r="K458" s="1"/>
      <c r="L458" s="1"/>
      <c r="M458" s="1"/>
      <c r="N458" s="1"/>
      <c r="O458" s="1"/>
      <c r="P458" s="1"/>
      <c r="Q458" s="13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31"/>
      <c r="F459" s="131"/>
      <c r="G459" s="131"/>
      <c r="H459" s="1"/>
      <c r="I459" s="1"/>
      <c r="J459" s="1"/>
      <c r="K459" s="1"/>
      <c r="L459" s="1"/>
      <c r="M459" s="1"/>
      <c r="N459" s="1"/>
      <c r="O459" s="1"/>
      <c r="P459" s="1"/>
      <c r="Q459" s="13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31"/>
      <c r="F460" s="131"/>
      <c r="G460" s="131"/>
      <c r="H460" s="1"/>
      <c r="I460" s="1"/>
      <c r="J460" s="1"/>
      <c r="K460" s="1"/>
      <c r="L460" s="1"/>
      <c r="M460" s="1"/>
      <c r="N460" s="1"/>
      <c r="O460" s="1"/>
      <c r="P460" s="1"/>
      <c r="Q460" s="13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31"/>
      <c r="F461" s="131"/>
      <c r="G461" s="131"/>
      <c r="H461" s="1"/>
      <c r="I461" s="1"/>
      <c r="J461" s="1"/>
      <c r="K461" s="1"/>
      <c r="L461" s="1"/>
      <c r="M461" s="1"/>
      <c r="N461" s="1"/>
      <c r="O461" s="1"/>
      <c r="P461" s="1"/>
      <c r="Q461" s="13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31"/>
      <c r="F462" s="131"/>
      <c r="G462" s="131"/>
      <c r="H462" s="1"/>
      <c r="I462" s="1"/>
      <c r="J462" s="1"/>
      <c r="K462" s="1"/>
      <c r="L462" s="1"/>
      <c r="M462" s="1"/>
      <c r="N462" s="1"/>
      <c r="O462" s="1"/>
      <c r="P462" s="1"/>
      <c r="Q462" s="13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31"/>
      <c r="F463" s="131"/>
      <c r="G463" s="131"/>
      <c r="H463" s="1"/>
      <c r="I463" s="1"/>
      <c r="J463" s="1"/>
      <c r="K463" s="1"/>
      <c r="L463" s="1"/>
      <c r="M463" s="1"/>
      <c r="N463" s="1"/>
      <c r="O463" s="1"/>
      <c r="P463" s="1"/>
      <c r="Q463" s="13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31"/>
      <c r="F464" s="131"/>
      <c r="G464" s="131"/>
      <c r="H464" s="1"/>
      <c r="I464" s="1"/>
      <c r="J464" s="1"/>
      <c r="K464" s="1"/>
      <c r="L464" s="1"/>
      <c r="M464" s="1"/>
      <c r="N464" s="1"/>
      <c r="O464" s="1"/>
      <c r="P464" s="1"/>
      <c r="Q464" s="13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31"/>
      <c r="F465" s="131"/>
      <c r="G465" s="131"/>
      <c r="H465" s="1"/>
      <c r="I465" s="1"/>
      <c r="J465" s="1"/>
      <c r="K465" s="1"/>
      <c r="L465" s="1"/>
      <c r="M465" s="1"/>
      <c r="N465" s="1"/>
      <c r="O465" s="1"/>
      <c r="P465" s="1"/>
      <c r="Q465" s="13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31"/>
      <c r="F466" s="131"/>
      <c r="G466" s="131"/>
      <c r="H466" s="1"/>
      <c r="I466" s="1"/>
      <c r="J466" s="1"/>
      <c r="K466" s="1"/>
      <c r="L466" s="1"/>
      <c r="M466" s="1"/>
      <c r="N466" s="1"/>
      <c r="O466" s="1"/>
      <c r="P466" s="1"/>
      <c r="Q466" s="13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31"/>
      <c r="F467" s="131"/>
      <c r="G467" s="131"/>
      <c r="H467" s="1"/>
      <c r="I467" s="1"/>
      <c r="J467" s="1"/>
      <c r="K467" s="1"/>
      <c r="L467" s="1"/>
      <c r="M467" s="1"/>
      <c r="N467" s="1"/>
      <c r="O467" s="1"/>
      <c r="P467" s="1"/>
      <c r="Q467" s="13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31"/>
      <c r="F468" s="131"/>
      <c r="G468" s="131"/>
      <c r="H468" s="1"/>
      <c r="I468" s="1"/>
      <c r="J468" s="1"/>
      <c r="K468" s="1"/>
      <c r="L468" s="1"/>
      <c r="M468" s="1"/>
      <c r="N468" s="1"/>
      <c r="O468" s="1"/>
      <c r="P468" s="1"/>
      <c r="Q468" s="13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31"/>
      <c r="F469" s="131"/>
      <c r="G469" s="131"/>
      <c r="H469" s="1"/>
      <c r="I469" s="1"/>
      <c r="J469" s="1"/>
      <c r="K469" s="1"/>
      <c r="L469" s="1"/>
      <c r="M469" s="1"/>
      <c r="N469" s="1"/>
      <c r="O469" s="1"/>
      <c r="P469" s="1"/>
      <c r="Q469" s="13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31"/>
      <c r="F470" s="131"/>
      <c r="G470" s="131"/>
      <c r="H470" s="1"/>
      <c r="I470" s="1"/>
      <c r="J470" s="1"/>
      <c r="K470" s="1"/>
      <c r="L470" s="1"/>
      <c r="M470" s="1"/>
      <c r="N470" s="1"/>
      <c r="O470" s="1"/>
      <c r="P470" s="1"/>
      <c r="Q470" s="13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31"/>
      <c r="F471" s="131"/>
      <c r="G471" s="131"/>
      <c r="H471" s="1"/>
      <c r="I471" s="1"/>
      <c r="J471" s="1"/>
      <c r="K471" s="1"/>
      <c r="L471" s="1"/>
      <c r="M471" s="1"/>
      <c r="N471" s="1"/>
      <c r="O471" s="1"/>
      <c r="P471" s="1"/>
      <c r="Q471" s="13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31"/>
      <c r="F472" s="131"/>
      <c r="G472" s="131"/>
      <c r="H472" s="1"/>
      <c r="I472" s="1"/>
      <c r="J472" s="1"/>
      <c r="K472" s="1"/>
      <c r="L472" s="1"/>
      <c r="M472" s="1"/>
      <c r="N472" s="1"/>
      <c r="O472" s="1"/>
      <c r="P472" s="1"/>
      <c r="Q472" s="13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31"/>
      <c r="F473" s="131"/>
      <c r="G473" s="131"/>
      <c r="H473" s="1"/>
      <c r="I473" s="1"/>
      <c r="J473" s="1"/>
      <c r="K473" s="1"/>
      <c r="L473" s="1"/>
      <c r="M473" s="1"/>
      <c r="N473" s="1"/>
      <c r="O473" s="1"/>
      <c r="P473" s="1"/>
      <c r="Q473" s="13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31"/>
      <c r="F474" s="131"/>
      <c r="G474" s="131"/>
      <c r="H474" s="1"/>
      <c r="I474" s="1"/>
      <c r="J474" s="1"/>
      <c r="K474" s="1"/>
      <c r="L474" s="1"/>
      <c r="M474" s="1"/>
      <c r="N474" s="1"/>
      <c r="O474" s="1"/>
      <c r="P474" s="1"/>
      <c r="Q474" s="13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31"/>
      <c r="F475" s="131"/>
      <c r="G475" s="131"/>
      <c r="H475" s="1"/>
      <c r="I475" s="1"/>
      <c r="J475" s="1"/>
      <c r="K475" s="1"/>
      <c r="L475" s="1"/>
      <c r="M475" s="1"/>
      <c r="N475" s="1"/>
      <c r="O475" s="1"/>
      <c r="P475" s="1"/>
      <c r="Q475" s="13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31"/>
      <c r="F476" s="131"/>
      <c r="G476" s="131"/>
      <c r="H476" s="1"/>
      <c r="I476" s="1"/>
      <c r="J476" s="1"/>
      <c r="K476" s="1"/>
      <c r="L476" s="1"/>
      <c r="M476" s="1"/>
      <c r="N476" s="1"/>
      <c r="O476" s="1"/>
      <c r="P476" s="1"/>
      <c r="Q476" s="13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31"/>
      <c r="F477" s="131"/>
      <c r="G477" s="131"/>
      <c r="H477" s="1"/>
      <c r="I477" s="1"/>
      <c r="J477" s="1"/>
      <c r="K477" s="1"/>
      <c r="L477" s="1"/>
      <c r="M477" s="1"/>
      <c r="N477" s="1"/>
      <c r="O477" s="1"/>
      <c r="P477" s="1"/>
      <c r="Q477" s="13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31"/>
      <c r="F478" s="131"/>
      <c r="G478" s="131"/>
      <c r="H478" s="1"/>
      <c r="I478" s="1"/>
      <c r="J478" s="1"/>
      <c r="K478" s="1"/>
      <c r="L478" s="1"/>
      <c r="M478" s="1"/>
      <c r="N478" s="1"/>
      <c r="O478" s="1"/>
      <c r="P478" s="1"/>
      <c r="Q478" s="13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31"/>
      <c r="F479" s="131"/>
      <c r="G479" s="131"/>
      <c r="H479" s="1"/>
      <c r="I479" s="1"/>
      <c r="J479" s="1"/>
      <c r="K479" s="1"/>
      <c r="L479" s="1"/>
      <c r="M479" s="1"/>
      <c r="N479" s="1"/>
      <c r="O479" s="1"/>
      <c r="P479" s="1"/>
      <c r="Q479" s="13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31"/>
      <c r="F480" s="131"/>
      <c r="G480" s="131"/>
      <c r="H480" s="1"/>
      <c r="I480" s="1"/>
      <c r="J480" s="1"/>
      <c r="K480" s="1"/>
      <c r="L480" s="1"/>
      <c r="M480" s="1"/>
      <c r="N480" s="1"/>
      <c r="O480" s="1"/>
      <c r="P480" s="1"/>
      <c r="Q480" s="13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31"/>
      <c r="F481" s="131"/>
      <c r="G481" s="131"/>
      <c r="H481" s="1"/>
      <c r="I481" s="1"/>
      <c r="J481" s="1"/>
      <c r="K481" s="1"/>
      <c r="L481" s="1"/>
      <c r="M481" s="1"/>
      <c r="N481" s="1"/>
      <c r="O481" s="1"/>
      <c r="P481" s="1"/>
      <c r="Q481" s="13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31"/>
      <c r="F482" s="131"/>
      <c r="G482" s="131"/>
      <c r="H482" s="1"/>
      <c r="I482" s="1"/>
      <c r="J482" s="1"/>
      <c r="K482" s="1"/>
      <c r="L482" s="1"/>
      <c r="M482" s="1"/>
      <c r="N482" s="1"/>
      <c r="O482" s="1"/>
      <c r="P482" s="1"/>
      <c r="Q482" s="13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31"/>
      <c r="F483" s="131"/>
      <c r="G483" s="131"/>
      <c r="H483" s="1"/>
      <c r="I483" s="1"/>
      <c r="J483" s="1"/>
      <c r="K483" s="1"/>
      <c r="L483" s="1"/>
      <c r="M483" s="1"/>
      <c r="N483" s="1"/>
      <c r="O483" s="1"/>
      <c r="P483" s="1"/>
      <c r="Q483" s="13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31"/>
      <c r="F484" s="131"/>
      <c r="G484" s="131"/>
      <c r="H484" s="1"/>
      <c r="I484" s="1"/>
      <c r="J484" s="1"/>
      <c r="K484" s="1"/>
      <c r="L484" s="1"/>
      <c r="M484" s="1"/>
      <c r="N484" s="1"/>
      <c r="O484" s="1"/>
      <c r="P484" s="1"/>
      <c r="Q484" s="13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31"/>
      <c r="F485" s="131"/>
      <c r="G485" s="131"/>
      <c r="H485" s="1"/>
      <c r="I485" s="1"/>
      <c r="J485" s="1"/>
      <c r="K485" s="1"/>
      <c r="L485" s="1"/>
      <c r="M485" s="1"/>
      <c r="N485" s="1"/>
      <c r="O485" s="1"/>
      <c r="P485" s="1"/>
      <c r="Q485" s="13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31"/>
      <c r="F486" s="131"/>
      <c r="G486" s="131"/>
      <c r="H486" s="1"/>
      <c r="I486" s="1"/>
      <c r="J486" s="1"/>
      <c r="K486" s="1"/>
      <c r="L486" s="1"/>
      <c r="M486" s="1"/>
      <c r="N486" s="1"/>
      <c r="O486" s="1"/>
      <c r="P486" s="1"/>
      <c r="Q486" s="13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31"/>
      <c r="F487" s="131"/>
      <c r="G487" s="131"/>
      <c r="H487" s="1"/>
      <c r="I487" s="1"/>
      <c r="J487" s="1"/>
      <c r="K487" s="1"/>
      <c r="L487" s="1"/>
      <c r="M487" s="1"/>
      <c r="N487" s="1"/>
      <c r="O487" s="1"/>
      <c r="P487" s="1"/>
      <c r="Q487" s="13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31"/>
      <c r="F488" s="131"/>
      <c r="G488" s="131"/>
      <c r="H488" s="1"/>
      <c r="I488" s="1"/>
      <c r="J488" s="1"/>
      <c r="K488" s="1"/>
      <c r="L488" s="1"/>
      <c r="M488" s="1"/>
      <c r="N488" s="1"/>
      <c r="O488" s="1"/>
      <c r="P488" s="1"/>
      <c r="Q488" s="13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31"/>
      <c r="F489" s="131"/>
      <c r="G489" s="131"/>
      <c r="H489" s="1"/>
      <c r="I489" s="1"/>
      <c r="J489" s="1"/>
      <c r="K489" s="1"/>
      <c r="L489" s="1"/>
      <c r="M489" s="1"/>
      <c r="N489" s="1"/>
      <c r="O489" s="1"/>
      <c r="P489" s="1"/>
      <c r="Q489" s="13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31"/>
      <c r="F490" s="131"/>
      <c r="G490" s="131"/>
      <c r="H490" s="1"/>
      <c r="I490" s="1"/>
      <c r="J490" s="1"/>
      <c r="K490" s="1"/>
      <c r="L490" s="1"/>
      <c r="M490" s="1"/>
      <c r="N490" s="1"/>
      <c r="O490" s="1"/>
      <c r="P490" s="1"/>
      <c r="Q490" s="13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31"/>
      <c r="F491" s="131"/>
      <c r="G491" s="131"/>
      <c r="H491" s="1"/>
      <c r="I491" s="1"/>
      <c r="J491" s="1"/>
      <c r="K491" s="1"/>
      <c r="L491" s="1"/>
      <c r="M491" s="1"/>
      <c r="N491" s="1"/>
      <c r="O491" s="1"/>
      <c r="P491" s="1"/>
      <c r="Q491" s="13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31"/>
      <c r="F492" s="131"/>
      <c r="G492" s="131"/>
      <c r="H492" s="1"/>
      <c r="I492" s="1"/>
      <c r="J492" s="1"/>
      <c r="K492" s="1"/>
      <c r="L492" s="1"/>
      <c r="M492" s="1"/>
      <c r="N492" s="1"/>
      <c r="O492" s="1"/>
      <c r="P492" s="1"/>
      <c r="Q492" s="13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31"/>
      <c r="F493" s="131"/>
      <c r="G493" s="131"/>
      <c r="H493" s="1"/>
      <c r="I493" s="1"/>
      <c r="J493" s="1"/>
      <c r="K493" s="1"/>
      <c r="L493" s="1"/>
      <c r="M493" s="1"/>
      <c r="N493" s="1"/>
      <c r="O493" s="1"/>
      <c r="P493" s="1"/>
      <c r="Q493" s="13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31"/>
      <c r="F494" s="131"/>
      <c r="G494" s="131"/>
      <c r="H494" s="1"/>
      <c r="I494" s="1"/>
      <c r="J494" s="1"/>
      <c r="K494" s="1"/>
      <c r="L494" s="1"/>
      <c r="M494" s="1"/>
      <c r="N494" s="1"/>
      <c r="O494" s="1"/>
      <c r="P494" s="1"/>
      <c r="Q494" s="13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31"/>
      <c r="F495" s="131"/>
      <c r="G495" s="131"/>
      <c r="H495" s="1"/>
      <c r="I495" s="1"/>
      <c r="J495" s="1"/>
      <c r="K495" s="1"/>
      <c r="L495" s="1"/>
      <c r="M495" s="1"/>
      <c r="N495" s="1"/>
      <c r="O495" s="1"/>
      <c r="P495" s="1"/>
      <c r="Q495" s="13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31"/>
      <c r="F496" s="131"/>
      <c r="G496" s="131"/>
      <c r="H496" s="1"/>
      <c r="I496" s="1"/>
      <c r="J496" s="1"/>
      <c r="K496" s="1"/>
      <c r="L496" s="1"/>
      <c r="M496" s="1"/>
      <c r="N496" s="1"/>
      <c r="O496" s="1"/>
      <c r="P496" s="1"/>
      <c r="Q496" s="13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31"/>
      <c r="F497" s="131"/>
      <c r="G497" s="131"/>
      <c r="H497" s="1"/>
      <c r="I497" s="1"/>
      <c r="J497" s="1"/>
      <c r="K497" s="1"/>
      <c r="L497" s="1"/>
      <c r="M497" s="1"/>
      <c r="N497" s="1"/>
      <c r="O497" s="1"/>
      <c r="P497" s="1"/>
      <c r="Q497" s="13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31"/>
      <c r="F498" s="131"/>
      <c r="G498" s="131"/>
      <c r="H498" s="1"/>
      <c r="I498" s="1"/>
      <c r="J498" s="1"/>
      <c r="K498" s="1"/>
      <c r="L498" s="1"/>
      <c r="M498" s="1"/>
      <c r="N498" s="1"/>
      <c r="O498" s="1"/>
      <c r="P498" s="1"/>
      <c r="Q498" s="13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31"/>
      <c r="F499" s="131"/>
      <c r="G499" s="131"/>
      <c r="H499" s="1"/>
      <c r="I499" s="1"/>
      <c r="J499" s="1"/>
      <c r="K499" s="1"/>
      <c r="L499" s="1"/>
      <c r="M499" s="1"/>
      <c r="N499" s="1"/>
      <c r="O499" s="1"/>
      <c r="P499" s="1"/>
      <c r="Q499" s="13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31"/>
      <c r="F500" s="131"/>
      <c r="G500" s="131"/>
      <c r="H500" s="1"/>
      <c r="I500" s="1"/>
      <c r="J500" s="1"/>
      <c r="K500" s="1"/>
      <c r="L500" s="1"/>
      <c r="M500" s="1"/>
      <c r="N500" s="1"/>
      <c r="O500" s="1"/>
      <c r="P500" s="1"/>
      <c r="Q500" s="13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31"/>
      <c r="F501" s="131"/>
      <c r="G501" s="131"/>
      <c r="H501" s="1"/>
      <c r="I501" s="1"/>
      <c r="J501" s="1"/>
      <c r="K501" s="1"/>
      <c r="L501" s="1"/>
      <c r="M501" s="1"/>
      <c r="N501" s="1"/>
      <c r="O501" s="1"/>
      <c r="P501" s="1"/>
      <c r="Q501" s="13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31"/>
      <c r="F502" s="131"/>
      <c r="G502" s="131"/>
      <c r="H502" s="1"/>
      <c r="I502" s="1"/>
      <c r="J502" s="1"/>
      <c r="K502" s="1"/>
      <c r="L502" s="1"/>
      <c r="M502" s="1"/>
      <c r="N502" s="1"/>
      <c r="O502" s="1"/>
      <c r="P502" s="1"/>
      <c r="Q502" s="13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31"/>
      <c r="F503" s="131"/>
      <c r="G503" s="131"/>
      <c r="H503" s="1"/>
      <c r="I503" s="1"/>
      <c r="J503" s="1"/>
      <c r="K503" s="1"/>
      <c r="L503" s="1"/>
      <c r="M503" s="1"/>
      <c r="N503" s="1"/>
      <c r="O503" s="1"/>
      <c r="P503" s="1"/>
      <c r="Q503" s="13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31"/>
      <c r="F504" s="131"/>
      <c r="G504" s="131"/>
      <c r="H504" s="1"/>
      <c r="I504" s="1"/>
      <c r="J504" s="1"/>
      <c r="K504" s="1"/>
      <c r="L504" s="1"/>
      <c r="M504" s="1"/>
      <c r="N504" s="1"/>
      <c r="O504" s="1"/>
      <c r="P504" s="1"/>
      <c r="Q504" s="13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31"/>
      <c r="F505" s="131"/>
      <c r="G505" s="131"/>
      <c r="H505" s="1"/>
      <c r="I505" s="1"/>
      <c r="J505" s="1"/>
      <c r="K505" s="1"/>
      <c r="L505" s="1"/>
      <c r="M505" s="1"/>
      <c r="N505" s="1"/>
      <c r="O505" s="1"/>
      <c r="P505" s="1"/>
      <c r="Q505" s="13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31"/>
      <c r="F506" s="131"/>
      <c r="G506" s="131"/>
      <c r="H506" s="1"/>
      <c r="I506" s="1"/>
      <c r="J506" s="1"/>
      <c r="K506" s="1"/>
      <c r="L506" s="1"/>
      <c r="M506" s="1"/>
      <c r="N506" s="1"/>
      <c r="O506" s="1"/>
      <c r="P506" s="1"/>
      <c r="Q506" s="13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31"/>
      <c r="F507" s="131"/>
      <c r="G507" s="131"/>
      <c r="H507" s="1"/>
      <c r="I507" s="1"/>
      <c r="J507" s="1"/>
      <c r="K507" s="1"/>
      <c r="L507" s="1"/>
      <c r="M507" s="1"/>
      <c r="N507" s="1"/>
      <c r="O507" s="1"/>
      <c r="P507" s="1"/>
      <c r="Q507" s="13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31"/>
      <c r="F508" s="131"/>
      <c r="G508" s="131"/>
      <c r="H508" s="1"/>
      <c r="I508" s="1"/>
      <c r="J508" s="1"/>
      <c r="K508" s="1"/>
      <c r="L508" s="1"/>
      <c r="M508" s="1"/>
      <c r="N508" s="1"/>
      <c r="O508" s="1"/>
      <c r="P508" s="1"/>
      <c r="Q508" s="13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31"/>
      <c r="F509" s="131"/>
      <c r="G509" s="131"/>
      <c r="H509" s="1"/>
      <c r="I509" s="1"/>
      <c r="J509" s="1"/>
      <c r="K509" s="1"/>
      <c r="L509" s="1"/>
      <c r="M509" s="1"/>
      <c r="N509" s="1"/>
      <c r="O509" s="1"/>
      <c r="P509" s="1"/>
      <c r="Q509" s="13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31"/>
      <c r="F510" s="131"/>
      <c r="G510" s="131"/>
      <c r="H510" s="1"/>
      <c r="I510" s="1"/>
      <c r="J510" s="1"/>
      <c r="K510" s="1"/>
      <c r="L510" s="1"/>
      <c r="M510" s="1"/>
      <c r="N510" s="1"/>
      <c r="O510" s="1"/>
      <c r="P510" s="1"/>
      <c r="Q510" s="13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31"/>
      <c r="F511" s="131"/>
      <c r="G511" s="131"/>
      <c r="H511" s="1"/>
      <c r="I511" s="1"/>
      <c r="J511" s="1"/>
      <c r="K511" s="1"/>
      <c r="L511" s="1"/>
      <c r="M511" s="1"/>
      <c r="N511" s="1"/>
      <c r="O511" s="1"/>
      <c r="P511" s="1"/>
      <c r="Q511" s="13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31"/>
      <c r="F512" s="131"/>
      <c r="G512" s="131"/>
      <c r="H512" s="1"/>
      <c r="I512" s="1"/>
      <c r="J512" s="1"/>
      <c r="K512" s="1"/>
      <c r="L512" s="1"/>
      <c r="M512" s="1"/>
      <c r="N512" s="1"/>
      <c r="O512" s="1"/>
      <c r="P512" s="1"/>
      <c r="Q512" s="13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31"/>
      <c r="F513" s="131"/>
      <c r="G513" s="131"/>
      <c r="H513" s="1"/>
      <c r="I513" s="1"/>
      <c r="J513" s="1"/>
      <c r="K513" s="1"/>
      <c r="L513" s="1"/>
      <c r="M513" s="1"/>
      <c r="N513" s="1"/>
      <c r="O513" s="1"/>
      <c r="P513" s="1"/>
      <c r="Q513" s="13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31"/>
      <c r="F514" s="131"/>
      <c r="G514" s="131"/>
      <c r="H514" s="1"/>
      <c r="I514" s="1"/>
      <c r="J514" s="1"/>
      <c r="K514" s="1"/>
      <c r="L514" s="1"/>
      <c r="M514" s="1"/>
      <c r="N514" s="1"/>
      <c r="O514" s="1"/>
      <c r="P514" s="1"/>
      <c r="Q514" s="13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31"/>
      <c r="F515" s="131"/>
      <c r="G515" s="131"/>
      <c r="H515" s="1"/>
      <c r="I515" s="1"/>
      <c r="J515" s="1"/>
      <c r="K515" s="1"/>
      <c r="L515" s="1"/>
      <c r="M515" s="1"/>
      <c r="N515" s="1"/>
      <c r="O515" s="1"/>
      <c r="P515" s="1"/>
      <c r="Q515" s="13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31"/>
      <c r="F516" s="131"/>
      <c r="G516" s="131"/>
      <c r="H516" s="1"/>
      <c r="I516" s="1"/>
      <c r="J516" s="1"/>
      <c r="K516" s="1"/>
      <c r="L516" s="1"/>
      <c r="M516" s="1"/>
      <c r="N516" s="1"/>
      <c r="O516" s="1"/>
      <c r="P516" s="1"/>
      <c r="Q516" s="13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31"/>
      <c r="F517" s="131"/>
      <c r="G517" s="131"/>
      <c r="H517" s="1"/>
      <c r="I517" s="1"/>
      <c r="J517" s="1"/>
      <c r="K517" s="1"/>
      <c r="L517" s="1"/>
      <c r="M517" s="1"/>
      <c r="N517" s="1"/>
      <c r="O517" s="1"/>
      <c r="P517" s="1"/>
      <c r="Q517" s="13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31"/>
      <c r="F518" s="131"/>
      <c r="G518" s="131"/>
      <c r="H518" s="1"/>
      <c r="I518" s="1"/>
      <c r="J518" s="1"/>
      <c r="K518" s="1"/>
      <c r="L518" s="1"/>
      <c r="M518" s="1"/>
      <c r="N518" s="1"/>
      <c r="O518" s="1"/>
      <c r="P518" s="1"/>
      <c r="Q518" s="13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31"/>
      <c r="F519" s="131"/>
      <c r="G519" s="131"/>
      <c r="H519" s="1"/>
      <c r="I519" s="1"/>
      <c r="J519" s="1"/>
      <c r="K519" s="1"/>
      <c r="L519" s="1"/>
      <c r="M519" s="1"/>
      <c r="N519" s="1"/>
      <c r="O519" s="1"/>
      <c r="P519" s="1"/>
      <c r="Q519" s="13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31"/>
      <c r="F520" s="131"/>
      <c r="G520" s="131"/>
      <c r="H520" s="1"/>
      <c r="I520" s="1"/>
      <c r="J520" s="1"/>
      <c r="K520" s="1"/>
      <c r="L520" s="1"/>
      <c r="M520" s="1"/>
      <c r="N520" s="1"/>
      <c r="O520" s="1"/>
      <c r="P520" s="1"/>
      <c r="Q520" s="13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31"/>
      <c r="F521" s="131"/>
      <c r="G521" s="131"/>
      <c r="H521" s="1"/>
      <c r="I521" s="1"/>
      <c r="J521" s="1"/>
      <c r="K521" s="1"/>
      <c r="L521" s="1"/>
      <c r="M521" s="1"/>
      <c r="N521" s="1"/>
      <c r="O521" s="1"/>
      <c r="P521" s="1"/>
      <c r="Q521" s="13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31"/>
      <c r="F522" s="131"/>
      <c r="G522" s="131"/>
      <c r="H522" s="1"/>
      <c r="I522" s="1"/>
      <c r="J522" s="1"/>
      <c r="K522" s="1"/>
      <c r="L522" s="1"/>
      <c r="M522" s="1"/>
      <c r="N522" s="1"/>
      <c r="O522" s="1"/>
      <c r="P522" s="1"/>
      <c r="Q522" s="13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31"/>
      <c r="F523" s="131"/>
      <c r="G523" s="131"/>
      <c r="H523" s="1"/>
      <c r="I523" s="1"/>
      <c r="J523" s="1"/>
      <c r="K523" s="1"/>
      <c r="L523" s="1"/>
      <c r="M523" s="1"/>
      <c r="N523" s="1"/>
      <c r="O523" s="1"/>
      <c r="P523" s="1"/>
      <c r="Q523" s="13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31"/>
      <c r="F524" s="131"/>
      <c r="G524" s="131"/>
      <c r="H524" s="1"/>
      <c r="I524" s="1"/>
      <c r="J524" s="1"/>
      <c r="K524" s="1"/>
      <c r="L524" s="1"/>
      <c r="M524" s="1"/>
      <c r="N524" s="1"/>
      <c r="O524" s="1"/>
      <c r="P524" s="1"/>
      <c r="Q524" s="13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31"/>
      <c r="F525" s="131"/>
      <c r="G525" s="131"/>
      <c r="H525" s="1"/>
      <c r="I525" s="1"/>
      <c r="J525" s="1"/>
      <c r="K525" s="1"/>
      <c r="L525" s="1"/>
      <c r="M525" s="1"/>
      <c r="N525" s="1"/>
      <c r="O525" s="1"/>
      <c r="P525" s="1"/>
      <c r="Q525" s="13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31"/>
      <c r="F526" s="131"/>
      <c r="G526" s="131"/>
      <c r="H526" s="1"/>
      <c r="I526" s="1"/>
      <c r="J526" s="1"/>
      <c r="K526" s="1"/>
      <c r="L526" s="1"/>
      <c r="M526" s="1"/>
      <c r="N526" s="1"/>
      <c r="O526" s="1"/>
      <c r="P526" s="1"/>
      <c r="Q526" s="13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31"/>
      <c r="F527" s="131"/>
      <c r="G527" s="131"/>
      <c r="H527" s="1"/>
      <c r="I527" s="1"/>
      <c r="J527" s="1"/>
      <c r="K527" s="1"/>
      <c r="L527" s="1"/>
      <c r="M527" s="1"/>
      <c r="N527" s="1"/>
      <c r="O527" s="1"/>
      <c r="P527" s="1"/>
      <c r="Q527" s="13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31"/>
      <c r="F528" s="131"/>
      <c r="G528" s="131"/>
      <c r="H528" s="1"/>
      <c r="I528" s="1"/>
      <c r="J528" s="1"/>
      <c r="K528" s="1"/>
      <c r="L528" s="1"/>
      <c r="M528" s="1"/>
      <c r="N528" s="1"/>
      <c r="O528" s="1"/>
      <c r="P528" s="1"/>
      <c r="Q528" s="13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31"/>
      <c r="F529" s="131"/>
      <c r="G529" s="131"/>
      <c r="H529" s="1"/>
      <c r="I529" s="1"/>
      <c r="J529" s="1"/>
      <c r="K529" s="1"/>
      <c r="L529" s="1"/>
      <c r="M529" s="1"/>
      <c r="N529" s="1"/>
      <c r="O529" s="1"/>
      <c r="P529" s="1"/>
      <c r="Q529" s="13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31"/>
      <c r="F530" s="131"/>
      <c r="G530" s="131"/>
      <c r="H530" s="1"/>
      <c r="I530" s="1"/>
      <c r="J530" s="1"/>
      <c r="K530" s="1"/>
      <c r="L530" s="1"/>
      <c r="M530" s="1"/>
      <c r="N530" s="1"/>
      <c r="O530" s="1"/>
      <c r="P530" s="1"/>
      <c r="Q530" s="13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31"/>
      <c r="F531" s="131"/>
      <c r="G531" s="131"/>
      <c r="H531" s="1"/>
      <c r="I531" s="1"/>
      <c r="J531" s="1"/>
      <c r="K531" s="1"/>
      <c r="L531" s="1"/>
      <c r="M531" s="1"/>
      <c r="N531" s="1"/>
      <c r="O531" s="1"/>
      <c r="P531" s="1"/>
      <c r="Q531" s="13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31"/>
      <c r="F532" s="131"/>
      <c r="G532" s="131"/>
      <c r="H532" s="1"/>
      <c r="I532" s="1"/>
      <c r="J532" s="1"/>
      <c r="K532" s="1"/>
      <c r="L532" s="1"/>
      <c r="M532" s="1"/>
      <c r="N532" s="1"/>
      <c r="O532" s="1"/>
      <c r="P532" s="1"/>
      <c r="Q532" s="13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31"/>
      <c r="F533" s="131"/>
      <c r="G533" s="131"/>
      <c r="H533" s="1"/>
      <c r="I533" s="1"/>
      <c r="J533" s="1"/>
      <c r="K533" s="1"/>
      <c r="L533" s="1"/>
      <c r="M533" s="1"/>
      <c r="N533" s="1"/>
      <c r="O533" s="1"/>
      <c r="P533" s="1"/>
      <c r="Q533" s="13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31"/>
      <c r="F534" s="131"/>
      <c r="G534" s="131"/>
      <c r="H534" s="1"/>
      <c r="I534" s="1"/>
      <c r="J534" s="1"/>
      <c r="K534" s="1"/>
      <c r="L534" s="1"/>
      <c r="M534" s="1"/>
      <c r="N534" s="1"/>
      <c r="O534" s="1"/>
      <c r="P534" s="1"/>
      <c r="Q534" s="13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31"/>
      <c r="F535" s="131"/>
      <c r="G535" s="131"/>
      <c r="H535" s="1"/>
      <c r="I535" s="1"/>
      <c r="J535" s="1"/>
      <c r="K535" s="1"/>
      <c r="L535" s="1"/>
      <c r="M535" s="1"/>
      <c r="N535" s="1"/>
      <c r="O535" s="1"/>
      <c r="P535" s="1"/>
      <c r="Q535" s="13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31"/>
      <c r="F536" s="131"/>
      <c r="G536" s="131"/>
      <c r="H536" s="1"/>
      <c r="I536" s="1"/>
      <c r="J536" s="1"/>
      <c r="K536" s="1"/>
      <c r="L536" s="1"/>
      <c r="M536" s="1"/>
      <c r="N536" s="1"/>
      <c r="O536" s="1"/>
      <c r="P536" s="1"/>
      <c r="Q536" s="13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31"/>
      <c r="F537" s="131"/>
      <c r="G537" s="131"/>
      <c r="H537" s="1"/>
      <c r="I537" s="1"/>
      <c r="J537" s="1"/>
      <c r="K537" s="1"/>
      <c r="L537" s="1"/>
      <c r="M537" s="1"/>
      <c r="N537" s="1"/>
      <c r="O537" s="1"/>
      <c r="P537" s="1"/>
      <c r="Q537" s="13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31"/>
      <c r="F538" s="131"/>
      <c r="G538" s="131"/>
      <c r="H538" s="1"/>
      <c r="I538" s="1"/>
      <c r="J538" s="1"/>
      <c r="K538" s="1"/>
      <c r="L538" s="1"/>
      <c r="M538" s="1"/>
      <c r="N538" s="1"/>
      <c r="O538" s="1"/>
      <c r="P538" s="1"/>
      <c r="Q538" s="13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31"/>
      <c r="F539" s="131"/>
      <c r="G539" s="131"/>
      <c r="H539" s="1"/>
      <c r="I539" s="1"/>
      <c r="J539" s="1"/>
      <c r="K539" s="1"/>
      <c r="L539" s="1"/>
      <c r="M539" s="1"/>
      <c r="N539" s="1"/>
      <c r="O539" s="1"/>
      <c r="P539" s="1"/>
      <c r="Q539" s="13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31"/>
      <c r="F540" s="131"/>
      <c r="G540" s="131"/>
      <c r="H540" s="1"/>
      <c r="I540" s="1"/>
      <c r="J540" s="1"/>
      <c r="K540" s="1"/>
      <c r="L540" s="1"/>
      <c r="M540" s="1"/>
      <c r="N540" s="1"/>
      <c r="O540" s="1"/>
      <c r="P540" s="1"/>
      <c r="Q540" s="13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31"/>
      <c r="F541" s="131"/>
      <c r="G541" s="131"/>
      <c r="H541" s="1"/>
      <c r="I541" s="1"/>
      <c r="J541" s="1"/>
      <c r="K541" s="1"/>
      <c r="L541" s="1"/>
      <c r="M541" s="1"/>
      <c r="N541" s="1"/>
      <c r="O541" s="1"/>
      <c r="P541" s="1"/>
      <c r="Q541" s="13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31"/>
      <c r="F542" s="131"/>
      <c r="G542" s="131"/>
      <c r="H542" s="1"/>
      <c r="I542" s="1"/>
      <c r="J542" s="1"/>
      <c r="K542" s="1"/>
      <c r="L542" s="1"/>
      <c r="M542" s="1"/>
      <c r="N542" s="1"/>
      <c r="O542" s="1"/>
      <c r="P542" s="1"/>
      <c r="Q542" s="13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31"/>
      <c r="F543" s="131"/>
      <c r="G543" s="131"/>
      <c r="H543" s="1"/>
      <c r="I543" s="1"/>
      <c r="J543" s="1"/>
      <c r="K543" s="1"/>
      <c r="L543" s="1"/>
      <c r="M543" s="1"/>
      <c r="N543" s="1"/>
      <c r="O543" s="1"/>
      <c r="P543" s="1"/>
      <c r="Q543" s="13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31"/>
      <c r="F544" s="131"/>
      <c r="G544" s="131"/>
      <c r="H544" s="1"/>
      <c r="I544" s="1"/>
      <c r="J544" s="1"/>
      <c r="K544" s="1"/>
      <c r="L544" s="1"/>
      <c r="M544" s="1"/>
      <c r="N544" s="1"/>
      <c r="O544" s="1"/>
      <c r="P544" s="1"/>
      <c r="Q544" s="13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31"/>
      <c r="F545" s="131"/>
      <c r="G545" s="131"/>
      <c r="H545" s="1"/>
      <c r="I545" s="1"/>
      <c r="J545" s="1"/>
      <c r="K545" s="1"/>
      <c r="L545" s="1"/>
      <c r="M545" s="1"/>
      <c r="N545" s="1"/>
      <c r="O545" s="1"/>
      <c r="P545" s="1"/>
      <c r="Q545" s="13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31"/>
      <c r="F546" s="131"/>
      <c r="G546" s="131"/>
      <c r="H546" s="1"/>
      <c r="I546" s="1"/>
      <c r="J546" s="1"/>
      <c r="K546" s="1"/>
      <c r="L546" s="1"/>
      <c r="M546" s="1"/>
      <c r="N546" s="1"/>
      <c r="O546" s="1"/>
      <c r="P546" s="1"/>
      <c r="Q546" s="13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31"/>
      <c r="F547" s="131"/>
      <c r="G547" s="131"/>
      <c r="H547" s="1"/>
      <c r="I547" s="1"/>
      <c r="J547" s="1"/>
      <c r="K547" s="1"/>
      <c r="L547" s="1"/>
      <c r="M547" s="1"/>
      <c r="N547" s="1"/>
      <c r="O547" s="1"/>
      <c r="P547" s="1"/>
      <c r="Q547" s="13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31"/>
      <c r="F548" s="131"/>
      <c r="G548" s="131"/>
      <c r="H548" s="1"/>
      <c r="I548" s="1"/>
      <c r="J548" s="1"/>
      <c r="K548" s="1"/>
      <c r="L548" s="1"/>
      <c r="M548" s="1"/>
      <c r="N548" s="1"/>
      <c r="O548" s="1"/>
      <c r="P548" s="1"/>
      <c r="Q548" s="13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31"/>
      <c r="F549" s="131"/>
      <c r="G549" s="131"/>
      <c r="H549" s="1"/>
      <c r="I549" s="1"/>
      <c r="J549" s="1"/>
      <c r="K549" s="1"/>
      <c r="L549" s="1"/>
      <c r="M549" s="1"/>
      <c r="N549" s="1"/>
      <c r="O549" s="1"/>
      <c r="P549" s="1"/>
      <c r="Q549" s="13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31"/>
      <c r="F550" s="131"/>
      <c r="G550" s="131"/>
      <c r="H550" s="1"/>
      <c r="I550" s="1"/>
      <c r="J550" s="1"/>
      <c r="K550" s="1"/>
      <c r="L550" s="1"/>
      <c r="M550" s="1"/>
      <c r="N550" s="1"/>
      <c r="O550" s="1"/>
      <c r="P550" s="1"/>
      <c r="Q550" s="13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31"/>
      <c r="F551" s="131"/>
      <c r="G551" s="131"/>
      <c r="H551" s="1"/>
      <c r="I551" s="1"/>
      <c r="J551" s="1"/>
      <c r="K551" s="1"/>
      <c r="L551" s="1"/>
      <c r="M551" s="1"/>
      <c r="N551" s="1"/>
      <c r="O551" s="1"/>
      <c r="P551" s="1"/>
      <c r="Q551" s="13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31"/>
      <c r="F552" s="131"/>
      <c r="G552" s="131"/>
      <c r="H552" s="1"/>
      <c r="I552" s="1"/>
      <c r="J552" s="1"/>
      <c r="K552" s="1"/>
      <c r="L552" s="1"/>
      <c r="M552" s="1"/>
      <c r="N552" s="1"/>
      <c r="O552" s="1"/>
      <c r="P552" s="1"/>
      <c r="Q552" s="13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31"/>
      <c r="F553" s="131"/>
      <c r="G553" s="131"/>
      <c r="H553" s="1"/>
      <c r="I553" s="1"/>
      <c r="J553" s="1"/>
      <c r="K553" s="1"/>
      <c r="L553" s="1"/>
      <c r="M553" s="1"/>
      <c r="N553" s="1"/>
      <c r="O553" s="1"/>
      <c r="P553" s="1"/>
      <c r="Q553" s="13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31"/>
      <c r="F554" s="131"/>
      <c r="G554" s="131"/>
      <c r="H554" s="1"/>
      <c r="I554" s="1"/>
      <c r="J554" s="1"/>
      <c r="K554" s="1"/>
      <c r="L554" s="1"/>
      <c r="M554" s="1"/>
      <c r="N554" s="1"/>
      <c r="O554" s="1"/>
      <c r="P554" s="1"/>
      <c r="Q554" s="13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31"/>
      <c r="F555" s="131"/>
      <c r="G555" s="131"/>
      <c r="H555" s="1"/>
      <c r="I555" s="1"/>
      <c r="J555" s="1"/>
      <c r="K555" s="1"/>
      <c r="L555" s="1"/>
      <c r="M555" s="1"/>
      <c r="N555" s="1"/>
      <c r="O555" s="1"/>
      <c r="P555" s="1"/>
      <c r="Q555" s="13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31"/>
      <c r="F556" s="131"/>
      <c r="G556" s="131"/>
      <c r="H556" s="1"/>
      <c r="I556" s="1"/>
      <c r="J556" s="1"/>
      <c r="K556" s="1"/>
      <c r="L556" s="1"/>
      <c r="M556" s="1"/>
      <c r="N556" s="1"/>
      <c r="O556" s="1"/>
      <c r="P556" s="1"/>
      <c r="Q556" s="13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31"/>
      <c r="F557" s="131"/>
      <c r="G557" s="131"/>
      <c r="H557" s="1"/>
      <c r="I557" s="1"/>
      <c r="J557" s="1"/>
      <c r="K557" s="1"/>
      <c r="L557" s="1"/>
      <c r="M557" s="1"/>
      <c r="N557" s="1"/>
      <c r="O557" s="1"/>
      <c r="P557" s="1"/>
      <c r="Q557" s="13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31"/>
      <c r="F558" s="131"/>
      <c r="G558" s="131"/>
      <c r="H558" s="1"/>
      <c r="I558" s="1"/>
      <c r="J558" s="1"/>
      <c r="K558" s="1"/>
      <c r="L558" s="1"/>
      <c r="M558" s="1"/>
      <c r="N558" s="1"/>
      <c r="O558" s="1"/>
      <c r="P558" s="1"/>
      <c r="Q558" s="13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31"/>
      <c r="F559" s="131"/>
      <c r="G559" s="131"/>
      <c r="H559" s="1"/>
      <c r="I559" s="1"/>
      <c r="J559" s="1"/>
      <c r="K559" s="1"/>
      <c r="L559" s="1"/>
      <c r="M559" s="1"/>
      <c r="N559" s="1"/>
      <c r="O559" s="1"/>
      <c r="P559" s="1"/>
      <c r="Q559" s="13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31"/>
      <c r="F560" s="131"/>
      <c r="G560" s="131"/>
      <c r="H560" s="1"/>
      <c r="I560" s="1"/>
      <c r="J560" s="1"/>
      <c r="K560" s="1"/>
      <c r="L560" s="1"/>
      <c r="M560" s="1"/>
      <c r="N560" s="1"/>
      <c r="O560" s="1"/>
      <c r="P560" s="1"/>
      <c r="Q560" s="13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31"/>
      <c r="F561" s="131"/>
      <c r="G561" s="131"/>
      <c r="H561" s="1"/>
      <c r="I561" s="1"/>
      <c r="J561" s="1"/>
      <c r="K561" s="1"/>
      <c r="L561" s="1"/>
      <c r="M561" s="1"/>
      <c r="N561" s="1"/>
      <c r="O561" s="1"/>
      <c r="P561" s="1"/>
      <c r="Q561" s="13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31"/>
      <c r="F562" s="131"/>
      <c r="G562" s="131"/>
      <c r="H562" s="1"/>
      <c r="I562" s="1"/>
      <c r="J562" s="1"/>
      <c r="K562" s="1"/>
      <c r="L562" s="1"/>
      <c r="M562" s="1"/>
      <c r="N562" s="1"/>
      <c r="O562" s="1"/>
      <c r="P562" s="1"/>
      <c r="Q562" s="13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31"/>
      <c r="F563" s="131"/>
      <c r="G563" s="131"/>
      <c r="H563" s="1"/>
      <c r="I563" s="1"/>
      <c r="J563" s="1"/>
      <c r="K563" s="1"/>
      <c r="L563" s="1"/>
      <c r="M563" s="1"/>
      <c r="N563" s="1"/>
      <c r="O563" s="1"/>
      <c r="P563" s="1"/>
      <c r="Q563" s="13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31"/>
      <c r="F564" s="131"/>
      <c r="G564" s="131"/>
      <c r="H564" s="1"/>
      <c r="I564" s="1"/>
      <c r="J564" s="1"/>
      <c r="K564" s="1"/>
      <c r="L564" s="1"/>
      <c r="M564" s="1"/>
      <c r="N564" s="1"/>
      <c r="O564" s="1"/>
      <c r="P564" s="1"/>
      <c r="Q564" s="13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31"/>
      <c r="F565" s="131"/>
      <c r="G565" s="131"/>
      <c r="H565" s="1"/>
      <c r="I565" s="1"/>
      <c r="J565" s="1"/>
      <c r="K565" s="1"/>
      <c r="L565" s="1"/>
      <c r="M565" s="1"/>
      <c r="N565" s="1"/>
      <c r="O565" s="1"/>
      <c r="P565" s="1"/>
      <c r="Q565" s="13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31"/>
      <c r="F566" s="131"/>
      <c r="G566" s="131"/>
      <c r="H566" s="1"/>
      <c r="I566" s="1"/>
      <c r="J566" s="1"/>
      <c r="K566" s="1"/>
      <c r="L566" s="1"/>
      <c r="M566" s="1"/>
      <c r="N566" s="1"/>
      <c r="O566" s="1"/>
      <c r="P566" s="1"/>
      <c r="Q566" s="13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31"/>
      <c r="F567" s="131"/>
      <c r="G567" s="131"/>
      <c r="H567" s="1"/>
      <c r="I567" s="1"/>
      <c r="J567" s="1"/>
      <c r="K567" s="1"/>
      <c r="L567" s="1"/>
      <c r="M567" s="1"/>
      <c r="N567" s="1"/>
      <c r="O567" s="1"/>
      <c r="P567" s="1"/>
      <c r="Q567" s="13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31"/>
      <c r="F568" s="131"/>
      <c r="G568" s="131"/>
      <c r="H568" s="1"/>
      <c r="I568" s="1"/>
      <c r="J568" s="1"/>
      <c r="K568" s="1"/>
      <c r="L568" s="1"/>
      <c r="M568" s="1"/>
      <c r="N568" s="1"/>
      <c r="O568" s="1"/>
      <c r="P568" s="1"/>
      <c r="Q568" s="13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31"/>
      <c r="F569" s="131"/>
      <c r="G569" s="131"/>
      <c r="H569" s="1"/>
      <c r="I569" s="1"/>
      <c r="J569" s="1"/>
      <c r="K569" s="1"/>
      <c r="L569" s="1"/>
      <c r="M569" s="1"/>
      <c r="N569" s="1"/>
      <c r="O569" s="1"/>
      <c r="P569" s="1"/>
      <c r="Q569" s="13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31"/>
      <c r="F570" s="131"/>
      <c r="G570" s="131"/>
      <c r="H570" s="1"/>
      <c r="I570" s="1"/>
      <c r="J570" s="1"/>
      <c r="K570" s="1"/>
      <c r="L570" s="1"/>
      <c r="M570" s="1"/>
      <c r="N570" s="1"/>
      <c r="O570" s="1"/>
      <c r="P570" s="1"/>
      <c r="Q570" s="13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31"/>
      <c r="F571" s="131"/>
      <c r="G571" s="131"/>
      <c r="H571" s="1"/>
      <c r="I571" s="1"/>
      <c r="J571" s="1"/>
      <c r="K571" s="1"/>
      <c r="L571" s="1"/>
      <c r="M571" s="1"/>
      <c r="N571" s="1"/>
      <c r="O571" s="1"/>
      <c r="P571" s="1"/>
      <c r="Q571" s="13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31"/>
      <c r="F572" s="131"/>
      <c r="G572" s="131"/>
      <c r="H572" s="1"/>
      <c r="I572" s="1"/>
      <c r="J572" s="1"/>
      <c r="K572" s="1"/>
      <c r="L572" s="1"/>
      <c r="M572" s="1"/>
      <c r="N572" s="1"/>
      <c r="O572" s="1"/>
      <c r="P572" s="1"/>
      <c r="Q572" s="13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31"/>
      <c r="F573" s="131"/>
      <c r="G573" s="131"/>
      <c r="H573" s="1"/>
      <c r="I573" s="1"/>
      <c r="J573" s="1"/>
      <c r="K573" s="1"/>
      <c r="L573" s="1"/>
      <c r="M573" s="1"/>
      <c r="N573" s="1"/>
      <c r="O573" s="1"/>
      <c r="P573" s="1"/>
      <c r="Q573" s="13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31"/>
      <c r="F574" s="131"/>
      <c r="G574" s="131"/>
      <c r="H574" s="1"/>
      <c r="I574" s="1"/>
      <c r="J574" s="1"/>
      <c r="K574" s="1"/>
      <c r="L574" s="1"/>
      <c r="M574" s="1"/>
      <c r="N574" s="1"/>
      <c r="O574" s="1"/>
      <c r="P574" s="1"/>
      <c r="Q574" s="13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31"/>
      <c r="F575" s="131"/>
      <c r="G575" s="131"/>
      <c r="H575" s="1"/>
      <c r="I575" s="1"/>
      <c r="J575" s="1"/>
      <c r="K575" s="1"/>
      <c r="L575" s="1"/>
      <c r="M575" s="1"/>
      <c r="N575" s="1"/>
      <c r="O575" s="1"/>
      <c r="P575" s="1"/>
      <c r="Q575" s="13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31"/>
      <c r="F576" s="131"/>
      <c r="G576" s="131"/>
      <c r="H576" s="1"/>
      <c r="I576" s="1"/>
      <c r="J576" s="1"/>
      <c r="K576" s="1"/>
      <c r="L576" s="1"/>
      <c r="M576" s="1"/>
      <c r="N576" s="1"/>
      <c r="O576" s="1"/>
      <c r="P576" s="1"/>
      <c r="Q576" s="13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31"/>
      <c r="F577" s="131"/>
      <c r="G577" s="131"/>
      <c r="H577" s="1"/>
      <c r="I577" s="1"/>
      <c r="J577" s="1"/>
      <c r="K577" s="1"/>
      <c r="L577" s="1"/>
      <c r="M577" s="1"/>
      <c r="N577" s="1"/>
      <c r="O577" s="1"/>
      <c r="P577" s="1"/>
      <c r="Q577" s="13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31"/>
      <c r="F578" s="131"/>
      <c r="G578" s="131"/>
      <c r="H578" s="1"/>
      <c r="I578" s="1"/>
      <c r="J578" s="1"/>
      <c r="K578" s="1"/>
      <c r="L578" s="1"/>
      <c r="M578" s="1"/>
      <c r="N578" s="1"/>
      <c r="O578" s="1"/>
      <c r="P578" s="1"/>
      <c r="Q578" s="13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31"/>
      <c r="F579" s="131"/>
      <c r="G579" s="131"/>
      <c r="H579" s="1"/>
      <c r="I579" s="1"/>
      <c r="J579" s="1"/>
      <c r="K579" s="1"/>
      <c r="L579" s="1"/>
      <c r="M579" s="1"/>
      <c r="N579" s="1"/>
      <c r="O579" s="1"/>
      <c r="P579" s="1"/>
      <c r="Q579" s="13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31"/>
      <c r="F580" s="131"/>
      <c r="G580" s="131"/>
      <c r="H580" s="1"/>
      <c r="I580" s="1"/>
      <c r="J580" s="1"/>
      <c r="K580" s="1"/>
      <c r="L580" s="1"/>
      <c r="M580" s="1"/>
      <c r="N580" s="1"/>
      <c r="O580" s="1"/>
      <c r="P580" s="1"/>
      <c r="Q580" s="13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31"/>
      <c r="F581" s="131"/>
      <c r="G581" s="131"/>
      <c r="H581" s="1"/>
      <c r="I581" s="1"/>
      <c r="J581" s="1"/>
      <c r="K581" s="1"/>
      <c r="L581" s="1"/>
      <c r="M581" s="1"/>
      <c r="N581" s="1"/>
      <c r="O581" s="1"/>
      <c r="P581" s="1"/>
      <c r="Q581" s="13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31"/>
      <c r="F582" s="131"/>
      <c r="G582" s="131"/>
      <c r="H582" s="1"/>
      <c r="I582" s="1"/>
      <c r="J582" s="1"/>
      <c r="K582" s="1"/>
      <c r="L582" s="1"/>
      <c r="M582" s="1"/>
      <c r="N582" s="1"/>
      <c r="O582" s="1"/>
      <c r="P582" s="1"/>
      <c r="Q582" s="13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31"/>
      <c r="F583" s="131"/>
      <c r="G583" s="131"/>
      <c r="H583" s="1"/>
      <c r="I583" s="1"/>
      <c r="J583" s="1"/>
      <c r="K583" s="1"/>
      <c r="L583" s="1"/>
      <c r="M583" s="1"/>
      <c r="N583" s="1"/>
      <c r="O583" s="1"/>
      <c r="P583" s="1"/>
      <c r="Q583" s="13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31"/>
      <c r="F584" s="131"/>
      <c r="G584" s="131"/>
      <c r="H584" s="1"/>
      <c r="I584" s="1"/>
      <c r="J584" s="1"/>
      <c r="K584" s="1"/>
      <c r="L584" s="1"/>
      <c r="M584" s="1"/>
      <c r="N584" s="1"/>
      <c r="O584" s="1"/>
      <c r="P584" s="1"/>
      <c r="Q584" s="13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31"/>
      <c r="F585" s="131"/>
      <c r="G585" s="131"/>
      <c r="H585" s="1"/>
      <c r="I585" s="1"/>
      <c r="J585" s="1"/>
      <c r="K585" s="1"/>
      <c r="L585" s="1"/>
      <c r="M585" s="1"/>
      <c r="N585" s="1"/>
      <c r="O585" s="1"/>
      <c r="P585" s="1"/>
      <c r="Q585" s="13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31"/>
      <c r="F586" s="131"/>
      <c r="G586" s="131"/>
      <c r="H586" s="1"/>
      <c r="I586" s="1"/>
      <c r="J586" s="1"/>
      <c r="K586" s="1"/>
      <c r="L586" s="1"/>
      <c r="M586" s="1"/>
      <c r="N586" s="1"/>
      <c r="O586" s="1"/>
      <c r="P586" s="1"/>
      <c r="Q586" s="13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31"/>
      <c r="F587" s="131"/>
      <c r="G587" s="131"/>
      <c r="H587" s="1"/>
      <c r="I587" s="1"/>
      <c r="J587" s="1"/>
      <c r="K587" s="1"/>
      <c r="L587" s="1"/>
      <c r="M587" s="1"/>
      <c r="N587" s="1"/>
      <c r="O587" s="1"/>
      <c r="P587" s="1"/>
      <c r="Q587" s="13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31"/>
      <c r="F588" s="131"/>
      <c r="G588" s="131"/>
      <c r="H588" s="1"/>
      <c r="I588" s="1"/>
      <c r="J588" s="1"/>
      <c r="K588" s="1"/>
      <c r="L588" s="1"/>
      <c r="M588" s="1"/>
      <c r="N588" s="1"/>
      <c r="O588" s="1"/>
      <c r="P588" s="1"/>
      <c r="Q588" s="13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31"/>
      <c r="F589" s="131"/>
      <c r="G589" s="131"/>
      <c r="H589" s="1"/>
      <c r="I589" s="1"/>
      <c r="J589" s="1"/>
      <c r="K589" s="1"/>
      <c r="L589" s="1"/>
      <c r="M589" s="1"/>
      <c r="N589" s="1"/>
      <c r="O589" s="1"/>
      <c r="P589" s="1"/>
      <c r="Q589" s="13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31"/>
      <c r="F590" s="131"/>
      <c r="G590" s="131"/>
      <c r="H590" s="1"/>
      <c r="I590" s="1"/>
      <c r="J590" s="1"/>
      <c r="K590" s="1"/>
      <c r="L590" s="1"/>
      <c r="M590" s="1"/>
      <c r="N590" s="1"/>
      <c r="O590" s="1"/>
      <c r="P590" s="1"/>
      <c r="Q590" s="13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31"/>
      <c r="F591" s="131"/>
      <c r="G591" s="131"/>
      <c r="H591" s="1"/>
      <c r="I591" s="1"/>
      <c r="J591" s="1"/>
      <c r="K591" s="1"/>
      <c r="L591" s="1"/>
      <c r="M591" s="1"/>
      <c r="N591" s="1"/>
      <c r="O591" s="1"/>
      <c r="P591" s="1"/>
      <c r="Q591" s="13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31"/>
      <c r="F592" s="131"/>
      <c r="G592" s="131"/>
      <c r="H592" s="1"/>
      <c r="I592" s="1"/>
      <c r="J592" s="1"/>
      <c r="K592" s="1"/>
      <c r="L592" s="1"/>
      <c r="M592" s="1"/>
      <c r="N592" s="1"/>
      <c r="O592" s="1"/>
      <c r="P592" s="1"/>
      <c r="Q592" s="13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31"/>
      <c r="F593" s="131"/>
      <c r="G593" s="131"/>
      <c r="H593" s="1"/>
      <c r="I593" s="1"/>
      <c r="J593" s="1"/>
      <c r="K593" s="1"/>
      <c r="L593" s="1"/>
      <c r="M593" s="1"/>
      <c r="N593" s="1"/>
      <c r="O593" s="1"/>
      <c r="P593" s="1"/>
      <c r="Q593" s="13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31"/>
      <c r="F594" s="131"/>
      <c r="G594" s="131"/>
      <c r="H594" s="1"/>
      <c r="I594" s="1"/>
      <c r="J594" s="1"/>
      <c r="K594" s="1"/>
      <c r="L594" s="1"/>
      <c r="M594" s="1"/>
      <c r="N594" s="1"/>
      <c r="O594" s="1"/>
      <c r="P594" s="1"/>
      <c r="Q594" s="13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31"/>
      <c r="F595" s="131"/>
      <c r="G595" s="131"/>
      <c r="H595" s="1"/>
      <c r="I595" s="1"/>
      <c r="J595" s="1"/>
      <c r="K595" s="1"/>
      <c r="L595" s="1"/>
      <c r="M595" s="1"/>
      <c r="N595" s="1"/>
      <c r="O595" s="1"/>
      <c r="P595" s="1"/>
      <c r="Q595" s="13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31"/>
      <c r="F596" s="131"/>
      <c r="G596" s="131"/>
      <c r="H596" s="1"/>
      <c r="I596" s="1"/>
      <c r="J596" s="1"/>
      <c r="K596" s="1"/>
      <c r="L596" s="1"/>
      <c r="M596" s="1"/>
      <c r="N596" s="1"/>
      <c r="O596" s="1"/>
      <c r="P596" s="1"/>
      <c r="Q596" s="13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31"/>
      <c r="F597" s="131"/>
      <c r="G597" s="131"/>
      <c r="H597" s="1"/>
      <c r="I597" s="1"/>
      <c r="J597" s="1"/>
      <c r="K597" s="1"/>
      <c r="L597" s="1"/>
      <c r="M597" s="1"/>
      <c r="N597" s="1"/>
      <c r="O597" s="1"/>
      <c r="P597" s="1"/>
      <c r="Q597" s="13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31"/>
      <c r="F598" s="131"/>
      <c r="G598" s="131"/>
      <c r="H598" s="1"/>
      <c r="I598" s="1"/>
      <c r="J598" s="1"/>
      <c r="K598" s="1"/>
      <c r="L598" s="1"/>
      <c r="M598" s="1"/>
      <c r="N598" s="1"/>
      <c r="O598" s="1"/>
      <c r="P598" s="1"/>
      <c r="Q598" s="13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31"/>
      <c r="F599" s="131"/>
      <c r="G599" s="131"/>
      <c r="H599" s="1"/>
      <c r="I599" s="1"/>
      <c r="J599" s="1"/>
      <c r="K599" s="1"/>
      <c r="L599" s="1"/>
      <c r="M599" s="1"/>
      <c r="N599" s="1"/>
      <c r="O599" s="1"/>
      <c r="P599" s="1"/>
      <c r="Q599" s="13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31"/>
      <c r="F600" s="131"/>
      <c r="G600" s="131"/>
      <c r="H600" s="1"/>
      <c r="I600" s="1"/>
      <c r="J600" s="1"/>
      <c r="K600" s="1"/>
      <c r="L600" s="1"/>
      <c r="M600" s="1"/>
      <c r="N600" s="1"/>
      <c r="O600" s="1"/>
      <c r="P600" s="1"/>
      <c r="Q600" s="13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31"/>
      <c r="F601" s="131"/>
      <c r="G601" s="131"/>
      <c r="H601" s="1"/>
      <c r="I601" s="1"/>
      <c r="J601" s="1"/>
      <c r="K601" s="1"/>
      <c r="L601" s="1"/>
      <c r="M601" s="1"/>
      <c r="N601" s="1"/>
      <c r="O601" s="1"/>
      <c r="P601" s="1"/>
      <c r="Q601" s="13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31"/>
      <c r="F602" s="131"/>
      <c r="G602" s="131"/>
      <c r="H602" s="1"/>
      <c r="I602" s="1"/>
      <c r="J602" s="1"/>
      <c r="K602" s="1"/>
      <c r="L602" s="1"/>
      <c r="M602" s="1"/>
      <c r="N602" s="1"/>
      <c r="O602" s="1"/>
      <c r="P602" s="1"/>
      <c r="Q602" s="13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31"/>
      <c r="F603" s="131"/>
      <c r="G603" s="131"/>
      <c r="H603" s="1"/>
      <c r="I603" s="1"/>
      <c r="J603" s="1"/>
      <c r="K603" s="1"/>
      <c r="L603" s="1"/>
      <c r="M603" s="1"/>
      <c r="N603" s="1"/>
      <c r="O603" s="1"/>
      <c r="P603" s="1"/>
      <c r="Q603" s="13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31"/>
      <c r="F604" s="131"/>
      <c r="G604" s="131"/>
      <c r="H604" s="1"/>
      <c r="I604" s="1"/>
      <c r="J604" s="1"/>
      <c r="K604" s="1"/>
      <c r="L604" s="1"/>
      <c r="M604" s="1"/>
      <c r="N604" s="1"/>
      <c r="O604" s="1"/>
      <c r="P604" s="1"/>
      <c r="Q604" s="13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31"/>
      <c r="F605" s="131"/>
      <c r="G605" s="131"/>
      <c r="H605" s="1"/>
      <c r="I605" s="1"/>
      <c r="J605" s="1"/>
      <c r="K605" s="1"/>
      <c r="L605" s="1"/>
      <c r="M605" s="1"/>
      <c r="N605" s="1"/>
      <c r="O605" s="1"/>
      <c r="P605" s="1"/>
      <c r="Q605" s="13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31"/>
      <c r="F606" s="131"/>
      <c r="G606" s="131"/>
      <c r="H606" s="1"/>
      <c r="I606" s="1"/>
      <c r="J606" s="1"/>
      <c r="K606" s="1"/>
      <c r="L606" s="1"/>
      <c r="M606" s="1"/>
      <c r="N606" s="1"/>
      <c r="O606" s="1"/>
      <c r="P606" s="1"/>
      <c r="Q606" s="13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31"/>
      <c r="F607" s="131"/>
      <c r="G607" s="131"/>
      <c r="H607" s="1"/>
      <c r="I607" s="1"/>
      <c r="J607" s="1"/>
      <c r="K607" s="1"/>
      <c r="L607" s="1"/>
      <c r="M607" s="1"/>
      <c r="N607" s="1"/>
      <c r="O607" s="1"/>
      <c r="P607" s="1"/>
      <c r="Q607" s="13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31"/>
      <c r="F608" s="131"/>
      <c r="G608" s="131"/>
      <c r="H608" s="1"/>
      <c r="I608" s="1"/>
      <c r="J608" s="1"/>
      <c r="K608" s="1"/>
      <c r="L608" s="1"/>
      <c r="M608" s="1"/>
      <c r="N608" s="1"/>
      <c r="O608" s="1"/>
      <c r="P608" s="1"/>
      <c r="Q608" s="13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31"/>
      <c r="F609" s="131"/>
      <c r="G609" s="131"/>
      <c r="H609" s="1"/>
      <c r="I609" s="1"/>
      <c r="J609" s="1"/>
      <c r="K609" s="1"/>
      <c r="L609" s="1"/>
      <c r="M609" s="1"/>
      <c r="N609" s="1"/>
      <c r="O609" s="1"/>
      <c r="P609" s="1"/>
      <c r="Q609" s="13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31"/>
      <c r="F610" s="131"/>
      <c r="G610" s="131"/>
      <c r="H610" s="1"/>
      <c r="I610" s="1"/>
      <c r="J610" s="1"/>
      <c r="K610" s="1"/>
      <c r="L610" s="1"/>
      <c r="M610" s="1"/>
      <c r="N610" s="1"/>
      <c r="O610" s="1"/>
      <c r="P610" s="1"/>
      <c r="Q610" s="13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31"/>
      <c r="F611" s="131"/>
      <c r="G611" s="131"/>
      <c r="H611" s="1"/>
      <c r="I611" s="1"/>
      <c r="J611" s="1"/>
      <c r="K611" s="1"/>
      <c r="L611" s="1"/>
      <c r="M611" s="1"/>
      <c r="N611" s="1"/>
      <c r="O611" s="1"/>
      <c r="P611" s="1"/>
      <c r="Q611" s="13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31"/>
      <c r="F612" s="131"/>
      <c r="G612" s="131"/>
      <c r="H612" s="1"/>
      <c r="I612" s="1"/>
      <c r="J612" s="1"/>
      <c r="K612" s="1"/>
      <c r="L612" s="1"/>
      <c r="M612" s="1"/>
      <c r="N612" s="1"/>
      <c r="O612" s="1"/>
      <c r="P612" s="1"/>
      <c r="Q612" s="13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31"/>
      <c r="F613" s="131"/>
      <c r="G613" s="131"/>
      <c r="H613" s="1"/>
      <c r="I613" s="1"/>
      <c r="J613" s="1"/>
      <c r="K613" s="1"/>
      <c r="L613" s="1"/>
      <c r="M613" s="1"/>
      <c r="N613" s="1"/>
      <c r="O613" s="1"/>
      <c r="P613" s="1"/>
      <c r="Q613" s="13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31"/>
      <c r="F614" s="131"/>
      <c r="G614" s="131"/>
      <c r="H614" s="1"/>
      <c r="I614" s="1"/>
      <c r="J614" s="1"/>
      <c r="K614" s="1"/>
      <c r="L614" s="1"/>
      <c r="M614" s="1"/>
      <c r="N614" s="1"/>
      <c r="O614" s="1"/>
      <c r="P614" s="1"/>
      <c r="Q614" s="13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31"/>
      <c r="F615" s="131"/>
      <c r="G615" s="131"/>
      <c r="H615" s="1"/>
      <c r="I615" s="1"/>
      <c r="J615" s="1"/>
      <c r="K615" s="1"/>
      <c r="L615" s="1"/>
      <c r="M615" s="1"/>
      <c r="N615" s="1"/>
      <c r="O615" s="1"/>
      <c r="P615" s="1"/>
      <c r="Q615" s="13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31"/>
      <c r="F616" s="131"/>
      <c r="G616" s="131"/>
      <c r="H616" s="1"/>
      <c r="I616" s="1"/>
      <c r="J616" s="1"/>
      <c r="K616" s="1"/>
      <c r="L616" s="1"/>
      <c r="M616" s="1"/>
      <c r="N616" s="1"/>
      <c r="O616" s="1"/>
      <c r="P616" s="1"/>
      <c r="Q616" s="13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31"/>
      <c r="F617" s="131"/>
      <c r="G617" s="131"/>
      <c r="H617" s="1"/>
      <c r="I617" s="1"/>
      <c r="J617" s="1"/>
      <c r="K617" s="1"/>
      <c r="L617" s="1"/>
      <c r="M617" s="1"/>
      <c r="N617" s="1"/>
      <c r="O617" s="1"/>
      <c r="P617" s="1"/>
      <c r="Q617" s="13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31"/>
      <c r="F618" s="131"/>
      <c r="G618" s="131"/>
      <c r="H618" s="1"/>
      <c r="I618" s="1"/>
      <c r="J618" s="1"/>
      <c r="K618" s="1"/>
      <c r="L618" s="1"/>
      <c r="M618" s="1"/>
      <c r="N618" s="1"/>
      <c r="O618" s="1"/>
      <c r="P618" s="1"/>
      <c r="Q618" s="13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31"/>
      <c r="F619" s="131"/>
      <c r="G619" s="131"/>
      <c r="H619" s="1"/>
      <c r="I619" s="1"/>
      <c r="J619" s="1"/>
      <c r="K619" s="1"/>
      <c r="L619" s="1"/>
      <c r="M619" s="1"/>
      <c r="N619" s="1"/>
      <c r="O619" s="1"/>
      <c r="P619" s="1"/>
      <c r="Q619" s="13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31"/>
      <c r="F620" s="131"/>
      <c r="G620" s="131"/>
      <c r="H620" s="1"/>
      <c r="I620" s="1"/>
      <c r="J620" s="1"/>
      <c r="K620" s="1"/>
      <c r="L620" s="1"/>
      <c r="M620" s="1"/>
      <c r="N620" s="1"/>
      <c r="O620" s="1"/>
      <c r="P620" s="1"/>
      <c r="Q620" s="13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31"/>
      <c r="F621" s="131"/>
      <c r="G621" s="131"/>
      <c r="H621" s="1"/>
      <c r="I621" s="1"/>
      <c r="J621" s="1"/>
      <c r="K621" s="1"/>
      <c r="L621" s="1"/>
      <c r="M621" s="1"/>
      <c r="N621" s="1"/>
      <c r="O621" s="1"/>
      <c r="P621" s="1"/>
      <c r="Q621" s="13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31"/>
      <c r="F622" s="131"/>
      <c r="G622" s="131"/>
      <c r="H622" s="1"/>
      <c r="I622" s="1"/>
      <c r="J622" s="1"/>
      <c r="K622" s="1"/>
      <c r="L622" s="1"/>
      <c r="M622" s="1"/>
      <c r="N622" s="1"/>
      <c r="O622" s="1"/>
      <c r="P622" s="1"/>
      <c r="Q622" s="13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31"/>
      <c r="F623" s="131"/>
      <c r="G623" s="131"/>
      <c r="H623" s="1"/>
      <c r="I623" s="1"/>
      <c r="J623" s="1"/>
      <c r="K623" s="1"/>
      <c r="L623" s="1"/>
      <c r="M623" s="1"/>
      <c r="N623" s="1"/>
      <c r="O623" s="1"/>
      <c r="P623" s="1"/>
      <c r="Q623" s="13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31"/>
      <c r="F624" s="131"/>
      <c r="G624" s="131"/>
      <c r="H624" s="1"/>
      <c r="I624" s="1"/>
      <c r="J624" s="1"/>
      <c r="K624" s="1"/>
      <c r="L624" s="1"/>
      <c r="M624" s="1"/>
      <c r="N624" s="1"/>
      <c r="O624" s="1"/>
      <c r="P624" s="1"/>
      <c r="Q624" s="13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31"/>
      <c r="F625" s="131"/>
      <c r="G625" s="131"/>
      <c r="H625" s="1"/>
      <c r="I625" s="1"/>
      <c r="J625" s="1"/>
      <c r="K625" s="1"/>
      <c r="L625" s="1"/>
      <c r="M625" s="1"/>
      <c r="N625" s="1"/>
      <c r="O625" s="1"/>
      <c r="P625" s="1"/>
      <c r="Q625" s="13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31"/>
      <c r="F626" s="131"/>
      <c r="G626" s="131"/>
      <c r="H626" s="1"/>
      <c r="I626" s="1"/>
      <c r="J626" s="1"/>
      <c r="K626" s="1"/>
      <c r="L626" s="1"/>
      <c r="M626" s="1"/>
      <c r="N626" s="1"/>
      <c r="O626" s="1"/>
      <c r="P626" s="1"/>
      <c r="Q626" s="13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31"/>
      <c r="F627" s="131"/>
      <c r="G627" s="131"/>
      <c r="H627" s="1"/>
      <c r="I627" s="1"/>
      <c r="J627" s="1"/>
      <c r="K627" s="1"/>
      <c r="L627" s="1"/>
      <c r="M627" s="1"/>
      <c r="N627" s="1"/>
      <c r="O627" s="1"/>
      <c r="P627" s="1"/>
      <c r="Q627" s="13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31"/>
      <c r="F628" s="131"/>
      <c r="G628" s="131"/>
      <c r="H628" s="1"/>
      <c r="I628" s="1"/>
      <c r="J628" s="1"/>
      <c r="K628" s="1"/>
      <c r="L628" s="1"/>
      <c r="M628" s="1"/>
      <c r="N628" s="1"/>
      <c r="O628" s="1"/>
      <c r="P628" s="1"/>
      <c r="Q628" s="13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31"/>
      <c r="F629" s="131"/>
      <c r="G629" s="131"/>
      <c r="H629" s="1"/>
      <c r="I629" s="1"/>
      <c r="J629" s="1"/>
      <c r="K629" s="1"/>
      <c r="L629" s="1"/>
      <c r="M629" s="1"/>
      <c r="N629" s="1"/>
      <c r="O629" s="1"/>
      <c r="P629" s="1"/>
      <c r="Q629" s="13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31"/>
      <c r="F630" s="131"/>
      <c r="G630" s="131"/>
      <c r="H630" s="1"/>
      <c r="I630" s="1"/>
      <c r="J630" s="1"/>
      <c r="K630" s="1"/>
      <c r="L630" s="1"/>
      <c r="M630" s="1"/>
      <c r="N630" s="1"/>
      <c r="O630" s="1"/>
      <c r="P630" s="1"/>
      <c r="Q630" s="13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31"/>
      <c r="F631" s="131"/>
      <c r="G631" s="131"/>
      <c r="H631" s="1"/>
      <c r="I631" s="1"/>
      <c r="J631" s="1"/>
      <c r="K631" s="1"/>
      <c r="L631" s="1"/>
      <c r="M631" s="1"/>
      <c r="N631" s="1"/>
      <c r="O631" s="1"/>
      <c r="P631" s="1"/>
      <c r="Q631" s="13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31"/>
      <c r="F632" s="131"/>
      <c r="G632" s="131"/>
      <c r="H632" s="1"/>
      <c r="I632" s="1"/>
      <c r="J632" s="1"/>
      <c r="K632" s="1"/>
      <c r="L632" s="1"/>
      <c r="M632" s="1"/>
      <c r="N632" s="1"/>
      <c r="O632" s="1"/>
      <c r="P632" s="1"/>
      <c r="Q632" s="13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31"/>
      <c r="F633" s="131"/>
      <c r="G633" s="131"/>
      <c r="H633" s="1"/>
      <c r="I633" s="1"/>
      <c r="J633" s="1"/>
      <c r="K633" s="1"/>
      <c r="L633" s="1"/>
      <c r="M633" s="1"/>
      <c r="N633" s="1"/>
      <c r="O633" s="1"/>
      <c r="P633" s="1"/>
      <c r="Q633" s="13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31"/>
      <c r="F634" s="131"/>
      <c r="G634" s="131"/>
      <c r="H634" s="1"/>
      <c r="I634" s="1"/>
      <c r="J634" s="1"/>
      <c r="K634" s="1"/>
      <c r="L634" s="1"/>
      <c r="M634" s="1"/>
      <c r="N634" s="1"/>
      <c r="O634" s="1"/>
      <c r="P634" s="1"/>
      <c r="Q634" s="13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31"/>
      <c r="F635" s="131"/>
      <c r="G635" s="131"/>
      <c r="H635" s="1"/>
      <c r="I635" s="1"/>
      <c r="J635" s="1"/>
      <c r="K635" s="1"/>
      <c r="L635" s="1"/>
      <c r="M635" s="1"/>
      <c r="N635" s="1"/>
      <c r="O635" s="1"/>
      <c r="P635" s="1"/>
      <c r="Q635" s="13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31"/>
      <c r="F636" s="131"/>
      <c r="G636" s="131"/>
      <c r="H636" s="1"/>
      <c r="I636" s="1"/>
      <c r="J636" s="1"/>
      <c r="K636" s="1"/>
      <c r="L636" s="1"/>
      <c r="M636" s="1"/>
      <c r="N636" s="1"/>
      <c r="O636" s="1"/>
      <c r="P636" s="1"/>
      <c r="Q636" s="13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31"/>
      <c r="F637" s="131"/>
      <c r="G637" s="131"/>
      <c r="H637" s="1"/>
      <c r="I637" s="1"/>
      <c r="J637" s="1"/>
      <c r="K637" s="1"/>
      <c r="L637" s="1"/>
      <c r="M637" s="1"/>
      <c r="N637" s="1"/>
      <c r="O637" s="1"/>
      <c r="P637" s="1"/>
      <c r="Q637" s="13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31"/>
      <c r="F638" s="131"/>
      <c r="G638" s="131"/>
      <c r="H638" s="1"/>
      <c r="I638" s="1"/>
      <c r="J638" s="1"/>
      <c r="K638" s="1"/>
      <c r="L638" s="1"/>
      <c r="M638" s="1"/>
      <c r="N638" s="1"/>
      <c r="O638" s="1"/>
      <c r="P638" s="1"/>
      <c r="Q638" s="13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31"/>
      <c r="F639" s="131"/>
      <c r="G639" s="131"/>
      <c r="H639" s="1"/>
      <c r="I639" s="1"/>
      <c r="J639" s="1"/>
      <c r="K639" s="1"/>
      <c r="L639" s="1"/>
      <c r="M639" s="1"/>
      <c r="N639" s="1"/>
      <c r="O639" s="1"/>
      <c r="P639" s="1"/>
      <c r="Q639" s="13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31"/>
      <c r="F640" s="131"/>
      <c r="G640" s="131"/>
      <c r="H640" s="1"/>
      <c r="I640" s="1"/>
      <c r="J640" s="1"/>
      <c r="K640" s="1"/>
      <c r="L640" s="1"/>
      <c r="M640" s="1"/>
      <c r="N640" s="1"/>
      <c r="O640" s="1"/>
      <c r="P640" s="1"/>
      <c r="Q640" s="13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31"/>
      <c r="F641" s="131"/>
      <c r="G641" s="131"/>
      <c r="H641" s="1"/>
      <c r="I641" s="1"/>
      <c r="J641" s="1"/>
      <c r="K641" s="1"/>
      <c r="L641" s="1"/>
      <c r="M641" s="1"/>
      <c r="N641" s="1"/>
      <c r="O641" s="1"/>
      <c r="P641" s="1"/>
      <c r="Q641" s="13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31"/>
      <c r="F642" s="131"/>
      <c r="G642" s="131"/>
      <c r="H642" s="1"/>
      <c r="I642" s="1"/>
      <c r="J642" s="1"/>
      <c r="K642" s="1"/>
      <c r="L642" s="1"/>
      <c r="M642" s="1"/>
      <c r="N642" s="1"/>
      <c r="O642" s="1"/>
      <c r="P642" s="1"/>
      <c r="Q642" s="13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31"/>
      <c r="F643" s="131"/>
      <c r="G643" s="131"/>
      <c r="H643" s="1"/>
      <c r="I643" s="1"/>
      <c r="J643" s="1"/>
      <c r="K643" s="1"/>
      <c r="L643" s="1"/>
      <c r="M643" s="1"/>
      <c r="N643" s="1"/>
      <c r="O643" s="1"/>
      <c r="P643" s="1"/>
      <c r="Q643" s="13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31"/>
      <c r="F644" s="131"/>
      <c r="G644" s="131"/>
      <c r="H644" s="1"/>
      <c r="I644" s="1"/>
      <c r="J644" s="1"/>
      <c r="K644" s="1"/>
      <c r="L644" s="1"/>
      <c r="M644" s="1"/>
      <c r="N644" s="1"/>
      <c r="O644" s="1"/>
      <c r="P644" s="1"/>
      <c r="Q644" s="13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31"/>
      <c r="F645" s="131"/>
      <c r="G645" s="131"/>
      <c r="H645" s="1"/>
      <c r="I645" s="1"/>
      <c r="J645" s="1"/>
      <c r="K645" s="1"/>
      <c r="L645" s="1"/>
      <c r="M645" s="1"/>
      <c r="N645" s="1"/>
      <c r="O645" s="1"/>
      <c r="P645" s="1"/>
      <c r="Q645" s="13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31"/>
      <c r="F646" s="131"/>
      <c r="G646" s="131"/>
      <c r="H646" s="1"/>
      <c r="I646" s="1"/>
      <c r="J646" s="1"/>
      <c r="K646" s="1"/>
      <c r="L646" s="1"/>
      <c r="M646" s="1"/>
      <c r="N646" s="1"/>
      <c r="O646" s="1"/>
      <c r="P646" s="1"/>
      <c r="Q646" s="13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31"/>
      <c r="F647" s="131"/>
      <c r="G647" s="131"/>
      <c r="H647" s="1"/>
      <c r="I647" s="1"/>
      <c r="J647" s="1"/>
      <c r="K647" s="1"/>
      <c r="L647" s="1"/>
      <c r="M647" s="1"/>
      <c r="N647" s="1"/>
      <c r="O647" s="1"/>
      <c r="P647" s="1"/>
      <c r="Q647" s="13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31"/>
      <c r="F648" s="131"/>
      <c r="G648" s="131"/>
      <c r="H648" s="1"/>
      <c r="I648" s="1"/>
      <c r="J648" s="1"/>
      <c r="K648" s="1"/>
      <c r="L648" s="1"/>
      <c r="M648" s="1"/>
      <c r="N648" s="1"/>
      <c r="O648" s="1"/>
      <c r="P648" s="1"/>
      <c r="Q648" s="13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31"/>
      <c r="F649" s="131"/>
      <c r="G649" s="131"/>
      <c r="H649" s="1"/>
      <c r="I649" s="1"/>
      <c r="J649" s="1"/>
      <c r="K649" s="1"/>
      <c r="L649" s="1"/>
      <c r="M649" s="1"/>
      <c r="N649" s="1"/>
      <c r="O649" s="1"/>
      <c r="P649" s="1"/>
      <c r="Q649" s="13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31"/>
      <c r="F650" s="131"/>
      <c r="G650" s="131"/>
      <c r="H650" s="1"/>
      <c r="I650" s="1"/>
      <c r="J650" s="1"/>
      <c r="K650" s="1"/>
      <c r="L650" s="1"/>
      <c r="M650" s="1"/>
      <c r="N650" s="1"/>
      <c r="O650" s="1"/>
      <c r="P650" s="1"/>
      <c r="Q650" s="13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31"/>
      <c r="F651" s="131"/>
      <c r="G651" s="131"/>
      <c r="H651" s="1"/>
      <c r="I651" s="1"/>
      <c r="J651" s="1"/>
      <c r="K651" s="1"/>
      <c r="L651" s="1"/>
      <c r="M651" s="1"/>
      <c r="N651" s="1"/>
      <c r="O651" s="1"/>
      <c r="P651" s="1"/>
      <c r="Q651" s="13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31"/>
      <c r="F652" s="131"/>
      <c r="G652" s="131"/>
      <c r="H652" s="1"/>
      <c r="I652" s="1"/>
      <c r="J652" s="1"/>
      <c r="K652" s="1"/>
      <c r="L652" s="1"/>
      <c r="M652" s="1"/>
      <c r="N652" s="1"/>
      <c r="O652" s="1"/>
      <c r="P652" s="1"/>
      <c r="Q652" s="13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31"/>
      <c r="F653" s="131"/>
      <c r="G653" s="131"/>
      <c r="H653" s="1"/>
      <c r="I653" s="1"/>
      <c r="J653" s="1"/>
      <c r="K653" s="1"/>
      <c r="L653" s="1"/>
      <c r="M653" s="1"/>
      <c r="N653" s="1"/>
      <c r="O653" s="1"/>
      <c r="P653" s="1"/>
      <c r="Q653" s="13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31"/>
      <c r="F654" s="131"/>
      <c r="G654" s="131"/>
      <c r="H654" s="1"/>
      <c r="I654" s="1"/>
      <c r="J654" s="1"/>
      <c r="K654" s="1"/>
      <c r="L654" s="1"/>
      <c r="M654" s="1"/>
      <c r="N654" s="1"/>
      <c r="O654" s="1"/>
      <c r="P654" s="1"/>
      <c r="Q654" s="13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31"/>
      <c r="F655" s="131"/>
      <c r="G655" s="131"/>
      <c r="H655" s="1"/>
      <c r="I655" s="1"/>
      <c r="J655" s="1"/>
      <c r="K655" s="1"/>
      <c r="L655" s="1"/>
      <c r="M655" s="1"/>
      <c r="N655" s="1"/>
      <c r="O655" s="1"/>
      <c r="P655" s="1"/>
      <c r="Q655" s="13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31"/>
      <c r="F656" s="131"/>
      <c r="G656" s="131"/>
      <c r="H656" s="1"/>
      <c r="I656" s="1"/>
      <c r="J656" s="1"/>
      <c r="K656" s="1"/>
      <c r="L656" s="1"/>
      <c r="M656" s="1"/>
      <c r="N656" s="1"/>
      <c r="O656" s="1"/>
      <c r="P656" s="1"/>
      <c r="Q656" s="13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31"/>
      <c r="F657" s="131"/>
      <c r="G657" s="131"/>
      <c r="H657" s="1"/>
      <c r="I657" s="1"/>
      <c r="J657" s="1"/>
      <c r="K657" s="1"/>
      <c r="L657" s="1"/>
      <c r="M657" s="1"/>
      <c r="N657" s="1"/>
      <c r="O657" s="1"/>
      <c r="P657" s="1"/>
      <c r="Q657" s="13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31"/>
      <c r="F658" s="131"/>
      <c r="G658" s="131"/>
      <c r="H658" s="1"/>
      <c r="I658" s="1"/>
      <c r="J658" s="1"/>
      <c r="K658" s="1"/>
      <c r="L658" s="1"/>
      <c r="M658" s="1"/>
      <c r="N658" s="1"/>
      <c r="O658" s="1"/>
      <c r="P658" s="1"/>
      <c r="Q658" s="13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31"/>
      <c r="F659" s="131"/>
      <c r="G659" s="131"/>
      <c r="H659" s="1"/>
      <c r="I659" s="1"/>
      <c r="J659" s="1"/>
      <c r="K659" s="1"/>
      <c r="L659" s="1"/>
      <c r="M659" s="1"/>
      <c r="N659" s="1"/>
      <c r="O659" s="1"/>
      <c r="P659" s="1"/>
      <c r="Q659" s="13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31"/>
      <c r="F660" s="131"/>
      <c r="G660" s="131"/>
      <c r="H660" s="1"/>
      <c r="I660" s="1"/>
      <c r="J660" s="1"/>
      <c r="K660" s="1"/>
      <c r="L660" s="1"/>
      <c r="M660" s="1"/>
      <c r="N660" s="1"/>
      <c r="O660" s="1"/>
      <c r="P660" s="1"/>
      <c r="Q660" s="13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31"/>
      <c r="F661" s="131"/>
      <c r="G661" s="131"/>
      <c r="H661" s="1"/>
      <c r="I661" s="1"/>
      <c r="J661" s="1"/>
      <c r="K661" s="1"/>
      <c r="L661" s="1"/>
      <c r="M661" s="1"/>
      <c r="N661" s="1"/>
      <c r="O661" s="1"/>
      <c r="P661" s="1"/>
      <c r="Q661" s="13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31"/>
      <c r="F662" s="131"/>
      <c r="G662" s="131"/>
      <c r="H662" s="1"/>
      <c r="I662" s="1"/>
      <c r="J662" s="1"/>
      <c r="K662" s="1"/>
      <c r="L662" s="1"/>
      <c r="M662" s="1"/>
      <c r="N662" s="1"/>
      <c r="O662" s="1"/>
      <c r="P662" s="1"/>
      <c r="Q662" s="13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31"/>
      <c r="F663" s="131"/>
      <c r="G663" s="131"/>
      <c r="H663" s="1"/>
      <c r="I663" s="1"/>
      <c r="J663" s="1"/>
      <c r="K663" s="1"/>
      <c r="L663" s="1"/>
      <c r="M663" s="1"/>
      <c r="N663" s="1"/>
      <c r="O663" s="1"/>
      <c r="P663" s="1"/>
      <c r="Q663" s="13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31"/>
      <c r="F664" s="131"/>
      <c r="G664" s="131"/>
      <c r="H664" s="1"/>
      <c r="I664" s="1"/>
      <c r="J664" s="1"/>
      <c r="K664" s="1"/>
      <c r="L664" s="1"/>
      <c r="M664" s="1"/>
      <c r="N664" s="1"/>
      <c r="O664" s="1"/>
      <c r="P664" s="1"/>
      <c r="Q664" s="13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31"/>
      <c r="F665" s="131"/>
      <c r="G665" s="131"/>
      <c r="H665" s="1"/>
      <c r="I665" s="1"/>
      <c r="J665" s="1"/>
      <c r="K665" s="1"/>
      <c r="L665" s="1"/>
      <c r="M665" s="1"/>
      <c r="N665" s="1"/>
      <c r="O665" s="1"/>
      <c r="P665" s="1"/>
      <c r="Q665" s="13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31"/>
      <c r="F666" s="131"/>
      <c r="G666" s="131"/>
      <c r="H666" s="1"/>
      <c r="I666" s="1"/>
      <c r="J666" s="1"/>
      <c r="K666" s="1"/>
      <c r="L666" s="1"/>
      <c r="M666" s="1"/>
      <c r="N666" s="1"/>
      <c r="O666" s="1"/>
      <c r="P666" s="1"/>
      <c r="Q666" s="13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31"/>
      <c r="F667" s="131"/>
      <c r="G667" s="131"/>
      <c r="H667" s="1"/>
      <c r="I667" s="1"/>
      <c r="J667" s="1"/>
      <c r="K667" s="1"/>
      <c r="L667" s="1"/>
      <c r="M667" s="1"/>
      <c r="N667" s="1"/>
      <c r="O667" s="1"/>
      <c r="P667" s="1"/>
      <c r="Q667" s="13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31"/>
      <c r="F668" s="131"/>
      <c r="G668" s="131"/>
      <c r="H668" s="1"/>
      <c r="I668" s="1"/>
      <c r="J668" s="1"/>
      <c r="K668" s="1"/>
      <c r="L668" s="1"/>
      <c r="M668" s="1"/>
      <c r="N668" s="1"/>
      <c r="O668" s="1"/>
      <c r="P668" s="1"/>
      <c r="Q668" s="13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31"/>
      <c r="F669" s="131"/>
      <c r="G669" s="131"/>
      <c r="H669" s="1"/>
      <c r="I669" s="1"/>
      <c r="J669" s="1"/>
      <c r="K669" s="1"/>
      <c r="L669" s="1"/>
      <c r="M669" s="1"/>
      <c r="N669" s="1"/>
      <c r="O669" s="1"/>
      <c r="P669" s="1"/>
      <c r="Q669" s="13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31"/>
      <c r="F670" s="131"/>
      <c r="G670" s="131"/>
      <c r="H670" s="1"/>
      <c r="I670" s="1"/>
      <c r="J670" s="1"/>
      <c r="K670" s="1"/>
      <c r="L670" s="1"/>
      <c r="M670" s="1"/>
      <c r="N670" s="1"/>
      <c r="O670" s="1"/>
      <c r="P670" s="1"/>
      <c r="Q670" s="13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31"/>
      <c r="F671" s="131"/>
      <c r="G671" s="131"/>
      <c r="H671" s="1"/>
      <c r="I671" s="1"/>
      <c r="J671" s="1"/>
      <c r="K671" s="1"/>
      <c r="L671" s="1"/>
      <c r="M671" s="1"/>
      <c r="N671" s="1"/>
      <c r="O671" s="1"/>
      <c r="P671" s="1"/>
      <c r="Q671" s="13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31"/>
      <c r="F672" s="131"/>
      <c r="G672" s="131"/>
      <c r="H672" s="1"/>
      <c r="I672" s="1"/>
      <c r="J672" s="1"/>
      <c r="K672" s="1"/>
      <c r="L672" s="1"/>
      <c r="M672" s="1"/>
      <c r="N672" s="1"/>
      <c r="O672" s="1"/>
      <c r="P672" s="1"/>
      <c r="Q672" s="13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31"/>
      <c r="F673" s="131"/>
      <c r="G673" s="131"/>
      <c r="H673" s="1"/>
      <c r="I673" s="1"/>
      <c r="J673" s="1"/>
      <c r="K673" s="1"/>
      <c r="L673" s="1"/>
      <c r="M673" s="1"/>
      <c r="N673" s="1"/>
      <c r="O673" s="1"/>
      <c r="P673" s="1"/>
      <c r="Q673" s="13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31"/>
      <c r="F674" s="131"/>
      <c r="G674" s="131"/>
      <c r="H674" s="1"/>
      <c r="I674" s="1"/>
      <c r="J674" s="1"/>
      <c r="K674" s="1"/>
      <c r="L674" s="1"/>
      <c r="M674" s="1"/>
      <c r="N674" s="1"/>
      <c r="O674" s="1"/>
      <c r="P674" s="1"/>
      <c r="Q674" s="13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31"/>
      <c r="F675" s="131"/>
      <c r="G675" s="131"/>
      <c r="H675" s="1"/>
      <c r="I675" s="1"/>
      <c r="J675" s="1"/>
      <c r="K675" s="1"/>
      <c r="L675" s="1"/>
      <c r="M675" s="1"/>
      <c r="N675" s="1"/>
      <c r="O675" s="1"/>
      <c r="P675" s="1"/>
      <c r="Q675" s="13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31"/>
      <c r="F676" s="131"/>
      <c r="G676" s="131"/>
      <c r="H676" s="1"/>
      <c r="I676" s="1"/>
      <c r="J676" s="1"/>
      <c r="K676" s="1"/>
      <c r="L676" s="1"/>
      <c r="M676" s="1"/>
      <c r="N676" s="1"/>
      <c r="O676" s="1"/>
      <c r="P676" s="1"/>
      <c r="Q676" s="13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31"/>
      <c r="F677" s="131"/>
      <c r="G677" s="131"/>
      <c r="H677" s="1"/>
      <c r="I677" s="1"/>
      <c r="J677" s="1"/>
      <c r="K677" s="1"/>
      <c r="L677" s="1"/>
      <c r="M677" s="1"/>
      <c r="N677" s="1"/>
      <c r="O677" s="1"/>
      <c r="P677" s="1"/>
      <c r="Q677" s="13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31"/>
      <c r="F678" s="131"/>
      <c r="G678" s="131"/>
      <c r="H678" s="1"/>
      <c r="I678" s="1"/>
      <c r="J678" s="1"/>
      <c r="K678" s="1"/>
      <c r="L678" s="1"/>
      <c r="M678" s="1"/>
      <c r="N678" s="1"/>
      <c r="O678" s="1"/>
      <c r="P678" s="1"/>
      <c r="Q678" s="13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31"/>
      <c r="F679" s="131"/>
      <c r="G679" s="131"/>
      <c r="H679" s="1"/>
      <c r="I679" s="1"/>
      <c r="J679" s="1"/>
      <c r="K679" s="1"/>
      <c r="L679" s="1"/>
      <c r="M679" s="1"/>
      <c r="N679" s="1"/>
      <c r="O679" s="1"/>
      <c r="P679" s="1"/>
      <c r="Q679" s="13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31"/>
      <c r="F680" s="131"/>
      <c r="G680" s="131"/>
      <c r="H680" s="1"/>
      <c r="I680" s="1"/>
      <c r="J680" s="1"/>
      <c r="K680" s="1"/>
      <c r="L680" s="1"/>
      <c r="M680" s="1"/>
      <c r="N680" s="1"/>
      <c r="O680" s="1"/>
      <c r="P680" s="1"/>
      <c r="Q680" s="13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31"/>
      <c r="F681" s="131"/>
      <c r="G681" s="131"/>
      <c r="H681" s="1"/>
      <c r="I681" s="1"/>
      <c r="J681" s="1"/>
      <c r="K681" s="1"/>
      <c r="L681" s="1"/>
      <c r="M681" s="1"/>
      <c r="N681" s="1"/>
      <c r="O681" s="1"/>
      <c r="P681" s="1"/>
      <c r="Q681" s="13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31"/>
      <c r="F682" s="131"/>
      <c r="G682" s="131"/>
      <c r="H682" s="1"/>
      <c r="I682" s="1"/>
      <c r="J682" s="1"/>
      <c r="K682" s="1"/>
      <c r="L682" s="1"/>
      <c r="M682" s="1"/>
      <c r="N682" s="1"/>
      <c r="O682" s="1"/>
      <c r="P682" s="1"/>
      <c r="Q682" s="13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31"/>
      <c r="F683" s="131"/>
      <c r="G683" s="131"/>
      <c r="H683" s="1"/>
      <c r="I683" s="1"/>
      <c r="J683" s="1"/>
      <c r="K683" s="1"/>
      <c r="L683" s="1"/>
      <c r="M683" s="1"/>
      <c r="N683" s="1"/>
      <c r="O683" s="1"/>
      <c r="P683" s="1"/>
      <c r="Q683" s="13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31"/>
      <c r="F684" s="131"/>
      <c r="G684" s="131"/>
      <c r="H684" s="1"/>
      <c r="I684" s="1"/>
      <c r="J684" s="1"/>
      <c r="K684" s="1"/>
      <c r="L684" s="1"/>
      <c r="M684" s="1"/>
      <c r="N684" s="1"/>
      <c r="O684" s="1"/>
      <c r="P684" s="1"/>
      <c r="Q684" s="13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31"/>
      <c r="F685" s="131"/>
      <c r="G685" s="131"/>
      <c r="H685" s="1"/>
      <c r="I685" s="1"/>
      <c r="J685" s="1"/>
      <c r="K685" s="1"/>
      <c r="L685" s="1"/>
      <c r="M685" s="1"/>
      <c r="N685" s="1"/>
      <c r="O685" s="1"/>
      <c r="P685" s="1"/>
      <c r="Q685" s="13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31"/>
      <c r="F686" s="131"/>
      <c r="G686" s="131"/>
      <c r="H686" s="1"/>
      <c r="I686" s="1"/>
      <c r="J686" s="1"/>
      <c r="K686" s="1"/>
      <c r="L686" s="1"/>
      <c r="M686" s="1"/>
      <c r="N686" s="1"/>
      <c r="O686" s="1"/>
      <c r="P686" s="1"/>
      <c r="Q686" s="13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31"/>
      <c r="F687" s="131"/>
      <c r="G687" s="131"/>
      <c r="H687" s="1"/>
      <c r="I687" s="1"/>
      <c r="J687" s="1"/>
      <c r="K687" s="1"/>
      <c r="L687" s="1"/>
      <c r="M687" s="1"/>
      <c r="N687" s="1"/>
      <c r="O687" s="1"/>
      <c r="P687" s="1"/>
      <c r="Q687" s="13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31"/>
      <c r="F688" s="131"/>
      <c r="G688" s="131"/>
      <c r="H688" s="1"/>
      <c r="I688" s="1"/>
      <c r="J688" s="1"/>
      <c r="K688" s="1"/>
      <c r="L688" s="1"/>
      <c r="M688" s="1"/>
      <c r="N688" s="1"/>
      <c r="O688" s="1"/>
      <c r="P688" s="1"/>
      <c r="Q688" s="13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31"/>
      <c r="F689" s="131"/>
      <c r="G689" s="131"/>
      <c r="H689" s="1"/>
      <c r="I689" s="1"/>
      <c r="J689" s="1"/>
      <c r="K689" s="1"/>
      <c r="L689" s="1"/>
      <c r="M689" s="1"/>
      <c r="N689" s="1"/>
      <c r="O689" s="1"/>
      <c r="P689" s="1"/>
      <c r="Q689" s="13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31"/>
      <c r="F690" s="131"/>
      <c r="G690" s="131"/>
      <c r="H690" s="1"/>
      <c r="I690" s="1"/>
      <c r="J690" s="1"/>
      <c r="K690" s="1"/>
      <c r="L690" s="1"/>
      <c r="M690" s="1"/>
      <c r="N690" s="1"/>
      <c r="O690" s="1"/>
      <c r="P690" s="1"/>
      <c r="Q690" s="13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31"/>
      <c r="F691" s="131"/>
      <c r="G691" s="131"/>
      <c r="H691" s="1"/>
      <c r="I691" s="1"/>
      <c r="J691" s="1"/>
      <c r="K691" s="1"/>
      <c r="L691" s="1"/>
      <c r="M691" s="1"/>
      <c r="N691" s="1"/>
      <c r="O691" s="1"/>
      <c r="P691" s="1"/>
      <c r="Q691" s="13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31"/>
      <c r="F692" s="131"/>
      <c r="G692" s="131"/>
      <c r="H692" s="1"/>
      <c r="I692" s="1"/>
      <c r="J692" s="1"/>
      <c r="K692" s="1"/>
      <c r="L692" s="1"/>
      <c r="M692" s="1"/>
      <c r="N692" s="1"/>
      <c r="O692" s="1"/>
      <c r="P692" s="1"/>
      <c r="Q692" s="13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31"/>
      <c r="F693" s="131"/>
      <c r="G693" s="131"/>
      <c r="H693" s="1"/>
      <c r="I693" s="1"/>
      <c r="J693" s="1"/>
      <c r="K693" s="1"/>
      <c r="L693" s="1"/>
      <c r="M693" s="1"/>
      <c r="N693" s="1"/>
      <c r="O693" s="1"/>
      <c r="P693" s="1"/>
      <c r="Q693" s="13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31"/>
      <c r="F694" s="131"/>
      <c r="G694" s="131"/>
      <c r="H694" s="1"/>
      <c r="I694" s="1"/>
      <c r="J694" s="1"/>
      <c r="K694" s="1"/>
      <c r="L694" s="1"/>
      <c r="M694" s="1"/>
      <c r="N694" s="1"/>
      <c r="O694" s="1"/>
      <c r="P694" s="1"/>
      <c r="Q694" s="13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31"/>
      <c r="F695" s="131"/>
      <c r="G695" s="131"/>
      <c r="H695" s="1"/>
      <c r="I695" s="1"/>
      <c r="J695" s="1"/>
      <c r="K695" s="1"/>
      <c r="L695" s="1"/>
      <c r="M695" s="1"/>
      <c r="N695" s="1"/>
      <c r="O695" s="1"/>
      <c r="P695" s="1"/>
      <c r="Q695" s="13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31"/>
      <c r="F696" s="131"/>
      <c r="G696" s="131"/>
      <c r="H696" s="1"/>
      <c r="I696" s="1"/>
      <c r="J696" s="1"/>
      <c r="K696" s="1"/>
      <c r="L696" s="1"/>
      <c r="M696" s="1"/>
      <c r="N696" s="1"/>
      <c r="O696" s="1"/>
      <c r="P696" s="1"/>
      <c r="Q696" s="13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31"/>
      <c r="F697" s="131"/>
      <c r="G697" s="131"/>
      <c r="H697" s="1"/>
      <c r="I697" s="1"/>
      <c r="J697" s="1"/>
      <c r="K697" s="1"/>
      <c r="L697" s="1"/>
      <c r="M697" s="1"/>
      <c r="N697" s="1"/>
      <c r="O697" s="1"/>
      <c r="P697" s="1"/>
      <c r="Q697" s="13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31"/>
      <c r="F698" s="131"/>
      <c r="G698" s="131"/>
      <c r="H698" s="1"/>
      <c r="I698" s="1"/>
      <c r="J698" s="1"/>
      <c r="K698" s="1"/>
      <c r="L698" s="1"/>
      <c r="M698" s="1"/>
      <c r="N698" s="1"/>
      <c r="O698" s="1"/>
      <c r="P698" s="1"/>
      <c r="Q698" s="13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31"/>
      <c r="F699" s="131"/>
      <c r="G699" s="131"/>
      <c r="H699" s="1"/>
      <c r="I699" s="1"/>
      <c r="J699" s="1"/>
      <c r="K699" s="1"/>
      <c r="L699" s="1"/>
      <c r="M699" s="1"/>
      <c r="N699" s="1"/>
      <c r="O699" s="1"/>
      <c r="P699" s="1"/>
      <c r="Q699" s="13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31"/>
      <c r="F700" s="131"/>
      <c r="G700" s="131"/>
      <c r="H700" s="1"/>
      <c r="I700" s="1"/>
      <c r="J700" s="1"/>
      <c r="K700" s="1"/>
      <c r="L700" s="1"/>
      <c r="M700" s="1"/>
      <c r="N700" s="1"/>
      <c r="O700" s="1"/>
      <c r="P700" s="1"/>
      <c r="Q700" s="13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31"/>
      <c r="F701" s="131"/>
      <c r="G701" s="131"/>
      <c r="H701" s="1"/>
      <c r="I701" s="1"/>
      <c r="J701" s="1"/>
      <c r="K701" s="1"/>
      <c r="L701" s="1"/>
      <c r="M701" s="1"/>
      <c r="N701" s="1"/>
      <c r="O701" s="1"/>
      <c r="P701" s="1"/>
      <c r="Q701" s="13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31"/>
      <c r="F702" s="131"/>
      <c r="G702" s="131"/>
      <c r="H702" s="1"/>
      <c r="I702" s="1"/>
      <c r="J702" s="1"/>
      <c r="K702" s="1"/>
      <c r="L702" s="1"/>
      <c r="M702" s="1"/>
      <c r="N702" s="1"/>
      <c r="O702" s="1"/>
      <c r="P702" s="1"/>
      <c r="Q702" s="13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31"/>
      <c r="F703" s="131"/>
      <c r="G703" s="131"/>
      <c r="H703" s="1"/>
      <c r="I703" s="1"/>
      <c r="J703" s="1"/>
      <c r="K703" s="1"/>
      <c r="L703" s="1"/>
      <c r="M703" s="1"/>
      <c r="N703" s="1"/>
      <c r="O703" s="1"/>
      <c r="P703" s="1"/>
      <c r="Q703" s="13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31"/>
      <c r="F704" s="131"/>
      <c r="G704" s="131"/>
      <c r="H704" s="1"/>
      <c r="I704" s="1"/>
      <c r="J704" s="1"/>
      <c r="K704" s="1"/>
      <c r="L704" s="1"/>
      <c r="M704" s="1"/>
      <c r="N704" s="1"/>
      <c r="O704" s="1"/>
      <c r="P704" s="1"/>
      <c r="Q704" s="13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31"/>
      <c r="F705" s="131"/>
      <c r="G705" s="131"/>
      <c r="H705" s="1"/>
      <c r="I705" s="1"/>
      <c r="J705" s="1"/>
      <c r="K705" s="1"/>
      <c r="L705" s="1"/>
      <c r="M705" s="1"/>
      <c r="N705" s="1"/>
      <c r="O705" s="1"/>
      <c r="P705" s="1"/>
      <c r="Q705" s="13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31"/>
      <c r="F706" s="131"/>
      <c r="G706" s="131"/>
      <c r="H706" s="1"/>
      <c r="I706" s="1"/>
      <c r="J706" s="1"/>
      <c r="K706" s="1"/>
      <c r="L706" s="1"/>
      <c r="M706" s="1"/>
      <c r="N706" s="1"/>
      <c r="O706" s="1"/>
      <c r="P706" s="1"/>
      <c r="Q706" s="13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31"/>
      <c r="F707" s="131"/>
      <c r="G707" s="131"/>
      <c r="H707" s="1"/>
      <c r="I707" s="1"/>
      <c r="J707" s="1"/>
      <c r="K707" s="1"/>
      <c r="L707" s="1"/>
      <c r="M707" s="1"/>
      <c r="N707" s="1"/>
      <c r="O707" s="1"/>
      <c r="P707" s="1"/>
      <c r="Q707" s="13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31"/>
      <c r="F708" s="131"/>
      <c r="G708" s="131"/>
      <c r="H708" s="1"/>
      <c r="I708" s="1"/>
      <c r="J708" s="1"/>
      <c r="K708" s="1"/>
      <c r="L708" s="1"/>
      <c r="M708" s="1"/>
      <c r="N708" s="1"/>
      <c r="O708" s="1"/>
      <c r="P708" s="1"/>
      <c r="Q708" s="13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31"/>
      <c r="F709" s="131"/>
      <c r="G709" s="131"/>
      <c r="H709" s="1"/>
      <c r="I709" s="1"/>
      <c r="J709" s="1"/>
      <c r="K709" s="1"/>
      <c r="L709" s="1"/>
      <c r="M709" s="1"/>
      <c r="N709" s="1"/>
      <c r="O709" s="1"/>
      <c r="P709" s="1"/>
      <c r="Q709" s="13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31"/>
      <c r="F710" s="131"/>
      <c r="G710" s="131"/>
      <c r="H710" s="1"/>
      <c r="I710" s="1"/>
      <c r="J710" s="1"/>
      <c r="K710" s="1"/>
      <c r="L710" s="1"/>
      <c r="M710" s="1"/>
      <c r="N710" s="1"/>
      <c r="O710" s="1"/>
      <c r="P710" s="1"/>
      <c r="Q710" s="13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31"/>
      <c r="F711" s="131"/>
      <c r="G711" s="131"/>
      <c r="H711" s="1"/>
      <c r="I711" s="1"/>
      <c r="J711" s="1"/>
      <c r="K711" s="1"/>
      <c r="L711" s="1"/>
      <c r="M711" s="1"/>
      <c r="N711" s="1"/>
      <c r="O711" s="1"/>
      <c r="P711" s="1"/>
      <c r="Q711" s="13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31"/>
      <c r="F712" s="131"/>
      <c r="G712" s="131"/>
      <c r="H712" s="1"/>
      <c r="I712" s="1"/>
      <c r="J712" s="1"/>
      <c r="K712" s="1"/>
      <c r="L712" s="1"/>
      <c r="M712" s="1"/>
      <c r="N712" s="1"/>
      <c r="O712" s="1"/>
      <c r="P712" s="1"/>
      <c r="Q712" s="13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31"/>
      <c r="F713" s="131"/>
      <c r="G713" s="131"/>
      <c r="H713" s="1"/>
      <c r="I713" s="1"/>
      <c r="J713" s="1"/>
      <c r="K713" s="1"/>
      <c r="L713" s="1"/>
      <c r="M713" s="1"/>
      <c r="N713" s="1"/>
      <c r="O713" s="1"/>
      <c r="P713" s="1"/>
      <c r="Q713" s="13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31"/>
      <c r="F714" s="131"/>
      <c r="G714" s="131"/>
      <c r="H714" s="1"/>
      <c r="I714" s="1"/>
      <c r="J714" s="1"/>
      <c r="K714" s="1"/>
      <c r="L714" s="1"/>
      <c r="M714" s="1"/>
      <c r="N714" s="1"/>
      <c r="O714" s="1"/>
      <c r="P714" s="1"/>
      <c r="Q714" s="13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31"/>
      <c r="F715" s="131"/>
      <c r="G715" s="131"/>
      <c r="H715" s="1"/>
      <c r="I715" s="1"/>
      <c r="J715" s="1"/>
      <c r="K715" s="1"/>
      <c r="L715" s="1"/>
      <c r="M715" s="1"/>
      <c r="N715" s="1"/>
      <c r="O715" s="1"/>
      <c r="P715" s="1"/>
      <c r="Q715" s="13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31"/>
      <c r="F716" s="131"/>
      <c r="G716" s="131"/>
      <c r="H716" s="1"/>
      <c r="I716" s="1"/>
      <c r="J716" s="1"/>
      <c r="K716" s="1"/>
      <c r="L716" s="1"/>
      <c r="M716" s="1"/>
      <c r="N716" s="1"/>
      <c r="O716" s="1"/>
      <c r="P716" s="1"/>
      <c r="Q716" s="13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31"/>
      <c r="F717" s="131"/>
      <c r="G717" s="131"/>
      <c r="H717" s="1"/>
      <c r="I717" s="1"/>
      <c r="J717" s="1"/>
      <c r="K717" s="1"/>
      <c r="L717" s="1"/>
      <c r="M717" s="1"/>
      <c r="N717" s="1"/>
      <c r="O717" s="1"/>
      <c r="P717" s="1"/>
      <c r="Q717" s="13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31"/>
      <c r="F718" s="131"/>
      <c r="G718" s="131"/>
      <c r="H718" s="1"/>
      <c r="I718" s="1"/>
      <c r="J718" s="1"/>
      <c r="K718" s="1"/>
      <c r="L718" s="1"/>
      <c r="M718" s="1"/>
      <c r="N718" s="1"/>
      <c r="O718" s="1"/>
      <c r="P718" s="1"/>
      <c r="Q718" s="13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31"/>
      <c r="F719" s="131"/>
      <c r="G719" s="131"/>
      <c r="H719" s="1"/>
      <c r="I719" s="1"/>
      <c r="J719" s="1"/>
      <c r="K719" s="1"/>
      <c r="L719" s="1"/>
      <c r="M719" s="1"/>
      <c r="N719" s="1"/>
      <c r="O719" s="1"/>
      <c r="P719" s="1"/>
      <c r="Q719" s="13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31"/>
      <c r="F720" s="131"/>
      <c r="G720" s="131"/>
      <c r="H720" s="1"/>
      <c r="I720" s="1"/>
      <c r="J720" s="1"/>
      <c r="K720" s="1"/>
      <c r="L720" s="1"/>
      <c r="M720" s="1"/>
      <c r="N720" s="1"/>
      <c r="O720" s="1"/>
      <c r="P720" s="1"/>
      <c r="Q720" s="13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31"/>
      <c r="F721" s="131"/>
      <c r="G721" s="131"/>
      <c r="H721" s="1"/>
      <c r="I721" s="1"/>
      <c r="J721" s="1"/>
      <c r="K721" s="1"/>
      <c r="L721" s="1"/>
      <c r="M721" s="1"/>
      <c r="N721" s="1"/>
      <c r="O721" s="1"/>
      <c r="P721" s="1"/>
      <c r="Q721" s="13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31"/>
      <c r="F722" s="131"/>
      <c r="G722" s="131"/>
      <c r="H722" s="1"/>
      <c r="I722" s="1"/>
      <c r="J722" s="1"/>
      <c r="K722" s="1"/>
      <c r="L722" s="1"/>
      <c r="M722" s="1"/>
      <c r="N722" s="1"/>
      <c r="O722" s="1"/>
      <c r="P722" s="1"/>
      <c r="Q722" s="13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31"/>
      <c r="F723" s="131"/>
      <c r="G723" s="131"/>
      <c r="H723" s="1"/>
      <c r="I723" s="1"/>
      <c r="J723" s="1"/>
      <c r="K723" s="1"/>
      <c r="L723" s="1"/>
      <c r="M723" s="1"/>
      <c r="N723" s="1"/>
      <c r="O723" s="1"/>
      <c r="P723" s="1"/>
      <c r="Q723" s="13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31"/>
      <c r="F724" s="131"/>
      <c r="G724" s="131"/>
      <c r="H724" s="1"/>
      <c r="I724" s="1"/>
      <c r="J724" s="1"/>
      <c r="K724" s="1"/>
      <c r="L724" s="1"/>
      <c r="M724" s="1"/>
      <c r="N724" s="1"/>
      <c r="O724" s="1"/>
      <c r="P724" s="1"/>
      <c r="Q724" s="13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31"/>
      <c r="F725" s="131"/>
      <c r="G725" s="131"/>
      <c r="H725" s="1"/>
      <c r="I725" s="1"/>
      <c r="J725" s="1"/>
      <c r="K725" s="1"/>
      <c r="L725" s="1"/>
      <c r="M725" s="1"/>
      <c r="N725" s="1"/>
      <c r="O725" s="1"/>
      <c r="P725" s="1"/>
      <c r="Q725" s="13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31"/>
      <c r="F726" s="131"/>
      <c r="G726" s="131"/>
      <c r="H726" s="1"/>
      <c r="I726" s="1"/>
      <c r="J726" s="1"/>
      <c r="K726" s="1"/>
      <c r="L726" s="1"/>
      <c r="M726" s="1"/>
      <c r="N726" s="1"/>
      <c r="O726" s="1"/>
      <c r="P726" s="1"/>
      <c r="Q726" s="13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31"/>
      <c r="F727" s="131"/>
      <c r="G727" s="131"/>
      <c r="H727" s="1"/>
      <c r="I727" s="1"/>
      <c r="J727" s="1"/>
      <c r="K727" s="1"/>
      <c r="L727" s="1"/>
      <c r="M727" s="1"/>
      <c r="N727" s="1"/>
      <c r="O727" s="1"/>
      <c r="P727" s="1"/>
      <c r="Q727" s="13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31"/>
      <c r="F728" s="131"/>
      <c r="G728" s="131"/>
      <c r="H728" s="1"/>
      <c r="I728" s="1"/>
      <c r="J728" s="1"/>
      <c r="K728" s="1"/>
      <c r="L728" s="1"/>
      <c r="M728" s="1"/>
      <c r="N728" s="1"/>
      <c r="O728" s="1"/>
      <c r="P728" s="1"/>
      <c r="Q728" s="13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31"/>
      <c r="F729" s="131"/>
      <c r="G729" s="131"/>
      <c r="H729" s="1"/>
      <c r="I729" s="1"/>
      <c r="J729" s="1"/>
      <c r="K729" s="1"/>
      <c r="L729" s="1"/>
      <c r="M729" s="1"/>
      <c r="N729" s="1"/>
      <c r="O729" s="1"/>
      <c r="P729" s="1"/>
      <c r="Q729" s="13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31"/>
      <c r="F730" s="131"/>
      <c r="G730" s="131"/>
      <c r="H730" s="1"/>
      <c r="I730" s="1"/>
      <c r="J730" s="1"/>
      <c r="K730" s="1"/>
      <c r="L730" s="1"/>
      <c r="M730" s="1"/>
      <c r="N730" s="1"/>
      <c r="O730" s="1"/>
      <c r="P730" s="1"/>
      <c r="Q730" s="13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31"/>
      <c r="F731" s="131"/>
      <c r="G731" s="131"/>
      <c r="H731" s="1"/>
      <c r="I731" s="1"/>
      <c r="J731" s="1"/>
      <c r="K731" s="1"/>
      <c r="L731" s="1"/>
      <c r="M731" s="1"/>
      <c r="N731" s="1"/>
      <c r="O731" s="1"/>
      <c r="P731" s="1"/>
      <c r="Q731" s="13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31"/>
      <c r="F732" s="131"/>
      <c r="G732" s="131"/>
      <c r="H732" s="1"/>
      <c r="I732" s="1"/>
      <c r="J732" s="1"/>
      <c r="K732" s="1"/>
      <c r="L732" s="1"/>
      <c r="M732" s="1"/>
      <c r="N732" s="1"/>
      <c r="O732" s="1"/>
      <c r="P732" s="1"/>
      <c r="Q732" s="13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31"/>
      <c r="F733" s="131"/>
      <c r="G733" s="131"/>
      <c r="H733" s="1"/>
      <c r="I733" s="1"/>
      <c r="J733" s="1"/>
      <c r="K733" s="1"/>
      <c r="L733" s="1"/>
      <c r="M733" s="1"/>
      <c r="N733" s="1"/>
      <c r="O733" s="1"/>
      <c r="P733" s="1"/>
      <c r="Q733" s="13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31"/>
      <c r="F734" s="131"/>
      <c r="G734" s="131"/>
      <c r="H734" s="1"/>
      <c r="I734" s="1"/>
      <c r="J734" s="1"/>
      <c r="K734" s="1"/>
      <c r="L734" s="1"/>
      <c r="M734" s="1"/>
      <c r="N734" s="1"/>
      <c r="O734" s="1"/>
      <c r="P734" s="1"/>
      <c r="Q734" s="13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31"/>
      <c r="F735" s="131"/>
      <c r="G735" s="131"/>
      <c r="H735" s="1"/>
      <c r="I735" s="1"/>
      <c r="J735" s="1"/>
      <c r="K735" s="1"/>
      <c r="L735" s="1"/>
      <c r="M735" s="1"/>
      <c r="N735" s="1"/>
      <c r="O735" s="1"/>
      <c r="P735" s="1"/>
      <c r="Q735" s="13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31"/>
      <c r="F736" s="131"/>
      <c r="G736" s="131"/>
      <c r="H736" s="1"/>
      <c r="I736" s="1"/>
      <c r="J736" s="1"/>
      <c r="K736" s="1"/>
      <c r="L736" s="1"/>
      <c r="M736" s="1"/>
      <c r="N736" s="1"/>
      <c r="O736" s="1"/>
      <c r="P736" s="1"/>
      <c r="Q736" s="13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31"/>
      <c r="F737" s="131"/>
      <c r="G737" s="131"/>
      <c r="H737" s="1"/>
      <c r="I737" s="1"/>
      <c r="J737" s="1"/>
      <c r="K737" s="1"/>
      <c r="L737" s="1"/>
      <c r="M737" s="1"/>
      <c r="N737" s="1"/>
      <c r="O737" s="1"/>
      <c r="P737" s="1"/>
      <c r="Q737" s="13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31"/>
      <c r="F738" s="131"/>
      <c r="G738" s="131"/>
      <c r="H738" s="1"/>
      <c r="I738" s="1"/>
      <c r="J738" s="1"/>
      <c r="K738" s="1"/>
      <c r="L738" s="1"/>
      <c r="M738" s="1"/>
      <c r="N738" s="1"/>
      <c r="O738" s="1"/>
      <c r="P738" s="1"/>
      <c r="Q738" s="13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31"/>
      <c r="F739" s="131"/>
      <c r="G739" s="131"/>
      <c r="H739" s="1"/>
      <c r="I739" s="1"/>
      <c r="J739" s="1"/>
      <c r="K739" s="1"/>
      <c r="L739" s="1"/>
      <c r="M739" s="1"/>
      <c r="N739" s="1"/>
      <c r="O739" s="1"/>
      <c r="P739" s="1"/>
      <c r="Q739" s="13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31"/>
      <c r="F740" s="131"/>
      <c r="G740" s="131"/>
      <c r="H740" s="1"/>
      <c r="I740" s="1"/>
      <c r="J740" s="1"/>
      <c r="K740" s="1"/>
      <c r="L740" s="1"/>
      <c r="M740" s="1"/>
      <c r="N740" s="1"/>
      <c r="O740" s="1"/>
      <c r="P740" s="1"/>
      <c r="Q740" s="13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31"/>
      <c r="F741" s="131"/>
      <c r="G741" s="131"/>
      <c r="H741" s="1"/>
      <c r="I741" s="1"/>
      <c r="J741" s="1"/>
      <c r="K741" s="1"/>
      <c r="L741" s="1"/>
      <c r="M741" s="1"/>
      <c r="N741" s="1"/>
      <c r="O741" s="1"/>
      <c r="P741" s="1"/>
      <c r="Q741" s="13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31"/>
      <c r="F742" s="131"/>
      <c r="G742" s="131"/>
      <c r="H742" s="1"/>
      <c r="I742" s="1"/>
      <c r="J742" s="1"/>
      <c r="K742" s="1"/>
      <c r="L742" s="1"/>
      <c r="M742" s="1"/>
      <c r="N742" s="1"/>
      <c r="O742" s="1"/>
      <c r="P742" s="1"/>
      <c r="Q742" s="13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31"/>
      <c r="F743" s="131"/>
      <c r="G743" s="131"/>
      <c r="H743" s="1"/>
      <c r="I743" s="1"/>
      <c r="J743" s="1"/>
      <c r="K743" s="1"/>
      <c r="L743" s="1"/>
      <c r="M743" s="1"/>
      <c r="N743" s="1"/>
      <c r="O743" s="1"/>
      <c r="P743" s="1"/>
      <c r="Q743" s="13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31"/>
      <c r="F744" s="131"/>
      <c r="G744" s="131"/>
      <c r="H744" s="1"/>
      <c r="I744" s="1"/>
      <c r="J744" s="1"/>
      <c r="K744" s="1"/>
      <c r="L744" s="1"/>
      <c r="M744" s="1"/>
      <c r="N744" s="1"/>
      <c r="O744" s="1"/>
      <c r="P744" s="1"/>
      <c r="Q744" s="13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31"/>
      <c r="F745" s="131"/>
      <c r="G745" s="131"/>
      <c r="H745" s="1"/>
      <c r="I745" s="1"/>
      <c r="J745" s="1"/>
      <c r="K745" s="1"/>
      <c r="L745" s="1"/>
      <c r="M745" s="1"/>
      <c r="N745" s="1"/>
      <c r="O745" s="1"/>
      <c r="P745" s="1"/>
      <c r="Q745" s="13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31"/>
      <c r="F746" s="131"/>
      <c r="G746" s="131"/>
      <c r="H746" s="1"/>
      <c r="I746" s="1"/>
      <c r="J746" s="1"/>
      <c r="K746" s="1"/>
      <c r="L746" s="1"/>
      <c r="M746" s="1"/>
      <c r="N746" s="1"/>
      <c r="O746" s="1"/>
      <c r="P746" s="1"/>
      <c r="Q746" s="13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31"/>
      <c r="F747" s="131"/>
      <c r="G747" s="131"/>
      <c r="H747" s="1"/>
      <c r="I747" s="1"/>
      <c r="J747" s="1"/>
      <c r="K747" s="1"/>
      <c r="L747" s="1"/>
      <c r="M747" s="1"/>
      <c r="N747" s="1"/>
      <c r="O747" s="1"/>
      <c r="P747" s="1"/>
      <c r="Q747" s="13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31"/>
      <c r="F748" s="131"/>
      <c r="G748" s="131"/>
      <c r="H748" s="1"/>
      <c r="I748" s="1"/>
      <c r="J748" s="1"/>
      <c r="K748" s="1"/>
      <c r="L748" s="1"/>
      <c r="M748" s="1"/>
      <c r="N748" s="1"/>
      <c r="O748" s="1"/>
      <c r="P748" s="1"/>
      <c r="Q748" s="13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31"/>
      <c r="F749" s="131"/>
      <c r="G749" s="131"/>
      <c r="H749" s="1"/>
      <c r="I749" s="1"/>
      <c r="J749" s="1"/>
      <c r="K749" s="1"/>
      <c r="L749" s="1"/>
      <c r="M749" s="1"/>
      <c r="N749" s="1"/>
      <c r="O749" s="1"/>
      <c r="P749" s="1"/>
      <c r="Q749" s="13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31"/>
      <c r="F750" s="131"/>
      <c r="G750" s="131"/>
      <c r="H750" s="1"/>
      <c r="I750" s="1"/>
      <c r="J750" s="1"/>
      <c r="K750" s="1"/>
      <c r="L750" s="1"/>
      <c r="M750" s="1"/>
      <c r="N750" s="1"/>
      <c r="O750" s="1"/>
      <c r="P750" s="1"/>
      <c r="Q750" s="13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31"/>
      <c r="F751" s="131"/>
      <c r="G751" s="131"/>
      <c r="H751" s="1"/>
      <c r="I751" s="1"/>
      <c r="J751" s="1"/>
      <c r="K751" s="1"/>
      <c r="L751" s="1"/>
      <c r="M751" s="1"/>
      <c r="N751" s="1"/>
      <c r="O751" s="1"/>
      <c r="P751" s="1"/>
      <c r="Q751" s="13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31"/>
      <c r="F752" s="131"/>
      <c r="G752" s="131"/>
      <c r="H752" s="1"/>
      <c r="I752" s="1"/>
      <c r="J752" s="1"/>
      <c r="K752" s="1"/>
      <c r="L752" s="1"/>
      <c r="M752" s="1"/>
      <c r="N752" s="1"/>
      <c r="O752" s="1"/>
      <c r="P752" s="1"/>
      <c r="Q752" s="13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31"/>
      <c r="F753" s="131"/>
      <c r="G753" s="131"/>
      <c r="H753" s="1"/>
      <c r="I753" s="1"/>
      <c r="J753" s="1"/>
      <c r="K753" s="1"/>
      <c r="L753" s="1"/>
      <c r="M753" s="1"/>
      <c r="N753" s="1"/>
      <c r="O753" s="1"/>
      <c r="P753" s="1"/>
      <c r="Q753" s="13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31"/>
      <c r="F754" s="131"/>
      <c r="G754" s="131"/>
      <c r="H754" s="1"/>
      <c r="I754" s="1"/>
      <c r="J754" s="1"/>
      <c r="K754" s="1"/>
      <c r="L754" s="1"/>
      <c r="M754" s="1"/>
      <c r="N754" s="1"/>
      <c r="O754" s="1"/>
      <c r="P754" s="1"/>
      <c r="Q754" s="13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31"/>
      <c r="F755" s="131"/>
      <c r="G755" s="131"/>
      <c r="H755" s="1"/>
      <c r="I755" s="1"/>
      <c r="J755" s="1"/>
      <c r="K755" s="1"/>
      <c r="L755" s="1"/>
      <c r="M755" s="1"/>
      <c r="N755" s="1"/>
      <c r="O755" s="1"/>
      <c r="P755" s="1"/>
      <c r="Q755" s="13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31"/>
      <c r="F756" s="131"/>
      <c r="G756" s="131"/>
      <c r="H756" s="1"/>
      <c r="I756" s="1"/>
      <c r="J756" s="1"/>
      <c r="K756" s="1"/>
      <c r="L756" s="1"/>
      <c r="M756" s="1"/>
      <c r="N756" s="1"/>
      <c r="O756" s="1"/>
      <c r="P756" s="1"/>
      <c r="Q756" s="13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31"/>
      <c r="F757" s="131"/>
      <c r="G757" s="131"/>
      <c r="H757" s="1"/>
      <c r="I757" s="1"/>
      <c r="J757" s="1"/>
      <c r="K757" s="1"/>
      <c r="L757" s="1"/>
      <c r="M757" s="1"/>
      <c r="N757" s="1"/>
      <c r="O757" s="1"/>
      <c r="P757" s="1"/>
      <c r="Q757" s="13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31"/>
      <c r="F758" s="131"/>
      <c r="G758" s="131"/>
      <c r="H758" s="1"/>
      <c r="I758" s="1"/>
      <c r="J758" s="1"/>
      <c r="K758" s="1"/>
      <c r="L758" s="1"/>
      <c r="M758" s="1"/>
      <c r="N758" s="1"/>
      <c r="O758" s="1"/>
      <c r="P758" s="1"/>
      <c r="Q758" s="13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31"/>
      <c r="F759" s="131"/>
      <c r="G759" s="131"/>
      <c r="H759" s="1"/>
      <c r="I759" s="1"/>
      <c r="J759" s="1"/>
      <c r="K759" s="1"/>
      <c r="L759" s="1"/>
      <c r="M759" s="1"/>
      <c r="N759" s="1"/>
      <c r="O759" s="1"/>
      <c r="P759" s="1"/>
      <c r="Q759" s="13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31"/>
      <c r="F760" s="131"/>
      <c r="G760" s="131"/>
      <c r="H760" s="1"/>
      <c r="I760" s="1"/>
      <c r="J760" s="1"/>
      <c r="K760" s="1"/>
      <c r="L760" s="1"/>
      <c r="M760" s="1"/>
      <c r="N760" s="1"/>
      <c r="O760" s="1"/>
      <c r="P760" s="1"/>
      <c r="Q760" s="13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31"/>
      <c r="F761" s="131"/>
      <c r="G761" s="131"/>
      <c r="H761" s="1"/>
      <c r="I761" s="1"/>
      <c r="J761" s="1"/>
      <c r="K761" s="1"/>
      <c r="L761" s="1"/>
      <c r="M761" s="1"/>
      <c r="N761" s="1"/>
      <c r="O761" s="1"/>
      <c r="P761" s="1"/>
      <c r="Q761" s="13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31"/>
      <c r="F762" s="131"/>
      <c r="G762" s="131"/>
      <c r="H762" s="1"/>
      <c r="I762" s="1"/>
      <c r="J762" s="1"/>
      <c r="K762" s="1"/>
      <c r="L762" s="1"/>
      <c r="M762" s="1"/>
      <c r="N762" s="1"/>
      <c r="O762" s="1"/>
      <c r="P762" s="1"/>
      <c r="Q762" s="13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31"/>
      <c r="F763" s="131"/>
      <c r="G763" s="131"/>
      <c r="H763" s="1"/>
      <c r="I763" s="1"/>
      <c r="J763" s="1"/>
      <c r="K763" s="1"/>
      <c r="L763" s="1"/>
      <c r="M763" s="1"/>
      <c r="N763" s="1"/>
      <c r="O763" s="1"/>
      <c r="P763" s="1"/>
      <c r="Q763" s="13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31"/>
      <c r="F764" s="131"/>
      <c r="G764" s="131"/>
      <c r="H764" s="1"/>
      <c r="I764" s="1"/>
      <c r="J764" s="1"/>
      <c r="K764" s="1"/>
      <c r="L764" s="1"/>
      <c r="M764" s="1"/>
      <c r="N764" s="1"/>
      <c r="O764" s="1"/>
      <c r="P764" s="1"/>
      <c r="Q764" s="13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31"/>
      <c r="F765" s="131"/>
      <c r="G765" s="131"/>
      <c r="H765" s="1"/>
      <c r="I765" s="1"/>
      <c r="J765" s="1"/>
      <c r="K765" s="1"/>
      <c r="L765" s="1"/>
      <c r="M765" s="1"/>
      <c r="N765" s="1"/>
      <c r="O765" s="1"/>
      <c r="P765" s="1"/>
      <c r="Q765" s="13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31"/>
      <c r="F766" s="131"/>
      <c r="G766" s="131"/>
      <c r="H766" s="1"/>
      <c r="I766" s="1"/>
      <c r="J766" s="1"/>
      <c r="K766" s="1"/>
      <c r="L766" s="1"/>
      <c r="M766" s="1"/>
      <c r="N766" s="1"/>
      <c r="O766" s="1"/>
      <c r="P766" s="1"/>
      <c r="Q766" s="13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31"/>
      <c r="F767" s="131"/>
      <c r="G767" s="131"/>
      <c r="H767" s="1"/>
      <c r="I767" s="1"/>
      <c r="J767" s="1"/>
      <c r="K767" s="1"/>
      <c r="L767" s="1"/>
      <c r="M767" s="1"/>
      <c r="N767" s="1"/>
      <c r="O767" s="1"/>
      <c r="P767" s="1"/>
      <c r="Q767" s="13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31"/>
      <c r="F768" s="131"/>
      <c r="G768" s="131"/>
      <c r="H768" s="1"/>
      <c r="I768" s="1"/>
      <c r="J768" s="1"/>
      <c r="K768" s="1"/>
      <c r="L768" s="1"/>
      <c r="M768" s="1"/>
      <c r="N768" s="1"/>
      <c r="O768" s="1"/>
      <c r="P768" s="1"/>
      <c r="Q768" s="13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31"/>
      <c r="F769" s="131"/>
      <c r="G769" s="131"/>
      <c r="H769" s="1"/>
      <c r="I769" s="1"/>
      <c r="J769" s="1"/>
      <c r="K769" s="1"/>
      <c r="L769" s="1"/>
      <c r="M769" s="1"/>
      <c r="N769" s="1"/>
      <c r="O769" s="1"/>
      <c r="P769" s="1"/>
      <c r="Q769" s="13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31"/>
      <c r="F770" s="131"/>
      <c r="G770" s="131"/>
      <c r="H770" s="1"/>
      <c r="I770" s="1"/>
      <c r="J770" s="1"/>
      <c r="K770" s="1"/>
      <c r="L770" s="1"/>
      <c r="M770" s="1"/>
      <c r="N770" s="1"/>
      <c r="O770" s="1"/>
      <c r="P770" s="1"/>
      <c r="Q770" s="13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31"/>
      <c r="F771" s="131"/>
      <c r="G771" s="131"/>
      <c r="H771" s="1"/>
      <c r="I771" s="1"/>
      <c r="J771" s="1"/>
      <c r="K771" s="1"/>
      <c r="L771" s="1"/>
      <c r="M771" s="1"/>
      <c r="N771" s="1"/>
      <c r="O771" s="1"/>
      <c r="P771" s="1"/>
      <c r="Q771" s="13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31"/>
      <c r="F772" s="131"/>
      <c r="G772" s="131"/>
      <c r="H772" s="1"/>
      <c r="I772" s="1"/>
      <c r="J772" s="1"/>
      <c r="K772" s="1"/>
      <c r="L772" s="1"/>
      <c r="M772" s="1"/>
      <c r="N772" s="1"/>
      <c r="O772" s="1"/>
      <c r="P772" s="1"/>
      <c r="Q772" s="13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31"/>
      <c r="F773" s="131"/>
      <c r="G773" s="131"/>
      <c r="H773" s="1"/>
      <c r="I773" s="1"/>
      <c r="J773" s="1"/>
      <c r="K773" s="1"/>
      <c r="L773" s="1"/>
      <c r="M773" s="1"/>
      <c r="N773" s="1"/>
      <c r="O773" s="1"/>
      <c r="P773" s="1"/>
      <c r="Q773" s="13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31"/>
      <c r="F774" s="131"/>
      <c r="G774" s="131"/>
      <c r="H774" s="1"/>
      <c r="I774" s="1"/>
      <c r="J774" s="1"/>
      <c r="K774" s="1"/>
      <c r="L774" s="1"/>
      <c r="M774" s="1"/>
      <c r="N774" s="1"/>
      <c r="O774" s="1"/>
      <c r="P774" s="1"/>
      <c r="Q774" s="13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31"/>
      <c r="F775" s="131"/>
      <c r="G775" s="131"/>
      <c r="H775" s="1"/>
      <c r="I775" s="1"/>
      <c r="J775" s="1"/>
      <c r="K775" s="1"/>
      <c r="L775" s="1"/>
      <c r="M775" s="1"/>
      <c r="N775" s="1"/>
      <c r="O775" s="1"/>
      <c r="P775" s="1"/>
      <c r="Q775" s="13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</sheetData>
  <mergeCells count="11">
    <mergeCell ref="L2:L3"/>
    <mergeCell ref="N2:N3"/>
    <mergeCell ref="R2:R3"/>
    <mergeCell ref="J1:L1"/>
    <mergeCell ref="M1:O1"/>
    <mergeCell ref="B2:B3"/>
    <mergeCell ref="C2:C3"/>
    <mergeCell ref="D2:D3"/>
    <mergeCell ref="H2:H3"/>
    <mergeCell ref="K2:K3"/>
    <mergeCell ref="O2:O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4.0"/>
    <col customWidth="1" min="3" max="3" width="11.25"/>
    <col customWidth="1" min="4" max="4" width="9.75"/>
    <col customWidth="1" min="5" max="5" width="19.25"/>
    <col customWidth="1" min="6" max="6" width="18.88"/>
    <col customWidth="1" min="7" max="7" width="19.25"/>
    <col customWidth="1" min="8" max="8" width="40.25"/>
    <col customWidth="1" min="9" max="10" width="14.25"/>
    <col customWidth="1" min="11" max="11" width="16.88"/>
    <col customWidth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34.38"/>
  </cols>
  <sheetData>
    <row r="1">
      <c r="A1" s="1"/>
      <c r="B1" s="2"/>
      <c r="C1" s="2"/>
      <c r="D1" s="2"/>
      <c r="E1" s="4"/>
      <c r="F1" s="4"/>
      <c r="G1" s="4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8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42"/>
      <c r="F3" s="42"/>
      <c r="G3" s="42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203" t="s">
        <v>341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342</v>
      </c>
      <c r="C4" s="53" t="s">
        <v>343</v>
      </c>
      <c r="D4" s="54" t="s">
        <v>344</v>
      </c>
      <c r="E4" s="55" t="s">
        <v>345</v>
      </c>
      <c r="F4" s="58" t="s">
        <v>346</v>
      </c>
      <c r="G4" s="78" t="s">
        <v>347</v>
      </c>
      <c r="H4" s="62" t="s">
        <v>348</v>
      </c>
      <c r="I4" s="63"/>
      <c r="J4" s="65"/>
      <c r="K4" s="63"/>
      <c r="L4" s="67"/>
      <c r="M4" s="65"/>
      <c r="N4" s="63"/>
      <c r="O4" s="67"/>
      <c r="P4" s="59"/>
      <c r="Q4" s="59"/>
      <c r="R4" s="55" t="s">
        <v>349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23"/>
      <c r="F5" s="23"/>
      <c r="G5" s="101"/>
      <c r="H5" s="76" t="s">
        <v>350</v>
      </c>
      <c r="I5" s="84">
        <f>8000/1.07</f>
        <v>7476.635514</v>
      </c>
      <c r="J5" s="86">
        <v>4500.0</v>
      </c>
      <c r="K5" s="87">
        <f t="shared" ref="K5:K6" si="1">I5-J5</f>
        <v>2976.635514</v>
      </c>
      <c r="L5" s="88">
        <f t="shared" ref="L5:L6" si="2">K5/I5</f>
        <v>0.398125</v>
      </c>
      <c r="M5" s="86">
        <f>4000+500</f>
        <v>4500</v>
      </c>
      <c r="N5" s="87">
        <f>I5-M5</f>
        <v>2976.635514</v>
      </c>
      <c r="O5" s="88">
        <f t="shared" ref="O5:O6" si="3">N5/I5</f>
        <v>0.398125</v>
      </c>
      <c r="P5" s="55" t="s">
        <v>76</v>
      </c>
      <c r="Q5" s="97">
        <v>46227.0</v>
      </c>
      <c r="R5" s="10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23"/>
      <c r="F6" s="23"/>
      <c r="G6" s="182"/>
      <c r="H6" s="76" t="s">
        <v>351</v>
      </c>
      <c r="I6" s="84">
        <f>3000/1.07</f>
        <v>2803.738318</v>
      </c>
      <c r="J6" s="86">
        <v>2240.0</v>
      </c>
      <c r="K6" s="87">
        <f t="shared" si="1"/>
        <v>563.7383178</v>
      </c>
      <c r="L6" s="88">
        <f t="shared" si="2"/>
        <v>0.2010666667</v>
      </c>
      <c r="M6" s="86">
        <v>2755.0</v>
      </c>
      <c r="N6" s="87">
        <f>I5:I6-M6</f>
        <v>48.73831776</v>
      </c>
      <c r="O6" s="88">
        <f t="shared" si="3"/>
        <v>0.01738333333</v>
      </c>
      <c r="P6" s="23"/>
      <c r="Q6" s="23"/>
      <c r="R6" s="18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23"/>
      <c r="F7" s="23"/>
      <c r="G7" s="78" t="s">
        <v>352</v>
      </c>
      <c r="H7" s="62" t="s">
        <v>188</v>
      </c>
      <c r="I7" s="84"/>
      <c r="J7" s="86"/>
      <c r="K7" s="87"/>
      <c r="L7" s="88"/>
      <c r="M7" s="86"/>
      <c r="N7" s="87"/>
      <c r="O7" s="88"/>
      <c r="P7" s="23"/>
      <c r="Q7" s="23"/>
      <c r="R7" s="187" t="s">
        <v>353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23"/>
      <c r="F8" s="23"/>
      <c r="G8" s="23"/>
      <c r="H8" s="76" t="s">
        <v>354</v>
      </c>
      <c r="I8" s="84">
        <f>17640/1.07</f>
        <v>16485.98131</v>
      </c>
      <c r="J8" s="86">
        <v>7200.0</v>
      </c>
      <c r="K8" s="87">
        <f t="shared" ref="K8:K9" si="4">I8-J8</f>
        <v>9285.981308</v>
      </c>
      <c r="L8" s="88">
        <f t="shared" ref="L8:L9" si="5">K8/I8</f>
        <v>0.5632653061</v>
      </c>
      <c r="M8" s="86">
        <v>8500.0</v>
      </c>
      <c r="N8" s="87">
        <f t="shared" ref="N8:N9" si="6">I8-M8</f>
        <v>7985.981308</v>
      </c>
      <c r="O8" s="88">
        <f t="shared" ref="O8:O9" si="7">N8/I8</f>
        <v>0.4844104308</v>
      </c>
      <c r="P8" s="23"/>
      <c r="Q8" s="23"/>
      <c r="R8" s="2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23"/>
      <c r="F9" s="23"/>
      <c r="G9" s="23"/>
      <c r="H9" s="76" t="s">
        <v>355</v>
      </c>
      <c r="I9" s="84">
        <v>0.0</v>
      </c>
      <c r="J9" s="86">
        <v>1500.0</v>
      </c>
      <c r="K9" s="87">
        <f t="shared" si="4"/>
        <v>-1500</v>
      </c>
      <c r="L9" s="88" t="str">
        <f t="shared" si="5"/>
        <v>#DIV/0!</v>
      </c>
      <c r="M9" s="86">
        <v>1500.0</v>
      </c>
      <c r="N9" s="87">
        <f t="shared" si="6"/>
        <v>-1500</v>
      </c>
      <c r="O9" s="88" t="str">
        <f t="shared" si="7"/>
        <v>#DIV/0!</v>
      </c>
      <c r="P9" s="23"/>
      <c r="Q9" s="23"/>
      <c r="R9" s="2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1"/>
      <c r="F10" s="101"/>
      <c r="G10" s="101"/>
      <c r="H10" s="62" t="s">
        <v>92</v>
      </c>
      <c r="I10" s="102">
        <f>-3000/1.07</f>
        <v>-2803.738318</v>
      </c>
      <c r="J10" s="106">
        <v>-200.0</v>
      </c>
      <c r="K10" s="87"/>
      <c r="L10" s="88"/>
      <c r="M10" s="87"/>
      <c r="N10" s="86"/>
      <c r="O10" s="103"/>
      <c r="P10" s="101"/>
      <c r="Q10" s="101"/>
      <c r="R10" s="10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04"/>
      <c r="F11" s="104"/>
      <c r="G11" s="104"/>
      <c r="H11" s="109"/>
      <c r="I11" s="102"/>
      <c r="J11" s="87"/>
      <c r="K11" s="87"/>
      <c r="L11" s="74"/>
      <c r="M11" s="87"/>
      <c r="N11" s="86"/>
      <c r="O11" s="103"/>
      <c r="P11" s="59"/>
      <c r="Q11" s="105"/>
      <c r="R11" s="18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04"/>
      <c r="F12" s="104"/>
      <c r="G12" s="104"/>
      <c r="H12" s="109"/>
      <c r="I12" s="114"/>
      <c r="J12" s="87"/>
      <c r="K12" s="87"/>
      <c r="L12" s="74"/>
      <c r="M12" s="87"/>
      <c r="N12" s="86"/>
      <c r="O12" s="103"/>
      <c r="P12" s="59"/>
      <c r="Q12" s="105"/>
      <c r="R12" s="18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04"/>
      <c r="F13" s="104"/>
      <c r="G13" s="104"/>
      <c r="H13" s="109"/>
      <c r="I13" s="114"/>
      <c r="J13" s="87"/>
      <c r="K13" s="87"/>
      <c r="L13" s="74"/>
      <c r="M13" s="87"/>
      <c r="N13" s="86"/>
      <c r="O13" s="103"/>
      <c r="P13" s="59"/>
      <c r="Q13" s="105"/>
      <c r="R13" s="18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04"/>
      <c r="F14" s="104"/>
      <c r="G14" s="104"/>
      <c r="H14" s="109"/>
      <c r="I14" s="114"/>
      <c r="J14" s="87"/>
      <c r="K14" s="87"/>
      <c r="L14" s="74"/>
      <c r="M14" s="87"/>
      <c r="N14" s="86"/>
      <c r="O14" s="103"/>
      <c r="P14" s="59"/>
      <c r="Q14" s="105"/>
      <c r="R14" s="18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04"/>
      <c r="F15" s="104"/>
      <c r="G15" s="104"/>
      <c r="H15" s="109"/>
      <c r="I15" s="114"/>
      <c r="J15" s="87"/>
      <c r="K15" s="87"/>
      <c r="L15" s="74"/>
      <c r="M15" s="87"/>
      <c r="N15" s="86"/>
      <c r="O15" s="103"/>
      <c r="P15" s="59"/>
      <c r="Q15" s="105"/>
      <c r="R15" s="18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04"/>
      <c r="F16" s="104"/>
      <c r="G16" s="104"/>
      <c r="H16" s="109"/>
      <c r="I16" s="114"/>
      <c r="J16" s="87"/>
      <c r="K16" s="87"/>
      <c r="L16" s="74"/>
      <c r="M16" s="87"/>
      <c r="N16" s="86"/>
      <c r="O16" s="103"/>
      <c r="P16" s="59"/>
      <c r="Q16" s="105"/>
      <c r="R16" s="18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104"/>
      <c r="F17" s="104"/>
      <c r="G17" s="104"/>
      <c r="H17" s="109"/>
      <c r="I17" s="114"/>
      <c r="J17" s="87"/>
      <c r="K17" s="87"/>
      <c r="L17" s="74"/>
      <c r="M17" s="87"/>
      <c r="N17" s="86"/>
      <c r="O17" s="103"/>
      <c r="P17" s="59"/>
      <c r="Q17" s="105"/>
      <c r="R17" s="18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04"/>
      <c r="F18" s="104"/>
      <c r="G18" s="104"/>
      <c r="H18" s="109"/>
      <c r="I18" s="114"/>
      <c r="J18" s="87"/>
      <c r="K18" s="87"/>
      <c r="L18" s="74"/>
      <c r="M18" s="87"/>
      <c r="N18" s="86"/>
      <c r="O18" s="103"/>
      <c r="P18" s="59"/>
      <c r="Q18" s="105"/>
      <c r="R18" s="18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71"/>
      <c r="C19" s="73"/>
      <c r="D19" s="74"/>
      <c r="E19" s="104"/>
      <c r="F19" s="104"/>
      <c r="G19" s="104"/>
      <c r="H19" s="109"/>
      <c r="I19" s="114"/>
      <c r="J19" s="87"/>
      <c r="K19" s="87"/>
      <c r="L19" s="74"/>
      <c r="M19" s="87"/>
      <c r="N19" s="86"/>
      <c r="O19" s="103"/>
      <c r="P19" s="59"/>
      <c r="Q19" s="105"/>
      <c r="R19" s="18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13" t="str">
        <f t="shared" ref="B20:C20" si="8">B4</f>
        <v>The Origin Kathu - Patong</v>
      </c>
      <c r="C20" s="113" t="str">
        <f t="shared" si="8"/>
        <v>Room B418</v>
      </c>
      <c r="D20" s="115">
        <f>SUM(D4:D19)</f>
        <v>0</v>
      </c>
      <c r="E20" s="116"/>
      <c r="F20" s="116"/>
      <c r="G20" s="116"/>
      <c r="H20" s="113" t="s">
        <v>95</v>
      </c>
      <c r="I20" s="118">
        <f t="shared" ref="I20:J20" si="9">SUM(I4:I19)</f>
        <v>23962.61682</v>
      </c>
      <c r="J20" s="118">
        <f t="shared" si="9"/>
        <v>15240</v>
      </c>
      <c r="K20" s="118">
        <f>I20-J20</f>
        <v>8722.616822</v>
      </c>
      <c r="L20" s="119">
        <f>K20/I20</f>
        <v>0.3640093604</v>
      </c>
      <c r="M20" s="118">
        <f>SUM(M4:M19)</f>
        <v>17255</v>
      </c>
      <c r="N20" s="118">
        <f>I20-M20</f>
        <v>6707.616822</v>
      </c>
      <c r="O20" s="119">
        <f>N20/I20</f>
        <v>0.2799200468</v>
      </c>
      <c r="P20" s="120"/>
      <c r="Q20" s="121"/>
      <c r="R20" s="12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22"/>
      <c r="B21" s="123"/>
      <c r="C21" s="124"/>
      <c r="D21" s="124"/>
      <c r="E21" s="125"/>
      <c r="F21" s="125"/>
      <c r="G21" s="125"/>
      <c r="H21" s="126"/>
      <c r="I21" s="127"/>
      <c r="J21" s="127"/>
      <c r="K21" s="127"/>
      <c r="L21" s="128"/>
      <c r="M21" s="127"/>
      <c r="N21" s="127"/>
      <c r="O21" s="128"/>
      <c r="P21" s="125"/>
      <c r="Q21" s="125"/>
      <c r="R21" s="125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</row>
    <row r="22">
      <c r="A22" s="122"/>
      <c r="B22" s="204"/>
      <c r="C22" s="204"/>
      <c r="D22" s="204"/>
      <c r="E22" s="205"/>
      <c r="F22" s="205"/>
      <c r="G22" s="205"/>
      <c r="H22" s="206"/>
      <c r="I22" s="207"/>
      <c r="J22" s="207"/>
      <c r="K22" s="207"/>
      <c r="L22" s="122"/>
      <c r="M22" s="207"/>
      <c r="N22" s="207"/>
      <c r="O22" s="122"/>
      <c r="P22" s="205"/>
      <c r="Q22" s="205"/>
      <c r="R22" s="205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>
      <c r="A23" s="122"/>
      <c r="B23" s="204"/>
      <c r="C23" s="204"/>
      <c r="D23" s="204"/>
      <c r="E23" s="205"/>
      <c r="F23" s="205"/>
      <c r="G23" s="205"/>
      <c r="H23" s="206"/>
      <c r="I23" s="207"/>
      <c r="J23" s="207"/>
      <c r="K23" s="207"/>
      <c r="L23" s="122"/>
      <c r="M23" s="207"/>
      <c r="N23" s="207"/>
      <c r="O23" s="122"/>
      <c r="P23" s="205"/>
      <c r="Q23" s="205"/>
      <c r="R23" s="205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</row>
    <row r="24">
      <c r="A24" s="122"/>
      <c r="B24" s="204"/>
      <c r="C24" s="204"/>
      <c r="D24" s="204"/>
      <c r="E24" s="205"/>
      <c r="F24" s="205"/>
      <c r="G24" s="205"/>
      <c r="H24" s="206"/>
      <c r="I24" s="207"/>
      <c r="J24" s="207"/>
      <c r="K24" s="207"/>
      <c r="L24" s="122"/>
      <c r="M24" s="207"/>
      <c r="N24" s="207"/>
      <c r="O24" s="122"/>
      <c r="P24" s="205"/>
      <c r="Q24" s="205"/>
      <c r="R24" s="205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</row>
    <row r="25">
      <c r="A25" s="122"/>
      <c r="B25" s="204"/>
      <c r="C25" s="204"/>
      <c r="D25" s="204"/>
      <c r="E25" s="205"/>
      <c r="F25" s="205"/>
      <c r="G25" s="205"/>
      <c r="H25" s="206"/>
      <c r="I25" s="207"/>
      <c r="J25" s="207"/>
      <c r="K25" s="207"/>
      <c r="L25" s="122"/>
      <c r="M25" s="207"/>
      <c r="N25" s="207"/>
      <c r="O25" s="122"/>
      <c r="P25" s="205"/>
      <c r="Q25" s="205"/>
      <c r="R25" s="205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</row>
    <row r="26">
      <c r="A26" s="122"/>
      <c r="B26" s="204"/>
      <c r="C26" s="204"/>
      <c r="D26" s="204"/>
      <c r="E26" s="205"/>
      <c r="F26" s="205"/>
      <c r="G26" s="205"/>
      <c r="H26" s="206"/>
      <c r="I26" s="207"/>
      <c r="J26" s="207"/>
      <c r="K26" s="207"/>
      <c r="L26" s="122"/>
      <c r="M26" s="207"/>
      <c r="N26" s="207"/>
      <c r="O26" s="122"/>
      <c r="P26" s="205"/>
      <c r="Q26" s="205"/>
      <c r="R26" s="205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</row>
    <row r="27">
      <c r="A27" s="122"/>
      <c r="B27" s="204"/>
      <c r="C27" s="204"/>
      <c r="D27" s="204"/>
      <c r="E27" s="205"/>
      <c r="F27" s="205"/>
      <c r="G27" s="205"/>
      <c r="H27" s="206"/>
      <c r="I27" s="207"/>
      <c r="J27" s="207"/>
      <c r="K27" s="207"/>
      <c r="L27" s="122"/>
      <c r="M27" s="207"/>
      <c r="N27" s="207"/>
      <c r="O27" s="122"/>
      <c r="P27" s="205"/>
      <c r="Q27" s="205"/>
      <c r="R27" s="205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</row>
    <row r="28">
      <c r="A28" s="122"/>
      <c r="B28" s="204"/>
      <c r="C28" s="204"/>
      <c r="D28" s="204"/>
      <c r="E28" s="205"/>
      <c r="F28" s="205"/>
      <c r="G28" s="205"/>
      <c r="H28" s="206"/>
      <c r="I28" s="207"/>
      <c r="J28" s="207"/>
      <c r="K28" s="207"/>
      <c r="L28" s="122"/>
      <c r="M28" s="207"/>
      <c r="N28" s="207"/>
      <c r="O28" s="122"/>
      <c r="P28" s="205"/>
      <c r="Q28" s="205"/>
      <c r="R28" s="205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</row>
    <row r="29">
      <c r="A29" s="122"/>
      <c r="B29" s="204"/>
      <c r="C29" s="204"/>
      <c r="D29" s="204"/>
      <c r="E29" s="205"/>
      <c r="F29" s="205"/>
      <c r="G29" s="205"/>
      <c r="H29" s="206"/>
      <c r="I29" s="207"/>
      <c r="J29" s="207"/>
      <c r="K29" s="207"/>
      <c r="L29" s="122"/>
      <c r="M29" s="207"/>
      <c r="N29" s="207"/>
      <c r="O29" s="122"/>
      <c r="P29" s="205"/>
      <c r="Q29" s="205"/>
      <c r="R29" s="205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</row>
    <row r="30">
      <c r="A30" s="122"/>
      <c r="B30" s="204"/>
      <c r="C30" s="204"/>
      <c r="D30" s="204"/>
      <c r="E30" s="205"/>
      <c r="F30" s="205"/>
      <c r="G30" s="205"/>
      <c r="H30" s="206"/>
      <c r="I30" s="207"/>
      <c r="J30" s="207"/>
      <c r="K30" s="207"/>
      <c r="L30" s="122"/>
      <c r="M30" s="207"/>
      <c r="N30" s="207"/>
      <c r="O30" s="122"/>
      <c r="P30" s="205"/>
      <c r="Q30" s="205"/>
      <c r="R30" s="205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</row>
    <row r="31">
      <c r="A31" s="122"/>
      <c r="B31" s="204"/>
      <c r="C31" s="204"/>
      <c r="D31" s="204"/>
      <c r="E31" s="205"/>
      <c r="F31" s="205"/>
      <c r="G31" s="205"/>
      <c r="H31" s="206"/>
      <c r="I31" s="207"/>
      <c r="J31" s="207"/>
      <c r="K31" s="207"/>
      <c r="L31" s="122"/>
      <c r="M31" s="207"/>
      <c r="N31" s="207"/>
      <c r="O31" s="122"/>
      <c r="P31" s="205"/>
      <c r="Q31" s="205"/>
      <c r="R31" s="205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</row>
    <row r="32">
      <c r="A32" s="122"/>
      <c r="B32" s="204"/>
      <c r="C32" s="204"/>
      <c r="D32" s="204"/>
      <c r="E32" s="205"/>
      <c r="F32" s="205"/>
      <c r="G32" s="205"/>
      <c r="H32" s="206"/>
      <c r="I32" s="207"/>
      <c r="J32" s="207"/>
      <c r="K32" s="207"/>
      <c r="L32" s="122"/>
      <c r="M32" s="207"/>
      <c r="N32" s="207"/>
      <c r="O32" s="122"/>
      <c r="P32" s="205"/>
      <c r="Q32" s="205"/>
      <c r="R32" s="205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</row>
    <row r="33">
      <c r="A33" s="122"/>
      <c r="B33" s="204"/>
      <c r="C33" s="204"/>
      <c r="D33" s="204"/>
      <c r="E33" s="205"/>
      <c r="F33" s="205"/>
      <c r="G33" s="205"/>
      <c r="H33" s="206"/>
      <c r="I33" s="207"/>
      <c r="J33" s="207"/>
      <c r="K33" s="207"/>
      <c r="L33" s="122"/>
      <c r="M33" s="207"/>
      <c r="N33" s="207"/>
      <c r="O33" s="122"/>
      <c r="P33" s="205"/>
      <c r="Q33" s="205"/>
      <c r="R33" s="205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</row>
    <row r="34">
      <c r="A34" s="122"/>
      <c r="B34" s="204"/>
      <c r="C34" s="204"/>
      <c r="D34" s="204"/>
      <c r="E34" s="205"/>
      <c r="F34" s="205"/>
      <c r="G34" s="205"/>
      <c r="H34" s="206"/>
      <c r="I34" s="207"/>
      <c r="J34" s="207"/>
      <c r="K34" s="207"/>
      <c r="L34" s="122"/>
      <c r="M34" s="207"/>
      <c r="N34" s="207"/>
      <c r="O34" s="122"/>
      <c r="P34" s="205"/>
      <c r="Q34" s="205"/>
      <c r="R34" s="205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</row>
    <row r="35">
      <c r="A35" s="122"/>
      <c r="B35" s="204"/>
      <c r="C35" s="204"/>
      <c r="D35" s="204"/>
      <c r="E35" s="205"/>
      <c r="F35" s="205"/>
      <c r="G35" s="205"/>
      <c r="H35" s="206"/>
      <c r="I35" s="207"/>
      <c r="J35" s="207"/>
      <c r="K35" s="207"/>
      <c r="L35" s="122"/>
      <c r="M35" s="207"/>
      <c r="N35" s="207"/>
      <c r="O35" s="122"/>
      <c r="P35" s="205"/>
      <c r="Q35" s="205"/>
      <c r="R35" s="205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</row>
    <row r="36">
      <c r="A36" s="122"/>
      <c r="B36" s="204"/>
      <c r="C36" s="204"/>
      <c r="D36" s="204"/>
      <c r="E36" s="205"/>
      <c r="F36" s="205"/>
      <c r="G36" s="205"/>
      <c r="H36" s="206"/>
      <c r="I36" s="207"/>
      <c r="J36" s="207"/>
      <c r="K36" s="207"/>
      <c r="L36" s="122"/>
      <c r="M36" s="207"/>
      <c r="N36" s="207"/>
      <c r="O36" s="122"/>
      <c r="P36" s="205"/>
      <c r="Q36" s="205"/>
      <c r="R36" s="205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</row>
    <row r="37">
      <c r="A37" s="122"/>
      <c r="B37" s="204"/>
      <c r="C37" s="204"/>
      <c r="D37" s="204"/>
      <c r="E37" s="205"/>
      <c r="F37" s="205"/>
      <c r="G37" s="205"/>
      <c r="H37" s="206"/>
      <c r="I37" s="207"/>
      <c r="J37" s="207"/>
      <c r="K37" s="207"/>
      <c r="L37" s="122"/>
      <c r="M37" s="207"/>
      <c r="N37" s="207"/>
      <c r="O37" s="122"/>
      <c r="P37" s="205"/>
      <c r="Q37" s="205"/>
      <c r="R37" s="205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</row>
    <row r="38">
      <c r="A38" s="122"/>
      <c r="B38" s="204"/>
      <c r="C38" s="204"/>
      <c r="D38" s="204"/>
      <c r="E38" s="205"/>
      <c r="F38" s="205"/>
      <c r="G38" s="205"/>
      <c r="H38" s="206"/>
      <c r="I38" s="207"/>
      <c r="J38" s="207"/>
      <c r="K38" s="207"/>
      <c r="L38" s="122"/>
      <c r="M38" s="207"/>
      <c r="N38" s="207"/>
      <c r="O38" s="122"/>
      <c r="P38" s="205"/>
      <c r="Q38" s="205"/>
      <c r="R38" s="205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</row>
    <row r="39">
      <c r="A39" s="122"/>
      <c r="B39" s="204"/>
      <c r="C39" s="204"/>
      <c r="D39" s="204"/>
      <c r="E39" s="205"/>
      <c r="F39" s="205"/>
      <c r="G39" s="205"/>
      <c r="H39" s="206"/>
      <c r="I39" s="207"/>
      <c r="J39" s="207"/>
      <c r="K39" s="207"/>
      <c r="L39" s="122"/>
      <c r="M39" s="207"/>
      <c r="N39" s="207"/>
      <c r="O39" s="122"/>
      <c r="P39" s="205"/>
      <c r="Q39" s="205"/>
      <c r="R39" s="205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</row>
    <row r="40">
      <c r="A40" s="122"/>
      <c r="B40" s="204"/>
      <c r="C40" s="204"/>
      <c r="D40" s="204"/>
      <c r="E40" s="205"/>
      <c r="F40" s="205"/>
      <c r="G40" s="205"/>
      <c r="H40" s="206"/>
      <c r="I40" s="207"/>
      <c r="J40" s="207"/>
      <c r="K40" s="207"/>
      <c r="L40" s="122"/>
      <c r="M40" s="207"/>
      <c r="N40" s="207"/>
      <c r="O40" s="122"/>
      <c r="P40" s="205"/>
      <c r="Q40" s="205"/>
      <c r="R40" s="205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</row>
    <row r="41">
      <c r="A41" s="122"/>
      <c r="B41" s="204"/>
      <c r="C41" s="204"/>
      <c r="D41" s="204"/>
      <c r="E41" s="205"/>
      <c r="F41" s="205"/>
      <c r="G41" s="205"/>
      <c r="H41" s="206"/>
      <c r="I41" s="207"/>
      <c r="J41" s="207"/>
      <c r="K41" s="207"/>
      <c r="L41" s="122"/>
      <c r="M41" s="207"/>
      <c r="N41" s="207"/>
      <c r="O41" s="122"/>
      <c r="P41" s="205"/>
      <c r="Q41" s="205"/>
      <c r="R41" s="205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</row>
    <row r="42">
      <c r="A42" s="122"/>
      <c r="B42" s="204"/>
      <c r="C42" s="204"/>
      <c r="D42" s="204"/>
      <c r="E42" s="205"/>
      <c r="F42" s="205"/>
      <c r="G42" s="205"/>
      <c r="H42" s="206"/>
      <c r="I42" s="207"/>
      <c r="J42" s="207"/>
      <c r="K42" s="207"/>
      <c r="L42" s="122"/>
      <c r="M42" s="207"/>
      <c r="N42" s="207"/>
      <c r="O42" s="122"/>
      <c r="P42" s="205"/>
      <c r="Q42" s="205"/>
      <c r="R42" s="205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</row>
    <row r="43">
      <c r="A43" s="122"/>
      <c r="B43" s="204"/>
      <c r="C43" s="204"/>
      <c r="D43" s="204"/>
      <c r="E43" s="205"/>
      <c r="F43" s="205"/>
      <c r="G43" s="205"/>
      <c r="H43" s="206"/>
      <c r="I43" s="207"/>
      <c r="J43" s="207"/>
      <c r="K43" s="207"/>
      <c r="L43" s="122"/>
      <c r="M43" s="207"/>
      <c r="N43" s="207"/>
      <c r="O43" s="122"/>
      <c r="P43" s="205"/>
      <c r="Q43" s="205"/>
      <c r="R43" s="205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</row>
    <row r="44">
      <c r="A44" s="122"/>
      <c r="B44" s="204"/>
      <c r="C44" s="204"/>
      <c r="D44" s="204"/>
      <c r="E44" s="205"/>
      <c r="F44" s="205"/>
      <c r="G44" s="205"/>
      <c r="H44" s="206"/>
      <c r="I44" s="207"/>
      <c r="J44" s="207"/>
      <c r="K44" s="207"/>
      <c r="L44" s="122"/>
      <c r="M44" s="207"/>
      <c r="N44" s="207"/>
      <c r="O44" s="122"/>
      <c r="P44" s="205"/>
      <c r="Q44" s="205"/>
      <c r="R44" s="205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</row>
    <row r="45">
      <c r="A45" s="122"/>
      <c r="B45" s="204"/>
      <c r="C45" s="204"/>
      <c r="D45" s="204"/>
      <c r="E45" s="205"/>
      <c r="F45" s="205"/>
      <c r="G45" s="205"/>
      <c r="H45" s="206"/>
      <c r="I45" s="207"/>
      <c r="J45" s="207"/>
      <c r="K45" s="207"/>
      <c r="L45" s="122"/>
      <c r="M45" s="207"/>
      <c r="N45" s="207"/>
      <c r="O45" s="122"/>
      <c r="P45" s="205"/>
      <c r="Q45" s="205"/>
      <c r="R45" s="20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</row>
    <row r="46">
      <c r="A46" s="122"/>
      <c r="B46" s="204"/>
      <c r="C46" s="204"/>
      <c r="D46" s="204"/>
      <c r="E46" s="205"/>
      <c r="F46" s="205"/>
      <c r="G46" s="205"/>
      <c r="H46" s="206"/>
      <c r="I46" s="207"/>
      <c r="J46" s="207"/>
      <c r="K46" s="207"/>
      <c r="L46" s="122"/>
      <c r="M46" s="207"/>
      <c r="N46" s="207"/>
      <c r="O46" s="122"/>
      <c r="P46" s="205"/>
      <c r="Q46" s="205"/>
      <c r="R46" s="205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</row>
    <row r="47">
      <c r="A47" s="122"/>
      <c r="B47" s="204"/>
      <c r="C47" s="204"/>
      <c r="D47" s="204"/>
      <c r="E47" s="205"/>
      <c r="F47" s="205"/>
      <c r="G47" s="205"/>
      <c r="H47" s="206"/>
      <c r="I47" s="207"/>
      <c r="J47" s="207"/>
      <c r="K47" s="207"/>
      <c r="L47" s="122"/>
      <c r="M47" s="207"/>
      <c r="N47" s="207"/>
      <c r="O47" s="122"/>
      <c r="P47" s="205"/>
      <c r="Q47" s="205"/>
      <c r="R47" s="205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</row>
    <row r="48">
      <c r="A48" s="122"/>
      <c r="B48" s="204"/>
      <c r="C48" s="204"/>
      <c r="D48" s="204"/>
      <c r="E48" s="205"/>
      <c r="F48" s="205"/>
      <c r="G48" s="205"/>
      <c r="H48" s="206"/>
      <c r="I48" s="207"/>
      <c r="J48" s="207"/>
      <c r="K48" s="207"/>
      <c r="L48" s="122"/>
      <c r="M48" s="207"/>
      <c r="N48" s="207"/>
      <c r="O48" s="122"/>
      <c r="P48" s="205"/>
      <c r="Q48" s="205"/>
      <c r="R48" s="205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</row>
    <row r="49">
      <c r="A49" s="122"/>
      <c r="B49" s="204"/>
      <c r="C49" s="204"/>
      <c r="D49" s="204"/>
      <c r="E49" s="205"/>
      <c r="F49" s="205"/>
      <c r="G49" s="205"/>
      <c r="H49" s="206"/>
      <c r="I49" s="207"/>
      <c r="J49" s="207"/>
      <c r="K49" s="207"/>
      <c r="L49" s="122"/>
      <c r="M49" s="207"/>
      <c r="N49" s="207"/>
      <c r="O49" s="122"/>
      <c r="P49" s="205"/>
      <c r="Q49" s="205"/>
      <c r="R49" s="205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</row>
    <row r="50">
      <c r="A50" s="122"/>
      <c r="B50" s="204"/>
      <c r="C50" s="204"/>
      <c r="D50" s="204"/>
      <c r="E50" s="205"/>
      <c r="F50" s="205"/>
      <c r="G50" s="205"/>
      <c r="H50" s="206"/>
      <c r="I50" s="207"/>
      <c r="J50" s="207"/>
      <c r="K50" s="207"/>
      <c r="L50" s="122"/>
      <c r="M50" s="207"/>
      <c r="N50" s="207"/>
      <c r="O50" s="122"/>
      <c r="P50" s="205"/>
      <c r="Q50" s="205"/>
      <c r="R50" s="205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</row>
    <row r="51">
      <c r="A51" s="122"/>
      <c r="B51" s="204"/>
      <c r="C51" s="204"/>
      <c r="D51" s="204"/>
      <c r="E51" s="205"/>
      <c r="F51" s="205"/>
      <c r="G51" s="205"/>
      <c r="H51" s="206"/>
      <c r="I51" s="207"/>
      <c r="J51" s="207"/>
      <c r="K51" s="207"/>
      <c r="L51" s="122"/>
      <c r="M51" s="207"/>
      <c r="N51" s="207"/>
      <c r="O51" s="122"/>
      <c r="P51" s="205"/>
      <c r="Q51" s="205"/>
      <c r="R51" s="205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</row>
    <row r="52">
      <c r="A52" s="122"/>
      <c r="B52" s="204"/>
      <c r="C52" s="204"/>
      <c r="D52" s="204"/>
      <c r="E52" s="205"/>
      <c r="F52" s="205"/>
      <c r="G52" s="205"/>
      <c r="H52" s="206"/>
      <c r="I52" s="207"/>
      <c r="J52" s="207"/>
      <c r="K52" s="207"/>
      <c r="L52" s="122"/>
      <c r="M52" s="207"/>
      <c r="N52" s="207"/>
      <c r="O52" s="122"/>
      <c r="P52" s="205"/>
      <c r="Q52" s="205"/>
      <c r="R52" s="205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</row>
    <row r="53">
      <c r="A53" s="122"/>
      <c r="B53" s="204"/>
      <c r="C53" s="204"/>
      <c r="D53" s="204"/>
      <c r="E53" s="205"/>
      <c r="F53" s="205"/>
      <c r="G53" s="205"/>
      <c r="H53" s="206"/>
      <c r="I53" s="207"/>
      <c r="J53" s="207"/>
      <c r="K53" s="207"/>
      <c r="L53" s="122"/>
      <c r="M53" s="207"/>
      <c r="N53" s="207"/>
      <c r="O53" s="122"/>
      <c r="P53" s="205"/>
      <c r="Q53" s="205"/>
      <c r="R53" s="205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</row>
    <row r="54">
      <c r="A54" s="122"/>
      <c r="B54" s="204"/>
      <c r="C54" s="204"/>
      <c r="D54" s="204"/>
      <c r="E54" s="205"/>
      <c r="F54" s="205"/>
      <c r="G54" s="205"/>
      <c r="H54" s="206"/>
      <c r="I54" s="207"/>
      <c r="J54" s="207"/>
      <c r="K54" s="207"/>
      <c r="L54" s="122"/>
      <c r="M54" s="207"/>
      <c r="N54" s="207"/>
      <c r="O54" s="122"/>
      <c r="P54" s="205"/>
      <c r="Q54" s="205"/>
      <c r="R54" s="205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>
      <c r="A55" s="122"/>
      <c r="B55" s="204"/>
      <c r="C55" s="204"/>
      <c r="D55" s="204"/>
      <c r="E55" s="205"/>
      <c r="F55" s="205"/>
      <c r="G55" s="205"/>
      <c r="H55" s="206"/>
      <c r="I55" s="207"/>
      <c r="J55" s="207"/>
      <c r="K55" s="207"/>
      <c r="L55" s="122"/>
      <c r="M55" s="207"/>
      <c r="N55" s="207"/>
      <c r="O55" s="122"/>
      <c r="P55" s="205"/>
      <c r="Q55" s="205"/>
      <c r="R55" s="205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</row>
    <row r="56">
      <c r="A56" s="122"/>
      <c r="B56" s="204"/>
      <c r="C56" s="204"/>
      <c r="D56" s="204"/>
      <c r="E56" s="205"/>
      <c r="F56" s="205"/>
      <c r="G56" s="205"/>
      <c r="H56" s="206"/>
      <c r="I56" s="207"/>
      <c r="J56" s="207"/>
      <c r="K56" s="207"/>
      <c r="L56" s="122"/>
      <c r="M56" s="207"/>
      <c r="N56" s="207"/>
      <c r="O56" s="122"/>
      <c r="P56" s="205"/>
      <c r="Q56" s="205"/>
      <c r="R56" s="205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</row>
    <row r="57">
      <c r="A57" s="122"/>
      <c r="B57" s="204"/>
      <c r="C57" s="204"/>
      <c r="D57" s="204"/>
      <c r="E57" s="205"/>
      <c r="F57" s="205"/>
      <c r="G57" s="205"/>
      <c r="H57" s="206"/>
      <c r="I57" s="207"/>
      <c r="J57" s="207"/>
      <c r="K57" s="207"/>
      <c r="L57" s="122"/>
      <c r="M57" s="207"/>
      <c r="N57" s="207"/>
      <c r="O57" s="122"/>
      <c r="P57" s="205"/>
      <c r="Q57" s="205"/>
      <c r="R57" s="205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</row>
    <row r="58">
      <c r="A58" s="122"/>
      <c r="B58" s="204"/>
      <c r="C58" s="204"/>
      <c r="D58" s="204"/>
      <c r="E58" s="205"/>
      <c r="F58" s="205"/>
      <c r="G58" s="205"/>
      <c r="H58" s="206"/>
      <c r="I58" s="207"/>
      <c r="J58" s="207"/>
      <c r="K58" s="207"/>
      <c r="L58" s="122"/>
      <c r="M58" s="207"/>
      <c r="N58" s="207"/>
      <c r="O58" s="122"/>
      <c r="P58" s="205"/>
      <c r="Q58" s="205"/>
      <c r="R58" s="205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</row>
    <row r="59">
      <c r="A59" s="122"/>
      <c r="B59" s="204"/>
      <c r="C59" s="204"/>
      <c r="D59" s="204"/>
      <c r="E59" s="205"/>
      <c r="F59" s="205"/>
      <c r="G59" s="205"/>
      <c r="H59" s="206"/>
      <c r="I59" s="207"/>
      <c r="J59" s="207"/>
      <c r="K59" s="207"/>
      <c r="L59" s="122"/>
      <c r="M59" s="207"/>
      <c r="N59" s="207"/>
      <c r="O59" s="122"/>
      <c r="P59" s="205"/>
      <c r="Q59" s="205"/>
      <c r="R59" s="205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</row>
    <row r="60">
      <c r="A60" s="122"/>
      <c r="B60" s="204"/>
      <c r="C60" s="204"/>
      <c r="D60" s="204"/>
      <c r="E60" s="205"/>
      <c r="F60" s="205"/>
      <c r="G60" s="205"/>
      <c r="H60" s="206"/>
      <c r="I60" s="207"/>
      <c r="J60" s="207"/>
      <c r="K60" s="207"/>
      <c r="L60" s="122"/>
      <c r="M60" s="207"/>
      <c r="N60" s="207"/>
      <c r="O60" s="122"/>
      <c r="P60" s="205"/>
      <c r="Q60" s="205"/>
      <c r="R60" s="205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</row>
    <row r="61">
      <c r="A61" s="122"/>
      <c r="B61" s="204"/>
      <c r="C61" s="204"/>
      <c r="D61" s="204"/>
      <c r="E61" s="205"/>
      <c r="F61" s="205"/>
      <c r="G61" s="205"/>
      <c r="H61" s="206"/>
      <c r="I61" s="207"/>
      <c r="J61" s="207"/>
      <c r="K61" s="207"/>
      <c r="L61" s="122"/>
      <c r="M61" s="207"/>
      <c r="N61" s="207"/>
      <c r="O61" s="122"/>
      <c r="P61" s="205"/>
      <c r="Q61" s="205"/>
      <c r="R61" s="205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</row>
    <row r="62">
      <c r="A62" s="122"/>
      <c r="B62" s="204"/>
      <c r="C62" s="204"/>
      <c r="D62" s="204"/>
      <c r="E62" s="205"/>
      <c r="F62" s="205"/>
      <c r="G62" s="205"/>
      <c r="H62" s="206"/>
      <c r="I62" s="207"/>
      <c r="J62" s="207"/>
      <c r="K62" s="207"/>
      <c r="L62" s="122"/>
      <c r="M62" s="207"/>
      <c r="N62" s="207"/>
      <c r="O62" s="122"/>
      <c r="P62" s="205"/>
      <c r="Q62" s="205"/>
      <c r="R62" s="205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</row>
    <row r="63">
      <c r="A63" s="122"/>
      <c r="B63" s="204"/>
      <c r="C63" s="204"/>
      <c r="D63" s="204"/>
      <c r="E63" s="205"/>
      <c r="F63" s="205"/>
      <c r="G63" s="205"/>
      <c r="H63" s="206"/>
      <c r="I63" s="207"/>
      <c r="J63" s="207"/>
      <c r="K63" s="207"/>
      <c r="L63" s="122"/>
      <c r="M63" s="207"/>
      <c r="N63" s="207"/>
      <c r="O63" s="122"/>
      <c r="P63" s="205"/>
      <c r="Q63" s="205"/>
      <c r="R63" s="205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</row>
    <row r="64">
      <c r="A64" s="122"/>
      <c r="B64" s="204"/>
      <c r="C64" s="204"/>
      <c r="D64" s="204"/>
      <c r="E64" s="205"/>
      <c r="F64" s="205"/>
      <c r="G64" s="205"/>
      <c r="H64" s="206"/>
      <c r="I64" s="207"/>
      <c r="J64" s="207"/>
      <c r="K64" s="207"/>
      <c r="L64" s="122"/>
      <c r="M64" s="207"/>
      <c r="N64" s="207"/>
      <c r="O64" s="122"/>
      <c r="P64" s="205"/>
      <c r="Q64" s="205"/>
      <c r="R64" s="205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</row>
    <row r="65">
      <c r="A65" s="122"/>
      <c r="B65" s="204"/>
      <c r="C65" s="204"/>
      <c r="D65" s="204"/>
      <c r="E65" s="205"/>
      <c r="F65" s="205"/>
      <c r="G65" s="205"/>
      <c r="H65" s="206"/>
      <c r="I65" s="207"/>
      <c r="J65" s="207"/>
      <c r="K65" s="207"/>
      <c r="L65" s="122"/>
      <c r="M65" s="207"/>
      <c r="N65" s="207"/>
      <c r="O65" s="122"/>
      <c r="P65" s="205"/>
      <c r="Q65" s="205"/>
      <c r="R65" s="205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</row>
    <row r="66">
      <c r="A66" s="122"/>
      <c r="B66" s="204"/>
      <c r="C66" s="204"/>
      <c r="D66" s="204"/>
      <c r="E66" s="205"/>
      <c r="F66" s="205"/>
      <c r="G66" s="205"/>
      <c r="H66" s="206"/>
      <c r="I66" s="207"/>
      <c r="J66" s="207"/>
      <c r="K66" s="207"/>
      <c r="L66" s="122"/>
      <c r="M66" s="207"/>
      <c r="N66" s="207"/>
      <c r="O66" s="122"/>
      <c r="P66" s="205"/>
      <c r="Q66" s="205"/>
      <c r="R66" s="205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</row>
    <row r="67">
      <c r="A67" s="122"/>
      <c r="B67" s="204"/>
      <c r="C67" s="204"/>
      <c r="D67" s="204"/>
      <c r="E67" s="205"/>
      <c r="F67" s="205"/>
      <c r="G67" s="205"/>
      <c r="H67" s="206"/>
      <c r="I67" s="207"/>
      <c r="J67" s="207"/>
      <c r="K67" s="207"/>
      <c r="L67" s="122"/>
      <c r="M67" s="207"/>
      <c r="N67" s="207"/>
      <c r="O67" s="122"/>
      <c r="P67" s="205"/>
      <c r="Q67" s="205"/>
      <c r="R67" s="205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</row>
    <row r="68">
      <c r="A68" s="122"/>
      <c r="B68" s="204"/>
      <c r="C68" s="204"/>
      <c r="D68" s="204"/>
      <c r="E68" s="205"/>
      <c r="F68" s="205"/>
      <c r="G68" s="205"/>
      <c r="H68" s="206"/>
      <c r="I68" s="207"/>
      <c r="J68" s="207"/>
      <c r="K68" s="207"/>
      <c r="L68" s="122"/>
      <c r="M68" s="207"/>
      <c r="N68" s="207"/>
      <c r="O68" s="122"/>
      <c r="P68" s="205"/>
      <c r="Q68" s="205"/>
      <c r="R68" s="205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</row>
    <row r="69">
      <c r="A69" s="122"/>
      <c r="B69" s="204"/>
      <c r="C69" s="204"/>
      <c r="D69" s="204"/>
      <c r="E69" s="205"/>
      <c r="F69" s="205"/>
      <c r="G69" s="205"/>
      <c r="H69" s="206"/>
      <c r="I69" s="207"/>
      <c r="J69" s="207"/>
      <c r="K69" s="207"/>
      <c r="L69" s="122"/>
      <c r="M69" s="207"/>
      <c r="N69" s="207"/>
      <c r="O69" s="122"/>
      <c r="P69" s="205"/>
      <c r="Q69" s="205"/>
      <c r="R69" s="205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</row>
    <row r="70">
      <c r="A70" s="122"/>
      <c r="B70" s="204"/>
      <c r="C70" s="204"/>
      <c r="D70" s="204"/>
      <c r="E70" s="205"/>
      <c r="F70" s="205"/>
      <c r="G70" s="205"/>
      <c r="H70" s="206"/>
      <c r="I70" s="207"/>
      <c r="J70" s="207"/>
      <c r="K70" s="207"/>
      <c r="L70" s="122"/>
      <c r="M70" s="207"/>
      <c r="N70" s="207"/>
      <c r="O70" s="122"/>
      <c r="P70" s="205"/>
      <c r="Q70" s="205"/>
      <c r="R70" s="205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</row>
    <row r="71">
      <c r="A71" s="122"/>
      <c r="B71" s="204"/>
      <c r="C71" s="204"/>
      <c r="D71" s="204"/>
      <c r="E71" s="205"/>
      <c r="F71" s="205"/>
      <c r="G71" s="205"/>
      <c r="H71" s="206"/>
      <c r="I71" s="207"/>
      <c r="J71" s="207"/>
      <c r="K71" s="207"/>
      <c r="L71" s="122"/>
      <c r="M71" s="207"/>
      <c r="N71" s="207"/>
      <c r="O71" s="122"/>
      <c r="P71" s="205"/>
      <c r="Q71" s="205"/>
      <c r="R71" s="205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</row>
    <row r="72">
      <c r="A72" s="122"/>
      <c r="B72" s="204"/>
      <c r="C72" s="204"/>
      <c r="D72" s="204"/>
      <c r="E72" s="205"/>
      <c r="F72" s="205"/>
      <c r="G72" s="205"/>
      <c r="H72" s="206"/>
      <c r="I72" s="207"/>
      <c r="J72" s="207"/>
      <c r="K72" s="207"/>
      <c r="L72" s="122"/>
      <c r="M72" s="207"/>
      <c r="N72" s="207"/>
      <c r="O72" s="122"/>
      <c r="P72" s="205"/>
      <c r="Q72" s="205"/>
      <c r="R72" s="205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</row>
    <row r="73">
      <c r="A73" s="122"/>
      <c r="B73" s="204"/>
      <c r="C73" s="204"/>
      <c r="D73" s="204"/>
      <c r="E73" s="205"/>
      <c r="F73" s="205"/>
      <c r="G73" s="205"/>
      <c r="H73" s="206"/>
      <c r="I73" s="207"/>
      <c r="J73" s="207"/>
      <c r="K73" s="207"/>
      <c r="L73" s="122"/>
      <c r="M73" s="207"/>
      <c r="N73" s="207"/>
      <c r="O73" s="122"/>
      <c r="P73" s="205"/>
      <c r="Q73" s="205"/>
      <c r="R73" s="205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</row>
    <row r="74">
      <c r="A74" s="122"/>
      <c r="B74" s="204"/>
      <c r="C74" s="204"/>
      <c r="D74" s="204"/>
      <c r="E74" s="205"/>
      <c r="F74" s="205"/>
      <c r="G74" s="205"/>
      <c r="H74" s="206"/>
      <c r="I74" s="207"/>
      <c r="J74" s="207"/>
      <c r="K74" s="207"/>
      <c r="L74" s="122"/>
      <c r="M74" s="207"/>
      <c r="N74" s="207"/>
      <c r="O74" s="122"/>
      <c r="P74" s="205"/>
      <c r="Q74" s="205"/>
      <c r="R74" s="205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</row>
    <row r="75">
      <c r="A75" s="122"/>
      <c r="B75" s="204"/>
      <c r="C75" s="204"/>
      <c r="D75" s="204"/>
      <c r="E75" s="205"/>
      <c r="F75" s="205"/>
      <c r="G75" s="205"/>
      <c r="H75" s="206"/>
      <c r="I75" s="207"/>
      <c r="J75" s="207"/>
      <c r="K75" s="207"/>
      <c r="L75" s="122"/>
      <c r="M75" s="207"/>
      <c r="N75" s="207"/>
      <c r="O75" s="122"/>
      <c r="P75" s="205"/>
      <c r="Q75" s="205"/>
      <c r="R75" s="205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</row>
    <row r="76">
      <c r="A76" s="122"/>
      <c r="B76" s="204"/>
      <c r="C76" s="204"/>
      <c r="D76" s="204"/>
      <c r="E76" s="205"/>
      <c r="F76" s="205"/>
      <c r="G76" s="205"/>
      <c r="H76" s="206"/>
      <c r="I76" s="207"/>
      <c r="J76" s="207"/>
      <c r="K76" s="207"/>
      <c r="L76" s="122"/>
      <c r="M76" s="207"/>
      <c r="N76" s="207"/>
      <c r="O76" s="122"/>
      <c r="P76" s="205"/>
      <c r="Q76" s="205"/>
      <c r="R76" s="205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</row>
    <row r="77">
      <c r="A77" s="122"/>
      <c r="B77" s="204"/>
      <c r="C77" s="204"/>
      <c r="D77" s="204"/>
      <c r="E77" s="205"/>
      <c r="F77" s="205"/>
      <c r="G77" s="205"/>
      <c r="H77" s="206"/>
      <c r="I77" s="207"/>
      <c r="J77" s="207"/>
      <c r="K77" s="207"/>
      <c r="L77" s="122"/>
      <c r="M77" s="207"/>
      <c r="N77" s="207"/>
      <c r="O77" s="122"/>
      <c r="P77" s="205"/>
      <c r="Q77" s="205"/>
      <c r="R77" s="205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</row>
    <row r="78">
      <c r="A78" s="122"/>
      <c r="B78" s="204"/>
      <c r="C78" s="204"/>
      <c r="D78" s="204"/>
      <c r="E78" s="205"/>
      <c r="F78" s="205"/>
      <c r="G78" s="205"/>
      <c r="H78" s="206"/>
      <c r="I78" s="207"/>
      <c r="J78" s="207"/>
      <c r="K78" s="207"/>
      <c r="L78" s="122"/>
      <c r="M78" s="207"/>
      <c r="N78" s="207"/>
      <c r="O78" s="122"/>
      <c r="P78" s="205"/>
      <c r="Q78" s="205"/>
      <c r="R78" s="205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</row>
    <row r="79">
      <c r="A79" s="122"/>
      <c r="B79" s="204"/>
      <c r="C79" s="204"/>
      <c r="D79" s="204"/>
      <c r="E79" s="205"/>
      <c r="F79" s="205"/>
      <c r="G79" s="205"/>
      <c r="H79" s="206"/>
      <c r="I79" s="207"/>
      <c r="J79" s="207"/>
      <c r="K79" s="207"/>
      <c r="L79" s="122"/>
      <c r="M79" s="207"/>
      <c r="N79" s="207"/>
      <c r="O79" s="122"/>
      <c r="P79" s="205"/>
      <c r="Q79" s="205"/>
      <c r="R79" s="205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</row>
    <row r="80">
      <c r="A80" s="122"/>
      <c r="B80" s="204"/>
      <c r="C80" s="204"/>
      <c r="D80" s="204"/>
      <c r="E80" s="205"/>
      <c r="F80" s="205"/>
      <c r="G80" s="205"/>
      <c r="H80" s="206"/>
      <c r="I80" s="207"/>
      <c r="J80" s="207"/>
      <c r="K80" s="207"/>
      <c r="L80" s="122"/>
      <c r="M80" s="207"/>
      <c r="N80" s="207"/>
      <c r="O80" s="122"/>
      <c r="P80" s="205"/>
      <c r="Q80" s="205"/>
      <c r="R80" s="205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</row>
    <row r="81">
      <c r="A81" s="122"/>
      <c r="B81" s="204"/>
      <c r="C81" s="204"/>
      <c r="D81" s="204"/>
      <c r="E81" s="205"/>
      <c r="F81" s="205"/>
      <c r="G81" s="205"/>
      <c r="H81" s="206"/>
      <c r="I81" s="207"/>
      <c r="J81" s="207"/>
      <c r="K81" s="207"/>
      <c r="L81" s="122"/>
      <c r="M81" s="207"/>
      <c r="N81" s="207"/>
      <c r="O81" s="122"/>
      <c r="P81" s="205"/>
      <c r="Q81" s="205"/>
      <c r="R81" s="205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</row>
    <row r="82">
      <c r="A82" s="122"/>
      <c r="B82" s="204"/>
      <c r="C82" s="204"/>
      <c r="D82" s="204"/>
      <c r="E82" s="205"/>
      <c r="F82" s="205"/>
      <c r="G82" s="205"/>
      <c r="H82" s="206"/>
      <c r="I82" s="207"/>
      <c r="J82" s="207"/>
      <c r="K82" s="207"/>
      <c r="L82" s="122"/>
      <c r="M82" s="207"/>
      <c r="N82" s="207"/>
      <c r="O82" s="122"/>
      <c r="P82" s="205"/>
      <c r="Q82" s="205"/>
      <c r="R82" s="205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</row>
    <row r="83">
      <c r="A83" s="122"/>
      <c r="B83" s="204"/>
      <c r="C83" s="204"/>
      <c r="D83" s="204"/>
      <c r="E83" s="205"/>
      <c r="F83" s="205"/>
      <c r="G83" s="205"/>
      <c r="H83" s="206"/>
      <c r="I83" s="207"/>
      <c r="J83" s="207"/>
      <c r="K83" s="207"/>
      <c r="L83" s="122"/>
      <c r="M83" s="207"/>
      <c r="N83" s="207"/>
      <c r="O83" s="122"/>
      <c r="P83" s="205"/>
      <c r="Q83" s="205"/>
      <c r="R83" s="205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</row>
    <row r="84">
      <c r="A84" s="122"/>
      <c r="B84" s="204"/>
      <c r="C84" s="204"/>
      <c r="D84" s="204"/>
      <c r="E84" s="205"/>
      <c r="F84" s="205"/>
      <c r="G84" s="205"/>
      <c r="H84" s="206"/>
      <c r="I84" s="207"/>
      <c r="J84" s="207"/>
      <c r="K84" s="207"/>
      <c r="L84" s="122"/>
      <c r="M84" s="207"/>
      <c r="N84" s="207"/>
      <c r="O84" s="122"/>
      <c r="P84" s="205"/>
      <c r="Q84" s="205"/>
      <c r="R84" s="205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</row>
    <row r="85">
      <c r="A85" s="122"/>
      <c r="B85" s="204"/>
      <c r="C85" s="204"/>
      <c r="D85" s="204"/>
      <c r="E85" s="205"/>
      <c r="F85" s="205"/>
      <c r="G85" s="205"/>
      <c r="H85" s="206"/>
      <c r="I85" s="207"/>
      <c r="J85" s="207"/>
      <c r="K85" s="207"/>
      <c r="L85" s="122"/>
      <c r="M85" s="207"/>
      <c r="N85" s="207"/>
      <c r="O85" s="122"/>
      <c r="P85" s="205"/>
      <c r="Q85" s="205"/>
      <c r="R85" s="205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</row>
    <row r="86">
      <c r="A86" s="122"/>
      <c r="B86" s="204"/>
      <c r="C86" s="204"/>
      <c r="D86" s="204"/>
      <c r="E86" s="205"/>
      <c r="F86" s="205"/>
      <c r="G86" s="205"/>
      <c r="H86" s="206"/>
      <c r="I86" s="207"/>
      <c r="J86" s="207"/>
      <c r="K86" s="207"/>
      <c r="L86" s="122"/>
      <c r="M86" s="207"/>
      <c r="N86" s="207"/>
      <c r="O86" s="122"/>
      <c r="P86" s="205"/>
      <c r="Q86" s="205"/>
      <c r="R86" s="205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</row>
    <row r="87">
      <c r="A87" s="122"/>
      <c r="B87" s="204"/>
      <c r="C87" s="204"/>
      <c r="D87" s="204"/>
      <c r="E87" s="205"/>
      <c r="F87" s="205"/>
      <c r="G87" s="205"/>
      <c r="H87" s="206"/>
      <c r="I87" s="207"/>
      <c r="J87" s="207"/>
      <c r="K87" s="207"/>
      <c r="L87" s="122"/>
      <c r="M87" s="207"/>
      <c r="N87" s="207"/>
      <c r="O87" s="122"/>
      <c r="P87" s="205"/>
      <c r="Q87" s="205"/>
      <c r="R87" s="205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</row>
    <row r="88">
      <c r="A88" s="122"/>
      <c r="B88" s="204"/>
      <c r="C88" s="204"/>
      <c r="D88" s="204"/>
      <c r="E88" s="205"/>
      <c r="F88" s="205"/>
      <c r="G88" s="205"/>
      <c r="H88" s="206"/>
      <c r="I88" s="207"/>
      <c r="J88" s="207"/>
      <c r="K88" s="207"/>
      <c r="L88" s="122"/>
      <c r="M88" s="207"/>
      <c r="N88" s="207"/>
      <c r="O88" s="122"/>
      <c r="P88" s="205"/>
      <c r="Q88" s="205"/>
      <c r="R88" s="205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</row>
    <row r="89">
      <c r="A89" s="122"/>
      <c r="B89" s="204"/>
      <c r="C89" s="204"/>
      <c r="D89" s="204"/>
      <c r="E89" s="205"/>
      <c r="F89" s="205"/>
      <c r="G89" s="205"/>
      <c r="H89" s="206"/>
      <c r="I89" s="207"/>
      <c r="J89" s="207"/>
      <c r="K89" s="207"/>
      <c r="L89" s="122"/>
      <c r="M89" s="207"/>
      <c r="N89" s="207"/>
      <c r="O89" s="122"/>
      <c r="P89" s="205"/>
      <c r="Q89" s="205"/>
      <c r="R89" s="205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</row>
    <row r="90">
      <c r="A90" s="122"/>
      <c r="B90" s="204"/>
      <c r="C90" s="204"/>
      <c r="D90" s="204"/>
      <c r="E90" s="205"/>
      <c r="F90" s="205"/>
      <c r="G90" s="205"/>
      <c r="H90" s="206"/>
      <c r="I90" s="207"/>
      <c r="J90" s="207"/>
      <c r="K90" s="207"/>
      <c r="L90" s="122"/>
      <c r="M90" s="207"/>
      <c r="N90" s="207"/>
      <c r="O90" s="122"/>
      <c r="P90" s="205"/>
      <c r="Q90" s="205"/>
      <c r="R90" s="205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</row>
    <row r="91">
      <c r="A91" s="122"/>
      <c r="B91" s="204"/>
      <c r="C91" s="204"/>
      <c r="D91" s="204"/>
      <c r="E91" s="205"/>
      <c r="F91" s="205"/>
      <c r="G91" s="205"/>
      <c r="H91" s="206"/>
      <c r="I91" s="207"/>
      <c r="J91" s="207"/>
      <c r="K91" s="207"/>
      <c r="L91" s="122"/>
      <c r="M91" s="207"/>
      <c r="N91" s="207"/>
      <c r="O91" s="122"/>
      <c r="P91" s="205"/>
      <c r="Q91" s="205"/>
      <c r="R91" s="205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</row>
    <row r="92">
      <c r="A92" s="122"/>
      <c r="B92" s="204"/>
      <c r="C92" s="204"/>
      <c r="D92" s="204"/>
      <c r="E92" s="205"/>
      <c r="F92" s="205"/>
      <c r="G92" s="205"/>
      <c r="H92" s="206"/>
      <c r="I92" s="207"/>
      <c r="J92" s="207"/>
      <c r="K92" s="207"/>
      <c r="L92" s="122"/>
      <c r="M92" s="207"/>
      <c r="N92" s="207"/>
      <c r="O92" s="122"/>
      <c r="P92" s="205"/>
      <c r="Q92" s="205"/>
      <c r="R92" s="205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</row>
    <row r="93">
      <c r="A93" s="122"/>
      <c r="B93" s="204"/>
      <c r="C93" s="204"/>
      <c r="D93" s="204"/>
      <c r="E93" s="205"/>
      <c r="F93" s="205"/>
      <c r="G93" s="205"/>
      <c r="H93" s="206"/>
      <c r="I93" s="207"/>
      <c r="J93" s="207"/>
      <c r="K93" s="207"/>
      <c r="L93" s="122"/>
      <c r="M93" s="207"/>
      <c r="N93" s="207"/>
      <c r="O93" s="122"/>
      <c r="P93" s="205"/>
      <c r="Q93" s="205"/>
      <c r="R93" s="205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</row>
    <row r="94">
      <c r="A94" s="122"/>
      <c r="B94" s="204"/>
      <c r="C94" s="204"/>
      <c r="D94" s="204"/>
      <c r="E94" s="205"/>
      <c r="F94" s="205"/>
      <c r="G94" s="205"/>
      <c r="H94" s="206"/>
      <c r="I94" s="207"/>
      <c r="J94" s="207"/>
      <c r="K94" s="207"/>
      <c r="L94" s="122"/>
      <c r="M94" s="207"/>
      <c r="N94" s="207"/>
      <c r="O94" s="122"/>
      <c r="P94" s="205"/>
      <c r="Q94" s="205"/>
      <c r="R94" s="205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</row>
    <row r="95">
      <c r="A95" s="122"/>
      <c r="B95" s="204"/>
      <c r="C95" s="204"/>
      <c r="D95" s="204"/>
      <c r="E95" s="205"/>
      <c r="F95" s="205"/>
      <c r="G95" s="205"/>
      <c r="H95" s="206"/>
      <c r="I95" s="207"/>
      <c r="J95" s="207"/>
      <c r="K95" s="207"/>
      <c r="L95" s="122"/>
      <c r="M95" s="207"/>
      <c r="N95" s="207"/>
      <c r="O95" s="122"/>
      <c r="P95" s="205"/>
      <c r="Q95" s="205"/>
      <c r="R95" s="205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</row>
    <row r="96">
      <c r="A96" s="122"/>
      <c r="B96" s="204"/>
      <c r="C96" s="204"/>
      <c r="D96" s="204"/>
      <c r="E96" s="205"/>
      <c r="F96" s="205"/>
      <c r="G96" s="205"/>
      <c r="H96" s="206"/>
      <c r="I96" s="207"/>
      <c r="J96" s="207"/>
      <c r="K96" s="207"/>
      <c r="L96" s="122"/>
      <c r="M96" s="207"/>
      <c r="N96" s="207"/>
      <c r="O96" s="122"/>
      <c r="P96" s="205"/>
      <c r="Q96" s="205"/>
      <c r="R96" s="205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</row>
    <row r="97">
      <c r="A97" s="122"/>
      <c r="B97" s="204"/>
      <c r="C97" s="204"/>
      <c r="D97" s="204"/>
      <c r="E97" s="205"/>
      <c r="F97" s="205"/>
      <c r="G97" s="205"/>
      <c r="H97" s="206"/>
      <c r="I97" s="207"/>
      <c r="J97" s="207"/>
      <c r="K97" s="207"/>
      <c r="L97" s="122"/>
      <c r="M97" s="207"/>
      <c r="N97" s="207"/>
      <c r="O97" s="122"/>
      <c r="P97" s="205"/>
      <c r="Q97" s="205"/>
      <c r="R97" s="205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</row>
    <row r="98">
      <c r="A98" s="122"/>
      <c r="B98" s="204"/>
      <c r="C98" s="204"/>
      <c r="D98" s="204"/>
      <c r="E98" s="205"/>
      <c r="F98" s="205"/>
      <c r="G98" s="205"/>
      <c r="H98" s="206"/>
      <c r="I98" s="207"/>
      <c r="J98" s="207"/>
      <c r="K98" s="207"/>
      <c r="L98" s="122"/>
      <c r="M98" s="207"/>
      <c r="N98" s="207"/>
      <c r="O98" s="122"/>
      <c r="P98" s="205"/>
      <c r="Q98" s="205"/>
      <c r="R98" s="205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</row>
    <row r="99">
      <c r="A99" s="122"/>
      <c r="B99" s="204"/>
      <c r="C99" s="204"/>
      <c r="D99" s="204"/>
      <c r="E99" s="205"/>
      <c r="F99" s="205"/>
      <c r="G99" s="205"/>
      <c r="H99" s="206"/>
      <c r="I99" s="207"/>
      <c r="J99" s="207"/>
      <c r="K99" s="207"/>
      <c r="L99" s="122"/>
      <c r="M99" s="207"/>
      <c r="N99" s="207"/>
      <c r="O99" s="122"/>
      <c r="P99" s="205"/>
      <c r="Q99" s="205"/>
      <c r="R99" s="205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</row>
    <row r="100">
      <c r="A100" s="122"/>
      <c r="B100" s="204"/>
      <c r="C100" s="204"/>
      <c r="D100" s="204"/>
      <c r="E100" s="205"/>
      <c r="F100" s="205"/>
      <c r="G100" s="205"/>
      <c r="H100" s="206"/>
      <c r="I100" s="207"/>
      <c r="J100" s="207"/>
      <c r="K100" s="207"/>
      <c r="L100" s="122"/>
      <c r="M100" s="207"/>
      <c r="N100" s="207"/>
      <c r="O100" s="122"/>
      <c r="P100" s="205"/>
      <c r="Q100" s="205"/>
      <c r="R100" s="205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</row>
    <row r="101">
      <c r="A101" s="122"/>
      <c r="B101" s="204"/>
      <c r="C101" s="204"/>
      <c r="D101" s="204"/>
      <c r="E101" s="205"/>
      <c r="F101" s="205"/>
      <c r="G101" s="205"/>
      <c r="H101" s="206"/>
      <c r="I101" s="207"/>
      <c r="J101" s="207"/>
      <c r="K101" s="207"/>
      <c r="L101" s="122"/>
      <c r="M101" s="207"/>
      <c r="N101" s="207"/>
      <c r="O101" s="122"/>
      <c r="P101" s="205"/>
      <c r="Q101" s="205"/>
      <c r="R101" s="205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</row>
    <row r="102">
      <c r="A102" s="122"/>
      <c r="B102" s="204"/>
      <c r="C102" s="204"/>
      <c r="D102" s="204"/>
      <c r="E102" s="205"/>
      <c r="F102" s="205"/>
      <c r="G102" s="205"/>
      <c r="H102" s="206"/>
      <c r="I102" s="207"/>
      <c r="J102" s="207"/>
      <c r="K102" s="207"/>
      <c r="L102" s="122"/>
      <c r="M102" s="207"/>
      <c r="N102" s="207"/>
      <c r="O102" s="122"/>
      <c r="P102" s="205"/>
      <c r="Q102" s="205"/>
      <c r="R102" s="205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</row>
    <row r="103">
      <c r="A103" s="122"/>
      <c r="B103" s="204"/>
      <c r="C103" s="204"/>
      <c r="D103" s="204"/>
      <c r="E103" s="205"/>
      <c r="F103" s="205"/>
      <c r="G103" s="205"/>
      <c r="H103" s="206"/>
      <c r="I103" s="207"/>
      <c r="J103" s="207"/>
      <c r="K103" s="207"/>
      <c r="L103" s="122"/>
      <c r="M103" s="207"/>
      <c r="N103" s="207"/>
      <c r="O103" s="122"/>
      <c r="P103" s="205"/>
      <c r="Q103" s="205"/>
      <c r="R103" s="205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</row>
    <row r="104">
      <c r="A104" s="122"/>
      <c r="B104" s="204"/>
      <c r="C104" s="204"/>
      <c r="D104" s="204"/>
      <c r="E104" s="205"/>
      <c r="F104" s="205"/>
      <c r="G104" s="205"/>
      <c r="H104" s="206"/>
      <c r="I104" s="207"/>
      <c r="J104" s="207"/>
      <c r="K104" s="207"/>
      <c r="L104" s="122"/>
      <c r="M104" s="207"/>
      <c r="N104" s="207"/>
      <c r="O104" s="122"/>
      <c r="P104" s="205"/>
      <c r="Q104" s="205"/>
      <c r="R104" s="205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</row>
    <row r="105">
      <c r="A105" s="122"/>
      <c r="B105" s="204"/>
      <c r="C105" s="204"/>
      <c r="D105" s="204"/>
      <c r="E105" s="205"/>
      <c r="F105" s="205"/>
      <c r="G105" s="205"/>
      <c r="H105" s="206"/>
      <c r="I105" s="207"/>
      <c r="J105" s="207"/>
      <c r="K105" s="207"/>
      <c r="L105" s="122"/>
      <c r="M105" s="207"/>
      <c r="N105" s="207"/>
      <c r="O105" s="122"/>
      <c r="P105" s="205"/>
      <c r="Q105" s="205"/>
      <c r="R105" s="205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</row>
    <row r="106">
      <c r="A106" s="122"/>
      <c r="B106" s="204"/>
      <c r="C106" s="204"/>
      <c r="D106" s="204"/>
      <c r="E106" s="205"/>
      <c r="F106" s="205"/>
      <c r="G106" s="205"/>
      <c r="H106" s="206"/>
      <c r="I106" s="207"/>
      <c r="J106" s="207"/>
      <c r="K106" s="207"/>
      <c r="L106" s="122"/>
      <c r="M106" s="207"/>
      <c r="N106" s="207"/>
      <c r="O106" s="122"/>
      <c r="P106" s="205"/>
      <c r="Q106" s="205"/>
      <c r="R106" s="205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</row>
    <row r="107">
      <c r="A107" s="122"/>
      <c r="B107" s="204"/>
      <c r="C107" s="204"/>
      <c r="D107" s="204"/>
      <c r="E107" s="205"/>
      <c r="F107" s="205"/>
      <c r="G107" s="205"/>
      <c r="H107" s="206"/>
      <c r="I107" s="207"/>
      <c r="J107" s="207"/>
      <c r="K107" s="207"/>
      <c r="L107" s="122"/>
      <c r="M107" s="207"/>
      <c r="N107" s="207"/>
      <c r="O107" s="122"/>
      <c r="P107" s="205"/>
      <c r="Q107" s="205"/>
      <c r="R107" s="205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</row>
    <row r="108">
      <c r="A108" s="122"/>
      <c r="B108" s="204"/>
      <c r="C108" s="204"/>
      <c r="D108" s="204"/>
      <c r="E108" s="205"/>
      <c r="F108" s="205"/>
      <c r="G108" s="205"/>
      <c r="H108" s="206"/>
      <c r="I108" s="207"/>
      <c r="J108" s="207"/>
      <c r="K108" s="207"/>
      <c r="L108" s="122"/>
      <c r="M108" s="207"/>
      <c r="N108" s="207"/>
      <c r="O108" s="122"/>
      <c r="P108" s="205"/>
      <c r="Q108" s="205"/>
      <c r="R108" s="205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</row>
    <row r="109">
      <c r="A109" s="122"/>
      <c r="B109" s="204"/>
      <c r="C109" s="204"/>
      <c r="D109" s="204"/>
      <c r="E109" s="205"/>
      <c r="F109" s="205"/>
      <c r="G109" s="205"/>
      <c r="H109" s="206"/>
      <c r="I109" s="207"/>
      <c r="J109" s="207"/>
      <c r="K109" s="207"/>
      <c r="L109" s="122"/>
      <c r="M109" s="207"/>
      <c r="N109" s="207"/>
      <c r="O109" s="122"/>
      <c r="P109" s="205"/>
      <c r="Q109" s="205"/>
      <c r="R109" s="205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</row>
    <row r="110">
      <c r="A110" s="122"/>
      <c r="B110" s="204"/>
      <c r="C110" s="204"/>
      <c r="D110" s="204"/>
      <c r="E110" s="205"/>
      <c r="F110" s="205"/>
      <c r="G110" s="205"/>
      <c r="H110" s="206"/>
      <c r="I110" s="207"/>
      <c r="J110" s="207"/>
      <c r="K110" s="207"/>
      <c r="L110" s="122"/>
      <c r="M110" s="207"/>
      <c r="N110" s="207"/>
      <c r="O110" s="122"/>
      <c r="P110" s="205"/>
      <c r="Q110" s="205"/>
      <c r="R110" s="205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</row>
    <row r="111">
      <c r="A111" s="122"/>
      <c r="B111" s="204"/>
      <c r="C111" s="204"/>
      <c r="D111" s="204"/>
      <c r="E111" s="205"/>
      <c r="F111" s="205"/>
      <c r="G111" s="205"/>
      <c r="H111" s="206"/>
      <c r="I111" s="207"/>
      <c r="J111" s="207"/>
      <c r="K111" s="207"/>
      <c r="L111" s="122"/>
      <c r="M111" s="207"/>
      <c r="N111" s="207"/>
      <c r="O111" s="122"/>
      <c r="P111" s="205"/>
      <c r="Q111" s="205"/>
      <c r="R111" s="205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</row>
    <row r="112">
      <c r="A112" s="122"/>
      <c r="B112" s="204"/>
      <c r="C112" s="204"/>
      <c r="D112" s="204"/>
      <c r="E112" s="205"/>
      <c r="F112" s="205"/>
      <c r="G112" s="205"/>
      <c r="H112" s="206"/>
      <c r="I112" s="207"/>
      <c r="J112" s="207"/>
      <c r="K112" s="207"/>
      <c r="L112" s="122"/>
      <c r="M112" s="207"/>
      <c r="N112" s="207"/>
      <c r="O112" s="122"/>
      <c r="P112" s="205"/>
      <c r="Q112" s="205"/>
      <c r="R112" s="205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</row>
    <row r="113">
      <c r="A113" s="122"/>
      <c r="B113" s="204"/>
      <c r="C113" s="204"/>
      <c r="D113" s="204"/>
      <c r="E113" s="205"/>
      <c r="F113" s="205"/>
      <c r="G113" s="205"/>
      <c r="H113" s="206"/>
      <c r="I113" s="207"/>
      <c r="J113" s="207"/>
      <c r="K113" s="207"/>
      <c r="L113" s="122"/>
      <c r="M113" s="207"/>
      <c r="N113" s="207"/>
      <c r="O113" s="122"/>
      <c r="P113" s="205"/>
      <c r="Q113" s="205"/>
      <c r="R113" s="205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</row>
    <row r="114">
      <c r="A114" s="122"/>
      <c r="B114" s="204"/>
      <c r="C114" s="204"/>
      <c r="D114" s="204"/>
      <c r="E114" s="205"/>
      <c r="F114" s="205"/>
      <c r="G114" s="205"/>
      <c r="H114" s="206"/>
      <c r="I114" s="207"/>
      <c r="J114" s="207"/>
      <c r="K114" s="207"/>
      <c r="L114" s="122"/>
      <c r="M114" s="207"/>
      <c r="N114" s="207"/>
      <c r="O114" s="122"/>
      <c r="P114" s="205"/>
      <c r="Q114" s="205"/>
      <c r="R114" s="205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</row>
    <row r="115">
      <c r="A115" s="122"/>
      <c r="B115" s="204"/>
      <c r="C115" s="204"/>
      <c r="D115" s="204"/>
      <c r="E115" s="205"/>
      <c r="F115" s="205"/>
      <c r="G115" s="205"/>
      <c r="H115" s="206"/>
      <c r="I115" s="207"/>
      <c r="J115" s="207"/>
      <c r="K115" s="207"/>
      <c r="L115" s="122"/>
      <c r="M115" s="207"/>
      <c r="N115" s="207"/>
      <c r="O115" s="122"/>
      <c r="P115" s="205"/>
      <c r="Q115" s="205"/>
      <c r="R115" s="205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</row>
    <row r="116">
      <c r="A116" s="122"/>
      <c r="B116" s="204"/>
      <c r="C116" s="204"/>
      <c r="D116" s="204"/>
      <c r="E116" s="205"/>
      <c r="F116" s="205"/>
      <c r="G116" s="205"/>
      <c r="H116" s="206"/>
      <c r="I116" s="207"/>
      <c r="J116" s="207"/>
      <c r="K116" s="207"/>
      <c r="L116" s="122"/>
      <c r="M116" s="207"/>
      <c r="N116" s="207"/>
      <c r="O116" s="122"/>
      <c r="P116" s="205"/>
      <c r="Q116" s="205"/>
      <c r="R116" s="205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</row>
    <row r="117">
      <c r="A117" s="122"/>
      <c r="B117" s="204"/>
      <c r="C117" s="204"/>
      <c r="D117" s="204"/>
      <c r="E117" s="205"/>
      <c r="F117" s="205"/>
      <c r="G117" s="205"/>
      <c r="H117" s="206"/>
      <c r="I117" s="207"/>
      <c r="J117" s="207"/>
      <c r="K117" s="207"/>
      <c r="L117" s="122"/>
      <c r="M117" s="207"/>
      <c r="N117" s="207"/>
      <c r="O117" s="122"/>
      <c r="P117" s="205"/>
      <c r="Q117" s="205"/>
      <c r="R117" s="205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</row>
    <row r="118">
      <c r="A118" s="122"/>
      <c r="B118" s="204"/>
      <c r="C118" s="204"/>
      <c r="D118" s="204"/>
      <c r="E118" s="205"/>
      <c r="F118" s="205"/>
      <c r="G118" s="205"/>
      <c r="H118" s="206"/>
      <c r="I118" s="207"/>
      <c r="J118" s="207"/>
      <c r="K118" s="207"/>
      <c r="L118" s="122"/>
      <c r="M118" s="207"/>
      <c r="N118" s="207"/>
      <c r="O118" s="122"/>
      <c r="P118" s="205"/>
      <c r="Q118" s="205"/>
      <c r="R118" s="205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</row>
    <row r="119">
      <c r="A119" s="122"/>
      <c r="B119" s="204"/>
      <c r="C119" s="204"/>
      <c r="D119" s="204"/>
      <c r="E119" s="205"/>
      <c r="F119" s="205"/>
      <c r="G119" s="205"/>
      <c r="H119" s="206"/>
      <c r="I119" s="207"/>
      <c r="J119" s="207"/>
      <c r="K119" s="207"/>
      <c r="L119" s="122"/>
      <c r="M119" s="207"/>
      <c r="N119" s="207"/>
      <c r="O119" s="122"/>
      <c r="P119" s="205"/>
      <c r="Q119" s="205"/>
      <c r="R119" s="205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</row>
    <row r="120">
      <c r="A120" s="122"/>
      <c r="B120" s="204"/>
      <c r="C120" s="204"/>
      <c r="D120" s="204"/>
      <c r="E120" s="205"/>
      <c r="F120" s="205"/>
      <c r="G120" s="205"/>
      <c r="H120" s="206"/>
      <c r="I120" s="207"/>
      <c r="J120" s="207"/>
      <c r="K120" s="207"/>
      <c r="L120" s="122"/>
      <c r="M120" s="207"/>
      <c r="N120" s="207"/>
      <c r="O120" s="122"/>
      <c r="P120" s="205"/>
      <c r="Q120" s="205"/>
      <c r="R120" s="205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</row>
    <row r="121">
      <c r="A121" s="122"/>
      <c r="B121" s="204"/>
      <c r="C121" s="204"/>
      <c r="D121" s="204"/>
      <c r="E121" s="205"/>
      <c r="F121" s="205"/>
      <c r="G121" s="205"/>
      <c r="H121" s="206"/>
      <c r="I121" s="207"/>
      <c r="J121" s="207"/>
      <c r="K121" s="207"/>
      <c r="L121" s="122"/>
      <c r="M121" s="207"/>
      <c r="N121" s="207"/>
      <c r="O121" s="122"/>
      <c r="P121" s="205"/>
      <c r="Q121" s="205"/>
      <c r="R121" s="205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</row>
    <row r="122">
      <c r="A122" s="122"/>
      <c r="B122" s="204"/>
      <c r="C122" s="204"/>
      <c r="D122" s="204"/>
      <c r="E122" s="205"/>
      <c r="F122" s="205"/>
      <c r="G122" s="205"/>
      <c r="H122" s="206"/>
      <c r="I122" s="207"/>
      <c r="J122" s="207"/>
      <c r="K122" s="207"/>
      <c r="L122" s="122"/>
      <c r="M122" s="207"/>
      <c r="N122" s="207"/>
      <c r="O122" s="122"/>
      <c r="P122" s="205"/>
      <c r="Q122" s="205"/>
      <c r="R122" s="205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</row>
    <row r="123">
      <c r="A123" s="122"/>
      <c r="B123" s="204"/>
      <c r="C123" s="204"/>
      <c r="D123" s="204"/>
      <c r="E123" s="205"/>
      <c r="F123" s="205"/>
      <c r="G123" s="205"/>
      <c r="H123" s="206"/>
      <c r="I123" s="207"/>
      <c r="J123" s="207"/>
      <c r="K123" s="207"/>
      <c r="L123" s="122"/>
      <c r="M123" s="207"/>
      <c r="N123" s="207"/>
      <c r="O123" s="122"/>
      <c r="P123" s="205"/>
      <c r="Q123" s="205"/>
      <c r="R123" s="205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</row>
    <row r="124">
      <c r="A124" s="122"/>
      <c r="B124" s="204"/>
      <c r="C124" s="204"/>
      <c r="D124" s="204"/>
      <c r="E124" s="205"/>
      <c r="F124" s="205"/>
      <c r="G124" s="205"/>
      <c r="H124" s="206"/>
      <c r="I124" s="207"/>
      <c r="J124" s="207"/>
      <c r="K124" s="207"/>
      <c r="L124" s="122"/>
      <c r="M124" s="207"/>
      <c r="N124" s="207"/>
      <c r="O124" s="122"/>
      <c r="P124" s="205"/>
      <c r="Q124" s="205"/>
      <c r="R124" s="205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</row>
    <row r="125">
      <c r="A125" s="122"/>
      <c r="B125" s="204"/>
      <c r="C125" s="204"/>
      <c r="D125" s="204"/>
      <c r="E125" s="205"/>
      <c r="F125" s="205"/>
      <c r="G125" s="205"/>
      <c r="H125" s="206"/>
      <c r="I125" s="207"/>
      <c r="J125" s="207"/>
      <c r="K125" s="207"/>
      <c r="L125" s="122"/>
      <c r="M125" s="207"/>
      <c r="N125" s="207"/>
      <c r="O125" s="122"/>
      <c r="P125" s="205"/>
      <c r="Q125" s="205"/>
      <c r="R125" s="205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</row>
    <row r="126">
      <c r="A126" s="122"/>
      <c r="B126" s="204"/>
      <c r="C126" s="204"/>
      <c r="D126" s="204"/>
      <c r="E126" s="205"/>
      <c r="F126" s="205"/>
      <c r="G126" s="205"/>
      <c r="H126" s="206"/>
      <c r="I126" s="207"/>
      <c r="J126" s="207"/>
      <c r="K126" s="207"/>
      <c r="L126" s="122"/>
      <c r="M126" s="207"/>
      <c r="N126" s="207"/>
      <c r="O126" s="122"/>
      <c r="P126" s="205"/>
      <c r="Q126" s="205"/>
      <c r="R126" s="205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</row>
    <row r="127">
      <c r="A127" s="122"/>
      <c r="B127" s="204"/>
      <c r="C127" s="204"/>
      <c r="D127" s="204"/>
      <c r="E127" s="205"/>
      <c r="F127" s="205"/>
      <c r="G127" s="205"/>
      <c r="H127" s="206"/>
      <c r="I127" s="207"/>
      <c r="J127" s="207"/>
      <c r="K127" s="207"/>
      <c r="L127" s="122"/>
      <c r="M127" s="207"/>
      <c r="N127" s="207"/>
      <c r="O127" s="122"/>
      <c r="P127" s="205"/>
      <c r="Q127" s="205"/>
      <c r="R127" s="205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</row>
    <row r="128">
      <c r="A128" s="122"/>
      <c r="B128" s="204"/>
      <c r="C128" s="204"/>
      <c r="D128" s="204"/>
      <c r="E128" s="205"/>
      <c r="F128" s="205"/>
      <c r="G128" s="205"/>
      <c r="H128" s="206"/>
      <c r="I128" s="207"/>
      <c r="J128" s="207"/>
      <c r="K128" s="207"/>
      <c r="L128" s="122"/>
      <c r="M128" s="207"/>
      <c r="N128" s="207"/>
      <c r="O128" s="122"/>
      <c r="P128" s="205"/>
      <c r="Q128" s="205"/>
      <c r="R128" s="205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</row>
    <row r="129">
      <c r="A129" s="122"/>
      <c r="B129" s="204"/>
      <c r="C129" s="204"/>
      <c r="D129" s="204"/>
      <c r="E129" s="205"/>
      <c r="F129" s="205"/>
      <c r="G129" s="205"/>
      <c r="H129" s="206"/>
      <c r="I129" s="207"/>
      <c r="J129" s="207"/>
      <c r="K129" s="207"/>
      <c r="L129" s="122"/>
      <c r="M129" s="207"/>
      <c r="N129" s="207"/>
      <c r="O129" s="122"/>
      <c r="P129" s="205"/>
      <c r="Q129" s="205"/>
      <c r="R129" s="205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</row>
    <row r="130">
      <c r="A130" s="122"/>
      <c r="B130" s="204"/>
      <c r="C130" s="204"/>
      <c r="D130" s="204"/>
      <c r="E130" s="205"/>
      <c r="F130" s="205"/>
      <c r="G130" s="205"/>
      <c r="H130" s="206"/>
      <c r="I130" s="207"/>
      <c r="J130" s="207"/>
      <c r="K130" s="207"/>
      <c r="L130" s="122"/>
      <c r="M130" s="207"/>
      <c r="N130" s="207"/>
      <c r="O130" s="122"/>
      <c r="P130" s="205"/>
      <c r="Q130" s="205"/>
      <c r="R130" s="205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</row>
    <row r="131">
      <c r="A131" s="122"/>
      <c r="B131" s="204"/>
      <c r="C131" s="204"/>
      <c r="D131" s="204"/>
      <c r="E131" s="205"/>
      <c r="F131" s="205"/>
      <c r="G131" s="205"/>
      <c r="H131" s="206"/>
      <c r="I131" s="207"/>
      <c r="J131" s="207"/>
      <c r="K131" s="207"/>
      <c r="L131" s="122"/>
      <c r="M131" s="207"/>
      <c r="N131" s="207"/>
      <c r="O131" s="122"/>
      <c r="P131" s="205"/>
      <c r="Q131" s="205"/>
      <c r="R131" s="205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</row>
    <row r="132">
      <c r="A132" s="122"/>
      <c r="B132" s="204"/>
      <c r="C132" s="204"/>
      <c r="D132" s="204"/>
      <c r="E132" s="205"/>
      <c r="F132" s="205"/>
      <c r="G132" s="205"/>
      <c r="H132" s="206"/>
      <c r="I132" s="207"/>
      <c r="J132" s="207"/>
      <c r="K132" s="207"/>
      <c r="L132" s="122"/>
      <c r="M132" s="207"/>
      <c r="N132" s="207"/>
      <c r="O132" s="122"/>
      <c r="P132" s="205"/>
      <c r="Q132" s="205"/>
      <c r="R132" s="205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</row>
    <row r="133">
      <c r="A133" s="122"/>
      <c r="B133" s="204"/>
      <c r="C133" s="204"/>
      <c r="D133" s="204"/>
      <c r="E133" s="205"/>
      <c r="F133" s="205"/>
      <c r="G133" s="205"/>
      <c r="H133" s="206"/>
      <c r="I133" s="207"/>
      <c r="J133" s="207"/>
      <c r="K133" s="207"/>
      <c r="L133" s="122"/>
      <c r="M133" s="207"/>
      <c r="N133" s="207"/>
      <c r="O133" s="122"/>
      <c r="P133" s="205"/>
      <c r="Q133" s="205"/>
      <c r="R133" s="205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</row>
    <row r="134">
      <c r="A134" s="122"/>
      <c r="B134" s="204"/>
      <c r="C134" s="204"/>
      <c r="D134" s="204"/>
      <c r="E134" s="205"/>
      <c r="F134" s="205"/>
      <c r="G134" s="205"/>
      <c r="H134" s="206"/>
      <c r="I134" s="207"/>
      <c r="J134" s="207"/>
      <c r="K134" s="207"/>
      <c r="L134" s="122"/>
      <c r="M134" s="207"/>
      <c r="N134" s="207"/>
      <c r="O134" s="122"/>
      <c r="P134" s="205"/>
      <c r="Q134" s="205"/>
      <c r="R134" s="205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</row>
    <row r="135">
      <c r="A135" s="122"/>
      <c r="B135" s="204"/>
      <c r="C135" s="204"/>
      <c r="D135" s="204"/>
      <c r="E135" s="205"/>
      <c r="F135" s="205"/>
      <c r="G135" s="205"/>
      <c r="H135" s="206"/>
      <c r="I135" s="207"/>
      <c r="J135" s="207"/>
      <c r="K135" s="207"/>
      <c r="L135" s="122"/>
      <c r="M135" s="207"/>
      <c r="N135" s="207"/>
      <c r="O135" s="122"/>
      <c r="P135" s="205"/>
      <c r="Q135" s="205"/>
      <c r="R135" s="205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</row>
    <row r="136">
      <c r="A136" s="122"/>
      <c r="B136" s="204"/>
      <c r="C136" s="204"/>
      <c r="D136" s="204"/>
      <c r="E136" s="205"/>
      <c r="F136" s="205"/>
      <c r="G136" s="205"/>
      <c r="H136" s="206"/>
      <c r="I136" s="207"/>
      <c r="J136" s="207"/>
      <c r="K136" s="207"/>
      <c r="L136" s="122"/>
      <c r="M136" s="207"/>
      <c r="N136" s="207"/>
      <c r="O136" s="122"/>
      <c r="P136" s="205"/>
      <c r="Q136" s="205"/>
      <c r="R136" s="205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</row>
    <row r="137">
      <c r="A137" s="122"/>
      <c r="B137" s="204"/>
      <c r="C137" s="204"/>
      <c r="D137" s="204"/>
      <c r="E137" s="205"/>
      <c r="F137" s="205"/>
      <c r="G137" s="205"/>
      <c r="H137" s="206"/>
      <c r="I137" s="207"/>
      <c r="J137" s="207"/>
      <c r="K137" s="207"/>
      <c r="L137" s="122"/>
      <c r="M137" s="207"/>
      <c r="N137" s="207"/>
      <c r="O137" s="122"/>
      <c r="P137" s="205"/>
      <c r="Q137" s="205"/>
      <c r="R137" s="205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</row>
    <row r="138">
      <c r="A138" s="122"/>
      <c r="B138" s="204"/>
      <c r="C138" s="204"/>
      <c r="D138" s="204"/>
      <c r="E138" s="205"/>
      <c r="F138" s="205"/>
      <c r="G138" s="205"/>
      <c r="H138" s="206"/>
      <c r="I138" s="207"/>
      <c r="J138" s="207"/>
      <c r="K138" s="207"/>
      <c r="L138" s="122"/>
      <c r="M138" s="207"/>
      <c r="N138" s="207"/>
      <c r="O138" s="122"/>
      <c r="P138" s="205"/>
      <c r="Q138" s="205"/>
      <c r="R138" s="205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</row>
    <row r="139">
      <c r="A139" s="122"/>
      <c r="B139" s="204"/>
      <c r="C139" s="204"/>
      <c r="D139" s="204"/>
      <c r="E139" s="205"/>
      <c r="F139" s="205"/>
      <c r="G139" s="205"/>
      <c r="H139" s="206"/>
      <c r="I139" s="207"/>
      <c r="J139" s="207"/>
      <c r="K139" s="207"/>
      <c r="L139" s="122"/>
      <c r="M139" s="207"/>
      <c r="N139" s="207"/>
      <c r="O139" s="122"/>
      <c r="P139" s="205"/>
      <c r="Q139" s="205"/>
      <c r="R139" s="205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</row>
    <row r="140">
      <c r="A140" s="122"/>
      <c r="B140" s="204"/>
      <c r="C140" s="204"/>
      <c r="D140" s="204"/>
      <c r="E140" s="205"/>
      <c r="F140" s="205"/>
      <c r="G140" s="205"/>
      <c r="H140" s="206"/>
      <c r="I140" s="207"/>
      <c r="J140" s="207"/>
      <c r="K140" s="207"/>
      <c r="L140" s="122"/>
      <c r="M140" s="207"/>
      <c r="N140" s="207"/>
      <c r="O140" s="122"/>
      <c r="P140" s="205"/>
      <c r="Q140" s="205"/>
      <c r="R140" s="205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</row>
    <row r="141">
      <c r="A141" s="122"/>
      <c r="B141" s="204"/>
      <c r="C141" s="204"/>
      <c r="D141" s="204"/>
      <c r="E141" s="205"/>
      <c r="F141" s="205"/>
      <c r="G141" s="205"/>
      <c r="H141" s="206"/>
      <c r="I141" s="207"/>
      <c r="J141" s="207"/>
      <c r="K141" s="207"/>
      <c r="L141" s="122"/>
      <c r="M141" s="207"/>
      <c r="N141" s="207"/>
      <c r="O141" s="122"/>
      <c r="P141" s="205"/>
      <c r="Q141" s="205"/>
      <c r="R141" s="205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</row>
    <row r="142">
      <c r="A142" s="122"/>
      <c r="B142" s="204"/>
      <c r="C142" s="204"/>
      <c r="D142" s="204"/>
      <c r="E142" s="205"/>
      <c r="F142" s="205"/>
      <c r="G142" s="205"/>
      <c r="H142" s="206"/>
      <c r="I142" s="207"/>
      <c r="J142" s="207"/>
      <c r="K142" s="207"/>
      <c r="L142" s="122"/>
      <c r="M142" s="207"/>
      <c r="N142" s="207"/>
      <c r="O142" s="122"/>
      <c r="P142" s="205"/>
      <c r="Q142" s="205"/>
      <c r="R142" s="205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</row>
    <row r="143">
      <c r="A143" s="122"/>
      <c r="B143" s="204"/>
      <c r="C143" s="204"/>
      <c r="D143" s="204"/>
      <c r="E143" s="205"/>
      <c r="F143" s="205"/>
      <c r="G143" s="205"/>
      <c r="H143" s="206"/>
      <c r="I143" s="207"/>
      <c r="J143" s="207"/>
      <c r="K143" s="207"/>
      <c r="L143" s="122"/>
      <c r="M143" s="207"/>
      <c r="N143" s="207"/>
      <c r="O143" s="122"/>
      <c r="P143" s="205"/>
      <c r="Q143" s="205"/>
      <c r="R143" s="205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</row>
    <row r="144">
      <c r="A144" s="122"/>
      <c r="B144" s="204"/>
      <c r="C144" s="204"/>
      <c r="D144" s="204"/>
      <c r="E144" s="205"/>
      <c r="F144" s="205"/>
      <c r="G144" s="205"/>
      <c r="H144" s="206"/>
      <c r="I144" s="207"/>
      <c r="J144" s="207"/>
      <c r="K144" s="207"/>
      <c r="L144" s="122"/>
      <c r="M144" s="207"/>
      <c r="N144" s="207"/>
      <c r="O144" s="122"/>
      <c r="P144" s="205"/>
      <c r="Q144" s="205"/>
      <c r="R144" s="205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</row>
    <row r="145">
      <c r="A145" s="122"/>
      <c r="B145" s="204"/>
      <c r="C145" s="204"/>
      <c r="D145" s="204"/>
      <c r="E145" s="205"/>
      <c r="F145" s="205"/>
      <c r="G145" s="205"/>
      <c r="H145" s="206"/>
      <c r="I145" s="207"/>
      <c r="J145" s="207"/>
      <c r="K145" s="207"/>
      <c r="L145" s="122"/>
      <c r="M145" s="207"/>
      <c r="N145" s="207"/>
      <c r="O145" s="122"/>
      <c r="P145" s="205"/>
      <c r="Q145" s="205"/>
      <c r="R145" s="205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</row>
    <row r="146">
      <c r="A146" s="122"/>
      <c r="B146" s="204"/>
      <c r="C146" s="204"/>
      <c r="D146" s="204"/>
      <c r="E146" s="205"/>
      <c r="F146" s="205"/>
      <c r="G146" s="205"/>
      <c r="H146" s="206"/>
      <c r="I146" s="207"/>
      <c r="J146" s="207"/>
      <c r="K146" s="207"/>
      <c r="L146" s="122"/>
      <c r="M146" s="207"/>
      <c r="N146" s="207"/>
      <c r="O146" s="122"/>
      <c r="P146" s="205"/>
      <c r="Q146" s="205"/>
      <c r="R146" s="205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</row>
    <row r="147">
      <c r="A147" s="122"/>
      <c r="B147" s="204"/>
      <c r="C147" s="204"/>
      <c r="D147" s="204"/>
      <c r="E147" s="205"/>
      <c r="F147" s="205"/>
      <c r="G147" s="205"/>
      <c r="H147" s="206"/>
      <c r="I147" s="207"/>
      <c r="J147" s="207"/>
      <c r="K147" s="207"/>
      <c r="L147" s="122"/>
      <c r="M147" s="207"/>
      <c r="N147" s="207"/>
      <c r="O147" s="122"/>
      <c r="P147" s="205"/>
      <c r="Q147" s="205"/>
      <c r="R147" s="205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</row>
    <row r="148">
      <c r="A148" s="122"/>
      <c r="B148" s="204"/>
      <c r="C148" s="204"/>
      <c r="D148" s="204"/>
      <c r="E148" s="205"/>
      <c r="F148" s="205"/>
      <c r="G148" s="205"/>
      <c r="H148" s="206"/>
      <c r="I148" s="207"/>
      <c r="J148" s="207"/>
      <c r="K148" s="207"/>
      <c r="L148" s="122"/>
      <c r="M148" s="207"/>
      <c r="N148" s="207"/>
      <c r="O148" s="122"/>
      <c r="P148" s="205"/>
      <c r="Q148" s="205"/>
      <c r="R148" s="205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</row>
    <row r="149">
      <c r="A149" s="122"/>
      <c r="B149" s="204"/>
      <c r="C149" s="204"/>
      <c r="D149" s="204"/>
      <c r="E149" s="205"/>
      <c r="F149" s="205"/>
      <c r="G149" s="205"/>
      <c r="H149" s="206"/>
      <c r="I149" s="207"/>
      <c r="J149" s="207"/>
      <c r="K149" s="207"/>
      <c r="L149" s="122"/>
      <c r="M149" s="207"/>
      <c r="N149" s="207"/>
      <c r="O149" s="122"/>
      <c r="P149" s="205"/>
      <c r="Q149" s="205"/>
      <c r="R149" s="205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</row>
    <row r="150">
      <c r="A150" s="122"/>
      <c r="B150" s="204"/>
      <c r="C150" s="204"/>
      <c r="D150" s="204"/>
      <c r="E150" s="205"/>
      <c r="F150" s="205"/>
      <c r="G150" s="205"/>
      <c r="H150" s="206"/>
      <c r="I150" s="207"/>
      <c r="J150" s="207"/>
      <c r="K150" s="207"/>
      <c r="L150" s="122"/>
      <c r="M150" s="207"/>
      <c r="N150" s="207"/>
      <c r="O150" s="122"/>
      <c r="P150" s="205"/>
      <c r="Q150" s="205"/>
      <c r="R150" s="205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</row>
    <row r="151">
      <c r="A151" s="122"/>
      <c r="B151" s="204"/>
      <c r="C151" s="204"/>
      <c r="D151" s="204"/>
      <c r="E151" s="205"/>
      <c r="F151" s="205"/>
      <c r="G151" s="205"/>
      <c r="H151" s="206"/>
      <c r="I151" s="207"/>
      <c r="J151" s="207"/>
      <c r="K151" s="207"/>
      <c r="L151" s="122"/>
      <c r="M151" s="207"/>
      <c r="N151" s="207"/>
      <c r="O151" s="122"/>
      <c r="P151" s="205"/>
      <c r="Q151" s="205"/>
      <c r="R151" s="205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</row>
    <row r="152">
      <c r="A152" s="122"/>
      <c r="B152" s="204"/>
      <c r="C152" s="204"/>
      <c r="D152" s="204"/>
      <c r="E152" s="205"/>
      <c r="F152" s="205"/>
      <c r="G152" s="205"/>
      <c r="H152" s="206"/>
      <c r="I152" s="207"/>
      <c r="J152" s="207"/>
      <c r="K152" s="207"/>
      <c r="L152" s="122"/>
      <c r="M152" s="207"/>
      <c r="N152" s="207"/>
      <c r="O152" s="122"/>
      <c r="P152" s="205"/>
      <c r="Q152" s="205"/>
      <c r="R152" s="205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</row>
    <row r="153">
      <c r="A153" s="122"/>
      <c r="B153" s="204"/>
      <c r="C153" s="204"/>
      <c r="D153" s="204"/>
      <c r="E153" s="205"/>
      <c r="F153" s="205"/>
      <c r="G153" s="205"/>
      <c r="H153" s="206"/>
      <c r="I153" s="207"/>
      <c r="J153" s="207"/>
      <c r="K153" s="207"/>
      <c r="L153" s="122"/>
      <c r="M153" s="207"/>
      <c r="N153" s="207"/>
      <c r="O153" s="122"/>
      <c r="P153" s="205"/>
      <c r="Q153" s="205"/>
      <c r="R153" s="205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</row>
    <row r="154">
      <c r="A154" s="122"/>
      <c r="B154" s="204"/>
      <c r="C154" s="204"/>
      <c r="D154" s="204"/>
      <c r="E154" s="205"/>
      <c r="F154" s="205"/>
      <c r="G154" s="205"/>
      <c r="H154" s="206"/>
      <c r="I154" s="207"/>
      <c r="J154" s="207"/>
      <c r="K154" s="207"/>
      <c r="L154" s="122"/>
      <c r="M154" s="207"/>
      <c r="N154" s="207"/>
      <c r="O154" s="122"/>
      <c r="P154" s="205"/>
      <c r="Q154" s="205"/>
      <c r="R154" s="205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</row>
    <row r="155">
      <c r="A155" s="122"/>
      <c r="B155" s="204"/>
      <c r="C155" s="204"/>
      <c r="D155" s="204"/>
      <c r="E155" s="205"/>
      <c r="F155" s="205"/>
      <c r="G155" s="205"/>
      <c r="H155" s="206"/>
      <c r="I155" s="207"/>
      <c r="J155" s="207"/>
      <c r="K155" s="207"/>
      <c r="L155" s="122"/>
      <c r="M155" s="207"/>
      <c r="N155" s="207"/>
      <c r="O155" s="122"/>
      <c r="P155" s="205"/>
      <c r="Q155" s="205"/>
      <c r="R155" s="205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</row>
    <row r="156">
      <c r="A156" s="122"/>
      <c r="B156" s="204"/>
      <c r="C156" s="204"/>
      <c r="D156" s="204"/>
      <c r="E156" s="205"/>
      <c r="F156" s="205"/>
      <c r="G156" s="205"/>
      <c r="H156" s="206"/>
      <c r="I156" s="207"/>
      <c r="J156" s="207"/>
      <c r="K156" s="207"/>
      <c r="L156" s="122"/>
      <c r="M156" s="207"/>
      <c r="N156" s="207"/>
      <c r="O156" s="122"/>
      <c r="P156" s="205"/>
      <c r="Q156" s="205"/>
      <c r="R156" s="205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</row>
    <row r="157">
      <c r="A157" s="122"/>
      <c r="B157" s="204"/>
      <c r="C157" s="204"/>
      <c r="D157" s="204"/>
      <c r="E157" s="205"/>
      <c r="F157" s="205"/>
      <c r="G157" s="205"/>
      <c r="H157" s="206"/>
      <c r="I157" s="207"/>
      <c r="J157" s="207"/>
      <c r="K157" s="207"/>
      <c r="L157" s="122"/>
      <c r="M157" s="207"/>
      <c r="N157" s="207"/>
      <c r="O157" s="122"/>
      <c r="P157" s="205"/>
      <c r="Q157" s="205"/>
      <c r="R157" s="205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</row>
    <row r="158">
      <c r="A158" s="122"/>
      <c r="B158" s="204"/>
      <c r="C158" s="204"/>
      <c r="D158" s="204"/>
      <c r="E158" s="205"/>
      <c r="F158" s="205"/>
      <c r="G158" s="205"/>
      <c r="H158" s="206"/>
      <c r="I158" s="207"/>
      <c r="J158" s="207"/>
      <c r="K158" s="207"/>
      <c r="L158" s="122"/>
      <c r="M158" s="207"/>
      <c r="N158" s="207"/>
      <c r="O158" s="122"/>
      <c r="P158" s="205"/>
      <c r="Q158" s="205"/>
      <c r="R158" s="205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</row>
    <row r="159">
      <c r="A159" s="122"/>
      <c r="B159" s="204"/>
      <c r="C159" s="204"/>
      <c r="D159" s="204"/>
      <c r="E159" s="205"/>
      <c r="F159" s="205"/>
      <c r="G159" s="205"/>
      <c r="H159" s="206"/>
      <c r="I159" s="207"/>
      <c r="J159" s="207"/>
      <c r="K159" s="207"/>
      <c r="L159" s="122"/>
      <c r="M159" s="207"/>
      <c r="N159" s="207"/>
      <c r="O159" s="122"/>
      <c r="P159" s="205"/>
      <c r="Q159" s="205"/>
      <c r="R159" s="205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</row>
    <row r="160">
      <c r="A160" s="122"/>
      <c r="B160" s="204"/>
      <c r="C160" s="204"/>
      <c r="D160" s="204"/>
      <c r="E160" s="205"/>
      <c r="F160" s="205"/>
      <c r="G160" s="205"/>
      <c r="H160" s="206"/>
      <c r="I160" s="207"/>
      <c r="J160" s="207"/>
      <c r="K160" s="207"/>
      <c r="L160" s="122"/>
      <c r="M160" s="207"/>
      <c r="N160" s="207"/>
      <c r="O160" s="122"/>
      <c r="P160" s="205"/>
      <c r="Q160" s="205"/>
      <c r="R160" s="205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</row>
    <row r="161">
      <c r="A161" s="122"/>
      <c r="B161" s="204"/>
      <c r="C161" s="204"/>
      <c r="D161" s="204"/>
      <c r="E161" s="205"/>
      <c r="F161" s="205"/>
      <c r="G161" s="205"/>
      <c r="H161" s="206"/>
      <c r="I161" s="207"/>
      <c r="J161" s="207"/>
      <c r="K161" s="207"/>
      <c r="L161" s="122"/>
      <c r="M161" s="207"/>
      <c r="N161" s="207"/>
      <c r="O161" s="122"/>
      <c r="P161" s="205"/>
      <c r="Q161" s="205"/>
      <c r="R161" s="205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</row>
    <row r="162">
      <c r="A162" s="122"/>
      <c r="B162" s="204"/>
      <c r="C162" s="204"/>
      <c r="D162" s="204"/>
      <c r="E162" s="205"/>
      <c r="F162" s="205"/>
      <c r="G162" s="205"/>
      <c r="H162" s="206"/>
      <c r="I162" s="207"/>
      <c r="J162" s="207"/>
      <c r="K162" s="207"/>
      <c r="L162" s="122"/>
      <c r="M162" s="207"/>
      <c r="N162" s="207"/>
      <c r="O162" s="122"/>
      <c r="P162" s="205"/>
      <c r="Q162" s="205"/>
      <c r="R162" s="205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</row>
    <row r="163">
      <c r="A163" s="122"/>
      <c r="B163" s="204"/>
      <c r="C163" s="204"/>
      <c r="D163" s="204"/>
      <c r="E163" s="205"/>
      <c r="F163" s="205"/>
      <c r="G163" s="205"/>
      <c r="H163" s="206"/>
      <c r="I163" s="207"/>
      <c r="J163" s="207"/>
      <c r="K163" s="207"/>
      <c r="L163" s="122"/>
      <c r="M163" s="207"/>
      <c r="N163" s="207"/>
      <c r="O163" s="122"/>
      <c r="P163" s="205"/>
      <c r="Q163" s="205"/>
      <c r="R163" s="205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</row>
    <row r="164">
      <c r="A164" s="122"/>
      <c r="B164" s="204"/>
      <c r="C164" s="204"/>
      <c r="D164" s="204"/>
      <c r="E164" s="205"/>
      <c r="F164" s="205"/>
      <c r="G164" s="205"/>
      <c r="H164" s="206"/>
      <c r="I164" s="207"/>
      <c r="J164" s="207"/>
      <c r="K164" s="207"/>
      <c r="L164" s="122"/>
      <c r="M164" s="207"/>
      <c r="N164" s="207"/>
      <c r="O164" s="122"/>
      <c r="P164" s="205"/>
      <c r="Q164" s="205"/>
      <c r="R164" s="205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</row>
    <row r="165">
      <c r="A165" s="122"/>
      <c r="B165" s="204"/>
      <c r="C165" s="204"/>
      <c r="D165" s="204"/>
      <c r="E165" s="205"/>
      <c r="F165" s="205"/>
      <c r="G165" s="205"/>
      <c r="H165" s="206"/>
      <c r="I165" s="207"/>
      <c r="J165" s="207"/>
      <c r="K165" s="207"/>
      <c r="L165" s="122"/>
      <c r="M165" s="207"/>
      <c r="N165" s="207"/>
      <c r="O165" s="122"/>
      <c r="P165" s="205"/>
      <c r="Q165" s="205"/>
      <c r="R165" s="205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</row>
    <row r="166">
      <c r="A166" s="122"/>
      <c r="B166" s="204"/>
      <c r="C166" s="204"/>
      <c r="D166" s="204"/>
      <c r="E166" s="205"/>
      <c r="F166" s="205"/>
      <c r="G166" s="205"/>
      <c r="H166" s="206"/>
      <c r="I166" s="207"/>
      <c r="J166" s="207"/>
      <c r="K166" s="207"/>
      <c r="L166" s="122"/>
      <c r="M166" s="207"/>
      <c r="N166" s="207"/>
      <c r="O166" s="122"/>
      <c r="P166" s="205"/>
      <c r="Q166" s="205"/>
      <c r="R166" s="205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</row>
    <row r="167">
      <c r="A167" s="122"/>
      <c r="B167" s="204"/>
      <c r="C167" s="204"/>
      <c r="D167" s="204"/>
      <c r="E167" s="205"/>
      <c r="F167" s="205"/>
      <c r="G167" s="205"/>
      <c r="H167" s="206"/>
      <c r="I167" s="207"/>
      <c r="J167" s="207"/>
      <c r="K167" s="207"/>
      <c r="L167" s="122"/>
      <c r="M167" s="207"/>
      <c r="N167" s="207"/>
      <c r="O167" s="122"/>
      <c r="P167" s="205"/>
      <c r="Q167" s="205"/>
      <c r="R167" s="205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</row>
    <row r="168">
      <c r="A168" s="122"/>
      <c r="B168" s="204"/>
      <c r="C168" s="204"/>
      <c r="D168" s="204"/>
      <c r="E168" s="205"/>
      <c r="F168" s="205"/>
      <c r="G168" s="205"/>
      <c r="H168" s="206"/>
      <c r="I168" s="207"/>
      <c r="J168" s="207"/>
      <c r="K168" s="207"/>
      <c r="L168" s="122"/>
      <c r="M168" s="207"/>
      <c r="N168" s="207"/>
      <c r="O168" s="122"/>
      <c r="P168" s="205"/>
      <c r="Q168" s="205"/>
      <c r="R168" s="205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</row>
    <row r="169">
      <c r="A169" s="122"/>
      <c r="B169" s="204"/>
      <c r="C169" s="204"/>
      <c r="D169" s="204"/>
      <c r="E169" s="205"/>
      <c r="F169" s="205"/>
      <c r="G169" s="205"/>
      <c r="H169" s="206"/>
      <c r="I169" s="207"/>
      <c r="J169" s="207"/>
      <c r="K169" s="207"/>
      <c r="L169" s="122"/>
      <c r="M169" s="207"/>
      <c r="N169" s="207"/>
      <c r="O169" s="122"/>
      <c r="P169" s="205"/>
      <c r="Q169" s="205"/>
      <c r="R169" s="205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</row>
    <row r="170">
      <c r="A170" s="122"/>
      <c r="B170" s="204"/>
      <c r="C170" s="204"/>
      <c r="D170" s="204"/>
      <c r="E170" s="205"/>
      <c r="F170" s="205"/>
      <c r="G170" s="205"/>
      <c r="H170" s="206"/>
      <c r="I170" s="207"/>
      <c r="J170" s="207"/>
      <c r="K170" s="207"/>
      <c r="L170" s="122"/>
      <c r="M170" s="207"/>
      <c r="N170" s="207"/>
      <c r="O170" s="122"/>
      <c r="P170" s="205"/>
      <c r="Q170" s="205"/>
      <c r="R170" s="205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</row>
    <row r="171">
      <c r="A171" s="122"/>
      <c r="B171" s="204"/>
      <c r="C171" s="204"/>
      <c r="D171" s="204"/>
      <c r="E171" s="205"/>
      <c r="F171" s="205"/>
      <c r="G171" s="205"/>
      <c r="H171" s="206"/>
      <c r="I171" s="207"/>
      <c r="J171" s="207"/>
      <c r="K171" s="207"/>
      <c r="L171" s="122"/>
      <c r="M171" s="207"/>
      <c r="N171" s="207"/>
      <c r="O171" s="122"/>
      <c r="P171" s="205"/>
      <c r="Q171" s="205"/>
      <c r="R171" s="205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</row>
    <row r="172">
      <c r="A172" s="122"/>
      <c r="B172" s="204"/>
      <c r="C172" s="204"/>
      <c r="D172" s="204"/>
      <c r="E172" s="205"/>
      <c r="F172" s="205"/>
      <c r="G172" s="205"/>
      <c r="H172" s="206"/>
      <c r="I172" s="207"/>
      <c r="J172" s="207"/>
      <c r="K172" s="207"/>
      <c r="L172" s="122"/>
      <c r="M172" s="207"/>
      <c r="N172" s="207"/>
      <c r="O172" s="122"/>
      <c r="P172" s="205"/>
      <c r="Q172" s="205"/>
      <c r="R172" s="205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</row>
    <row r="173">
      <c r="A173" s="122"/>
      <c r="B173" s="204"/>
      <c r="C173" s="204"/>
      <c r="D173" s="204"/>
      <c r="E173" s="205"/>
      <c r="F173" s="205"/>
      <c r="G173" s="205"/>
      <c r="H173" s="206"/>
      <c r="I173" s="207"/>
      <c r="J173" s="207"/>
      <c r="K173" s="207"/>
      <c r="L173" s="122"/>
      <c r="M173" s="207"/>
      <c r="N173" s="207"/>
      <c r="O173" s="122"/>
      <c r="P173" s="205"/>
      <c r="Q173" s="205"/>
      <c r="R173" s="205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</row>
    <row r="174">
      <c r="A174" s="122"/>
      <c r="B174" s="204"/>
      <c r="C174" s="204"/>
      <c r="D174" s="204"/>
      <c r="E174" s="205"/>
      <c r="F174" s="205"/>
      <c r="G174" s="205"/>
      <c r="H174" s="206"/>
      <c r="I174" s="207"/>
      <c r="J174" s="207"/>
      <c r="K174" s="207"/>
      <c r="L174" s="122"/>
      <c r="M174" s="207"/>
      <c r="N174" s="207"/>
      <c r="O174" s="122"/>
      <c r="P174" s="205"/>
      <c r="Q174" s="205"/>
      <c r="R174" s="205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</row>
    <row r="175">
      <c r="A175" s="122"/>
      <c r="B175" s="204"/>
      <c r="C175" s="204"/>
      <c r="D175" s="204"/>
      <c r="E175" s="205"/>
      <c r="F175" s="205"/>
      <c r="G175" s="205"/>
      <c r="H175" s="206"/>
      <c r="I175" s="207"/>
      <c r="J175" s="207"/>
      <c r="K175" s="207"/>
      <c r="L175" s="122"/>
      <c r="M175" s="207"/>
      <c r="N175" s="207"/>
      <c r="O175" s="122"/>
      <c r="P175" s="205"/>
      <c r="Q175" s="205"/>
      <c r="R175" s="205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</row>
    <row r="176">
      <c r="A176" s="122"/>
      <c r="B176" s="204"/>
      <c r="C176" s="204"/>
      <c r="D176" s="204"/>
      <c r="E176" s="205"/>
      <c r="F176" s="205"/>
      <c r="G176" s="205"/>
      <c r="H176" s="206"/>
      <c r="I176" s="207"/>
      <c r="J176" s="207"/>
      <c r="K176" s="207"/>
      <c r="L176" s="122"/>
      <c r="M176" s="207"/>
      <c r="N176" s="207"/>
      <c r="O176" s="122"/>
      <c r="P176" s="205"/>
      <c r="Q176" s="205"/>
      <c r="R176" s="205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</row>
    <row r="177">
      <c r="A177" s="122"/>
      <c r="B177" s="204"/>
      <c r="C177" s="204"/>
      <c r="D177" s="204"/>
      <c r="E177" s="205"/>
      <c r="F177" s="205"/>
      <c r="G177" s="205"/>
      <c r="H177" s="206"/>
      <c r="I177" s="207"/>
      <c r="J177" s="207"/>
      <c r="K177" s="207"/>
      <c r="L177" s="122"/>
      <c r="M177" s="207"/>
      <c r="N177" s="207"/>
      <c r="O177" s="122"/>
      <c r="P177" s="205"/>
      <c r="Q177" s="205"/>
      <c r="R177" s="205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</row>
    <row r="178">
      <c r="A178" s="122"/>
      <c r="B178" s="204"/>
      <c r="C178" s="204"/>
      <c r="D178" s="204"/>
      <c r="E178" s="205"/>
      <c r="F178" s="205"/>
      <c r="G178" s="205"/>
      <c r="H178" s="206"/>
      <c r="I178" s="207"/>
      <c r="J178" s="207"/>
      <c r="K178" s="207"/>
      <c r="L178" s="122"/>
      <c r="M178" s="207"/>
      <c r="N178" s="207"/>
      <c r="O178" s="122"/>
      <c r="P178" s="205"/>
      <c r="Q178" s="205"/>
      <c r="R178" s="205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</row>
    <row r="179">
      <c r="A179" s="122"/>
      <c r="B179" s="204"/>
      <c r="C179" s="204"/>
      <c r="D179" s="204"/>
      <c r="E179" s="205"/>
      <c r="F179" s="205"/>
      <c r="G179" s="205"/>
      <c r="H179" s="206"/>
      <c r="I179" s="207"/>
      <c r="J179" s="207"/>
      <c r="K179" s="207"/>
      <c r="L179" s="122"/>
      <c r="M179" s="207"/>
      <c r="N179" s="207"/>
      <c r="O179" s="122"/>
      <c r="P179" s="205"/>
      <c r="Q179" s="205"/>
      <c r="R179" s="205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</row>
    <row r="180">
      <c r="A180" s="122"/>
      <c r="B180" s="204"/>
      <c r="C180" s="204"/>
      <c r="D180" s="204"/>
      <c r="E180" s="205"/>
      <c r="F180" s="205"/>
      <c r="G180" s="205"/>
      <c r="H180" s="206"/>
      <c r="I180" s="207"/>
      <c r="J180" s="207"/>
      <c r="K180" s="207"/>
      <c r="L180" s="122"/>
      <c r="M180" s="207"/>
      <c r="N180" s="207"/>
      <c r="O180" s="122"/>
      <c r="P180" s="205"/>
      <c r="Q180" s="205"/>
      <c r="R180" s="205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</row>
    <row r="181">
      <c r="A181" s="122"/>
      <c r="B181" s="204"/>
      <c r="C181" s="204"/>
      <c r="D181" s="204"/>
      <c r="E181" s="205"/>
      <c r="F181" s="205"/>
      <c r="G181" s="205"/>
      <c r="H181" s="206"/>
      <c r="I181" s="207"/>
      <c r="J181" s="207"/>
      <c r="K181" s="207"/>
      <c r="L181" s="122"/>
      <c r="M181" s="207"/>
      <c r="N181" s="207"/>
      <c r="O181" s="122"/>
      <c r="P181" s="205"/>
      <c r="Q181" s="205"/>
      <c r="R181" s="205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</row>
    <row r="182">
      <c r="A182" s="122"/>
      <c r="B182" s="204"/>
      <c r="C182" s="204"/>
      <c r="D182" s="204"/>
      <c r="E182" s="205"/>
      <c r="F182" s="205"/>
      <c r="G182" s="205"/>
      <c r="H182" s="206"/>
      <c r="I182" s="207"/>
      <c r="J182" s="207"/>
      <c r="K182" s="207"/>
      <c r="L182" s="122"/>
      <c r="M182" s="207"/>
      <c r="N182" s="207"/>
      <c r="O182" s="122"/>
      <c r="P182" s="205"/>
      <c r="Q182" s="205"/>
      <c r="R182" s="205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</row>
    <row r="183">
      <c r="A183" s="122"/>
      <c r="B183" s="204"/>
      <c r="C183" s="204"/>
      <c r="D183" s="204"/>
      <c r="E183" s="205"/>
      <c r="F183" s="205"/>
      <c r="G183" s="205"/>
      <c r="H183" s="206"/>
      <c r="I183" s="207"/>
      <c r="J183" s="207"/>
      <c r="K183" s="207"/>
      <c r="L183" s="122"/>
      <c r="M183" s="207"/>
      <c r="N183" s="207"/>
      <c r="O183" s="122"/>
      <c r="P183" s="205"/>
      <c r="Q183" s="205"/>
      <c r="R183" s="205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</row>
    <row r="184">
      <c r="A184" s="122"/>
      <c r="B184" s="204"/>
      <c r="C184" s="204"/>
      <c r="D184" s="204"/>
      <c r="E184" s="205"/>
      <c r="F184" s="205"/>
      <c r="G184" s="205"/>
      <c r="H184" s="206"/>
      <c r="I184" s="207"/>
      <c r="J184" s="207"/>
      <c r="K184" s="207"/>
      <c r="L184" s="122"/>
      <c r="M184" s="207"/>
      <c r="N184" s="207"/>
      <c r="O184" s="122"/>
      <c r="P184" s="205"/>
      <c r="Q184" s="205"/>
      <c r="R184" s="205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</row>
    <row r="185">
      <c r="A185" s="122"/>
      <c r="B185" s="204"/>
      <c r="C185" s="204"/>
      <c r="D185" s="204"/>
      <c r="E185" s="205"/>
      <c r="F185" s="205"/>
      <c r="G185" s="205"/>
      <c r="H185" s="206"/>
      <c r="I185" s="207"/>
      <c r="J185" s="207"/>
      <c r="K185" s="207"/>
      <c r="L185" s="122"/>
      <c r="M185" s="207"/>
      <c r="N185" s="207"/>
      <c r="O185" s="122"/>
      <c r="P185" s="205"/>
      <c r="Q185" s="205"/>
      <c r="R185" s="205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</row>
    <row r="186">
      <c r="A186" s="122"/>
      <c r="B186" s="204"/>
      <c r="C186" s="204"/>
      <c r="D186" s="204"/>
      <c r="E186" s="205"/>
      <c r="F186" s="205"/>
      <c r="G186" s="205"/>
      <c r="H186" s="206"/>
      <c r="I186" s="207"/>
      <c r="J186" s="207"/>
      <c r="K186" s="207"/>
      <c r="L186" s="122"/>
      <c r="M186" s="207"/>
      <c r="N186" s="207"/>
      <c r="O186" s="122"/>
      <c r="P186" s="205"/>
      <c r="Q186" s="205"/>
      <c r="R186" s="205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</row>
    <row r="187">
      <c r="A187" s="122"/>
      <c r="B187" s="204"/>
      <c r="C187" s="204"/>
      <c r="D187" s="204"/>
      <c r="E187" s="205"/>
      <c r="F187" s="205"/>
      <c r="G187" s="205"/>
      <c r="H187" s="206"/>
      <c r="I187" s="207"/>
      <c r="J187" s="207"/>
      <c r="K187" s="207"/>
      <c r="L187" s="122"/>
      <c r="M187" s="207"/>
      <c r="N187" s="207"/>
      <c r="O187" s="122"/>
      <c r="P187" s="205"/>
      <c r="Q187" s="205"/>
      <c r="R187" s="205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</row>
    <row r="188">
      <c r="A188" s="122"/>
      <c r="B188" s="204"/>
      <c r="C188" s="204"/>
      <c r="D188" s="204"/>
      <c r="E188" s="205"/>
      <c r="F188" s="205"/>
      <c r="G188" s="205"/>
      <c r="H188" s="206"/>
      <c r="I188" s="207"/>
      <c r="J188" s="207"/>
      <c r="K188" s="207"/>
      <c r="L188" s="122"/>
      <c r="M188" s="207"/>
      <c r="N188" s="207"/>
      <c r="O188" s="122"/>
      <c r="P188" s="205"/>
      <c r="Q188" s="205"/>
      <c r="R188" s="205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</row>
    <row r="189">
      <c r="A189" s="122"/>
      <c r="B189" s="204"/>
      <c r="C189" s="204"/>
      <c r="D189" s="204"/>
      <c r="E189" s="205"/>
      <c r="F189" s="205"/>
      <c r="G189" s="205"/>
      <c r="H189" s="206"/>
      <c r="I189" s="207"/>
      <c r="J189" s="207"/>
      <c r="K189" s="207"/>
      <c r="L189" s="122"/>
      <c r="M189" s="207"/>
      <c r="N189" s="207"/>
      <c r="O189" s="122"/>
      <c r="P189" s="205"/>
      <c r="Q189" s="205"/>
      <c r="R189" s="205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</row>
    <row r="190">
      <c r="A190" s="122"/>
      <c r="B190" s="204"/>
      <c r="C190" s="204"/>
      <c r="D190" s="204"/>
      <c r="E190" s="205"/>
      <c r="F190" s="205"/>
      <c r="G190" s="205"/>
      <c r="H190" s="206"/>
      <c r="I190" s="207"/>
      <c r="J190" s="207"/>
      <c r="K190" s="207"/>
      <c r="L190" s="122"/>
      <c r="M190" s="207"/>
      <c r="N190" s="207"/>
      <c r="O190" s="122"/>
      <c r="P190" s="205"/>
      <c r="Q190" s="205"/>
      <c r="R190" s="205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</row>
    <row r="191">
      <c r="A191" s="122"/>
      <c r="B191" s="204"/>
      <c r="C191" s="204"/>
      <c r="D191" s="204"/>
      <c r="E191" s="205"/>
      <c r="F191" s="205"/>
      <c r="G191" s="205"/>
      <c r="H191" s="206"/>
      <c r="I191" s="207"/>
      <c r="J191" s="207"/>
      <c r="K191" s="207"/>
      <c r="L191" s="122"/>
      <c r="M191" s="207"/>
      <c r="N191" s="207"/>
      <c r="O191" s="122"/>
      <c r="P191" s="205"/>
      <c r="Q191" s="205"/>
      <c r="R191" s="205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</row>
    <row r="192">
      <c r="A192" s="122"/>
      <c r="B192" s="204"/>
      <c r="C192" s="204"/>
      <c r="D192" s="204"/>
      <c r="E192" s="205"/>
      <c r="F192" s="205"/>
      <c r="G192" s="205"/>
      <c r="H192" s="206"/>
      <c r="I192" s="207"/>
      <c r="J192" s="207"/>
      <c r="K192" s="207"/>
      <c r="L192" s="122"/>
      <c r="M192" s="207"/>
      <c r="N192" s="207"/>
      <c r="O192" s="122"/>
      <c r="P192" s="205"/>
      <c r="Q192" s="205"/>
      <c r="R192" s="205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</row>
    <row r="193">
      <c r="A193" s="122"/>
      <c r="B193" s="204"/>
      <c r="C193" s="204"/>
      <c r="D193" s="204"/>
      <c r="E193" s="205"/>
      <c r="F193" s="205"/>
      <c r="G193" s="205"/>
      <c r="H193" s="206"/>
      <c r="I193" s="207"/>
      <c r="J193" s="207"/>
      <c r="K193" s="207"/>
      <c r="L193" s="122"/>
      <c r="M193" s="207"/>
      <c r="N193" s="207"/>
      <c r="O193" s="122"/>
      <c r="P193" s="205"/>
      <c r="Q193" s="205"/>
      <c r="R193" s="205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</row>
    <row r="194">
      <c r="A194" s="122"/>
      <c r="B194" s="204"/>
      <c r="C194" s="204"/>
      <c r="D194" s="204"/>
      <c r="E194" s="205"/>
      <c r="F194" s="205"/>
      <c r="G194" s="205"/>
      <c r="H194" s="206"/>
      <c r="I194" s="207"/>
      <c r="J194" s="207"/>
      <c r="K194" s="207"/>
      <c r="L194" s="122"/>
      <c r="M194" s="207"/>
      <c r="N194" s="207"/>
      <c r="O194" s="122"/>
      <c r="P194" s="205"/>
      <c r="Q194" s="205"/>
      <c r="R194" s="205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</row>
    <row r="195">
      <c r="A195" s="122"/>
      <c r="B195" s="204"/>
      <c r="C195" s="204"/>
      <c r="D195" s="204"/>
      <c r="E195" s="205"/>
      <c r="F195" s="205"/>
      <c r="G195" s="205"/>
      <c r="H195" s="206"/>
      <c r="I195" s="207"/>
      <c r="J195" s="207"/>
      <c r="K195" s="207"/>
      <c r="L195" s="122"/>
      <c r="M195" s="207"/>
      <c r="N195" s="207"/>
      <c r="O195" s="122"/>
      <c r="P195" s="205"/>
      <c r="Q195" s="205"/>
      <c r="R195" s="205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</row>
    <row r="196">
      <c r="A196" s="122"/>
      <c r="B196" s="204"/>
      <c r="C196" s="204"/>
      <c r="D196" s="204"/>
      <c r="E196" s="205"/>
      <c r="F196" s="205"/>
      <c r="G196" s="205"/>
      <c r="H196" s="206"/>
      <c r="I196" s="207"/>
      <c r="J196" s="207"/>
      <c r="K196" s="207"/>
      <c r="L196" s="122"/>
      <c r="M196" s="207"/>
      <c r="N196" s="207"/>
      <c r="O196" s="122"/>
      <c r="P196" s="205"/>
      <c r="Q196" s="205"/>
      <c r="R196" s="205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</row>
    <row r="197">
      <c r="A197" s="122"/>
      <c r="B197" s="204"/>
      <c r="C197" s="204"/>
      <c r="D197" s="204"/>
      <c r="E197" s="205"/>
      <c r="F197" s="205"/>
      <c r="G197" s="205"/>
      <c r="H197" s="206"/>
      <c r="I197" s="207"/>
      <c r="J197" s="207"/>
      <c r="K197" s="207"/>
      <c r="L197" s="122"/>
      <c r="M197" s="207"/>
      <c r="N197" s="207"/>
      <c r="O197" s="122"/>
      <c r="P197" s="205"/>
      <c r="Q197" s="205"/>
      <c r="R197" s="205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</row>
    <row r="198">
      <c r="A198" s="122"/>
      <c r="B198" s="204"/>
      <c r="C198" s="204"/>
      <c r="D198" s="204"/>
      <c r="E198" s="205"/>
      <c r="F198" s="205"/>
      <c r="G198" s="205"/>
      <c r="H198" s="206"/>
      <c r="I198" s="207"/>
      <c r="J198" s="207"/>
      <c r="K198" s="207"/>
      <c r="L198" s="122"/>
      <c r="M198" s="207"/>
      <c r="N198" s="207"/>
      <c r="O198" s="122"/>
      <c r="P198" s="205"/>
      <c r="Q198" s="205"/>
      <c r="R198" s="205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</row>
    <row r="199">
      <c r="A199" s="122"/>
      <c r="B199" s="204"/>
      <c r="C199" s="204"/>
      <c r="D199" s="204"/>
      <c r="E199" s="205"/>
      <c r="F199" s="205"/>
      <c r="G199" s="205"/>
      <c r="H199" s="206"/>
      <c r="I199" s="207"/>
      <c r="J199" s="207"/>
      <c r="K199" s="207"/>
      <c r="L199" s="122"/>
      <c r="M199" s="207"/>
      <c r="N199" s="207"/>
      <c r="O199" s="122"/>
      <c r="P199" s="205"/>
      <c r="Q199" s="205"/>
      <c r="R199" s="205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</row>
    <row r="200">
      <c r="A200" s="122"/>
      <c r="B200" s="204"/>
      <c r="C200" s="204"/>
      <c r="D200" s="204"/>
      <c r="E200" s="205"/>
      <c r="F200" s="205"/>
      <c r="G200" s="205"/>
      <c r="H200" s="206"/>
      <c r="I200" s="207"/>
      <c r="J200" s="207"/>
      <c r="K200" s="207"/>
      <c r="L200" s="122"/>
      <c r="M200" s="207"/>
      <c r="N200" s="207"/>
      <c r="O200" s="122"/>
      <c r="P200" s="205"/>
      <c r="Q200" s="205"/>
      <c r="R200" s="205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</row>
    <row r="201">
      <c r="A201" s="122"/>
      <c r="B201" s="204"/>
      <c r="C201" s="204"/>
      <c r="D201" s="204"/>
      <c r="E201" s="205"/>
      <c r="F201" s="205"/>
      <c r="G201" s="205"/>
      <c r="H201" s="206"/>
      <c r="I201" s="207"/>
      <c r="J201" s="207"/>
      <c r="K201" s="207"/>
      <c r="L201" s="122"/>
      <c r="M201" s="207"/>
      <c r="N201" s="207"/>
      <c r="O201" s="122"/>
      <c r="P201" s="205"/>
      <c r="Q201" s="205"/>
      <c r="R201" s="205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</row>
    <row r="202">
      <c r="A202" s="122"/>
      <c r="B202" s="204"/>
      <c r="C202" s="204"/>
      <c r="D202" s="204"/>
      <c r="E202" s="205"/>
      <c r="F202" s="205"/>
      <c r="G202" s="205"/>
      <c r="H202" s="206"/>
      <c r="I202" s="207"/>
      <c r="J202" s="207"/>
      <c r="K202" s="207"/>
      <c r="L202" s="122"/>
      <c r="M202" s="207"/>
      <c r="N202" s="207"/>
      <c r="O202" s="122"/>
      <c r="P202" s="205"/>
      <c r="Q202" s="205"/>
      <c r="R202" s="205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</row>
    <row r="203">
      <c r="A203" s="122"/>
      <c r="B203" s="204"/>
      <c r="C203" s="204"/>
      <c r="D203" s="204"/>
      <c r="E203" s="205"/>
      <c r="F203" s="205"/>
      <c r="G203" s="205"/>
      <c r="H203" s="206"/>
      <c r="I203" s="207"/>
      <c r="J203" s="207"/>
      <c r="K203" s="207"/>
      <c r="L203" s="122"/>
      <c r="M203" s="207"/>
      <c r="N203" s="207"/>
      <c r="O203" s="122"/>
      <c r="P203" s="205"/>
      <c r="Q203" s="205"/>
      <c r="R203" s="205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</row>
    <row r="204">
      <c r="A204" s="122"/>
      <c r="B204" s="204"/>
      <c r="C204" s="204"/>
      <c r="D204" s="204"/>
      <c r="E204" s="205"/>
      <c r="F204" s="205"/>
      <c r="G204" s="205"/>
      <c r="H204" s="206"/>
      <c r="I204" s="207"/>
      <c r="J204" s="207"/>
      <c r="K204" s="207"/>
      <c r="L204" s="122"/>
      <c r="M204" s="207"/>
      <c r="N204" s="207"/>
      <c r="O204" s="122"/>
      <c r="P204" s="205"/>
      <c r="Q204" s="205"/>
      <c r="R204" s="205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</row>
    <row r="205">
      <c r="A205" s="122"/>
      <c r="B205" s="204"/>
      <c r="C205" s="204"/>
      <c r="D205" s="204"/>
      <c r="E205" s="205"/>
      <c r="F205" s="205"/>
      <c r="G205" s="205"/>
      <c r="H205" s="206"/>
      <c r="I205" s="207"/>
      <c r="J205" s="207"/>
      <c r="K205" s="207"/>
      <c r="L205" s="122"/>
      <c r="M205" s="207"/>
      <c r="N205" s="207"/>
      <c r="O205" s="122"/>
      <c r="P205" s="205"/>
      <c r="Q205" s="205"/>
      <c r="R205" s="205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</row>
    <row r="206">
      <c r="A206" s="122"/>
      <c r="B206" s="204"/>
      <c r="C206" s="204"/>
      <c r="D206" s="204"/>
      <c r="E206" s="205"/>
      <c r="F206" s="205"/>
      <c r="G206" s="205"/>
      <c r="H206" s="206"/>
      <c r="I206" s="207"/>
      <c r="J206" s="207"/>
      <c r="K206" s="207"/>
      <c r="L206" s="122"/>
      <c r="M206" s="207"/>
      <c r="N206" s="207"/>
      <c r="O206" s="122"/>
      <c r="P206" s="205"/>
      <c r="Q206" s="205"/>
      <c r="R206" s="205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</row>
    <row r="207">
      <c r="A207" s="122"/>
      <c r="B207" s="204"/>
      <c r="C207" s="204"/>
      <c r="D207" s="204"/>
      <c r="E207" s="205"/>
      <c r="F207" s="205"/>
      <c r="G207" s="205"/>
      <c r="H207" s="206"/>
      <c r="I207" s="207"/>
      <c r="J207" s="207"/>
      <c r="K207" s="207"/>
      <c r="L207" s="122"/>
      <c r="M207" s="207"/>
      <c r="N207" s="207"/>
      <c r="O207" s="122"/>
      <c r="P207" s="205"/>
      <c r="Q207" s="205"/>
      <c r="R207" s="205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</row>
    <row r="208">
      <c r="A208" s="122"/>
      <c r="B208" s="204"/>
      <c r="C208" s="204"/>
      <c r="D208" s="204"/>
      <c r="E208" s="205"/>
      <c r="F208" s="205"/>
      <c r="G208" s="205"/>
      <c r="H208" s="206"/>
      <c r="I208" s="207"/>
      <c r="J208" s="207"/>
      <c r="K208" s="207"/>
      <c r="L208" s="122"/>
      <c r="M208" s="207"/>
      <c r="N208" s="207"/>
      <c r="O208" s="122"/>
      <c r="P208" s="205"/>
      <c r="Q208" s="205"/>
      <c r="R208" s="205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</row>
    <row r="209">
      <c r="A209" s="122"/>
      <c r="B209" s="204"/>
      <c r="C209" s="204"/>
      <c r="D209" s="204"/>
      <c r="E209" s="205"/>
      <c r="F209" s="205"/>
      <c r="G209" s="205"/>
      <c r="H209" s="206"/>
      <c r="I209" s="207"/>
      <c r="J209" s="207"/>
      <c r="K209" s="207"/>
      <c r="L209" s="122"/>
      <c r="M209" s="207"/>
      <c r="N209" s="207"/>
      <c r="O209" s="122"/>
      <c r="P209" s="205"/>
      <c r="Q209" s="205"/>
      <c r="R209" s="205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</row>
    <row r="210">
      <c r="A210" s="122"/>
      <c r="B210" s="204"/>
      <c r="C210" s="204"/>
      <c r="D210" s="204"/>
      <c r="E210" s="205"/>
      <c r="F210" s="205"/>
      <c r="G210" s="205"/>
      <c r="H210" s="206"/>
      <c r="I210" s="207"/>
      <c r="J210" s="207"/>
      <c r="K210" s="207"/>
      <c r="L210" s="122"/>
      <c r="M210" s="207"/>
      <c r="N210" s="207"/>
      <c r="O210" s="122"/>
      <c r="P210" s="205"/>
      <c r="Q210" s="205"/>
      <c r="R210" s="205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</row>
    <row r="211">
      <c r="A211" s="122"/>
      <c r="B211" s="204"/>
      <c r="C211" s="204"/>
      <c r="D211" s="204"/>
      <c r="E211" s="205"/>
      <c r="F211" s="205"/>
      <c r="G211" s="205"/>
      <c r="H211" s="206"/>
      <c r="I211" s="207"/>
      <c r="J211" s="207"/>
      <c r="K211" s="207"/>
      <c r="L211" s="122"/>
      <c r="M211" s="207"/>
      <c r="N211" s="207"/>
      <c r="O211" s="122"/>
      <c r="P211" s="205"/>
      <c r="Q211" s="205"/>
      <c r="R211" s="205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</row>
    <row r="212">
      <c r="A212" s="122"/>
      <c r="B212" s="204"/>
      <c r="C212" s="204"/>
      <c r="D212" s="204"/>
      <c r="E212" s="205"/>
      <c r="F212" s="205"/>
      <c r="G212" s="205"/>
      <c r="H212" s="206"/>
      <c r="I212" s="207"/>
      <c r="J212" s="207"/>
      <c r="K212" s="207"/>
      <c r="L212" s="122"/>
      <c r="M212" s="207"/>
      <c r="N212" s="207"/>
      <c r="O212" s="122"/>
      <c r="P212" s="205"/>
      <c r="Q212" s="205"/>
      <c r="R212" s="205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</row>
    <row r="213">
      <c r="A213" s="122"/>
      <c r="B213" s="204"/>
      <c r="C213" s="204"/>
      <c r="D213" s="204"/>
      <c r="E213" s="205"/>
      <c r="F213" s="205"/>
      <c r="G213" s="205"/>
      <c r="H213" s="206"/>
      <c r="I213" s="207"/>
      <c r="J213" s="207"/>
      <c r="K213" s="207"/>
      <c r="L213" s="122"/>
      <c r="M213" s="207"/>
      <c r="N213" s="207"/>
      <c r="O213" s="122"/>
      <c r="P213" s="205"/>
      <c r="Q213" s="205"/>
      <c r="R213" s="205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</row>
    <row r="214">
      <c r="A214" s="122"/>
      <c r="B214" s="204"/>
      <c r="C214" s="204"/>
      <c r="D214" s="204"/>
      <c r="E214" s="205"/>
      <c r="F214" s="205"/>
      <c r="G214" s="205"/>
      <c r="H214" s="206"/>
      <c r="I214" s="207"/>
      <c r="J214" s="207"/>
      <c r="K214" s="207"/>
      <c r="L214" s="122"/>
      <c r="M214" s="207"/>
      <c r="N214" s="207"/>
      <c r="O214" s="122"/>
      <c r="P214" s="205"/>
      <c r="Q214" s="205"/>
      <c r="R214" s="205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</row>
    <row r="215">
      <c r="A215" s="122"/>
      <c r="B215" s="204"/>
      <c r="C215" s="204"/>
      <c r="D215" s="204"/>
      <c r="E215" s="205"/>
      <c r="F215" s="205"/>
      <c r="G215" s="205"/>
      <c r="H215" s="206"/>
      <c r="I215" s="207"/>
      <c r="J215" s="207"/>
      <c r="K215" s="207"/>
      <c r="L215" s="122"/>
      <c r="M215" s="207"/>
      <c r="N215" s="207"/>
      <c r="O215" s="122"/>
      <c r="P215" s="205"/>
      <c r="Q215" s="205"/>
      <c r="R215" s="205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</row>
    <row r="216">
      <c r="A216" s="122"/>
      <c r="B216" s="204"/>
      <c r="C216" s="204"/>
      <c r="D216" s="204"/>
      <c r="E216" s="205"/>
      <c r="F216" s="205"/>
      <c r="G216" s="205"/>
      <c r="H216" s="206"/>
      <c r="I216" s="207"/>
      <c r="J216" s="207"/>
      <c r="K216" s="207"/>
      <c r="L216" s="122"/>
      <c r="M216" s="207"/>
      <c r="N216" s="207"/>
      <c r="O216" s="122"/>
      <c r="P216" s="205"/>
      <c r="Q216" s="205"/>
      <c r="R216" s="205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</row>
    <row r="217">
      <c r="A217" s="122"/>
      <c r="B217" s="204"/>
      <c r="C217" s="204"/>
      <c r="D217" s="204"/>
      <c r="E217" s="205"/>
      <c r="F217" s="205"/>
      <c r="G217" s="205"/>
      <c r="H217" s="206"/>
      <c r="I217" s="207"/>
      <c r="J217" s="207"/>
      <c r="K217" s="207"/>
      <c r="L217" s="122"/>
      <c r="M217" s="207"/>
      <c r="N217" s="207"/>
      <c r="O217" s="122"/>
      <c r="P217" s="205"/>
      <c r="Q217" s="205"/>
      <c r="R217" s="205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</row>
    <row r="218">
      <c r="A218" s="122"/>
      <c r="B218" s="204"/>
      <c r="C218" s="204"/>
      <c r="D218" s="204"/>
      <c r="E218" s="205"/>
      <c r="F218" s="205"/>
      <c r="G218" s="205"/>
      <c r="H218" s="206"/>
      <c r="I218" s="207"/>
      <c r="J218" s="207"/>
      <c r="K218" s="207"/>
      <c r="L218" s="122"/>
      <c r="M218" s="207"/>
      <c r="N218" s="207"/>
      <c r="O218" s="122"/>
      <c r="P218" s="205"/>
      <c r="Q218" s="205"/>
      <c r="R218" s="205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</row>
    <row r="219">
      <c r="A219" s="122"/>
      <c r="B219" s="204"/>
      <c r="C219" s="204"/>
      <c r="D219" s="204"/>
      <c r="E219" s="205"/>
      <c r="F219" s="205"/>
      <c r="G219" s="205"/>
      <c r="H219" s="206"/>
      <c r="I219" s="207"/>
      <c r="J219" s="207"/>
      <c r="K219" s="207"/>
      <c r="L219" s="122"/>
      <c r="M219" s="207"/>
      <c r="N219" s="207"/>
      <c r="O219" s="122"/>
      <c r="P219" s="205"/>
      <c r="Q219" s="205"/>
      <c r="R219" s="205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</row>
    <row r="220">
      <c r="A220" s="122"/>
      <c r="B220" s="204"/>
      <c r="C220" s="204"/>
      <c r="D220" s="204"/>
      <c r="E220" s="205"/>
      <c r="F220" s="205"/>
      <c r="G220" s="205"/>
      <c r="H220" s="206"/>
      <c r="I220" s="207"/>
      <c r="J220" s="207"/>
      <c r="K220" s="207"/>
      <c r="L220" s="122"/>
      <c r="M220" s="207"/>
      <c r="N220" s="207"/>
      <c r="O220" s="122"/>
      <c r="P220" s="205"/>
      <c r="Q220" s="205"/>
      <c r="R220" s="205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</row>
    <row r="221">
      <c r="A221" s="122"/>
      <c r="B221" s="204"/>
      <c r="C221" s="204"/>
      <c r="D221" s="204"/>
      <c r="E221" s="205"/>
      <c r="F221" s="205"/>
      <c r="G221" s="205"/>
      <c r="H221" s="206"/>
      <c r="I221" s="207"/>
      <c r="J221" s="207"/>
      <c r="K221" s="207"/>
      <c r="L221" s="122"/>
      <c r="M221" s="207"/>
      <c r="N221" s="207"/>
      <c r="O221" s="122"/>
      <c r="P221" s="205"/>
      <c r="Q221" s="205"/>
      <c r="R221" s="205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</row>
    <row r="222">
      <c r="A222" s="122"/>
      <c r="B222" s="204"/>
      <c r="C222" s="204"/>
      <c r="D222" s="204"/>
      <c r="E222" s="205"/>
      <c r="F222" s="205"/>
      <c r="G222" s="205"/>
      <c r="H222" s="206"/>
      <c r="I222" s="207"/>
      <c r="J222" s="207"/>
      <c r="K222" s="207"/>
      <c r="L222" s="122"/>
      <c r="M222" s="207"/>
      <c r="N222" s="207"/>
      <c r="O222" s="122"/>
      <c r="P222" s="205"/>
      <c r="Q222" s="205"/>
      <c r="R222" s="205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</row>
    <row r="223">
      <c r="A223" s="122"/>
      <c r="B223" s="204"/>
      <c r="C223" s="204"/>
      <c r="D223" s="204"/>
      <c r="E223" s="205"/>
      <c r="F223" s="205"/>
      <c r="G223" s="205"/>
      <c r="H223" s="206"/>
      <c r="I223" s="207"/>
      <c r="J223" s="207"/>
      <c r="K223" s="207"/>
      <c r="L223" s="122"/>
      <c r="M223" s="207"/>
      <c r="N223" s="207"/>
      <c r="O223" s="122"/>
      <c r="P223" s="205"/>
      <c r="Q223" s="205"/>
      <c r="R223" s="205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</row>
    <row r="224">
      <c r="A224" s="122"/>
      <c r="B224" s="204"/>
      <c r="C224" s="204"/>
      <c r="D224" s="204"/>
      <c r="E224" s="205"/>
      <c r="F224" s="205"/>
      <c r="G224" s="205"/>
      <c r="H224" s="206"/>
      <c r="I224" s="207"/>
      <c r="J224" s="207"/>
      <c r="K224" s="207"/>
      <c r="L224" s="122"/>
      <c r="M224" s="207"/>
      <c r="N224" s="207"/>
      <c r="O224" s="122"/>
      <c r="P224" s="205"/>
      <c r="Q224" s="205"/>
      <c r="R224" s="205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</row>
    <row r="225">
      <c r="A225" s="122"/>
      <c r="B225" s="204"/>
      <c r="C225" s="204"/>
      <c r="D225" s="204"/>
      <c r="E225" s="205"/>
      <c r="F225" s="205"/>
      <c r="G225" s="205"/>
      <c r="H225" s="206"/>
      <c r="I225" s="207"/>
      <c r="J225" s="207"/>
      <c r="K225" s="207"/>
      <c r="L225" s="122"/>
      <c r="M225" s="207"/>
      <c r="N225" s="207"/>
      <c r="O225" s="122"/>
      <c r="P225" s="205"/>
      <c r="Q225" s="205"/>
      <c r="R225" s="205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</row>
    <row r="226">
      <c r="A226" s="122"/>
      <c r="B226" s="204"/>
      <c r="C226" s="204"/>
      <c r="D226" s="204"/>
      <c r="E226" s="205"/>
      <c r="F226" s="205"/>
      <c r="G226" s="205"/>
      <c r="H226" s="206"/>
      <c r="I226" s="207"/>
      <c r="J226" s="207"/>
      <c r="K226" s="207"/>
      <c r="L226" s="122"/>
      <c r="M226" s="207"/>
      <c r="N226" s="207"/>
      <c r="O226" s="122"/>
      <c r="P226" s="205"/>
      <c r="Q226" s="205"/>
      <c r="R226" s="205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</row>
    <row r="227">
      <c r="A227" s="122"/>
      <c r="B227" s="204"/>
      <c r="C227" s="204"/>
      <c r="D227" s="204"/>
      <c r="E227" s="205"/>
      <c r="F227" s="205"/>
      <c r="G227" s="205"/>
      <c r="H227" s="206"/>
      <c r="I227" s="207"/>
      <c r="J227" s="207"/>
      <c r="K227" s="207"/>
      <c r="L227" s="122"/>
      <c r="M227" s="207"/>
      <c r="N227" s="207"/>
      <c r="O227" s="122"/>
      <c r="P227" s="205"/>
      <c r="Q227" s="205"/>
      <c r="R227" s="205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</row>
    <row r="228">
      <c r="A228" s="122"/>
      <c r="B228" s="204"/>
      <c r="C228" s="204"/>
      <c r="D228" s="204"/>
      <c r="E228" s="205"/>
      <c r="F228" s="205"/>
      <c r="G228" s="205"/>
      <c r="H228" s="206"/>
      <c r="I228" s="207"/>
      <c r="J228" s="207"/>
      <c r="K228" s="207"/>
      <c r="L228" s="122"/>
      <c r="M228" s="207"/>
      <c r="N228" s="207"/>
      <c r="O228" s="122"/>
      <c r="P228" s="205"/>
      <c r="Q228" s="205"/>
      <c r="R228" s="205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</row>
    <row r="229">
      <c r="A229" s="122"/>
      <c r="B229" s="204"/>
      <c r="C229" s="204"/>
      <c r="D229" s="204"/>
      <c r="E229" s="205"/>
      <c r="F229" s="205"/>
      <c r="G229" s="205"/>
      <c r="H229" s="206"/>
      <c r="I229" s="207"/>
      <c r="J229" s="207"/>
      <c r="K229" s="207"/>
      <c r="L229" s="122"/>
      <c r="M229" s="207"/>
      <c r="N229" s="207"/>
      <c r="O229" s="122"/>
      <c r="P229" s="205"/>
      <c r="Q229" s="205"/>
      <c r="R229" s="205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</row>
    <row r="230">
      <c r="A230" s="122"/>
      <c r="B230" s="204"/>
      <c r="C230" s="204"/>
      <c r="D230" s="204"/>
      <c r="E230" s="205"/>
      <c r="F230" s="205"/>
      <c r="G230" s="205"/>
      <c r="H230" s="206"/>
      <c r="I230" s="207"/>
      <c r="J230" s="207"/>
      <c r="K230" s="207"/>
      <c r="L230" s="122"/>
      <c r="M230" s="207"/>
      <c r="N230" s="207"/>
      <c r="O230" s="122"/>
      <c r="P230" s="205"/>
      <c r="Q230" s="205"/>
      <c r="R230" s="205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</row>
    <row r="231">
      <c r="A231" s="122"/>
      <c r="B231" s="204"/>
      <c r="C231" s="204"/>
      <c r="D231" s="204"/>
      <c r="E231" s="205"/>
      <c r="F231" s="205"/>
      <c r="G231" s="205"/>
      <c r="H231" s="206"/>
      <c r="I231" s="207"/>
      <c r="J231" s="207"/>
      <c r="K231" s="207"/>
      <c r="L231" s="122"/>
      <c r="M231" s="207"/>
      <c r="N231" s="207"/>
      <c r="O231" s="122"/>
      <c r="P231" s="205"/>
      <c r="Q231" s="205"/>
      <c r="R231" s="205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</row>
    <row r="232">
      <c r="A232" s="122"/>
      <c r="B232" s="204"/>
      <c r="C232" s="204"/>
      <c r="D232" s="204"/>
      <c r="E232" s="205"/>
      <c r="F232" s="205"/>
      <c r="G232" s="205"/>
      <c r="H232" s="206"/>
      <c r="I232" s="207"/>
      <c r="J232" s="207"/>
      <c r="K232" s="207"/>
      <c r="L232" s="122"/>
      <c r="M232" s="207"/>
      <c r="N232" s="207"/>
      <c r="O232" s="122"/>
      <c r="P232" s="205"/>
      <c r="Q232" s="205"/>
      <c r="R232" s="205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</row>
    <row r="233">
      <c r="A233" s="122"/>
      <c r="B233" s="204"/>
      <c r="C233" s="204"/>
      <c r="D233" s="204"/>
      <c r="E233" s="205"/>
      <c r="F233" s="205"/>
      <c r="G233" s="205"/>
      <c r="H233" s="206"/>
      <c r="I233" s="207"/>
      <c r="J233" s="207"/>
      <c r="K233" s="207"/>
      <c r="L233" s="122"/>
      <c r="M233" s="207"/>
      <c r="N233" s="207"/>
      <c r="O233" s="122"/>
      <c r="P233" s="205"/>
      <c r="Q233" s="205"/>
      <c r="R233" s="205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</row>
    <row r="234">
      <c r="A234" s="122"/>
      <c r="B234" s="204"/>
      <c r="C234" s="204"/>
      <c r="D234" s="204"/>
      <c r="E234" s="205"/>
      <c r="F234" s="205"/>
      <c r="G234" s="205"/>
      <c r="H234" s="206"/>
      <c r="I234" s="207"/>
      <c r="J234" s="207"/>
      <c r="K234" s="207"/>
      <c r="L234" s="122"/>
      <c r="M234" s="207"/>
      <c r="N234" s="207"/>
      <c r="O234" s="122"/>
      <c r="P234" s="205"/>
      <c r="Q234" s="205"/>
      <c r="R234" s="205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</row>
    <row r="235">
      <c r="A235" s="122"/>
      <c r="B235" s="204"/>
      <c r="C235" s="204"/>
      <c r="D235" s="204"/>
      <c r="E235" s="205"/>
      <c r="F235" s="205"/>
      <c r="G235" s="205"/>
      <c r="H235" s="206"/>
      <c r="I235" s="207"/>
      <c r="J235" s="207"/>
      <c r="K235" s="207"/>
      <c r="L235" s="122"/>
      <c r="M235" s="207"/>
      <c r="N235" s="207"/>
      <c r="O235" s="122"/>
      <c r="P235" s="205"/>
      <c r="Q235" s="205"/>
      <c r="R235" s="205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</row>
    <row r="236">
      <c r="A236" s="122"/>
      <c r="B236" s="204"/>
      <c r="C236" s="204"/>
      <c r="D236" s="204"/>
      <c r="E236" s="205"/>
      <c r="F236" s="205"/>
      <c r="G236" s="205"/>
      <c r="H236" s="206"/>
      <c r="I236" s="207"/>
      <c r="J236" s="207"/>
      <c r="K236" s="207"/>
      <c r="L236" s="122"/>
      <c r="M236" s="207"/>
      <c r="N236" s="207"/>
      <c r="O236" s="122"/>
      <c r="P236" s="205"/>
      <c r="Q236" s="205"/>
      <c r="R236" s="205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</row>
    <row r="237">
      <c r="A237" s="122"/>
      <c r="B237" s="204"/>
      <c r="C237" s="204"/>
      <c r="D237" s="204"/>
      <c r="E237" s="205"/>
      <c r="F237" s="205"/>
      <c r="G237" s="205"/>
      <c r="H237" s="206"/>
      <c r="I237" s="207"/>
      <c r="J237" s="207"/>
      <c r="K237" s="207"/>
      <c r="L237" s="122"/>
      <c r="M237" s="207"/>
      <c r="N237" s="207"/>
      <c r="O237" s="122"/>
      <c r="P237" s="205"/>
      <c r="Q237" s="205"/>
      <c r="R237" s="205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</row>
    <row r="238">
      <c r="A238" s="122"/>
      <c r="B238" s="204"/>
      <c r="C238" s="204"/>
      <c r="D238" s="204"/>
      <c r="E238" s="205"/>
      <c r="F238" s="205"/>
      <c r="G238" s="205"/>
      <c r="H238" s="206"/>
      <c r="I238" s="207"/>
      <c r="J238" s="207"/>
      <c r="K238" s="207"/>
      <c r="L238" s="122"/>
      <c r="M238" s="207"/>
      <c r="N238" s="207"/>
      <c r="O238" s="122"/>
      <c r="P238" s="205"/>
      <c r="Q238" s="205"/>
      <c r="R238" s="205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</row>
    <row r="239">
      <c r="A239" s="122"/>
      <c r="B239" s="204"/>
      <c r="C239" s="204"/>
      <c r="D239" s="204"/>
      <c r="E239" s="205"/>
      <c r="F239" s="205"/>
      <c r="G239" s="205"/>
      <c r="H239" s="206"/>
      <c r="I239" s="207"/>
      <c r="J239" s="207"/>
      <c r="K239" s="207"/>
      <c r="L239" s="122"/>
      <c r="M239" s="207"/>
      <c r="N239" s="207"/>
      <c r="O239" s="122"/>
      <c r="P239" s="205"/>
      <c r="Q239" s="205"/>
      <c r="R239" s="205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</row>
    <row r="240">
      <c r="A240" s="122"/>
      <c r="B240" s="204"/>
      <c r="C240" s="204"/>
      <c r="D240" s="204"/>
      <c r="E240" s="205"/>
      <c r="F240" s="205"/>
      <c r="G240" s="205"/>
      <c r="H240" s="206"/>
      <c r="I240" s="207"/>
      <c r="J240" s="207"/>
      <c r="K240" s="207"/>
      <c r="L240" s="122"/>
      <c r="M240" s="207"/>
      <c r="N240" s="207"/>
      <c r="O240" s="122"/>
      <c r="P240" s="205"/>
      <c r="Q240" s="205"/>
      <c r="R240" s="205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</row>
    <row r="241">
      <c r="A241" s="122"/>
      <c r="B241" s="204"/>
      <c r="C241" s="204"/>
      <c r="D241" s="204"/>
      <c r="E241" s="205"/>
      <c r="F241" s="205"/>
      <c r="G241" s="205"/>
      <c r="H241" s="206"/>
      <c r="I241" s="207"/>
      <c r="J241" s="207"/>
      <c r="K241" s="207"/>
      <c r="L241" s="122"/>
      <c r="M241" s="207"/>
      <c r="N241" s="207"/>
      <c r="O241" s="122"/>
      <c r="P241" s="205"/>
      <c r="Q241" s="205"/>
      <c r="R241" s="205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</row>
    <row r="242">
      <c r="A242" s="122"/>
      <c r="B242" s="204"/>
      <c r="C242" s="204"/>
      <c r="D242" s="204"/>
      <c r="E242" s="205"/>
      <c r="F242" s="205"/>
      <c r="G242" s="205"/>
      <c r="H242" s="206"/>
      <c r="I242" s="207"/>
      <c r="J242" s="207"/>
      <c r="K242" s="207"/>
      <c r="L242" s="122"/>
      <c r="M242" s="207"/>
      <c r="N242" s="207"/>
      <c r="O242" s="122"/>
      <c r="P242" s="205"/>
      <c r="Q242" s="205"/>
      <c r="R242" s="205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</row>
    <row r="243">
      <c r="A243" s="122"/>
      <c r="B243" s="204"/>
      <c r="C243" s="204"/>
      <c r="D243" s="204"/>
      <c r="E243" s="205"/>
      <c r="F243" s="205"/>
      <c r="G243" s="205"/>
      <c r="H243" s="206"/>
      <c r="I243" s="207"/>
      <c r="J243" s="207"/>
      <c r="K243" s="207"/>
      <c r="L243" s="122"/>
      <c r="M243" s="207"/>
      <c r="N243" s="207"/>
      <c r="O243" s="122"/>
      <c r="P243" s="205"/>
      <c r="Q243" s="205"/>
      <c r="R243" s="205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</row>
    <row r="244">
      <c r="A244" s="122"/>
      <c r="B244" s="204"/>
      <c r="C244" s="204"/>
      <c r="D244" s="204"/>
      <c r="E244" s="205"/>
      <c r="F244" s="205"/>
      <c r="G244" s="205"/>
      <c r="H244" s="206"/>
      <c r="I244" s="207"/>
      <c r="J244" s="207"/>
      <c r="K244" s="207"/>
      <c r="L244" s="122"/>
      <c r="M244" s="207"/>
      <c r="N244" s="207"/>
      <c r="O244" s="122"/>
      <c r="P244" s="205"/>
      <c r="Q244" s="205"/>
      <c r="R244" s="205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</row>
    <row r="245">
      <c r="A245" s="122"/>
      <c r="B245" s="204"/>
      <c r="C245" s="204"/>
      <c r="D245" s="204"/>
      <c r="E245" s="205"/>
      <c r="F245" s="205"/>
      <c r="G245" s="205"/>
      <c r="H245" s="206"/>
      <c r="I245" s="207"/>
      <c r="J245" s="207"/>
      <c r="K245" s="207"/>
      <c r="L245" s="122"/>
      <c r="M245" s="207"/>
      <c r="N245" s="207"/>
      <c r="O245" s="122"/>
      <c r="P245" s="205"/>
      <c r="Q245" s="205"/>
      <c r="R245" s="205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</row>
    <row r="246">
      <c r="A246" s="122"/>
      <c r="B246" s="204"/>
      <c r="C246" s="204"/>
      <c r="D246" s="204"/>
      <c r="E246" s="205"/>
      <c r="F246" s="205"/>
      <c r="G246" s="205"/>
      <c r="H246" s="206"/>
      <c r="I246" s="207"/>
      <c r="J246" s="207"/>
      <c r="K246" s="207"/>
      <c r="L246" s="122"/>
      <c r="M246" s="207"/>
      <c r="N246" s="207"/>
      <c r="O246" s="122"/>
      <c r="P246" s="205"/>
      <c r="Q246" s="205"/>
      <c r="R246" s="205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</row>
    <row r="247">
      <c r="A247" s="122"/>
      <c r="B247" s="204"/>
      <c r="C247" s="204"/>
      <c r="D247" s="204"/>
      <c r="E247" s="205"/>
      <c r="F247" s="205"/>
      <c r="G247" s="205"/>
      <c r="H247" s="206"/>
      <c r="I247" s="207"/>
      <c r="J247" s="207"/>
      <c r="K247" s="207"/>
      <c r="L247" s="122"/>
      <c r="M247" s="207"/>
      <c r="N247" s="207"/>
      <c r="O247" s="122"/>
      <c r="P247" s="205"/>
      <c r="Q247" s="205"/>
      <c r="R247" s="205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</row>
    <row r="248">
      <c r="A248" s="122"/>
      <c r="B248" s="204"/>
      <c r="C248" s="204"/>
      <c r="D248" s="204"/>
      <c r="E248" s="205"/>
      <c r="F248" s="205"/>
      <c r="G248" s="205"/>
      <c r="H248" s="206"/>
      <c r="I248" s="207"/>
      <c r="J248" s="207"/>
      <c r="K248" s="207"/>
      <c r="L248" s="122"/>
      <c r="M248" s="207"/>
      <c r="N248" s="207"/>
      <c r="O248" s="122"/>
      <c r="P248" s="205"/>
      <c r="Q248" s="205"/>
      <c r="R248" s="205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</row>
    <row r="249">
      <c r="A249" s="122"/>
      <c r="B249" s="204"/>
      <c r="C249" s="204"/>
      <c r="D249" s="204"/>
      <c r="E249" s="205"/>
      <c r="F249" s="205"/>
      <c r="G249" s="205"/>
      <c r="H249" s="206"/>
      <c r="I249" s="207"/>
      <c r="J249" s="207"/>
      <c r="K249" s="207"/>
      <c r="L249" s="122"/>
      <c r="M249" s="207"/>
      <c r="N249" s="207"/>
      <c r="O249" s="122"/>
      <c r="P249" s="205"/>
      <c r="Q249" s="205"/>
      <c r="R249" s="205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</row>
    <row r="250">
      <c r="A250" s="122"/>
      <c r="B250" s="204"/>
      <c r="C250" s="204"/>
      <c r="D250" s="204"/>
      <c r="E250" s="205"/>
      <c r="F250" s="205"/>
      <c r="G250" s="205"/>
      <c r="H250" s="206"/>
      <c r="I250" s="207"/>
      <c r="J250" s="207"/>
      <c r="K250" s="207"/>
      <c r="L250" s="122"/>
      <c r="M250" s="207"/>
      <c r="N250" s="207"/>
      <c r="O250" s="122"/>
      <c r="P250" s="205"/>
      <c r="Q250" s="205"/>
      <c r="R250" s="205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</row>
    <row r="251">
      <c r="A251" s="122"/>
      <c r="B251" s="204"/>
      <c r="C251" s="204"/>
      <c r="D251" s="204"/>
      <c r="E251" s="205"/>
      <c r="F251" s="205"/>
      <c r="G251" s="205"/>
      <c r="H251" s="206"/>
      <c r="I251" s="207"/>
      <c r="J251" s="207"/>
      <c r="K251" s="207"/>
      <c r="L251" s="122"/>
      <c r="M251" s="207"/>
      <c r="N251" s="207"/>
      <c r="O251" s="122"/>
      <c r="P251" s="205"/>
      <c r="Q251" s="205"/>
      <c r="R251" s="205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</row>
    <row r="252">
      <c r="A252" s="122"/>
      <c r="B252" s="204"/>
      <c r="C252" s="204"/>
      <c r="D252" s="204"/>
      <c r="E252" s="205"/>
      <c r="F252" s="205"/>
      <c r="G252" s="205"/>
      <c r="H252" s="206"/>
      <c r="I252" s="207"/>
      <c r="J252" s="207"/>
      <c r="K252" s="207"/>
      <c r="L252" s="122"/>
      <c r="M252" s="207"/>
      <c r="N252" s="207"/>
      <c r="O252" s="122"/>
      <c r="P252" s="205"/>
      <c r="Q252" s="205"/>
      <c r="R252" s="205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</row>
    <row r="253">
      <c r="A253" s="122"/>
      <c r="B253" s="204"/>
      <c r="C253" s="204"/>
      <c r="D253" s="204"/>
      <c r="E253" s="205"/>
      <c r="F253" s="205"/>
      <c r="G253" s="205"/>
      <c r="H253" s="206"/>
      <c r="I253" s="207"/>
      <c r="J253" s="207"/>
      <c r="K253" s="207"/>
      <c r="L253" s="122"/>
      <c r="M253" s="207"/>
      <c r="N253" s="207"/>
      <c r="O253" s="122"/>
      <c r="P253" s="205"/>
      <c r="Q253" s="205"/>
      <c r="R253" s="205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</row>
    <row r="254">
      <c r="A254" s="122"/>
      <c r="B254" s="204"/>
      <c r="C254" s="204"/>
      <c r="D254" s="204"/>
      <c r="E254" s="205"/>
      <c r="F254" s="205"/>
      <c r="G254" s="205"/>
      <c r="H254" s="206"/>
      <c r="I254" s="207"/>
      <c r="J254" s="207"/>
      <c r="K254" s="207"/>
      <c r="L254" s="122"/>
      <c r="M254" s="207"/>
      <c r="N254" s="207"/>
      <c r="O254" s="122"/>
      <c r="P254" s="205"/>
      <c r="Q254" s="205"/>
      <c r="R254" s="205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</row>
    <row r="255">
      <c r="A255" s="122"/>
      <c r="B255" s="204"/>
      <c r="C255" s="204"/>
      <c r="D255" s="204"/>
      <c r="E255" s="205"/>
      <c r="F255" s="205"/>
      <c r="G255" s="205"/>
      <c r="H255" s="206"/>
      <c r="I255" s="207"/>
      <c r="J255" s="207"/>
      <c r="K255" s="207"/>
      <c r="L255" s="122"/>
      <c r="M255" s="207"/>
      <c r="N255" s="207"/>
      <c r="O255" s="122"/>
      <c r="P255" s="205"/>
      <c r="Q255" s="205"/>
      <c r="R255" s="205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</row>
    <row r="256">
      <c r="A256" s="122"/>
      <c r="B256" s="204"/>
      <c r="C256" s="204"/>
      <c r="D256" s="204"/>
      <c r="E256" s="205"/>
      <c r="F256" s="205"/>
      <c r="G256" s="205"/>
      <c r="H256" s="206"/>
      <c r="I256" s="207"/>
      <c r="J256" s="207"/>
      <c r="K256" s="207"/>
      <c r="L256" s="122"/>
      <c r="M256" s="207"/>
      <c r="N256" s="207"/>
      <c r="O256" s="122"/>
      <c r="P256" s="205"/>
      <c r="Q256" s="205"/>
      <c r="R256" s="205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</row>
    <row r="257">
      <c r="A257" s="122"/>
      <c r="B257" s="204"/>
      <c r="C257" s="204"/>
      <c r="D257" s="204"/>
      <c r="E257" s="205"/>
      <c r="F257" s="205"/>
      <c r="G257" s="205"/>
      <c r="H257" s="206"/>
      <c r="I257" s="207"/>
      <c r="J257" s="207"/>
      <c r="K257" s="207"/>
      <c r="L257" s="122"/>
      <c r="M257" s="207"/>
      <c r="N257" s="207"/>
      <c r="O257" s="122"/>
      <c r="P257" s="205"/>
      <c r="Q257" s="205"/>
      <c r="R257" s="205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</row>
    <row r="258">
      <c r="A258" s="122"/>
      <c r="B258" s="204"/>
      <c r="C258" s="204"/>
      <c r="D258" s="204"/>
      <c r="E258" s="205"/>
      <c r="F258" s="205"/>
      <c r="G258" s="205"/>
      <c r="H258" s="206"/>
      <c r="I258" s="207"/>
      <c r="J258" s="207"/>
      <c r="K258" s="207"/>
      <c r="L258" s="122"/>
      <c r="M258" s="207"/>
      <c r="N258" s="207"/>
      <c r="O258" s="122"/>
      <c r="P258" s="205"/>
      <c r="Q258" s="205"/>
      <c r="R258" s="205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</row>
    <row r="259">
      <c r="A259" s="122"/>
      <c r="B259" s="204"/>
      <c r="C259" s="204"/>
      <c r="D259" s="204"/>
      <c r="E259" s="205"/>
      <c r="F259" s="205"/>
      <c r="G259" s="205"/>
      <c r="H259" s="206"/>
      <c r="I259" s="207"/>
      <c r="J259" s="207"/>
      <c r="K259" s="207"/>
      <c r="L259" s="122"/>
      <c r="M259" s="207"/>
      <c r="N259" s="207"/>
      <c r="O259" s="122"/>
      <c r="P259" s="205"/>
      <c r="Q259" s="205"/>
      <c r="R259" s="205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</row>
    <row r="260">
      <c r="A260" s="122"/>
      <c r="B260" s="204"/>
      <c r="C260" s="204"/>
      <c r="D260" s="204"/>
      <c r="E260" s="205"/>
      <c r="F260" s="205"/>
      <c r="G260" s="205"/>
      <c r="H260" s="206"/>
      <c r="I260" s="207"/>
      <c r="J260" s="207"/>
      <c r="K260" s="207"/>
      <c r="L260" s="122"/>
      <c r="M260" s="207"/>
      <c r="N260" s="207"/>
      <c r="O260" s="122"/>
      <c r="P260" s="205"/>
      <c r="Q260" s="205"/>
      <c r="R260" s="205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</row>
    <row r="261">
      <c r="A261" s="122"/>
      <c r="B261" s="204"/>
      <c r="C261" s="204"/>
      <c r="D261" s="204"/>
      <c r="E261" s="205"/>
      <c r="F261" s="205"/>
      <c r="G261" s="205"/>
      <c r="H261" s="206"/>
      <c r="I261" s="207"/>
      <c r="J261" s="207"/>
      <c r="K261" s="207"/>
      <c r="L261" s="122"/>
      <c r="M261" s="207"/>
      <c r="N261" s="207"/>
      <c r="O261" s="122"/>
      <c r="P261" s="205"/>
      <c r="Q261" s="205"/>
      <c r="R261" s="205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</row>
    <row r="262">
      <c r="A262" s="122"/>
      <c r="B262" s="204"/>
      <c r="C262" s="204"/>
      <c r="D262" s="204"/>
      <c r="E262" s="205"/>
      <c r="F262" s="205"/>
      <c r="G262" s="205"/>
      <c r="H262" s="206"/>
      <c r="I262" s="207"/>
      <c r="J262" s="207"/>
      <c r="K262" s="207"/>
      <c r="L262" s="122"/>
      <c r="M262" s="207"/>
      <c r="N262" s="207"/>
      <c r="O262" s="122"/>
      <c r="P262" s="205"/>
      <c r="Q262" s="205"/>
      <c r="R262" s="205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</row>
    <row r="263">
      <c r="A263" s="122"/>
      <c r="B263" s="204"/>
      <c r="C263" s="204"/>
      <c r="D263" s="204"/>
      <c r="E263" s="205"/>
      <c r="F263" s="205"/>
      <c r="G263" s="205"/>
      <c r="H263" s="206"/>
      <c r="I263" s="207"/>
      <c r="J263" s="207"/>
      <c r="K263" s="207"/>
      <c r="L263" s="122"/>
      <c r="M263" s="207"/>
      <c r="N263" s="207"/>
      <c r="O263" s="122"/>
      <c r="P263" s="205"/>
      <c r="Q263" s="205"/>
      <c r="R263" s="205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</row>
    <row r="264">
      <c r="A264" s="122"/>
      <c r="B264" s="204"/>
      <c r="C264" s="204"/>
      <c r="D264" s="204"/>
      <c r="E264" s="205"/>
      <c r="F264" s="205"/>
      <c r="G264" s="205"/>
      <c r="H264" s="206"/>
      <c r="I264" s="207"/>
      <c r="J264" s="207"/>
      <c r="K264" s="207"/>
      <c r="L264" s="122"/>
      <c r="M264" s="207"/>
      <c r="N264" s="207"/>
      <c r="O264" s="122"/>
      <c r="P264" s="205"/>
      <c r="Q264" s="205"/>
      <c r="R264" s="205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</row>
    <row r="265">
      <c r="A265" s="122"/>
      <c r="B265" s="204"/>
      <c r="C265" s="204"/>
      <c r="D265" s="204"/>
      <c r="E265" s="205"/>
      <c r="F265" s="205"/>
      <c r="G265" s="205"/>
      <c r="H265" s="206"/>
      <c r="I265" s="207"/>
      <c r="J265" s="207"/>
      <c r="K265" s="207"/>
      <c r="L265" s="122"/>
      <c r="M265" s="207"/>
      <c r="N265" s="207"/>
      <c r="O265" s="122"/>
      <c r="P265" s="205"/>
      <c r="Q265" s="205"/>
      <c r="R265" s="205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</row>
    <row r="266">
      <c r="A266" s="122"/>
      <c r="B266" s="204"/>
      <c r="C266" s="204"/>
      <c r="D266" s="204"/>
      <c r="E266" s="205"/>
      <c r="F266" s="205"/>
      <c r="G266" s="205"/>
      <c r="H266" s="206"/>
      <c r="I266" s="207"/>
      <c r="J266" s="207"/>
      <c r="K266" s="207"/>
      <c r="L266" s="122"/>
      <c r="M266" s="207"/>
      <c r="N266" s="207"/>
      <c r="O266" s="122"/>
      <c r="P266" s="205"/>
      <c r="Q266" s="205"/>
      <c r="R266" s="205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</row>
    <row r="267">
      <c r="A267" s="122"/>
      <c r="B267" s="204"/>
      <c r="C267" s="204"/>
      <c r="D267" s="204"/>
      <c r="E267" s="205"/>
      <c r="F267" s="205"/>
      <c r="G267" s="205"/>
      <c r="H267" s="206"/>
      <c r="I267" s="207"/>
      <c r="J267" s="207"/>
      <c r="K267" s="207"/>
      <c r="L267" s="122"/>
      <c r="M267" s="207"/>
      <c r="N267" s="207"/>
      <c r="O267" s="122"/>
      <c r="P267" s="205"/>
      <c r="Q267" s="205"/>
      <c r="R267" s="205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</row>
    <row r="268">
      <c r="A268" s="122"/>
      <c r="B268" s="204"/>
      <c r="C268" s="204"/>
      <c r="D268" s="204"/>
      <c r="E268" s="205"/>
      <c r="F268" s="205"/>
      <c r="G268" s="205"/>
      <c r="H268" s="206"/>
      <c r="I268" s="207"/>
      <c r="J268" s="207"/>
      <c r="K268" s="207"/>
      <c r="L268" s="122"/>
      <c r="M268" s="207"/>
      <c r="N268" s="207"/>
      <c r="O268" s="122"/>
      <c r="P268" s="205"/>
      <c r="Q268" s="205"/>
      <c r="R268" s="205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</row>
    <row r="269">
      <c r="A269" s="122"/>
      <c r="B269" s="204"/>
      <c r="C269" s="204"/>
      <c r="D269" s="204"/>
      <c r="E269" s="205"/>
      <c r="F269" s="205"/>
      <c r="G269" s="205"/>
      <c r="H269" s="206"/>
      <c r="I269" s="207"/>
      <c r="J269" s="207"/>
      <c r="K269" s="207"/>
      <c r="L269" s="122"/>
      <c r="M269" s="207"/>
      <c r="N269" s="207"/>
      <c r="O269" s="122"/>
      <c r="P269" s="205"/>
      <c r="Q269" s="205"/>
      <c r="R269" s="205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</row>
    <row r="270">
      <c r="A270" s="122"/>
      <c r="B270" s="204"/>
      <c r="C270" s="204"/>
      <c r="D270" s="204"/>
      <c r="E270" s="205"/>
      <c r="F270" s="205"/>
      <c r="G270" s="205"/>
      <c r="H270" s="206"/>
      <c r="I270" s="207"/>
      <c r="J270" s="207"/>
      <c r="K270" s="207"/>
      <c r="L270" s="122"/>
      <c r="M270" s="207"/>
      <c r="N270" s="207"/>
      <c r="O270" s="122"/>
      <c r="P270" s="205"/>
      <c r="Q270" s="205"/>
      <c r="R270" s="205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</row>
    <row r="271">
      <c r="A271" s="122"/>
      <c r="B271" s="204"/>
      <c r="C271" s="204"/>
      <c r="D271" s="204"/>
      <c r="E271" s="205"/>
      <c r="F271" s="205"/>
      <c r="G271" s="205"/>
      <c r="H271" s="206"/>
      <c r="I271" s="207"/>
      <c r="J271" s="207"/>
      <c r="K271" s="207"/>
      <c r="L271" s="122"/>
      <c r="M271" s="207"/>
      <c r="N271" s="207"/>
      <c r="O271" s="122"/>
      <c r="P271" s="205"/>
      <c r="Q271" s="205"/>
      <c r="R271" s="205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</row>
    <row r="272">
      <c r="A272" s="122"/>
      <c r="B272" s="204"/>
      <c r="C272" s="204"/>
      <c r="D272" s="204"/>
      <c r="E272" s="205"/>
      <c r="F272" s="205"/>
      <c r="G272" s="205"/>
      <c r="H272" s="206"/>
      <c r="I272" s="207"/>
      <c r="J272" s="207"/>
      <c r="K272" s="207"/>
      <c r="L272" s="122"/>
      <c r="M272" s="207"/>
      <c r="N272" s="207"/>
      <c r="O272" s="122"/>
      <c r="P272" s="205"/>
      <c r="Q272" s="205"/>
      <c r="R272" s="205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</row>
    <row r="273">
      <c r="A273" s="122"/>
      <c r="B273" s="204"/>
      <c r="C273" s="204"/>
      <c r="D273" s="204"/>
      <c r="E273" s="205"/>
      <c r="F273" s="205"/>
      <c r="G273" s="205"/>
      <c r="H273" s="206"/>
      <c r="I273" s="207"/>
      <c r="J273" s="207"/>
      <c r="K273" s="207"/>
      <c r="L273" s="122"/>
      <c r="M273" s="207"/>
      <c r="N273" s="207"/>
      <c r="O273" s="122"/>
      <c r="P273" s="205"/>
      <c r="Q273" s="205"/>
      <c r="R273" s="205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</row>
    <row r="274">
      <c r="A274" s="122"/>
      <c r="B274" s="204"/>
      <c r="C274" s="204"/>
      <c r="D274" s="204"/>
      <c r="E274" s="205"/>
      <c r="F274" s="205"/>
      <c r="G274" s="205"/>
      <c r="H274" s="206"/>
      <c r="I274" s="207"/>
      <c r="J274" s="207"/>
      <c r="K274" s="207"/>
      <c r="L274" s="122"/>
      <c r="M274" s="207"/>
      <c r="N274" s="207"/>
      <c r="O274" s="122"/>
      <c r="P274" s="205"/>
      <c r="Q274" s="205"/>
      <c r="R274" s="205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</row>
    <row r="275">
      <c r="A275" s="122"/>
      <c r="B275" s="204"/>
      <c r="C275" s="204"/>
      <c r="D275" s="204"/>
      <c r="E275" s="205"/>
      <c r="F275" s="205"/>
      <c r="G275" s="205"/>
      <c r="H275" s="206"/>
      <c r="I275" s="207"/>
      <c r="J275" s="207"/>
      <c r="K275" s="207"/>
      <c r="L275" s="122"/>
      <c r="M275" s="207"/>
      <c r="N275" s="207"/>
      <c r="O275" s="122"/>
      <c r="P275" s="205"/>
      <c r="Q275" s="205"/>
      <c r="R275" s="205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</row>
    <row r="276">
      <c r="A276" s="122"/>
      <c r="B276" s="204"/>
      <c r="C276" s="204"/>
      <c r="D276" s="204"/>
      <c r="E276" s="205"/>
      <c r="F276" s="205"/>
      <c r="G276" s="205"/>
      <c r="H276" s="206"/>
      <c r="I276" s="207"/>
      <c r="J276" s="207"/>
      <c r="K276" s="207"/>
      <c r="L276" s="122"/>
      <c r="M276" s="207"/>
      <c r="N276" s="207"/>
      <c r="O276" s="122"/>
      <c r="P276" s="205"/>
      <c r="Q276" s="205"/>
      <c r="R276" s="205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</row>
    <row r="277">
      <c r="A277" s="122"/>
      <c r="B277" s="204"/>
      <c r="C277" s="204"/>
      <c r="D277" s="204"/>
      <c r="E277" s="205"/>
      <c r="F277" s="205"/>
      <c r="G277" s="205"/>
      <c r="H277" s="206"/>
      <c r="I277" s="207"/>
      <c r="J277" s="207"/>
      <c r="K277" s="207"/>
      <c r="L277" s="122"/>
      <c r="M277" s="207"/>
      <c r="N277" s="207"/>
      <c r="O277" s="122"/>
      <c r="P277" s="205"/>
      <c r="Q277" s="205"/>
      <c r="R277" s="205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</row>
    <row r="278">
      <c r="A278" s="122"/>
      <c r="B278" s="204"/>
      <c r="C278" s="204"/>
      <c r="D278" s="204"/>
      <c r="E278" s="205"/>
      <c r="F278" s="205"/>
      <c r="G278" s="205"/>
      <c r="H278" s="206"/>
      <c r="I278" s="207"/>
      <c r="J278" s="207"/>
      <c r="K278" s="207"/>
      <c r="L278" s="122"/>
      <c r="M278" s="207"/>
      <c r="N278" s="207"/>
      <c r="O278" s="122"/>
      <c r="P278" s="205"/>
      <c r="Q278" s="205"/>
      <c r="R278" s="205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</row>
    <row r="279">
      <c r="A279" s="122"/>
      <c r="B279" s="204"/>
      <c r="C279" s="204"/>
      <c r="D279" s="204"/>
      <c r="E279" s="205"/>
      <c r="F279" s="205"/>
      <c r="G279" s="205"/>
      <c r="H279" s="206"/>
      <c r="I279" s="207"/>
      <c r="J279" s="207"/>
      <c r="K279" s="207"/>
      <c r="L279" s="122"/>
      <c r="M279" s="207"/>
      <c r="N279" s="207"/>
      <c r="O279" s="122"/>
      <c r="P279" s="205"/>
      <c r="Q279" s="205"/>
      <c r="R279" s="205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</row>
    <row r="280">
      <c r="A280" s="122"/>
      <c r="B280" s="204"/>
      <c r="C280" s="204"/>
      <c r="D280" s="204"/>
      <c r="E280" s="205"/>
      <c r="F280" s="205"/>
      <c r="G280" s="205"/>
      <c r="H280" s="206"/>
      <c r="I280" s="207"/>
      <c r="J280" s="207"/>
      <c r="K280" s="207"/>
      <c r="L280" s="122"/>
      <c r="M280" s="207"/>
      <c r="N280" s="207"/>
      <c r="O280" s="122"/>
      <c r="P280" s="205"/>
      <c r="Q280" s="205"/>
      <c r="R280" s="205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</row>
    <row r="281">
      <c r="A281" s="122"/>
      <c r="B281" s="204"/>
      <c r="C281" s="204"/>
      <c r="D281" s="204"/>
      <c r="E281" s="205"/>
      <c r="F281" s="205"/>
      <c r="G281" s="205"/>
      <c r="H281" s="206"/>
      <c r="I281" s="207"/>
      <c r="J281" s="207"/>
      <c r="K281" s="207"/>
      <c r="L281" s="122"/>
      <c r="M281" s="207"/>
      <c r="N281" s="207"/>
      <c r="O281" s="122"/>
      <c r="P281" s="205"/>
      <c r="Q281" s="205"/>
      <c r="R281" s="205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</row>
    <row r="282">
      <c r="A282" s="122"/>
      <c r="B282" s="204"/>
      <c r="C282" s="204"/>
      <c r="D282" s="204"/>
      <c r="E282" s="205"/>
      <c r="F282" s="205"/>
      <c r="G282" s="205"/>
      <c r="H282" s="206"/>
      <c r="I282" s="207"/>
      <c r="J282" s="207"/>
      <c r="K282" s="207"/>
      <c r="L282" s="122"/>
      <c r="M282" s="207"/>
      <c r="N282" s="207"/>
      <c r="O282" s="122"/>
      <c r="P282" s="205"/>
      <c r="Q282" s="205"/>
      <c r="R282" s="205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</row>
    <row r="283">
      <c r="A283" s="122"/>
      <c r="B283" s="204"/>
      <c r="C283" s="204"/>
      <c r="D283" s="204"/>
      <c r="E283" s="205"/>
      <c r="F283" s="205"/>
      <c r="G283" s="205"/>
      <c r="H283" s="206"/>
      <c r="I283" s="207"/>
      <c r="J283" s="207"/>
      <c r="K283" s="207"/>
      <c r="L283" s="122"/>
      <c r="M283" s="207"/>
      <c r="N283" s="207"/>
      <c r="O283" s="122"/>
      <c r="P283" s="205"/>
      <c r="Q283" s="205"/>
      <c r="R283" s="205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</row>
    <row r="284">
      <c r="A284" s="122"/>
      <c r="B284" s="204"/>
      <c r="C284" s="204"/>
      <c r="D284" s="204"/>
      <c r="E284" s="205"/>
      <c r="F284" s="205"/>
      <c r="G284" s="205"/>
      <c r="H284" s="206"/>
      <c r="I284" s="207"/>
      <c r="J284" s="207"/>
      <c r="K284" s="207"/>
      <c r="L284" s="122"/>
      <c r="M284" s="207"/>
      <c r="N284" s="207"/>
      <c r="O284" s="122"/>
      <c r="P284" s="205"/>
      <c r="Q284" s="205"/>
      <c r="R284" s="205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</row>
    <row r="285">
      <c r="A285" s="122"/>
      <c r="B285" s="204"/>
      <c r="C285" s="204"/>
      <c r="D285" s="204"/>
      <c r="E285" s="205"/>
      <c r="F285" s="205"/>
      <c r="G285" s="205"/>
      <c r="H285" s="206"/>
      <c r="I285" s="207"/>
      <c r="J285" s="207"/>
      <c r="K285" s="207"/>
      <c r="L285" s="122"/>
      <c r="M285" s="207"/>
      <c r="N285" s="207"/>
      <c r="O285" s="122"/>
      <c r="P285" s="205"/>
      <c r="Q285" s="205"/>
      <c r="R285" s="205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</row>
    <row r="286">
      <c r="A286" s="122"/>
      <c r="B286" s="204"/>
      <c r="C286" s="204"/>
      <c r="D286" s="204"/>
      <c r="E286" s="205"/>
      <c r="F286" s="205"/>
      <c r="G286" s="205"/>
      <c r="H286" s="206"/>
      <c r="I286" s="207"/>
      <c r="J286" s="207"/>
      <c r="K286" s="207"/>
      <c r="L286" s="122"/>
      <c r="M286" s="207"/>
      <c r="N286" s="207"/>
      <c r="O286" s="122"/>
      <c r="P286" s="205"/>
      <c r="Q286" s="205"/>
      <c r="R286" s="205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</row>
    <row r="287">
      <c r="A287" s="122"/>
      <c r="B287" s="204"/>
      <c r="C287" s="204"/>
      <c r="D287" s="204"/>
      <c r="E287" s="205"/>
      <c r="F287" s="205"/>
      <c r="G287" s="205"/>
      <c r="H287" s="206"/>
      <c r="I287" s="207"/>
      <c r="J287" s="207"/>
      <c r="K287" s="207"/>
      <c r="L287" s="122"/>
      <c r="M287" s="207"/>
      <c r="N287" s="207"/>
      <c r="O287" s="122"/>
      <c r="P287" s="205"/>
      <c r="Q287" s="205"/>
      <c r="R287" s="205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</row>
    <row r="288">
      <c r="A288" s="122"/>
      <c r="B288" s="204"/>
      <c r="C288" s="204"/>
      <c r="D288" s="204"/>
      <c r="E288" s="205"/>
      <c r="F288" s="205"/>
      <c r="G288" s="205"/>
      <c r="H288" s="206"/>
      <c r="I288" s="207"/>
      <c r="J288" s="207"/>
      <c r="K288" s="207"/>
      <c r="L288" s="122"/>
      <c r="M288" s="207"/>
      <c r="N288" s="207"/>
      <c r="O288" s="122"/>
      <c r="P288" s="205"/>
      <c r="Q288" s="205"/>
      <c r="R288" s="205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</row>
    <row r="289">
      <c r="A289" s="122"/>
      <c r="B289" s="204"/>
      <c r="C289" s="204"/>
      <c r="D289" s="204"/>
      <c r="E289" s="205"/>
      <c r="F289" s="205"/>
      <c r="G289" s="205"/>
      <c r="H289" s="206"/>
      <c r="I289" s="207"/>
      <c r="J289" s="207"/>
      <c r="K289" s="207"/>
      <c r="L289" s="122"/>
      <c r="M289" s="207"/>
      <c r="N289" s="207"/>
      <c r="O289" s="122"/>
      <c r="P289" s="205"/>
      <c r="Q289" s="205"/>
      <c r="R289" s="205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</row>
    <row r="290">
      <c r="A290" s="122"/>
      <c r="B290" s="204"/>
      <c r="C290" s="204"/>
      <c r="D290" s="204"/>
      <c r="E290" s="205"/>
      <c r="F290" s="205"/>
      <c r="G290" s="205"/>
      <c r="H290" s="206"/>
      <c r="I290" s="207"/>
      <c r="J290" s="207"/>
      <c r="K290" s="207"/>
      <c r="L290" s="122"/>
      <c r="M290" s="207"/>
      <c r="N290" s="207"/>
      <c r="O290" s="122"/>
      <c r="P290" s="205"/>
      <c r="Q290" s="205"/>
      <c r="R290" s="205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</row>
    <row r="291">
      <c r="A291" s="122"/>
      <c r="B291" s="204"/>
      <c r="C291" s="204"/>
      <c r="D291" s="204"/>
      <c r="E291" s="205"/>
      <c r="F291" s="205"/>
      <c r="G291" s="205"/>
      <c r="H291" s="206"/>
      <c r="I291" s="207"/>
      <c r="J291" s="207"/>
      <c r="K291" s="207"/>
      <c r="L291" s="122"/>
      <c r="M291" s="207"/>
      <c r="N291" s="207"/>
      <c r="O291" s="122"/>
      <c r="P291" s="205"/>
      <c r="Q291" s="205"/>
      <c r="R291" s="205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</row>
    <row r="292">
      <c r="A292" s="122"/>
      <c r="B292" s="204"/>
      <c r="C292" s="204"/>
      <c r="D292" s="204"/>
      <c r="E292" s="205"/>
      <c r="F292" s="205"/>
      <c r="G292" s="205"/>
      <c r="H292" s="206"/>
      <c r="I292" s="207"/>
      <c r="J292" s="207"/>
      <c r="K292" s="207"/>
      <c r="L292" s="122"/>
      <c r="M292" s="207"/>
      <c r="N292" s="207"/>
      <c r="O292" s="122"/>
      <c r="P292" s="205"/>
      <c r="Q292" s="205"/>
      <c r="R292" s="205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</row>
    <row r="293">
      <c r="A293" s="122"/>
      <c r="B293" s="204"/>
      <c r="C293" s="204"/>
      <c r="D293" s="204"/>
      <c r="E293" s="205"/>
      <c r="F293" s="205"/>
      <c r="G293" s="205"/>
      <c r="H293" s="206"/>
      <c r="I293" s="207"/>
      <c r="J293" s="207"/>
      <c r="K293" s="207"/>
      <c r="L293" s="122"/>
      <c r="M293" s="207"/>
      <c r="N293" s="207"/>
      <c r="O293" s="122"/>
      <c r="P293" s="205"/>
      <c r="Q293" s="205"/>
      <c r="R293" s="205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</row>
    <row r="294">
      <c r="A294" s="122"/>
      <c r="B294" s="204"/>
      <c r="C294" s="204"/>
      <c r="D294" s="204"/>
      <c r="E294" s="205"/>
      <c r="F294" s="205"/>
      <c r="G294" s="205"/>
      <c r="H294" s="206"/>
      <c r="I294" s="207"/>
      <c r="J294" s="207"/>
      <c r="K294" s="207"/>
      <c r="L294" s="122"/>
      <c r="M294" s="207"/>
      <c r="N294" s="207"/>
      <c r="O294" s="122"/>
      <c r="P294" s="205"/>
      <c r="Q294" s="205"/>
      <c r="R294" s="205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</row>
    <row r="295">
      <c r="A295" s="122"/>
      <c r="B295" s="204"/>
      <c r="C295" s="204"/>
      <c r="D295" s="204"/>
      <c r="E295" s="205"/>
      <c r="F295" s="205"/>
      <c r="G295" s="205"/>
      <c r="H295" s="206"/>
      <c r="I295" s="207"/>
      <c r="J295" s="207"/>
      <c r="K295" s="207"/>
      <c r="L295" s="122"/>
      <c r="M295" s="207"/>
      <c r="N295" s="207"/>
      <c r="O295" s="122"/>
      <c r="P295" s="205"/>
      <c r="Q295" s="205"/>
      <c r="R295" s="205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</row>
    <row r="296">
      <c r="A296" s="122"/>
      <c r="B296" s="204"/>
      <c r="C296" s="204"/>
      <c r="D296" s="204"/>
      <c r="E296" s="205"/>
      <c r="F296" s="205"/>
      <c r="G296" s="205"/>
      <c r="H296" s="206"/>
      <c r="I296" s="207"/>
      <c r="J296" s="207"/>
      <c r="K296" s="207"/>
      <c r="L296" s="122"/>
      <c r="M296" s="207"/>
      <c r="N296" s="207"/>
      <c r="O296" s="122"/>
      <c r="P296" s="205"/>
      <c r="Q296" s="205"/>
      <c r="R296" s="205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</row>
    <row r="297">
      <c r="A297" s="122"/>
      <c r="B297" s="204"/>
      <c r="C297" s="204"/>
      <c r="D297" s="204"/>
      <c r="E297" s="205"/>
      <c r="F297" s="205"/>
      <c r="G297" s="205"/>
      <c r="H297" s="206"/>
      <c r="I297" s="207"/>
      <c r="J297" s="207"/>
      <c r="K297" s="207"/>
      <c r="L297" s="122"/>
      <c r="M297" s="207"/>
      <c r="N297" s="207"/>
      <c r="O297" s="122"/>
      <c r="P297" s="205"/>
      <c r="Q297" s="205"/>
      <c r="R297" s="205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</row>
    <row r="298">
      <c r="A298" s="122"/>
      <c r="B298" s="204"/>
      <c r="C298" s="204"/>
      <c r="D298" s="204"/>
      <c r="E298" s="205"/>
      <c r="F298" s="205"/>
      <c r="G298" s="205"/>
      <c r="H298" s="206"/>
      <c r="I298" s="207"/>
      <c r="J298" s="207"/>
      <c r="K298" s="207"/>
      <c r="L298" s="122"/>
      <c r="M298" s="207"/>
      <c r="N298" s="207"/>
      <c r="O298" s="122"/>
      <c r="P298" s="205"/>
      <c r="Q298" s="205"/>
      <c r="R298" s="205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</row>
    <row r="299">
      <c r="A299" s="122"/>
      <c r="B299" s="204"/>
      <c r="C299" s="204"/>
      <c r="D299" s="204"/>
      <c r="E299" s="205"/>
      <c r="F299" s="205"/>
      <c r="G299" s="205"/>
      <c r="H299" s="206"/>
      <c r="I299" s="207"/>
      <c r="J299" s="207"/>
      <c r="K299" s="207"/>
      <c r="L299" s="122"/>
      <c r="M299" s="207"/>
      <c r="N299" s="207"/>
      <c r="O299" s="122"/>
      <c r="P299" s="205"/>
      <c r="Q299" s="205"/>
      <c r="R299" s="205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</row>
    <row r="300">
      <c r="A300" s="122"/>
      <c r="B300" s="204"/>
      <c r="C300" s="204"/>
      <c r="D300" s="204"/>
      <c r="E300" s="205"/>
      <c r="F300" s="205"/>
      <c r="G300" s="205"/>
      <c r="H300" s="206"/>
      <c r="I300" s="207"/>
      <c r="J300" s="207"/>
      <c r="K300" s="207"/>
      <c r="L300" s="122"/>
      <c r="M300" s="207"/>
      <c r="N300" s="207"/>
      <c r="O300" s="122"/>
      <c r="P300" s="205"/>
      <c r="Q300" s="205"/>
      <c r="R300" s="205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</row>
    <row r="301">
      <c r="A301" s="122"/>
      <c r="B301" s="204"/>
      <c r="C301" s="204"/>
      <c r="D301" s="204"/>
      <c r="E301" s="205"/>
      <c r="F301" s="205"/>
      <c r="G301" s="205"/>
      <c r="H301" s="206"/>
      <c r="I301" s="207"/>
      <c r="J301" s="207"/>
      <c r="K301" s="207"/>
      <c r="L301" s="122"/>
      <c r="M301" s="207"/>
      <c r="N301" s="207"/>
      <c r="O301" s="122"/>
      <c r="P301" s="205"/>
      <c r="Q301" s="205"/>
      <c r="R301" s="205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</row>
    <row r="302">
      <c r="A302" s="122"/>
      <c r="B302" s="204"/>
      <c r="C302" s="204"/>
      <c r="D302" s="204"/>
      <c r="E302" s="205"/>
      <c r="F302" s="205"/>
      <c r="G302" s="205"/>
      <c r="H302" s="206"/>
      <c r="I302" s="207"/>
      <c r="J302" s="207"/>
      <c r="K302" s="207"/>
      <c r="L302" s="122"/>
      <c r="M302" s="207"/>
      <c r="N302" s="207"/>
      <c r="O302" s="122"/>
      <c r="P302" s="205"/>
      <c r="Q302" s="205"/>
      <c r="R302" s="205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</row>
    <row r="303">
      <c r="A303" s="122"/>
      <c r="B303" s="204"/>
      <c r="C303" s="204"/>
      <c r="D303" s="204"/>
      <c r="E303" s="205"/>
      <c r="F303" s="205"/>
      <c r="G303" s="205"/>
      <c r="H303" s="206"/>
      <c r="I303" s="207"/>
      <c r="J303" s="207"/>
      <c r="K303" s="207"/>
      <c r="L303" s="122"/>
      <c r="M303" s="207"/>
      <c r="N303" s="207"/>
      <c r="O303" s="122"/>
      <c r="P303" s="205"/>
      <c r="Q303" s="205"/>
      <c r="R303" s="205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</row>
    <row r="304">
      <c r="A304" s="122"/>
      <c r="B304" s="204"/>
      <c r="C304" s="204"/>
      <c r="D304" s="204"/>
      <c r="E304" s="205"/>
      <c r="F304" s="205"/>
      <c r="G304" s="205"/>
      <c r="H304" s="206"/>
      <c r="I304" s="207"/>
      <c r="J304" s="207"/>
      <c r="K304" s="207"/>
      <c r="L304" s="122"/>
      <c r="M304" s="207"/>
      <c r="N304" s="207"/>
      <c r="O304" s="122"/>
      <c r="P304" s="205"/>
      <c r="Q304" s="205"/>
      <c r="R304" s="205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</row>
    <row r="305">
      <c r="A305" s="122"/>
      <c r="B305" s="204"/>
      <c r="C305" s="204"/>
      <c r="D305" s="204"/>
      <c r="E305" s="205"/>
      <c r="F305" s="205"/>
      <c r="G305" s="205"/>
      <c r="H305" s="206"/>
      <c r="I305" s="207"/>
      <c r="J305" s="207"/>
      <c r="K305" s="207"/>
      <c r="L305" s="122"/>
      <c r="M305" s="207"/>
      <c r="N305" s="207"/>
      <c r="O305" s="122"/>
      <c r="P305" s="205"/>
      <c r="Q305" s="205"/>
      <c r="R305" s="205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</row>
    <row r="306">
      <c r="A306" s="122"/>
      <c r="B306" s="204"/>
      <c r="C306" s="204"/>
      <c r="D306" s="204"/>
      <c r="E306" s="205"/>
      <c r="F306" s="205"/>
      <c r="G306" s="205"/>
      <c r="H306" s="206"/>
      <c r="I306" s="207"/>
      <c r="J306" s="207"/>
      <c r="K306" s="207"/>
      <c r="L306" s="122"/>
      <c r="M306" s="207"/>
      <c r="N306" s="207"/>
      <c r="O306" s="122"/>
      <c r="P306" s="205"/>
      <c r="Q306" s="205"/>
      <c r="R306" s="205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</row>
    <row r="307">
      <c r="A307" s="122"/>
      <c r="B307" s="204"/>
      <c r="C307" s="204"/>
      <c r="D307" s="204"/>
      <c r="E307" s="205"/>
      <c r="F307" s="205"/>
      <c r="G307" s="205"/>
      <c r="H307" s="206"/>
      <c r="I307" s="207"/>
      <c r="J307" s="207"/>
      <c r="K307" s="207"/>
      <c r="L307" s="122"/>
      <c r="M307" s="207"/>
      <c r="N307" s="207"/>
      <c r="O307" s="122"/>
      <c r="P307" s="205"/>
      <c r="Q307" s="205"/>
      <c r="R307" s="205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</row>
    <row r="308">
      <c r="A308" s="122"/>
      <c r="B308" s="204"/>
      <c r="C308" s="204"/>
      <c r="D308" s="204"/>
      <c r="E308" s="205"/>
      <c r="F308" s="205"/>
      <c r="G308" s="205"/>
      <c r="H308" s="206"/>
      <c r="I308" s="207"/>
      <c r="J308" s="207"/>
      <c r="K308" s="207"/>
      <c r="L308" s="122"/>
      <c r="M308" s="207"/>
      <c r="N308" s="207"/>
      <c r="O308" s="122"/>
      <c r="P308" s="205"/>
      <c r="Q308" s="205"/>
      <c r="R308" s="205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</row>
    <row r="309">
      <c r="A309" s="122"/>
      <c r="B309" s="204"/>
      <c r="C309" s="204"/>
      <c r="D309" s="204"/>
      <c r="E309" s="205"/>
      <c r="F309" s="205"/>
      <c r="G309" s="205"/>
      <c r="H309" s="206"/>
      <c r="I309" s="207"/>
      <c r="J309" s="207"/>
      <c r="K309" s="207"/>
      <c r="L309" s="122"/>
      <c r="M309" s="207"/>
      <c r="N309" s="207"/>
      <c r="O309" s="122"/>
      <c r="P309" s="205"/>
      <c r="Q309" s="205"/>
      <c r="R309" s="205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</row>
    <row r="310">
      <c r="A310" s="122"/>
      <c r="B310" s="204"/>
      <c r="C310" s="204"/>
      <c r="D310" s="204"/>
      <c r="E310" s="205"/>
      <c r="F310" s="205"/>
      <c r="G310" s="205"/>
      <c r="H310" s="206"/>
      <c r="I310" s="207"/>
      <c r="J310" s="207"/>
      <c r="K310" s="207"/>
      <c r="L310" s="122"/>
      <c r="M310" s="207"/>
      <c r="N310" s="207"/>
      <c r="O310" s="122"/>
      <c r="P310" s="205"/>
      <c r="Q310" s="205"/>
      <c r="R310" s="205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</row>
    <row r="311">
      <c r="A311" s="122"/>
      <c r="B311" s="204"/>
      <c r="C311" s="204"/>
      <c r="D311" s="204"/>
      <c r="E311" s="205"/>
      <c r="F311" s="205"/>
      <c r="G311" s="205"/>
      <c r="H311" s="206"/>
      <c r="I311" s="207"/>
      <c r="J311" s="207"/>
      <c r="K311" s="207"/>
      <c r="L311" s="122"/>
      <c r="M311" s="207"/>
      <c r="N311" s="207"/>
      <c r="O311" s="122"/>
      <c r="P311" s="205"/>
      <c r="Q311" s="205"/>
      <c r="R311" s="205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</row>
    <row r="312">
      <c r="A312" s="122"/>
      <c r="B312" s="204"/>
      <c r="C312" s="204"/>
      <c r="D312" s="204"/>
      <c r="E312" s="205"/>
      <c r="F312" s="205"/>
      <c r="G312" s="205"/>
      <c r="H312" s="206"/>
      <c r="I312" s="207"/>
      <c r="J312" s="207"/>
      <c r="K312" s="207"/>
      <c r="L312" s="122"/>
      <c r="M312" s="207"/>
      <c r="N312" s="207"/>
      <c r="O312" s="122"/>
      <c r="P312" s="205"/>
      <c r="Q312" s="205"/>
      <c r="R312" s="205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</row>
    <row r="313">
      <c r="A313" s="122"/>
      <c r="B313" s="204"/>
      <c r="C313" s="204"/>
      <c r="D313" s="204"/>
      <c r="E313" s="205"/>
      <c r="F313" s="205"/>
      <c r="G313" s="205"/>
      <c r="H313" s="206"/>
      <c r="I313" s="207"/>
      <c r="J313" s="207"/>
      <c r="K313" s="207"/>
      <c r="L313" s="122"/>
      <c r="M313" s="207"/>
      <c r="N313" s="207"/>
      <c r="O313" s="122"/>
      <c r="P313" s="205"/>
      <c r="Q313" s="205"/>
      <c r="R313" s="205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</row>
    <row r="314">
      <c r="A314" s="122"/>
      <c r="B314" s="204"/>
      <c r="C314" s="204"/>
      <c r="D314" s="204"/>
      <c r="E314" s="205"/>
      <c r="F314" s="205"/>
      <c r="G314" s="205"/>
      <c r="H314" s="206"/>
      <c r="I314" s="207"/>
      <c r="J314" s="207"/>
      <c r="K314" s="207"/>
      <c r="L314" s="122"/>
      <c r="M314" s="207"/>
      <c r="N314" s="207"/>
      <c r="O314" s="122"/>
      <c r="P314" s="205"/>
      <c r="Q314" s="205"/>
      <c r="R314" s="205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</row>
    <row r="315">
      <c r="A315" s="122"/>
      <c r="B315" s="204"/>
      <c r="C315" s="204"/>
      <c r="D315" s="204"/>
      <c r="E315" s="205"/>
      <c r="F315" s="205"/>
      <c r="G315" s="205"/>
      <c r="H315" s="206"/>
      <c r="I315" s="207"/>
      <c r="J315" s="207"/>
      <c r="K315" s="207"/>
      <c r="L315" s="122"/>
      <c r="M315" s="207"/>
      <c r="N315" s="207"/>
      <c r="O315" s="122"/>
      <c r="P315" s="205"/>
      <c r="Q315" s="205"/>
      <c r="R315" s="205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</row>
    <row r="316">
      <c r="A316" s="122"/>
      <c r="B316" s="204"/>
      <c r="C316" s="204"/>
      <c r="D316" s="204"/>
      <c r="E316" s="205"/>
      <c r="F316" s="205"/>
      <c r="G316" s="205"/>
      <c r="H316" s="206"/>
      <c r="I316" s="207"/>
      <c r="J316" s="207"/>
      <c r="K316" s="207"/>
      <c r="L316" s="122"/>
      <c r="M316" s="207"/>
      <c r="N316" s="207"/>
      <c r="O316" s="122"/>
      <c r="P316" s="205"/>
      <c r="Q316" s="205"/>
      <c r="R316" s="205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</row>
    <row r="317">
      <c r="A317" s="122"/>
      <c r="B317" s="204"/>
      <c r="C317" s="204"/>
      <c r="D317" s="204"/>
      <c r="E317" s="205"/>
      <c r="F317" s="205"/>
      <c r="G317" s="205"/>
      <c r="H317" s="206"/>
      <c r="I317" s="207"/>
      <c r="J317" s="207"/>
      <c r="K317" s="207"/>
      <c r="L317" s="122"/>
      <c r="M317" s="207"/>
      <c r="N317" s="207"/>
      <c r="O317" s="122"/>
      <c r="P317" s="205"/>
      <c r="Q317" s="205"/>
      <c r="R317" s="205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</row>
    <row r="318">
      <c r="A318" s="122"/>
      <c r="B318" s="204"/>
      <c r="C318" s="204"/>
      <c r="D318" s="204"/>
      <c r="E318" s="205"/>
      <c r="F318" s="205"/>
      <c r="G318" s="205"/>
      <c r="H318" s="206"/>
      <c r="I318" s="207"/>
      <c r="J318" s="207"/>
      <c r="K318" s="207"/>
      <c r="L318" s="122"/>
      <c r="M318" s="207"/>
      <c r="N318" s="207"/>
      <c r="O318" s="122"/>
      <c r="P318" s="205"/>
      <c r="Q318" s="205"/>
      <c r="R318" s="205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</row>
    <row r="319">
      <c r="A319" s="122"/>
      <c r="B319" s="204"/>
      <c r="C319" s="204"/>
      <c r="D319" s="204"/>
      <c r="E319" s="205"/>
      <c r="F319" s="205"/>
      <c r="G319" s="205"/>
      <c r="H319" s="206"/>
      <c r="I319" s="207"/>
      <c r="J319" s="207"/>
      <c r="K319" s="207"/>
      <c r="L319" s="122"/>
      <c r="M319" s="207"/>
      <c r="N319" s="207"/>
      <c r="O319" s="122"/>
      <c r="P319" s="205"/>
      <c r="Q319" s="205"/>
      <c r="R319" s="205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</row>
    <row r="320">
      <c r="A320" s="122"/>
      <c r="B320" s="204"/>
      <c r="C320" s="204"/>
      <c r="D320" s="204"/>
      <c r="E320" s="205"/>
      <c r="F320" s="205"/>
      <c r="G320" s="205"/>
      <c r="H320" s="206"/>
      <c r="I320" s="207"/>
      <c r="J320" s="207"/>
      <c r="K320" s="207"/>
      <c r="L320" s="122"/>
      <c r="M320" s="207"/>
      <c r="N320" s="207"/>
      <c r="O320" s="122"/>
      <c r="P320" s="205"/>
      <c r="Q320" s="205"/>
      <c r="R320" s="205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</row>
    <row r="321">
      <c r="A321" s="122"/>
      <c r="B321" s="204"/>
      <c r="C321" s="204"/>
      <c r="D321" s="204"/>
      <c r="E321" s="205"/>
      <c r="F321" s="205"/>
      <c r="G321" s="205"/>
      <c r="H321" s="206"/>
      <c r="I321" s="207"/>
      <c r="J321" s="207"/>
      <c r="K321" s="207"/>
      <c r="L321" s="122"/>
      <c r="M321" s="207"/>
      <c r="N321" s="207"/>
      <c r="O321" s="122"/>
      <c r="P321" s="205"/>
      <c r="Q321" s="205"/>
      <c r="R321" s="205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</row>
    <row r="322">
      <c r="A322" s="122"/>
      <c r="B322" s="204"/>
      <c r="C322" s="204"/>
      <c r="D322" s="204"/>
      <c r="E322" s="205"/>
      <c r="F322" s="205"/>
      <c r="G322" s="205"/>
      <c r="H322" s="206"/>
      <c r="I322" s="207"/>
      <c r="J322" s="207"/>
      <c r="K322" s="207"/>
      <c r="L322" s="122"/>
      <c r="M322" s="207"/>
      <c r="N322" s="207"/>
      <c r="O322" s="122"/>
      <c r="P322" s="205"/>
      <c r="Q322" s="205"/>
      <c r="R322" s="205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</row>
    <row r="323">
      <c r="A323" s="122"/>
      <c r="B323" s="204"/>
      <c r="C323" s="204"/>
      <c r="D323" s="204"/>
      <c r="E323" s="205"/>
      <c r="F323" s="205"/>
      <c r="G323" s="205"/>
      <c r="H323" s="206"/>
      <c r="I323" s="207"/>
      <c r="J323" s="207"/>
      <c r="K323" s="207"/>
      <c r="L323" s="122"/>
      <c r="M323" s="207"/>
      <c r="N323" s="207"/>
      <c r="O323" s="122"/>
      <c r="P323" s="205"/>
      <c r="Q323" s="205"/>
      <c r="R323" s="205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</row>
    <row r="324">
      <c r="A324" s="122"/>
      <c r="B324" s="204"/>
      <c r="C324" s="204"/>
      <c r="D324" s="204"/>
      <c r="E324" s="205"/>
      <c r="F324" s="205"/>
      <c r="G324" s="205"/>
      <c r="H324" s="206"/>
      <c r="I324" s="207"/>
      <c r="J324" s="207"/>
      <c r="K324" s="207"/>
      <c r="L324" s="122"/>
      <c r="M324" s="207"/>
      <c r="N324" s="207"/>
      <c r="O324" s="122"/>
      <c r="P324" s="205"/>
      <c r="Q324" s="205"/>
      <c r="R324" s="205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</row>
    <row r="325">
      <c r="A325" s="122"/>
      <c r="B325" s="204"/>
      <c r="C325" s="204"/>
      <c r="D325" s="204"/>
      <c r="E325" s="205"/>
      <c r="F325" s="205"/>
      <c r="G325" s="205"/>
      <c r="H325" s="206"/>
      <c r="I325" s="207"/>
      <c r="J325" s="207"/>
      <c r="K325" s="207"/>
      <c r="L325" s="122"/>
      <c r="M325" s="207"/>
      <c r="N325" s="207"/>
      <c r="O325" s="122"/>
      <c r="P325" s="205"/>
      <c r="Q325" s="205"/>
      <c r="R325" s="205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</row>
    <row r="326">
      <c r="A326" s="122"/>
      <c r="B326" s="204"/>
      <c r="C326" s="204"/>
      <c r="D326" s="204"/>
      <c r="E326" s="205"/>
      <c r="F326" s="205"/>
      <c r="G326" s="205"/>
      <c r="H326" s="206"/>
      <c r="I326" s="207"/>
      <c r="J326" s="207"/>
      <c r="K326" s="207"/>
      <c r="L326" s="122"/>
      <c r="M326" s="207"/>
      <c r="N326" s="207"/>
      <c r="O326" s="122"/>
      <c r="P326" s="205"/>
      <c r="Q326" s="205"/>
      <c r="R326" s="205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</row>
    <row r="327">
      <c r="A327" s="122"/>
      <c r="B327" s="204"/>
      <c r="C327" s="204"/>
      <c r="D327" s="204"/>
      <c r="E327" s="205"/>
      <c r="F327" s="205"/>
      <c r="G327" s="205"/>
      <c r="H327" s="206"/>
      <c r="I327" s="207"/>
      <c r="J327" s="207"/>
      <c r="K327" s="207"/>
      <c r="L327" s="122"/>
      <c r="M327" s="207"/>
      <c r="N327" s="207"/>
      <c r="O327" s="122"/>
      <c r="P327" s="205"/>
      <c r="Q327" s="205"/>
      <c r="R327" s="205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</row>
    <row r="328">
      <c r="A328" s="122"/>
      <c r="B328" s="204"/>
      <c r="C328" s="204"/>
      <c r="D328" s="204"/>
      <c r="E328" s="205"/>
      <c r="F328" s="205"/>
      <c r="G328" s="205"/>
      <c r="H328" s="206"/>
      <c r="I328" s="207"/>
      <c r="J328" s="207"/>
      <c r="K328" s="207"/>
      <c r="L328" s="122"/>
      <c r="M328" s="207"/>
      <c r="N328" s="207"/>
      <c r="O328" s="122"/>
      <c r="P328" s="205"/>
      <c r="Q328" s="205"/>
      <c r="R328" s="205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</row>
    <row r="329">
      <c r="A329" s="122"/>
      <c r="B329" s="204"/>
      <c r="C329" s="204"/>
      <c r="D329" s="204"/>
      <c r="E329" s="205"/>
      <c r="F329" s="205"/>
      <c r="G329" s="205"/>
      <c r="H329" s="206"/>
      <c r="I329" s="207"/>
      <c r="J329" s="207"/>
      <c r="K329" s="207"/>
      <c r="L329" s="122"/>
      <c r="M329" s="207"/>
      <c r="N329" s="207"/>
      <c r="O329" s="122"/>
      <c r="P329" s="205"/>
      <c r="Q329" s="205"/>
      <c r="R329" s="205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</row>
    <row r="330">
      <c r="A330" s="122"/>
      <c r="B330" s="204"/>
      <c r="C330" s="204"/>
      <c r="D330" s="204"/>
      <c r="E330" s="205"/>
      <c r="F330" s="205"/>
      <c r="G330" s="205"/>
      <c r="H330" s="206"/>
      <c r="I330" s="207"/>
      <c r="J330" s="207"/>
      <c r="K330" s="207"/>
      <c r="L330" s="122"/>
      <c r="M330" s="207"/>
      <c r="N330" s="207"/>
      <c r="O330" s="122"/>
      <c r="P330" s="205"/>
      <c r="Q330" s="205"/>
      <c r="R330" s="205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</row>
    <row r="331">
      <c r="A331" s="122"/>
      <c r="B331" s="204"/>
      <c r="C331" s="204"/>
      <c r="D331" s="204"/>
      <c r="E331" s="205"/>
      <c r="F331" s="205"/>
      <c r="G331" s="205"/>
      <c r="H331" s="206"/>
      <c r="I331" s="207"/>
      <c r="J331" s="207"/>
      <c r="K331" s="207"/>
      <c r="L331" s="122"/>
      <c r="M331" s="207"/>
      <c r="N331" s="207"/>
      <c r="O331" s="122"/>
      <c r="P331" s="205"/>
      <c r="Q331" s="205"/>
      <c r="R331" s="205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</row>
    <row r="332">
      <c r="A332" s="122"/>
      <c r="B332" s="204"/>
      <c r="C332" s="204"/>
      <c r="D332" s="204"/>
      <c r="E332" s="205"/>
      <c r="F332" s="205"/>
      <c r="G332" s="205"/>
      <c r="H332" s="206"/>
      <c r="I332" s="207"/>
      <c r="J332" s="207"/>
      <c r="K332" s="207"/>
      <c r="L332" s="122"/>
      <c r="M332" s="207"/>
      <c r="N332" s="207"/>
      <c r="O332" s="122"/>
      <c r="P332" s="205"/>
      <c r="Q332" s="205"/>
      <c r="R332" s="205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</row>
    <row r="333">
      <c r="A333" s="122"/>
      <c r="B333" s="204"/>
      <c r="C333" s="204"/>
      <c r="D333" s="204"/>
      <c r="E333" s="205"/>
      <c r="F333" s="205"/>
      <c r="G333" s="205"/>
      <c r="H333" s="206"/>
      <c r="I333" s="207"/>
      <c r="J333" s="207"/>
      <c r="K333" s="207"/>
      <c r="L333" s="122"/>
      <c r="M333" s="207"/>
      <c r="N333" s="207"/>
      <c r="O333" s="122"/>
      <c r="P333" s="205"/>
      <c r="Q333" s="205"/>
      <c r="R333" s="205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</row>
    <row r="334">
      <c r="A334" s="122"/>
      <c r="B334" s="204"/>
      <c r="C334" s="204"/>
      <c r="D334" s="204"/>
      <c r="E334" s="205"/>
      <c r="F334" s="205"/>
      <c r="G334" s="205"/>
      <c r="H334" s="206"/>
      <c r="I334" s="207"/>
      <c r="J334" s="207"/>
      <c r="K334" s="207"/>
      <c r="L334" s="122"/>
      <c r="M334" s="207"/>
      <c r="N334" s="207"/>
      <c r="O334" s="122"/>
      <c r="P334" s="205"/>
      <c r="Q334" s="205"/>
      <c r="R334" s="205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</row>
    <row r="335">
      <c r="A335" s="122"/>
      <c r="B335" s="204"/>
      <c r="C335" s="204"/>
      <c r="D335" s="204"/>
      <c r="E335" s="205"/>
      <c r="F335" s="205"/>
      <c r="G335" s="205"/>
      <c r="H335" s="206"/>
      <c r="I335" s="207"/>
      <c r="J335" s="207"/>
      <c r="K335" s="207"/>
      <c r="L335" s="122"/>
      <c r="M335" s="207"/>
      <c r="N335" s="207"/>
      <c r="O335" s="122"/>
      <c r="P335" s="205"/>
      <c r="Q335" s="205"/>
      <c r="R335" s="205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</row>
    <row r="336">
      <c r="A336" s="122"/>
      <c r="B336" s="204"/>
      <c r="C336" s="204"/>
      <c r="D336" s="204"/>
      <c r="E336" s="205"/>
      <c r="F336" s="205"/>
      <c r="G336" s="205"/>
      <c r="H336" s="206"/>
      <c r="I336" s="207"/>
      <c r="J336" s="207"/>
      <c r="K336" s="207"/>
      <c r="L336" s="122"/>
      <c r="M336" s="207"/>
      <c r="N336" s="207"/>
      <c r="O336" s="122"/>
      <c r="P336" s="205"/>
      <c r="Q336" s="205"/>
      <c r="R336" s="205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</row>
    <row r="337">
      <c r="A337" s="122"/>
      <c r="B337" s="204"/>
      <c r="C337" s="204"/>
      <c r="D337" s="204"/>
      <c r="E337" s="205"/>
      <c r="F337" s="205"/>
      <c r="G337" s="205"/>
      <c r="H337" s="206"/>
      <c r="I337" s="207"/>
      <c r="J337" s="207"/>
      <c r="K337" s="207"/>
      <c r="L337" s="122"/>
      <c r="M337" s="207"/>
      <c r="N337" s="207"/>
      <c r="O337" s="122"/>
      <c r="P337" s="205"/>
      <c r="Q337" s="205"/>
      <c r="R337" s="205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</row>
    <row r="338">
      <c r="A338" s="122"/>
      <c r="B338" s="204"/>
      <c r="C338" s="204"/>
      <c r="D338" s="204"/>
      <c r="E338" s="205"/>
      <c r="F338" s="205"/>
      <c r="G338" s="205"/>
      <c r="H338" s="206"/>
      <c r="I338" s="207"/>
      <c r="J338" s="207"/>
      <c r="K338" s="207"/>
      <c r="L338" s="122"/>
      <c r="M338" s="207"/>
      <c r="N338" s="207"/>
      <c r="O338" s="122"/>
      <c r="P338" s="205"/>
      <c r="Q338" s="205"/>
      <c r="R338" s="205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</row>
    <row r="339">
      <c r="A339" s="122"/>
      <c r="B339" s="204"/>
      <c r="C339" s="204"/>
      <c r="D339" s="204"/>
      <c r="E339" s="205"/>
      <c r="F339" s="205"/>
      <c r="G339" s="205"/>
      <c r="H339" s="206"/>
      <c r="I339" s="207"/>
      <c r="J339" s="207"/>
      <c r="K339" s="207"/>
      <c r="L339" s="122"/>
      <c r="M339" s="207"/>
      <c r="N339" s="207"/>
      <c r="O339" s="122"/>
      <c r="P339" s="205"/>
      <c r="Q339" s="205"/>
      <c r="R339" s="205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</row>
    <row r="340">
      <c r="A340" s="122"/>
      <c r="B340" s="204"/>
      <c r="C340" s="204"/>
      <c r="D340" s="204"/>
      <c r="E340" s="205"/>
      <c r="F340" s="205"/>
      <c r="G340" s="205"/>
      <c r="H340" s="206"/>
      <c r="I340" s="207"/>
      <c r="J340" s="207"/>
      <c r="K340" s="207"/>
      <c r="L340" s="122"/>
      <c r="M340" s="207"/>
      <c r="N340" s="207"/>
      <c r="O340" s="122"/>
      <c r="P340" s="205"/>
      <c r="Q340" s="205"/>
      <c r="R340" s="205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</row>
    <row r="341">
      <c r="A341" s="122"/>
      <c r="B341" s="204"/>
      <c r="C341" s="204"/>
      <c r="D341" s="204"/>
      <c r="E341" s="205"/>
      <c r="F341" s="205"/>
      <c r="G341" s="205"/>
      <c r="H341" s="206"/>
      <c r="I341" s="207"/>
      <c r="J341" s="207"/>
      <c r="K341" s="207"/>
      <c r="L341" s="122"/>
      <c r="M341" s="207"/>
      <c r="N341" s="207"/>
      <c r="O341" s="122"/>
      <c r="P341" s="205"/>
      <c r="Q341" s="205"/>
      <c r="R341" s="205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</row>
    <row r="342">
      <c r="A342" s="122"/>
      <c r="B342" s="204"/>
      <c r="C342" s="204"/>
      <c r="D342" s="204"/>
      <c r="E342" s="205"/>
      <c r="F342" s="205"/>
      <c r="G342" s="205"/>
      <c r="H342" s="206"/>
      <c r="I342" s="207"/>
      <c r="J342" s="207"/>
      <c r="K342" s="207"/>
      <c r="L342" s="122"/>
      <c r="M342" s="207"/>
      <c r="N342" s="207"/>
      <c r="O342" s="122"/>
      <c r="P342" s="205"/>
      <c r="Q342" s="205"/>
      <c r="R342" s="205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</row>
    <row r="343">
      <c r="A343" s="122"/>
      <c r="B343" s="204"/>
      <c r="C343" s="204"/>
      <c r="D343" s="204"/>
      <c r="E343" s="205"/>
      <c r="F343" s="205"/>
      <c r="G343" s="205"/>
      <c r="H343" s="206"/>
      <c r="I343" s="207"/>
      <c r="J343" s="207"/>
      <c r="K343" s="207"/>
      <c r="L343" s="122"/>
      <c r="M343" s="207"/>
      <c r="N343" s="207"/>
      <c r="O343" s="122"/>
      <c r="P343" s="205"/>
      <c r="Q343" s="205"/>
      <c r="R343" s="205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</row>
    <row r="344">
      <c r="A344" s="122"/>
      <c r="B344" s="204"/>
      <c r="C344" s="204"/>
      <c r="D344" s="204"/>
      <c r="E344" s="205"/>
      <c r="F344" s="205"/>
      <c r="G344" s="205"/>
      <c r="H344" s="206"/>
      <c r="I344" s="207"/>
      <c r="J344" s="207"/>
      <c r="K344" s="207"/>
      <c r="L344" s="122"/>
      <c r="M344" s="207"/>
      <c r="N344" s="207"/>
      <c r="O344" s="122"/>
      <c r="P344" s="205"/>
      <c r="Q344" s="205"/>
      <c r="R344" s="205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</row>
    <row r="345">
      <c r="A345" s="122"/>
      <c r="B345" s="204"/>
      <c r="C345" s="204"/>
      <c r="D345" s="204"/>
      <c r="E345" s="205"/>
      <c r="F345" s="205"/>
      <c r="G345" s="205"/>
      <c r="H345" s="206"/>
      <c r="I345" s="207"/>
      <c r="J345" s="207"/>
      <c r="K345" s="207"/>
      <c r="L345" s="122"/>
      <c r="M345" s="207"/>
      <c r="N345" s="207"/>
      <c r="O345" s="122"/>
      <c r="P345" s="205"/>
      <c r="Q345" s="205"/>
      <c r="R345" s="205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</row>
    <row r="346">
      <c r="A346" s="122"/>
      <c r="B346" s="204"/>
      <c r="C346" s="204"/>
      <c r="D346" s="204"/>
      <c r="E346" s="205"/>
      <c r="F346" s="205"/>
      <c r="G346" s="205"/>
      <c r="H346" s="206"/>
      <c r="I346" s="207"/>
      <c r="J346" s="207"/>
      <c r="K346" s="207"/>
      <c r="L346" s="122"/>
      <c r="M346" s="207"/>
      <c r="N346" s="207"/>
      <c r="O346" s="122"/>
      <c r="P346" s="205"/>
      <c r="Q346" s="205"/>
      <c r="R346" s="205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</row>
    <row r="347">
      <c r="A347" s="122"/>
      <c r="B347" s="204"/>
      <c r="C347" s="204"/>
      <c r="D347" s="204"/>
      <c r="E347" s="205"/>
      <c r="F347" s="205"/>
      <c r="G347" s="205"/>
      <c r="H347" s="206"/>
      <c r="I347" s="207"/>
      <c r="J347" s="207"/>
      <c r="K347" s="207"/>
      <c r="L347" s="122"/>
      <c r="M347" s="207"/>
      <c r="N347" s="207"/>
      <c r="O347" s="122"/>
      <c r="P347" s="205"/>
      <c r="Q347" s="205"/>
      <c r="R347" s="205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</row>
    <row r="348">
      <c r="A348" s="122"/>
      <c r="B348" s="204"/>
      <c r="C348" s="204"/>
      <c r="D348" s="204"/>
      <c r="E348" s="205"/>
      <c r="F348" s="205"/>
      <c r="G348" s="205"/>
      <c r="H348" s="206"/>
      <c r="I348" s="207"/>
      <c r="J348" s="207"/>
      <c r="K348" s="207"/>
      <c r="L348" s="122"/>
      <c r="M348" s="207"/>
      <c r="N348" s="207"/>
      <c r="O348" s="122"/>
      <c r="P348" s="205"/>
      <c r="Q348" s="205"/>
      <c r="R348" s="205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</row>
    <row r="349">
      <c r="A349" s="122"/>
      <c r="B349" s="204"/>
      <c r="C349" s="204"/>
      <c r="D349" s="204"/>
      <c r="E349" s="205"/>
      <c r="F349" s="205"/>
      <c r="G349" s="205"/>
      <c r="H349" s="206"/>
      <c r="I349" s="207"/>
      <c r="J349" s="207"/>
      <c r="K349" s="207"/>
      <c r="L349" s="122"/>
      <c r="M349" s="207"/>
      <c r="N349" s="207"/>
      <c r="O349" s="122"/>
      <c r="P349" s="205"/>
      <c r="Q349" s="205"/>
      <c r="R349" s="205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</row>
    <row r="350">
      <c r="A350" s="122"/>
      <c r="B350" s="204"/>
      <c r="C350" s="204"/>
      <c r="D350" s="204"/>
      <c r="E350" s="205"/>
      <c r="F350" s="205"/>
      <c r="G350" s="205"/>
      <c r="H350" s="206"/>
      <c r="I350" s="207"/>
      <c r="J350" s="207"/>
      <c r="K350" s="207"/>
      <c r="L350" s="122"/>
      <c r="M350" s="207"/>
      <c r="N350" s="207"/>
      <c r="O350" s="122"/>
      <c r="P350" s="205"/>
      <c r="Q350" s="205"/>
      <c r="R350" s="205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</row>
    <row r="351">
      <c r="A351" s="122"/>
      <c r="B351" s="204"/>
      <c r="C351" s="204"/>
      <c r="D351" s="204"/>
      <c r="E351" s="205"/>
      <c r="F351" s="205"/>
      <c r="G351" s="205"/>
      <c r="H351" s="206"/>
      <c r="I351" s="207"/>
      <c r="J351" s="207"/>
      <c r="K351" s="207"/>
      <c r="L351" s="122"/>
      <c r="M351" s="207"/>
      <c r="N351" s="207"/>
      <c r="O351" s="122"/>
      <c r="P351" s="205"/>
      <c r="Q351" s="205"/>
      <c r="R351" s="205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</row>
    <row r="352">
      <c r="A352" s="122"/>
      <c r="B352" s="204"/>
      <c r="C352" s="204"/>
      <c r="D352" s="204"/>
      <c r="E352" s="205"/>
      <c r="F352" s="205"/>
      <c r="G352" s="205"/>
      <c r="H352" s="206"/>
      <c r="I352" s="207"/>
      <c r="J352" s="207"/>
      <c r="K352" s="207"/>
      <c r="L352" s="122"/>
      <c r="M352" s="207"/>
      <c r="N352" s="207"/>
      <c r="O352" s="122"/>
      <c r="P352" s="205"/>
      <c r="Q352" s="205"/>
      <c r="R352" s="205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</row>
    <row r="353">
      <c r="A353" s="122"/>
      <c r="B353" s="204"/>
      <c r="C353" s="204"/>
      <c r="D353" s="204"/>
      <c r="E353" s="205"/>
      <c r="F353" s="205"/>
      <c r="G353" s="205"/>
      <c r="H353" s="206"/>
      <c r="I353" s="207"/>
      <c r="J353" s="207"/>
      <c r="K353" s="207"/>
      <c r="L353" s="122"/>
      <c r="M353" s="207"/>
      <c r="N353" s="207"/>
      <c r="O353" s="122"/>
      <c r="P353" s="205"/>
      <c r="Q353" s="205"/>
      <c r="R353" s="205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</row>
    <row r="354">
      <c r="A354" s="122"/>
      <c r="B354" s="204"/>
      <c r="C354" s="204"/>
      <c r="D354" s="204"/>
      <c r="E354" s="205"/>
      <c r="F354" s="205"/>
      <c r="G354" s="205"/>
      <c r="H354" s="206"/>
      <c r="I354" s="207"/>
      <c r="J354" s="207"/>
      <c r="K354" s="207"/>
      <c r="L354" s="122"/>
      <c r="M354" s="207"/>
      <c r="N354" s="207"/>
      <c r="O354" s="122"/>
      <c r="P354" s="205"/>
      <c r="Q354" s="205"/>
      <c r="R354" s="205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</row>
    <row r="355">
      <c r="A355" s="122"/>
      <c r="B355" s="204"/>
      <c r="C355" s="204"/>
      <c r="D355" s="204"/>
      <c r="E355" s="205"/>
      <c r="F355" s="205"/>
      <c r="G355" s="205"/>
      <c r="H355" s="206"/>
      <c r="I355" s="207"/>
      <c r="J355" s="207"/>
      <c r="K355" s="207"/>
      <c r="L355" s="122"/>
      <c r="M355" s="207"/>
      <c r="N355" s="207"/>
      <c r="O355" s="122"/>
      <c r="P355" s="205"/>
      <c r="Q355" s="205"/>
      <c r="R355" s="205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</row>
    <row r="356">
      <c r="A356" s="122"/>
      <c r="B356" s="204"/>
      <c r="C356" s="204"/>
      <c r="D356" s="204"/>
      <c r="E356" s="205"/>
      <c r="F356" s="205"/>
      <c r="G356" s="205"/>
      <c r="H356" s="206"/>
      <c r="I356" s="207"/>
      <c r="J356" s="207"/>
      <c r="K356" s="207"/>
      <c r="L356" s="122"/>
      <c r="M356" s="207"/>
      <c r="N356" s="207"/>
      <c r="O356" s="122"/>
      <c r="P356" s="205"/>
      <c r="Q356" s="205"/>
      <c r="R356" s="205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</row>
    <row r="357">
      <c r="A357" s="122"/>
      <c r="B357" s="204"/>
      <c r="C357" s="204"/>
      <c r="D357" s="204"/>
      <c r="E357" s="205"/>
      <c r="F357" s="205"/>
      <c r="G357" s="205"/>
      <c r="H357" s="206"/>
      <c r="I357" s="207"/>
      <c r="J357" s="207"/>
      <c r="K357" s="207"/>
      <c r="L357" s="122"/>
      <c r="M357" s="207"/>
      <c r="N357" s="207"/>
      <c r="O357" s="122"/>
      <c r="P357" s="205"/>
      <c r="Q357" s="205"/>
      <c r="R357" s="205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</row>
    <row r="358">
      <c r="A358" s="122"/>
      <c r="B358" s="204"/>
      <c r="C358" s="204"/>
      <c r="D358" s="204"/>
      <c r="E358" s="205"/>
      <c r="F358" s="205"/>
      <c r="G358" s="205"/>
      <c r="H358" s="206"/>
      <c r="I358" s="207"/>
      <c r="J358" s="207"/>
      <c r="K358" s="207"/>
      <c r="L358" s="122"/>
      <c r="M358" s="207"/>
      <c r="N358" s="207"/>
      <c r="O358" s="122"/>
      <c r="P358" s="205"/>
      <c r="Q358" s="205"/>
      <c r="R358" s="205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</row>
    <row r="359">
      <c r="A359" s="122"/>
      <c r="B359" s="204"/>
      <c r="C359" s="204"/>
      <c r="D359" s="204"/>
      <c r="E359" s="205"/>
      <c r="F359" s="205"/>
      <c r="G359" s="205"/>
      <c r="H359" s="206"/>
      <c r="I359" s="207"/>
      <c r="J359" s="207"/>
      <c r="K359" s="207"/>
      <c r="L359" s="122"/>
      <c r="M359" s="207"/>
      <c r="N359" s="207"/>
      <c r="O359" s="122"/>
      <c r="P359" s="205"/>
      <c r="Q359" s="205"/>
      <c r="R359" s="205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</row>
    <row r="360">
      <c r="A360" s="122"/>
      <c r="B360" s="204"/>
      <c r="C360" s="204"/>
      <c r="D360" s="204"/>
      <c r="E360" s="205"/>
      <c r="F360" s="205"/>
      <c r="G360" s="205"/>
      <c r="H360" s="206"/>
      <c r="I360" s="207"/>
      <c r="J360" s="207"/>
      <c r="K360" s="207"/>
      <c r="L360" s="122"/>
      <c r="M360" s="207"/>
      <c r="N360" s="207"/>
      <c r="O360" s="122"/>
      <c r="P360" s="205"/>
      <c r="Q360" s="205"/>
      <c r="R360" s="205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</row>
    <row r="361">
      <c r="A361" s="122"/>
      <c r="B361" s="204"/>
      <c r="C361" s="204"/>
      <c r="D361" s="204"/>
      <c r="E361" s="205"/>
      <c r="F361" s="205"/>
      <c r="G361" s="205"/>
      <c r="H361" s="206"/>
      <c r="I361" s="207"/>
      <c r="J361" s="207"/>
      <c r="K361" s="207"/>
      <c r="L361" s="122"/>
      <c r="M361" s="207"/>
      <c r="N361" s="207"/>
      <c r="O361" s="122"/>
      <c r="P361" s="205"/>
      <c r="Q361" s="205"/>
      <c r="R361" s="205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</row>
    <row r="362">
      <c r="A362" s="122"/>
      <c r="B362" s="204"/>
      <c r="C362" s="204"/>
      <c r="D362" s="204"/>
      <c r="E362" s="205"/>
      <c r="F362" s="205"/>
      <c r="G362" s="205"/>
      <c r="H362" s="206"/>
      <c r="I362" s="207"/>
      <c r="J362" s="207"/>
      <c r="K362" s="207"/>
      <c r="L362" s="122"/>
      <c r="M362" s="207"/>
      <c r="N362" s="207"/>
      <c r="O362" s="122"/>
      <c r="P362" s="205"/>
      <c r="Q362" s="205"/>
      <c r="R362" s="205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</row>
    <row r="363">
      <c r="A363" s="122"/>
      <c r="B363" s="204"/>
      <c r="C363" s="204"/>
      <c r="D363" s="204"/>
      <c r="E363" s="205"/>
      <c r="F363" s="205"/>
      <c r="G363" s="205"/>
      <c r="H363" s="206"/>
      <c r="I363" s="207"/>
      <c r="J363" s="207"/>
      <c r="K363" s="207"/>
      <c r="L363" s="122"/>
      <c r="M363" s="207"/>
      <c r="N363" s="207"/>
      <c r="O363" s="122"/>
      <c r="P363" s="205"/>
      <c r="Q363" s="205"/>
      <c r="R363" s="205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</row>
    <row r="364">
      <c r="A364" s="122"/>
      <c r="B364" s="204"/>
      <c r="C364" s="204"/>
      <c r="D364" s="204"/>
      <c r="E364" s="205"/>
      <c r="F364" s="205"/>
      <c r="G364" s="205"/>
      <c r="H364" s="206"/>
      <c r="I364" s="207"/>
      <c r="J364" s="207"/>
      <c r="K364" s="207"/>
      <c r="L364" s="122"/>
      <c r="M364" s="207"/>
      <c r="N364" s="207"/>
      <c r="O364" s="122"/>
      <c r="P364" s="205"/>
      <c r="Q364" s="205"/>
      <c r="R364" s="205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</row>
    <row r="365">
      <c r="A365" s="122"/>
      <c r="B365" s="204"/>
      <c r="C365" s="204"/>
      <c r="D365" s="204"/>
      <c r="E365" s="205"/>
      <c r="F365" s="205"/>
      <c r="G365" s="205"/>
      <c r="H365" s="206"/>
      <c r="I365" s="207"/>
      <c r="J365" s="207"/>
      <c r="K365" s="207"/>
      <c r="L365" s="122"/>
      <c r="M365" s="207"/>
      <c r="N365" s="207"/>
      <c r="O365" s="122"/>
      <c r="P365" s="205"/>
      <c r="Q365" s="205"/>
      <c r="R365" s="205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</row>
    <row r="366">
      <c r="A366" s="122"/>
      <c r="B366" s="204"/>
      <c r="C366" s="204"/>
      <c r="D366" s="204"/>
      <c r="E366" s="205"/>
      <c r="F366" s="205"/>
      <c r="G366" s="205"/>
      <c r="H366" s="206"/>
      <c r="I366" s="207"/>
      <c r="J366" s="207"/>
      <c r="K366" s="207"/>
      <c r="L366" s="122"/>
      <c r="M366" s="207"/>
      <c r="N366" s="207"/>
      <c r="O366" s="122"/>
      <c r="P366" s="205"/>
      <c r="Q366" s="205"/>
      <c r="R366" s="205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</row>
    <row r="367">
      <c r="A367" s="122"/>
      <c r="B367" s="204"/>
      <c r="C367" s="204"/>
      <c r="D367" s="204"/>
      <c r="E367" s="205"/>
      <c r="F367" s="205"/>
      <c r="G367" s="205"/>
      <c r="H367" s="206"/>
      <c r="I367" s="207"/>
      <c r="J367" s="207"/>
      <c r="K367" s="207"/>
      <c r="L367" s="122"/>
      <c r="M367" s="207"/>
      <c r="N367" s="207"/>
      <c r="O367" s="122"/>
      <c r="P367" s="205"/>
      <c r="Q367" s="205"/>
      <c r="R367" s="205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</row>
    <row r="368">
      <c r="A368" s="122"/>
      <c r="B368" s="204"/>
      <c r="C368" s="204"/>
      <c r="D368" s="204"/>
      <c r="E368" s="205"/>
      <c r="F368" s="205"/>
      <c r="G368" s="205"/>
      <c r="H368" s="206"/>
      <c r="I368" s="207"/>
      <c r="J368" s="207"/>
      <c r="K368" s="207"/>
      <c r="L368" s="122"/>
      <c r="M368" s="207"/>
      <c r="N368" s="207"/>
      <c r="O368" s="122"/>
      <c r="P368" s="205"/>
      <c r="Q368" s="205"/>
      <c r="R368" s="205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</row>
    <row r="369">
      <c r="A369" s="122"/>
      <c r="B369" s="204"/>
      <c r="C369" s="204"/>
      <c r="D369" s="204"/>
      <c r="E369" s="205"/>
      <c r="F369" s="205"/>
      <c r="G369" s="205"/>
      <c r="H369" s="206"/>
      <c r="I369" s="207"/>
      <c r="J369" s="207"/>
      <c r="K369" s="207"/>
      <c r="L369" s="122"/>
      <c r="M369" s="207"/>
      <c r="N369" s="207"/>
      <c r="O369" s="122"/>
      <c r="P369" s="205"/>
      <c r="Q369" s="205"/>
      <c r="R369" s="205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</row>
    <row r="370">
      <c r="A370" s="122"/>
      <c r="B370" s="204"/>
      <c r="C370" s="204"/>
      <c r="D370" s="204"/>
      <c r="E370" s="205"/>
      <c r="F370" s="205"/>
      <c r="G370" s="205"/>
      <c r="H370" s="206"/>
      <c r="I370" s="207"/>
      <c r="J370" s="207"/>
      <c r="K370" s="207"/>
      <c r="L370" s="122"/>
      <c r="M370" s="207"/>
      <c r="N370" s="207"/>
      <c r="O370" s="122"/>
      <c r="P370" s="205"/>
      <c r="Q370" s="205"/>
      <c r="R370" s="205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</row>
    <row r="371">
      <c r="A371" s="122"/>
      <c r="B371" s="204"/>
      <c r="C371" s="204"/>
      <c r="D371" s="204"/>
      <c r="E371" s="205"/>
      <c r="F371" s="205"/>
      <c r="G371" s="205"/>
      <c r="H371" s="206"/>
      <c r="I371" s="207"/>
      <c r="J371" s="207"/>
      <c r="K371" s="207"/>
      <c r="L371" s="122"/>
      <c r="M371" s="207"/>
      <c r="N371" s="207"/>
      <c r="O371" s="122"/>
      <c r="P371" s="205"/>
      <c r="Q371" s="205"/>
      <c r="R371" s="205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</row>
    <row r="372">
      <c r="A372" s="122"/>
      <c r="B372" s="204"/>
      <c r="C372" s="204"/>
      <c r="D372" s="204"/>
      <c r="E372" s="205"/>
      <c r="F372" s="205"/>
      <c r="G372" s="205"/>
      <c r="H372" s="206"/>
      <c r="I372" s="207"/>
      <c r="J372" s="207"/>
      <c r="K372" s="207"/>
      <c r="L372" s="122"/>
      <c r="M372" s="207"/>
      <c r="N372" s="207"/>
      <c r="O372" s="122"/>
      <c r="P372" s="205"/>
      <c r="Q372" s="205"/>
      <c r="R372" s="205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</row>
    <row r="373">
      <c r="A373" s="122"/>
      <c r="B373" s="204"/>
      <c r="C373" s="204"/>
      <c r="D373" s="204"/>
      <c r="E373" s="205"/>
      <c r="F373" s="205"/>
      <c r="G373" s="205"/>
      <c r="H373" s="206"/>
      <c r="I373" s="207"/>
      <c r="J373" s="207"/>
      <c r="K373" s="207"/>
      <c r="L373" s="122"/>
      <c r="M373" s="207"/>
      <c r="N373" s="207"/>
      <c r="O373" s="122"/>
      <c r="P373" s="205"/>
      <c r="Q373" s="205"/>
      <c r="R373" s="205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</row>
    <row r="374">
      <c r="A374" s="122"/>
      <c r="B374" s="204"/>
      <c r="C374" s="204"/>
      <c r="D374" s="204"/>
      <c r="E374" s="205"/>
      <c r="F374" s="205"/>
      <c r="G374" s="205"/>
      <c r="H374" s="206"/>
      <c r="I374" s="207"/>
      <c r="J374" s="207"/>
      <c r="K374" s="207"/>
      <c r="L374" s="122"/>
      <c r="M374" s="207"/>
      <c r="N374" s="207"/>
      <c r="O374" s="122"/>
      <c r="P374" s="205"/>
      <c r="Q374" s="205"/>
      <c r="R374" s="205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</row>
    <row r="375">
      <c r="A375" s="122"/>
      <c r="B375" s="204"/>
      <c r="C375" s="204"/>
      <c r="D375" s="204"/>
      <c r="E375" s="205"/>
      <c r="F375" s="205"/>
      <c r="G375" s="205"/>
      <c r="H375" s="206"/>
      <c r="I375" s="207"/>
      <c r="J375" s="207"/>
      <c r="K375" s="207"/>
      <c r="L375" s="122"/>
      <c r="M375" s="207"/>
      <c r="N375" s="207"/>
      <c r="O375" s="122"/>
      <c r="P375" s="205"/>
      <c r="Q375" s="205"/>
      <c r="R375" s="205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</row>
    <row r="376">
      <c r="A376" s="122"/>
      <c r="B376" s="204"/>
      <c r="C376" s="204"/>
      <c r="D376" s="204"/>
      <c r="E376" s="205"/>
      <c r="F376" s="205"/>
      <c r="G376" s="205"/>
      <c r="H376" s="206"/>
      <c r="I376" s="207"/>
      <c r="J376" s="207"/>
      <c r="K376" s="207"/>
      <c r="L376" s="122"/>
      <c r="M376" s="207"/>
      <c r="N376" s="207"/>
      <c r="O376" s="122"/>
      <c r="P376" s="205"/>
      <c r="Q376" s="205"/>
      <c r="R376" s="205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</row>
    <row r="377">
      <c r="A377" s="122"/>
      <c r="B377" s="204"/>
      <c r="C377" s="204"/>
      <c r="D377" s="204"/>
      <c r="E377" s="205"/>
      <c r="F377" s="205"/>
      <c r="G377" s="205"/>
      <c r="H377" s="206"/>
      <c r="I377" s="207"/>
      <c r="J377" s="207"/>
      <c r="K377" s="207"/>
      <c r="L377" s="122"/>
      <c r="M377" s="207"/>
      <c r="N377" s="207"/>
      <c r="O377" s="122"/>
      <c r="P377" s="205"/>
      <c r="Q377" s="205"/>
      <c r="R377" s="205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</row>
    <row r="378">
      <c r="A378" s="122"/>
      <c r="B378" s="204"/>
      <c r="C378" s="204"/>
      <c r="D378" s="204"/>
      <c r="E378" s="205"/>
      <c r="F378" s="205"/>
      <c r="G378" s="205"/>
      <c r="H378" s="206"/>
      <c r="I378" s="207"/>
      <c r="J378" s="207"/>
      <c r="K378" s="207"/>
      <c r="L378" s="122"/>
      <c r="M378" s="207"/>
      <c r="N378" s="207"/>
      <c r="O378" s="122"/>
      <c r="P378" s="205"/>
      <c r="Q378" s="205"/>
      <c r="R378" s="205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</row>
    <row r="379">
      <c r="A379" s="122"/>
      <c r="B379" s="204"/>
      <c r="C379" s="204"/>
      <c r="D379" s="204"/>
      <c r="E379" s="205"/>
      <c r="F379" s="205"/>
      <c r="G379" s="205"/>
      <c r="H379" s="206"/>
      <c r="I379" s="207"/>
      <c r="J379" s="207"/>
      <c r="K379" s="207"/>
      <c r="L379" s="122"/>
      <c r="M379" s="207"/>
      <c r="N379" s="207"/>
      <c r="O379" s="122"/>
      <c r="P379" s="205"/>
      <c r="Q379" s="205"/>
      <c r="R379" s="205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</row>
    <row r="380">
      <c r="A380" s="122"/>
      <c r="B380" s="204"/>
      <c r="C380" s="204"/>
      <c r="D380" s="204"/>
      <c r="E380" s="205"/>
      <c r="F380" s="205"/>
      <c r="G380" s="205"/>
      <c r="H380" s="206"/>
      <c r="I380" s="207"/>
      <c r="J380" s="207"/>
      <c r="K380" s="207"/>
      <c r="L380" s="122"/>
      <c r="M380" s="207"/>
      <c r="N380" s="207"/>
      <c r="O380" s="122"/>
      <c r="P380" s="205"/>
      <c r="Q380" s="205"/>
      <c r="R380" s="205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</row>
    <row r="381">
      <c r="A381" s="122"/>
      <c r="B381" s="204"/>
      <c r="C381" s="204"/>
      <c r="D381" s="204"/>
      <c r="E381" s="205"/>
      <c r="F381" s="205"/>
      <c r="G381" s="205"/>
      <c r="H381" s="206"/>
      <c r="I381" s="207"/>
      <c r="J381" s="207"/>
      <c r="K381" s="207"/>
      <c r="L381" s="122"/>
      <c r="M381" s="207"/>
      <c r="N381" s="207"/>
      <c r="O381" s="122"/>
      <c r="P381" s="205"/>
      <c r="Q381" s="205"/>
      <c r="R381" s="205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</row>
    <row r="382">
      <c r="A382" s="122"/>
      <c r="B382" s="204"/>
      <c r="C382" s="204"/>
      <c r="D382" s="204"/>
      <c r="E382" s="205"/>
      <c r="F382" s="205"/>
      <c r="G382" s="205"/>
      <c r="H382" s="206"/>
      <c r="I382" s="207"/>
      <c r="J382" s="207"/>
      <c r="K382" s="207"/>
      <c r="L382" s="122"/>
      <c r="M382" s="207"/>
      <c r="N382" s="207"/>
      <c r="O382" s="122"/>
      <c r="P382" s="205"/>
      <c r="Q382" s="205"/>
      <c r="R382" s="205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</row>
    <row r="383">
      <c r="A383" s="122"/>
      <c r="B383" s="204"/>
      <c r="C383" s="204"/>
      <c r="D383" s="204"/>
      <c r="E383" s="205"/>
      <c r="F383" s="205"/>
      <c r="G383" s="205"/>
      <c r="H383" s="206"/>
      <c r="I383" s="207"/>
      <c r="J383" s="207"/>
      <c r="K383" s="207"/>
      <c r="L383" s="122"/>
      <c r="M383" s="207"/>
      <c r="N383" s="207"/>
      <c r="O383" s="122"/>
      <c r="P383" s="205"/>
      <c r="Q383" s="205"/>
      <c r="R383" s="205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</row>
    <row r="384">
      <c r="A384" s="122"/>
      <c r="B384" s="204"/>
      <c r="C384" s="204"/>
      <c r="D384" s="204"/>
      <c r="E384" s="205"/>
      <c r="F384" s="205"/>
      <c r="G384" s="205"/>
      <c r="H384" s="206"/>
      <c r="I384" s="207"/>
      <c r="J384" s="207"/>
      <c r="K384" s="207"/>
      <c r="L384" s="122"/>
      <c r="M384" s="207"/>
      <c r="N384" s="207"/>
      <c r="O384" s="122"/>
      <c r="P384" s="205"/>
      <c r="Q384" s="205"/>
      <c r="R384" s="205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</row>
    <row r="385">
      <c r="A385" s="122"/>
      <c r="B385" s="204"/>
      <c r="C385" s="204"/>
      <c r="D385" s="204"/>
      <c r="E385" s="205"/>
      <c r="F385" s="205"/>
      <c r="G385" s="205"/>
      <c r="H385" s="206"/>
      <c r="I385" s="207"/>
      <c r="J385" s="207"/>
      <c r="K385" s="207"/>
      <c r="L385" s="122"/>
      <c r="M385" s="207"/>
      <c r="N385" s="207"/>
      <c r="O385" s="122"/>
      <c r="P385" s="205"/>
      <c r="Q385" s="205"/>
      <c r="R385" s="205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</row>
    <row r="386">
      <c r="A386" s="122"/>
      <c r="B386" s="204"/>
      <c r="C386" s="204"/>
      <c r="D386" s="204"/>
      <c r="E386" s="205"/>
      <c r="F386" s="205"/>
      <c r="G386" s="205"/>
      <c r="H386" s="206"/>
      <c r="I386" s="207"/>
      <c r="J386" s="207"/>
      <c r="K386" s="207"/>
      <c r="L386" s="122"/>
      <c r="M386" s="207"/>
      <c r="N386" s="207"/>
      <c r="O386" s="122"/>
      <c r="P386" s="205"/>
      <c r="Q386" s="205"/>
      <c r="R386" s="205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</row>
    <row r="387">
      <c r="A387" s="122"/>
      <c r="B387" s="204"/>
      <c r="C387" s="204"/>
      <c r="D387" s="204"/>
      <c r="E387" s="205"/>
      <c r="F387" s="205"/>
      <c r="G387" s="205"/>
      <c r="H387" s="206"/>
      <c r="I387" s="207"/>
      <c r="J387" s="207"/>
      <c r="K387" s="207"/>
      <c r="L387" s="122"/>
      <c r="M387" s="207"/>
      <c r="N387" s="207"/>
      <c r="O387" s="122"/>
      <c r="P387" s="205"/>
      <c r="Q387" s="205"/>
      <c r="R387" s="205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</row>
    <row r="388">
      <c r="A388" s="122"/>
      <c r="B388" s="204"/>
      <c r="C388" s="204"/>
      <c r="D388" s="204"/>
      <c r="E388" s="205"/>
      <c r="F388" s="205"/>
      <c r="G388" s="205"/>
      <c r="H388" s="206"/>
      <c r="I388" s="207"/>
      <c r="J388" s="207"/>
      <c r="K388" s="207"/>
      <c r="L388" s="122"/>
      <c r="M388" s="207"/>
      <c r="N388" s="207"/>
      <c r="O388" s="122"/>
      <c r="P388" s="205"/>
      <c r="Q388" s="205"/>
      <c r="R388" s="205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</row>
    <row r="389">
      <c r="A389" s="122"/>
      <c r="B389" s="204"/>
      <c r="C389" s="204"/>
      <c r="D389" s="204"/>
      <c r="E389" s="205"/>
      <c r="F389" s="205"/>
      <c r="G389" s="205"/>
      <c r="H389" s="206"/>
      <c r="I389" s="207"/>
      <c r="J389" s="207"/>
      <c r="K389" s="207"/>
      <c r="L389" s="122"/>
      <c r="M389" s="207"/>
      <c r="N389" s="207"/>
      <c r="O389" s="122"/>
      <c r="P389" s="205"/>
      <c r="Q389" s="205"/>
      <c r="R389" s="205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</row>
    <row r="390">
      <c r="A390" s="122"/>
      <c r="B390" s="204"/>
      <c r="C390" s="204"/>
      <c r="D390" s="204"/>
      <c r="E390" s="205"/>
      <c r="F390" s="205"/>
      <c r="G390" s="205"/>
      <c r="H390" s="206"/>
      <c r="I390" s="207"/>
      <c r="J390" s="207"/>
      <c r="K390" s="207"/>
      <c r="L390" s="122"/>
      <c r="M390" s="207"/>
      <c r="N390" s="207"/>
      <c r="O390" s="122"/>
      <c r="P390" s="205"/>
      <c r="Q390" s="205"/>
      <c r="R390" s="205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</row>
    <row r="391">
      <c r="A391" s="122"/>
      <c r="B391" s="204"/>
      <c r="C391" s="204"/>
      <c r="D391" s="204"/>
      <c r="E391" s="205"/>
      <c r="F391" s="205"/>
      <c r="G391" s="205"/>
      <c r="H391" s="206"/>
      <c r="I391" s="207"/>
      <c r="J391" s="207"/>
      <c r="K391" s="207"/>
      <c r="L391" s="122"/>
      <c r="M391" s="207"/>
      <c r="N391" s="207"/>
      <c r="O391" s="122"/>
      <c r="P391" s="205"/>
      <c r="Q391" s="205"/>
      <c r="R391" s="205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</row>
    <row r="392">
      <c r="A392" s="122"/>
      <c r="B392" s="204"/>
      <c r="C392" s="204"/>
      <c r="D392" s="204"/>
      <c r="E392" s="205"/>
      <c r="F392" s="205"/>
      <c r="G392" s="205"/>
      <c r="H392" s="206"/>
      <c r="I392" s="207"/>
      <c r="J392" s="207"/>
      <c r="K392" s="207"/>
      <c r="L392" s="122"/>
      <c r="M392" s="207"/>
      <c r="N392" s="207"/>
      <c r="O392" s="122"/>
      <c r="P392" s="205"/>
      <c r="Q392" s="205"/>
      <c r="R392" s="205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</row>
    <row r="393">
      <c r="A393" s="122"/>
      <c r="B393" s="204"/>
      <c r="C393" s="204"/>
      <c r="D393" s="204"/>
      <c r="E393" s="205"/>
      <c r="F393" s="205"/>
      <c r="G393" s="205"/>
      <c r="H393" s="206"/>
      <c r="I393" s="207"/>
      <c r="J393" s="207"/>
      <c r="K393" s="207"/>
      <c r="L393" s="122"/>
      <c r="M393" s="207"/>
      <c r="N393" s="207"/>
      <c r="O393" s="122"/>
      <c r="P393" s="205"/>
      <c r="Q393" s="205"/>
      <c r="R393" s="205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</row>
    <row r="394">
      <c r="A394" s="122"/>
      <c r="B394" s="204"/>
      <c r="C394" s="204"/>
      <c r="D394" s="204"/>
      <c r="E394" s="205"/>
      <c r="F394" s="205"/>
      <c r="G394" s="205"/>
      <c r="H394" s="206"/>
      <c r="I394" s="207"/>
      <c r="J394" s="207"/>
      <c r="K394" s="207"/>
      <c r="L394" s="122"/>
      <c r="M394" s="207"/>
      <c r="N394" s="207"/>
      <c r="O394" s="122"/>
      <c r="P394" s="205"/>
      <c r="Q394" s="205"/>
      <c r="R394" s="205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</row>
    <row r="395">
      <c r="A395" s="122"/>
      <c r="B395" s="204"/>
      <c r="C395" s="204"/>
      <c r="D395" s="204"/>
      <c r="E395" s="205"/>
      <c r="F395" s="205"/>
      <c r="G395" s="205"/>
      <c r="H395" s="206"/>
      <c r="I395" s="207"/>
      <c r="J395" s="207"/>
      <c r="K395" s="207"/>
      <c r="L395" s="122"/>
      <c r="M395" s="207"/>
      <c r="N395" s="207"/>
      <c r="O395" s="122"/>
      <c r="P395" s="205"/>
      <c r="Q395" s="205"/>
      <c r="R395" s="205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</row>
    <row r="396">
      <c r="A396" s="122"/>
      <c r="B396" s="204"/>
      <c r="C396" s="204"/>
      <c r="D396" s="204"/>
      <c r="E396" s="205"/>
      <c r="F396" s="205"/>
      <c r="G396" s="205"/>
      <c r="H396" s="206"/>
      <c r="I396" s="207"/>
      <c r="J396" s="207"/>
      <c r="K396" s="207"/>
      <c r="L396" s="122"/>
      <c r="M396" s="207"/>
      <c r="N396" s="207"/>
      <c r="O396" s="122"/>
      <c r="P396" s="205"/>
      <c r="Q396" s="205"/>
      <c r="R396" s="205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</row>
    <row r="397">
      <c r="A397" s="122"/>
      <c r="B397" s="204"/>
      <c r="C397" s="204"/>
      <c r="D397" s="204"/>
      <c r="E397" s="205"/>
      <c r="F397" s="205"/>
      <c r="G397" s="205"/>
      <c r="H397" s="206"/>
      <c r="I397" s="207"/>
      <c r="J397" s="207"/>
      <c r="K397" s="207"/>
      <c r="L397" s="122"/>
      <c r="M397" s="207"/>
      <c r="N397" s="207"/>
      <c r="O397" s="122"/>
      <c r="P397" s="205"/>
      <c r="Q397" s="205"/>
      <c r="R397" s="205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</row>
    <row r="398">
      <c r="A398" s="122"/>
      <c r="B398" s="204"/>
      <c r="C398" s="204"/>
      <c r="D398" s="204"/>
      <c r="E398" s="205"/>
      <c r="F398" s="205"/>
      <c r="G398" s="205"/>
      <c r="H398" s="206"/>
      <c r="I398" s="207"/>
      <c r="J398" s="207"/>
      <c r="K398" s="207"/>
      <c r="L398" s="122"/>
      <c r="M398" s="207"/>
      <c r="N398" s="207"/>
      <c r="O398" s="122"/>
      <c r="P398" s="205"/>
      <c r="Q398" s="205"/>
      <c r="R398" s="205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</row>
    <row r="399">
      <c r="A399" s="122"/>
      <c r="B399" s="204"/>
      <c r="C399" s="204"/>
      <c r="D399" s="204"/>
      <c r="E399" s="205"/>
      <c r="F399" s="205"/>
      <c r="G399" s="205"/>
      <c r="H399" s="206"/>
      <c r="I399" s="207"/>
      <c r="J399" s="207"/>
      <c r="K399" s="207"/>
      <c r="L399" s="122"/>
      <c r="M399" s="207"/>
      <c r="N399" s="207"/>
      <c r="O399" s="122"/>
      <c r="P399" s="205"/>
      <c r="Q399" s="205"/>
      <c r="R399" s="205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</row>
    <row r="400">
      <c r="A400" s="122"/>
      <c r="B400" s="204"/>
      <c r="C400" s="204"/>
      <c r="D400" s="204"/>
      <c r="E400" s="205"/>
      <c r="F400" s="205"/>
      <c r="G400" s="205"/>
      <c r="H400" s="206"/>
      <c r="I400" s="207"/>
      <c r="J400" s="207"/>
      <c r="K400" s="207"/>
      <c r="L400" s="122"/>
      <c r="M400" s="207"/>
      <c r="N400" s="207"/>
      <c r="O400" s="122"/>
      <c r="P400" s="205"/>
      <c r="Q400" s="205"/>
      <c r="R400" s="205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</row>
    <row r="401">
      <c r="A401" s="122"/>
      <c r="B401" s="204"/>
      <c r="C401" s="204"/>
      <c r="D401" s="204"/>
      <c r="E401" s="205"/>
      <c r="F401" s="205"/>
      <c r="G401" s="205"/>
      <c r="H401" s="206"/>
      <c r="I401" s="207"/>
      <c r="J401" s="207"/>
      <c r="K401" s="207"/>
      <c r="L401" s="122"/>
      <c r="M401" s="207"/>
      <c r="N401" s="207"/>
      <c r="O401" s="122"/>
      <c r="P401" s="205"/>
      <c r="Q401" s="205"/>
      <c r="R401" s="205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</row>
    <row r="402">
      <c r="A402" s="122"/>
      <c r="B402" s="204"/>
      <c r="C402" s="204"/>
      <c r="D402" s="204"/>
      <c r="E402" s="205"/>
      <c r="F402" s="205"/>
      <c r="G402" s="205"/>
      <c r="H402" s="206"/>
      <c r="I402" s="207"/>
      <c r="J402" s="207"/>
      <c r="K402" s="207"/>
      <c r="L402" s="122"/>
      <c r="M402" s="207"/>
      <c r="N402" s="207"/>
      <c r="O402" s="122"/>
      <c r="P402" s="205"/>
      <c r="Q402" s="205"/>
      <c r="R402" s="205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</row>
    <row r="403">
      <c r="A403" s="122"/>
      <c r="B403" s="204"/>
      <c r="C403" s="204"/>
      <c r="D403" s="204"/>
      <c r="E403" s="205"/>
      <c r="F403" s="205"/>
      <c r="G403" s="205"/>
      <c r="H403" s="206"/>
      <c r="I403" s="207"/>
      <c r="J403" s="207"/>
      <c r="K403" s="207"/>
      <c r="L403" s="122"/>
      <c r="M403" s="207"/>
      <c r="N403" s="207"/>
      <c r="O403" s="122"/>
      <c r="P403" s="205"/>
      <c r="Q403" s="205"/>
      <c r="R403" s="205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</row>
    <row r="404">
      <c r="A404" s="122"/>
      <c r="B404" s="204"/>
      <c r="C404" s="204"/>
      <c r="D404" s="204"/>
      <c r="E404" s="205"/>
      <c r="F404" s="205"/>
      <c r="G404" s="205"/>
      <c r="H404" s="206"/>
      <c r="I404" s="207"/>
      <c r="J404" s="207"/>
      <c r="K404" s="207"/>
      <c r="L404" s="122"/>
      <c r="M404" s="207"/>
      <c r="N404" s="207"/>
      <c r="O404" s="122"/>
      <c r="P404" s="205"/>
      <c r="Q404" s="205"/>
      <c r="R404" s="205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</row>
    <row r="405">
      <c r="A405" s="122"/>
      <c r="B405" s="204"/>
      <c r="C405" s="204"/>
      <c r="D405" s="204"/>
      <c r="E405" s="205"/>
      <c r="F405" s="205"/>
      <c r="G405" s="205"/>
      <c r="H405" s="206"/>
      <c r="I405" s="207"/>
      <c r="J405" s="207"/>
      <c r="K405" s="207"/>
      <c r="L405" s="122"/>
      <c r="M405" s="207"/>
      <c r="N405" s="207"/>
      <c r="O405" s="122"/>
      <c r="P405" s="205"/>
      <c r="Q405" s="205"/>
      <c r="R405" s="205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</row>
    <row r="406">
      <c r="A406" s="122"/>
      <c r="B406" s="204"/>
      <c r="C406" s="204"/>
      <c r="D406" s="204"/>
      <c r="E406" s="205"/>
      <c r="F406" s="205"/>
      <c r="G406" s="205"/>
      <c r="H406" s="206"/>
      <c r="I406" s="207"/>
      <c r="J406" s="207"/>
      <c r="K406" s="207"/>
      <c r="L406" s="122"/>
      <c r="M406" s="207"/>
      <c r="N406" s="207"/>
      <c r="O406" s="122"/>
      <c r="P406" s="205"/>
      <c r="Q406" s="205"/>
      <c r="R406" s="205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</row>
    <row r="407">
      <c r="A407" s="122"/>
      <c r="B407" s="204"/>
      <c r="C407" s="204"/>
      <c r="D407" s="204"/>
      <c r="E407" s="205"/>
      <c r="F407" s="205"/>
      <c r="G407" s="205"/>
      <c r="H407" s="206"/>
      <c r="I407" s="207"/>
      <c r="J407" s="207"/>
      <c r="K407" s="207"/>
      <c r="L407" s="122"/>
      <c r="M407" s="207"/>
      <c r="N407" s="207"/>
      <c r="O407" s="122"/>
      <c r="P407" s="205"/>
      <c r="Q407" s="205"/>
      <c r="R407" s="205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</row>
    <row r="408">
      <c r="A408" s="122"/>
      <c r="B408" s="204"/>
      <c r="C408" s="204"/>
      <c r="D408" s="204"/>
      <c r="E408" s="205"/>
      <c r="F408" s="205"/>
      <c r="G408" s="205"/>
      <c r="H408" s="206"/>
      <c r="I408" s="207"/>
      <c r="J408" s="207"/>
      <c r="K408" s="207"/>
      <c r="L408" s="122"/>
      <c r="M408" s="207"/>
      <c r="N408" s="207"/>
      <c r="O408" s="122"/>
      <c r="P408" s="205"/>
      <c r="Q408" s="205"/>
      <c r="R408" s="205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</row>
    <row r="409">
      <c r="A409" s="122"/>
      <c r="B409" s="204"/>
      <c r="C409" s="204"/>
      <c r="D409" s="204"/>
      <c r="E409" s="205"/>
      <c r="F409" s="205"/>
      <c r="G409" s="205"/>
      <c r="H409" s="206"/>
      <c r="I409" s="207"/>
      <c r="J409" s="207"/>
      <c r="K409" s="207"/>
      <c r="L409" s="122"/>
      <c r="M409" s="207"/>
      <c r="N409" s="207"/>
      <c r="O409" s="122"/>
      <c r="P409" s="205"/>
      <c r="Q409" s="205"/>
      <c r="R409" s="205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</row>
    <row r="410">
      <c r="A410" s="122"/>
      <c r="B410" s="204"/>
      <c r="C410" s="204"/>
      <c r="D410" s="204"/>
      <c r="E410" s="205"/>
      <c r="F410" s="205"/>
      <c r="G410" s="205"/>
      <c r="H410" s="206"/>
      <c r="I410" s="207"/>
      <c r="J410" s="207"/>
      <c r="K410" s="207"/>
      <c r="L410" s="122"/>
      <c r="M410" s="207"/>
      <c r="N410" s="207"/>
      <c r="O410" s="122"/>
      <c r="P410" s="205"/>
      <c r="Q410" s="205"/>
      <c r="R410" s="205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</row>
    <row r="411">
      <c r="A411" s="122"/>
      <c r="B411" s="204"/>
      <c r="C411" s="204"/>
      <c r="D411" s="204"/>
      <c r="E411" s="205"/>
      <c r="F411" s="205"/>
      <c r="G411" s="205"/>
      <c r="H411" s="206"/>
      <c r="I411" s="207"/>
      <c r="J411" s="207"/>
      <c r="K411" s="207"/>
      <c r="L411" s="122"/>
      <c r="M411" s="207"/>
      <c r="N411" s="207"/>
      <c r="O411" s="122"/>
      <c r="P411" s="205"/>
      <c r="Q411" s="205"/>
      <c r="R411" s="205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</row>
    <row r="412">
      <c r="A412" s="122"/>
      <c r="B412" s="204"/>
      <c r="C412" s="204"/>
      <c r="D412" s="204"/>
      <c r="E412" s="205"/>
      <c r="F412" s="205"/>
      <c r="G412" s="205"/>
      <c r="H412" s="206"/>
      <c r="I412" s="207"/>
      <c r="J412" s="207"/>
      <c r="K412" s="207"/>
      <c r="L412" s="122"/>
      <c r="M412" s="207"/>
      <c r="N412" s="207"/>
      <c r="O412" s="122"/>
      <c r="P412" s="205"/>
      <c r="Q412" s="205"/>
      <c r="R412" s="205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</row>
    <row r="413">
      <c r="A413" s="122"/>
      <c r="B413" s="204"/>
      <c r="C413" s="204"/>
      <c r="D413" s="204"/>
      <c r="E413" s="205"/>
      <c r="F413" s="205"/>
      <c r="G413" s="205"/>
      <c r="H413" s="206"/>
      <c r="I413" s="207"/>
      <c r="J413" s="207"/>
      <c r="K413" s="207"/>
      <c r="L413" s="122"/>
      <c r="M413" s="207"/>
      <c r="N413" s="207"/>
      <c r="O413" s="122"/>
      <c r="P413" s="205"/>
      <c r="Q413" s="205"/>
      <c r="R413" s="205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</row>
    <row r="414">
      <c r="A414" s="122"/>
      <c r="B414" s="204"/>
      <c r="C414" s="204"/>
      <c r="D414" s="204"/>
      <c r="E414" s="205"/>
      <c r="F414" s="205"/>
      <c r="G414" s="205"/>
      <c r="H414" s="206"/>
      <c r="I414" s="207"/>
      <c r="J414" s="207"/>
      <c r="K414" s="207"/>
      <c r="L414" s="122"/>
      <c r="M414" s="207"/>
      <c r="N414" s="207"/>
      <c r="O414" s="122"/>
      <c r="P414" s="205"/>
      <c r="Q414" s="205"/>
      <c r="R414" s="205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</row>
    <row r="415">
      <c r="A415" s="122"/>
      <c r="B415" s="204"/>
      <c r="C415" s="204"/>
      <c r="D415" s="204"/>
      <c r="E415" s="205"/>
      <c r="F415" s="205"/>
      <c r="G415" s="205"/>
      <c r="H415" s="206"/>
      <c r="I415" s="207"/>
      <c r="J415" s="207"/>
      <c r="K415" s="207"/>
      <c r="L415" s="122"/>
      <c r="M415" s="207"/>
      <c r="N415" s="207"/>
      <c r="O415" s="122"/>
      <c r="P415" s="205"/>
      <c r="Q415" s="205"/>
      <c r="R415" s="205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</row>
    <row r="416">
      <c r="A416" s="122"/>
      <c r="B416" s="204"/>
      <c r="C416" s="204"/>
      <c r="D416" s="204"/>
      <c r="E416" s="205"/>
      <c r="F416" s="205"/>
      <c r="G416" s="205"/>
      <c r="H416" s="206"/>
      <c r="I416" s="207"/>
      <c r="J416" s="207"/>
      <c r="K416" s="207"/>
      <c r="L416" s="122"/>
      <c r="M416" s="207"/>
      <c r="N416" s="207"/>
      <c r="O416" s="122"/>
      <c r="P416" s="205"/>
      <c r="Q416" s="205"/>
      <c r="R416" s="205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</row>
    <row r="417">
      <c r="A417" s="122"/>
      <c r="B417" s="204"/>
      <c r="C417" s="204"/>
      <c r="D417" s="204"/>
      <c r="E417" s="205"/>
      <c r="F417" s="205"/>
      <c r="G417" s="205"/>
      <c r="H417" s="206"/>
      <c r="I417" s="207"/>
      <c r="J417" s="207"/>
      <c r="K417" s="207"/>
      <c r="L417" s="122"/>
      <c r="M417" s="207"/>
      <c r="N417" s="207"/>
      <c r="O417" s="122"/>
      <c r="P417" s="205"/>
      <c r="Q417" s="205"/>
      <c r="R417" s="205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</row>
    <row r="418">
      <c r="A418" s="122"/>
      <c r="B418" s="204"/>
      <c r="C418" s="204"/>
      <c r="D418" s="204"/>
      <c r="E418" s="205"/>
      <c r="F418" s="205"/>
      <c r="G418" s="205"/>
      <c r="H418" s="206"/>
      <c r="I418" s="207"/>
      <c r="J418" s="207"/>
      <c r="K418" s="207"/>
      <c r="L418" s="122"/>
      <c r="M418" s="207"/>
      <c r="N418" s="207"/>
      <c r="O418" s="122"/>
      <c r="P418" s="205"/>
      <c r="Q418" s="205"/>
      <c r="R418" s="205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</row>
    <row r="419">
      <c r="A419" s="122"/>
      <c r="B419" s="204"/>
      <c r="C419" s="204"/>
      <c r="D419" s="204"/>
      <c r="E419" s="205"/>
      <c r="F419" s="205"/>
      <c r="G419" s="205"/>
      <c r="H419" s="206"/>
      <c r="I419" s="207"/>
      <c r="J419" s="207"/>
      <c r="K419" s="207"/>
      <c r="L419" s="122"/>
      <c r="M419" s="207"/>
      <c r="N419" s="207"/>
      <c r="O419" s="122"/>
      <c r="P419" s="205"/>
      <c r="Q419" s="205"/>
      <c r="R419" s="205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</row>
    <row r="420">
      <c r="A420" s="122"/>
      <c r="B420" s="204"/>
      <c r="C420" s="204"/>
      <c r="D420" s="204"/>
      <c r="E420" s="205"/>
      <c r="F420" s="205"/>
      <c r="G420" s="205"/>
      <c r="H420" s="206"/>
      <c r="I420" s="207"/>
      <c r="J420" s="207"/>
      <c r="K420" s="207"/>
      <c r="L420" s="122"/>
      <c r="M420" s="207"/>
      <c r="N420" s="207"/>
      <c r="O420" s="122"/>
      <c r="P420" s="205"/>
      <c r="Q420" s="205"/>
      <c r="R420" s="205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</row>
    <row r="421">
      <c r="A421" s="122"/>
      <c r="B421" s="204"/>
      <c r="C421" s="204"/>
      <c r="D421" s="204"/>
      <c r="E421" s="205"/>
      <c r="F421" s="205"/>
      <c r="G421" s="205"/>
      <c r="H421" s="206"/>
      <c r="I421" s="207"/>
      <c r="J421" s="207"/>
      <c r="K421" s="207"/>
      <c r="L421" s="122"/>
      <c r="M421" s="207"/>
      <c r="N421" s="207"/>
      <c r="O421" s="122"/>
      <c r="P421" s="205"/>
      <c r="Q421" s="205"/>
      <c r="R421" s="205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</row>
    <row r="422">
      <c r="A422" s="122"/>
      <c r="B422" s="204"/>
      <c r="C422" s="204"/>
      <c r="D422" s="204"/>
      <c r="E422" s="205"/>
      <c r="F422" s="205"/>
      <c r="G422" s="205"/>
      <c r="H422" s="206"/>
      <c r="I422" s="207"/>
      <c r="J422" s="207"/>
      <c r="K422" s="207"/>
      <c r="L422" s="122"/>
      <c r="M422" s="207"/>
      <c r="N422" s="207"/>
      <c r="O422" s="122"/>
      <c r="P422" s="205"/>
      <c r="Q422" s="205"/>
      <c r="R422" s="205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</row>
    <row r="423">
      <c r="A423" s="122"/>
      <c r="B423" s="204"/>
      <c r="C423" s="204"/>
      <c r="D423" s="204"/>
      <c r="E423" s="205"/>
      <c r="F423" s="205"/>
      <c r="G423" s="205"/>
      <c r="H423" s="206"/>
      <c r="I423" s="207"/>
      <c r="J423" s="207"/>
      <c r="K423" s="207"/>
      <c r="L423" s="122"/>
      <c r="M423" s="207"/>
      <c r="N423" s="207"/>
      <c r="O423" s="122"/>
      <c r="P423" s="205"/>
      <c r="Q423" s="205"/>
      <c r="R423" s="205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</row>
    <row r="424">
      <c r="A424" s="122"/>
      <c r="B424" s="204"/>
      <c r="C424" s="204"/>
      <c r="D424" s="204"/>
      <c r="E424" s="205"/>
      <c r="F424" s="205"/>
      <c r="G424" s="205"/>
      <c r="H424" s="206"/>
      <c r="I424" s="207"/>
      <c r="J424" s="207"/>
      <c r="K424" s="207"/>
      <c r="L424" s="122"/>
      <c r="M424" s="207"/>
      <c r="N424" s="207"/>
      <c r="O424" s="122"/>
      <c r="P424" s="205"/>
      <c r="Q424" s="205"/>
      <c r="R424" s="205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</row>
    <row r="425">
      <c r="A425" s="122"/>
      <c r="B425" s="204"/>
      <c r="C425" s="204"/>
      <c r="D425" s="204"/>
      <c r="E425" s="205"/>
      <c r="F425" s="205"/>
      <c r="G425" s="205"/>
      <c r="H425" s="206"/>
      <c r="I425" s="207"/>
      <c r="J425" s="207"/>
      <c r="K425" s="207"/>
      <c r="L425" s="122"/>
      <c r="M425" s="207"/>
      <c r="N425" s="207"/>
      <c r="O425" s="122"/>
      <c r="P425" s="205"/>
      <c r="Q425" s="205"/>
      <c r="R425" s="205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</row>
    <row r="426">
      <c r="A426" s="122"/>
      <c r="B426" s="204"/>
      <c r="C426" s="204"/>
      <c r="D426" s="204"/>
      <c r="E426" s="205"/>
      <c r="F426" s="205"/>
      <c r="G426" s="205"/>
      <c r="H426" s="206"/>
      <c r="I426" s="207"/>
      <c r="J426" s="207"/>
      <c r="K426" s="207"/>
      <c r="L426" s="122"/>
      <c r="M426" s="207"/>
      <c r="N426" s="207"/>
      <c r="O426" s="122"/>
      <c r="P426" s="205"/>
      <c r="Q426" s="205"/>
      <c r="R426" s="205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</row>
    <row r="427">
      <c r="A427" s="122"/>
      <c r="B427" s="204"/>
      <c r="C427" s="204"/>
      <c r="D427" s="204"/>
      <c r="E427" s="205"/>
      <c r="F427" s="205"/>
      <c r="G427" s="205"/>
      <c r="H427" s="206"/>
      <c r="I427" s="207"/>
      <c r="J427" s="207"/>
      <c r="K427" s="207"/>
      <c r="L427" s="122"/>
      <c r="M427" s="207"/>
      <c r="N427" s="207"/>
      <c r="O427" s="122"/>
      <c r="P427" s="205"/>
      <c r="Q427" s="205"/>
      <c r="R427" s="205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</row>
    <row r="428">
      <c r="A428" s="122"/>
      <c r="B428" s="204"/>
      <c r="C428" s="204"/>
      <c r="D428" s="204"/>
      <c r="E428" s="205"/>
      <c r="F428" s="205"/>
      <c r="G428" s="205"/>
      <c r="H428" s="206"/>
      <c r="I428" s="207"/>
      <c r="J428" s="207"/>
      <c r="K428" s="207"/>
      <c r="L428" s="122"/>
      <c r="M428" s="207"/>
      <c r="N428" s="207"/>
      <c r="O428" s="122"/>
      <c r="P428" s="205"/>
      <c r="Q428" s="205"/>
      <c r="R428" s="205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</row>
    <row r="429">
      <c r="A429" s="122"/>
      <c r="B429" s="204"/>
      <c r="C429" s="204"/>
      <c r="D429" s="204"/>
      <c r="E429" s="205"/>
      <c r="F429" s="205"/>
      <c r="G429" s="205"/>
      <c r="H429" s="206"/>
      <c r="I429" s="207"/>
      <c r="J429" s="207"/>
      <c r="K429" s="207"/>
      <c r="L429" s="122"/>
      <c r="M429" s="207"/>
      <c r="N429" s="207"/>
      <c r="O429" s="122"/>
      <c r="P429" s="205"/>
      <c r="Q429" s="205"/>
      <c r="R429" s="205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</row>
    <row r="430">
      <c r="A430" s="122"/>
      <c r="B430" s="204"/>
      <c r="C430" s="204"/>
      <c r="D430" s="204"/>
      <c r="E430" s="205"/>
      <c r="F430" s="205"/>
      <c r="G430" s="205"/>
      <c r="H430" s="206"/>
      <c r="I430" s="207"/>
      <c r="J430" s="207"/>
      <c r="K430" s="207"/>
      <c r="L430" s="122"/>
      <c r="M430" s="207"/>
      <c r="N430" s="207"/>
      <c r="O430" s="122"/>
      <c r="P430" s="205"/>
      <c r="Q430" s="205"/>
      <c r="R430" s="205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</row>
    <row r="431">
      <c r="A431" s="122"/>
      <c r="B431" s="204"/>
      <c r="C431" s="204"/>
      <c r="D431" s="204"/>
      <c r="E431" s="205"/>
      <c r="F431" s="205"/>
      <c r="G431" s="205"/>
      <c r="H431" s="206"/>
      <c r="I431" s="207"/>
      <c r="J431" s="207"/>
      <c r="K431" s="207"/>
      <c r="L431" s="122"/>
      <c r="M431" s="207"/>
      <c r="N431" s="207"/>
      <c r="O431" s="122"/>
      <c r="P431" s="205"/>
      <c r="Q431" s="205"/>
      <c r="R431" s="205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</row>
    <row r="432">
      <c r="A432" s="122"/>
      <c r="B432" s="204"/>
      <c r="C432" s="204"/>
      <c r="D432" s="204"/>
      <c r="E432" s="205"/>
      <c r="F432" s="205"/>
      <c r="G432" s="205"/>
      <c r="H432" s="206"/>
      <c r="I432" s="207"/>
      <c r="J432" s="207"/>
      <c r="K432" s="207"/>
      <c r="L432" s="122"/>
      <c r="M432" s="207"/>
      <c r="N432" s="207"/>
      <c r="O432" s="122"/>
      <c r="P432" s="205"/>
      <c r="Q432" s="205"/>
      <c r="R432" s="205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</row>
    <row r="433">
      <c r="A433" s="122"/>
      <c r="B433" s="204"/>
      <c r="C433" s="204"/>
      <c r="D433" s="204"/>
      <c r="E433" s="205"/>
      <c r="F433" s="205"/>
      <c r="G433" s="205"/>
      <c r="H433" s="206"/>
      <c r="I433" s="207"/>
      <c r="J433" s="207"/>
      <c r="K433" s="207"/>
      <c r="L433" s="122"/>
      <c r="M433" s="207"/>
      <c r="N433" s="207"/>
      <c r="O433" s="122"/>
      <c r="P433" s="205"/>
      <c r="Q433" s="205"/>
      <c r="R433" s="205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</row>
    <row r="434">
      <c r="A434" s="122"/>
      <c r="B434" s="204"/>
      <c r="C434" s="204"/>
      <c r="D434" s="204"/>
      <c r="E434" s="205"/>
      <c r="F434" s="205"/>
      <c r="G434" s="205"/>
      <c r="H434" s="206"/>
      <c r="I434" s="207"/>
      <c r="J434" s="207"/>
      <c r="K434" s="207"/>
      <c r="L434" s="122"/>
      <c r="M434" s="207"/>
      <c r="N434" s="207"/>
      <c r="O434" s="122"/>
      <c r="P434" s="205"/>
      <c r="Q434" s="205"/>
      <c r="R434" s="205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</row>
    <row r="435">
      <c r="A435" s="122"/>
      <c r="B435" s="204"/>
      <c r="C435" s="204"/>
      <c r="D435" s="204"/>
      <c r="E435" s="205"/>
      <c r="F435" s="205"/>
      <c r="G435" s="205"/>
      <c r="H435" s="206"/>
      <c r="I435" s="207"/>
      <c r="J435" s="207"/>
      <c r="K435" s="207"/>
      <c r="L435" s="122"/>
      <c r="M435" s="207"/>
      <c r="N435" s="207"/>
      <c r="O435" s="122"/>
      <c r="P435" s="205"/>
      <c r="Q435" s="205"/>
      <c r="R435" s="205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</row>
    <row r="436">
      <c r="A436" s="122"/>
      <c r="B436" s="204"/>
      <c r="C436" s="204"/>
      <c r="D436" s="204"/>
      <c r="E436" s="205"/>
      <c r="F436" s="205"/>
      <c r="G436" s="205"/>
      <c r="H436" s="206"/>
      <c r="I436" s="207"/>
      <c r="J436" s="207"/>
      <c r="K436" s="207"/>
      <c r="L436" s="122"/>
      <c r="M436" s="207"/>
      <c r="N436" s="207"/>
      <c r="O436" s="122"/>
      <c r="P436" s="205"/>
      <c r="Q436" s="205"/>
      <c r="R436" s="205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</row>
    <row r="437">
      <c r="A437" s="122"/>
      <c r="B437" s="204"/>
      <c r="C437" s="204"/>
      <c r="D437" s="204"/>
      <c r="E437" s="205"/>
      <c r="F437" s="205"/>
      <c r="G437" s="205"/>
      <c r="H437" s="206"/>
      <c r="I437" s="207"/>
      <c r="J437" s="207"/>
      <c r="K437" s="207"/>
      <c r="L437" s="122"/>
      <c r="M437" s="207"/>
      <c r="N437" s="207"/>
      <c r="O437" s="122"/>
      <c r="P437" s="205"/>
      <c r="Q437" s="205"/>
      <c r="R437" s="205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</row>
    <row r="438">
      <c r="A438" s="122"/>
      <c r="B438" s="204"/>
      <c r="C438" s="204"/>
      <c r="D438" s="204"/>
      <c r="E438" s="205"/>
      <c r="F438" s="205"/>
      <c r="G438" s="205"/>
      <c r="H438" s="206"/>
      <c r="I438" s="207"/>
      <c r="J438" s="207"/>
      <c r="K438" s="207"/>
      <c r="L438" s="122"/>
      <c r="M438" s="207"/>
      <c r="N438" s="207"/>
      <c r="O438" s="122"/>
      <c r="P438" s="205"/>
      <c r="Q438" s="205"/>
      <c r="R438" s="205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</row>
    <row r="439">
      <c r="A439" s="122"/>
      <c r="B439" s="204"/>
      <c r="C439" s="204"/>
      <c r="D439" s="204"/>
      <c r="E439" s="205"/>
      <c r="F439" s="205"/>
      <c r="G439" s="205"/>
      <c r="H439" s="206"/>
      <c r="I439" s="207"/>
      <c r="J439" s="207"/>
      <c r="K439" s="207"/>
      <c r="L439" s="122"/>
      <c r="M439" s="207"/>
      <c r="N439" s="207"/>
      <c r="O439" s="122"/>
      <c r="P439" s="205"/>
      <c r="Q439" s="205"/>
      <c r="R439" s="205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</row>
    <row r="440">
      <c r="A440" s="122"/>
      <c r="B440" s="204"/>
      <c r="C440" s="204"/>
      <c r="D440" s="204"/>
      <c r="E440" s="205"/>
      <c r="F440" s="205"/>
      <c r="G440" s="205"/>
      <c r="H440" s="206"/>
      <c r="I440" s="207"/>
      <c r="J440" s="207"/>
      <c r="K440" s="207"/>
      <c r="L440" s="122"/>
      <c r="M440" s="207"/>
      <c r="N440" s="207"/>
      <c r="O440" s="122"/>
      <c r="P440" s="205"/>
      <c r="Q440" s="205"/>
      <c r="R440" s="205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</row>
    <row r="441">
      <c r="A441" s="122"/>
      <c r="B441" s="204"/>
      <c r="C441" s="204"/>
      <c r="D441" s="204"/>
      <c r="E441" s="205"/>
      <c r="F441" s="205"/>
      <c r="G441" s="205"/>
      <c r="H441" s="206"/>
      <c r="I441" s="207"/>
      <c r="J441" s="207"/>
      <c r="K441" s="207"/>
      <c r="L441" s="122"/>
      <c r="M441" s="207"/>
      <c r="N441" s="207"/>
      <c r="O441" s="122"/>
      <c r="P441" s="205"/>
      <c r="Q441" s="205"/>
      <c r="R441" s="205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</row>
    <row r="442">
      <c r="A442" s="122"/>
      <c r="B442" s="204"/>
      <c r="C442" s="204"/>
      <c r="D442" s="204"/>
      <c r="E442" s="205"/>
      <c r="F442" s="205"/>
      <c r="G442" s="205"/>
      <c r="H442" s="206"/>
      <c r="I442" s="207"/>
      <c r="J442" s="207"/>
      <c r="K442" s="207"/>
      <c r="L442" s="122"/>
      <c r="M442" s="207"/>
      <c r="N442" s="207"/>
      <c r="O442" s="122"/>
      <c r="P442" s="205"/>
      <c r="Q442" s="205"/>
      <c r="R442" s="205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</row>
    <row r="443">
      <c r="A443" s="122"/>
      <c r="B443" s="204"/>
      <c r="C443" s="204"/>
      <c r="D443" s="204"/>
      <c r="E443" s="205"/>
      <c r="F443" s="205"/>
      <c r="G443" s="205"/>
      <c r="H443" s="206"/>
      <c r="I443" s="207"/>
      <c r="J443" s="207"/>
      <c r="K443" s="207"/>
      <c r="L443" s="122"/>
      <c r="M443" s="207"/>
      <c r="N443" s="207"/>
      <c r="O443" s="122"/>
      <c r="P443" s="205"/>
      <c r="Q443" s="205"/>
      <c r="R443" s="205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</row>
    <row r="444">
      <c r="A444" s="122"/>
      <c r="B444" s="204"/>
      <c r="C444" s="204"/>
      <c r="D444" s="204"/>
      <c r="E444" s="205"/>
      <c r="F444" s="205"/>
      <c r="G444" s="205"/>
      <c r="H444" s="206"/>
      <c r="I444" s="207"/>
      <c r="J444" s="207"/>
      <c r="K444" s="207"/>
      <c r="L444" s="122"/>
      <c r="M444" s="207"/>
      <c r="N444" s="207"/>
      <c r="O444" s="122"/>
      <c r="P444" s="205"/>
      <c r="Q444" s="205"/>
      <c r="R444" s="205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</row>
    <row r="445">
      <c r="A445" s="122"/>
      <c r="B445" s="204"/>
      <c r="C445" s="204"/>
      <c r="D445" s="204"/>
      <c r="E445" s="205"/>
      <c r="F445" s="205"/>
      <c r="G445" s="205"/>
      <c r="H445" s="206"/>
      <c r="I445" s="207"/>
      <c r="J445" s="207"/>
      <c r="K445" s="207"/>
      <c r="L445" s="122"/>
      <c r="M445" s="207"/>
      <c r="N445" s="207"/>
      <c r="O445" s="122"/>
      <c r="P445" s="205"/>
      <c r="Q445" s="205"/>
      <c r="R445" s="205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</row>
    <row r="446">
      <c r="A446" s="122"/>
      <c r="B446" s="204"/>
      <c r="C446" s="204"/>
      <c r="D446" s="204"/>
      <c r="E446" s="205"/>
      <c r="F446" s="205"/>
      <c r="G446" s="205"/>
      <c r="H446" s="206"/>
      <c r="I446" s="207"/>
      <c r="J446" s="207"/>
      <c r="K446" s="207"/>
      <c r="L446" s="122"/>
      <c r="M446" s="207"/>
      <c r="N446" s="207"/>
      <c r="O446" s="122"/>
      <c r="P446" s="205"/>
      <c r="Q446" s="205"/>
      <c r="R446" s="205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</row>
    <row r="447">
      <c r="A447" s="122"/>
      <c r="B447" s="204"/>
      <c r="C447" s="204"/>
      <c r="D447" s="204"/>
      <c r="E447" s="205"/>
      <c r="F447" s="205"/>
      <c r="G447" s="205"/>
      <c r="H447" s="206"/>
      <c r="I447" s="207"/>
      <c r="J447" s="207"/>
      <c r="K447" s="207"/>
      <c r="L447" s="122"/>
      <c r="M447" s="207"/>
      <c r="N447" s="207"/>
      <c r="O447" s="122"/>
      <c r="P447" s="205"/>
      <c r="Q447" s="205"/>
      <c r="R447" s="205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</row>
    <row r="448">
      <c r="A448" s="122"/>
      <c r="B448" s="204"/>
      <c r="C448" s="204"/>
      <c r="D448" s="204"/>
      <c r="E448" s="205"/>
      <c r="F448" s="205"/>
      <c r="G448" s="205"/>
      <c r="H448" s="206"/>
      <c r="I448" s="207"/>
      <c r="J448" s="207"/>
      <c r="K448" s="207"/>
      <c r="L448" s="122"/>
      <c r="M448" s="207"/>
      <c r="N448" s="207"/>
      <c r="O448" s="122"/>
      <c r="P448" s="205"/>
      <c r="Q448" s="205"/>
      <c r="R448" s="205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</row>
    <row r="449">
      <c r="A449" s="122"/>
      <c r="B449" s="204"/>
      <c r="C449" s="204"/>
      <c r="D449" s="204"/>
      <c r="E449" s="205"/>
      <c r="F449" s="205"/>
      <c r="G449" s="205"/>
      <c r="H449" s="206"/>
      <c r="I449" s="207"/>
      <c r="J449" s="207"/>
      <c r="K449" s="207"/>
      <c r="L449" s="122"/>
      <c r="M449" s="207"/>
      <c r="N449" s="207"/>
      <c r="O449" s="122"/>
      <c r="P449" s="205"/>
      <c r="Q449" s="205"/>
      <c r="R449" s="205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</row>
    <row r="450">
      <c r="A450" s="122"/>
      <c r="B450" s="204"/>
      <c r="C450" s="204"/>
      <c r="D450" s="204"/>
      <c r="E450" s="205"/>
      <c r="F450" s="205"/>
      <c r="G450" s="205"/>
      <c r="H450" s="206"/>
      <c r="I450" s="207"/>
      <c r="J450" s="207"/>
      <c r="K450" s="207"/>
      <c r="L450" s="122"/>
      <c r="M450" s="207"/>
      <c r="N450" s="207"/>
      <c r="O450" s="122"/>
      <c r="P450" s="205"/>
      <c r="Q450" s="205"/>
      <c r="R450" s="205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</row>
    <row r="451">
      <c r="A451" s="122"/>
      <c r="B451" s="204"/>
      <c r="C451" s="204"/>
      <c r="D451" s="204"/>
      <c r="E451" s="205"/>
      <c r="F451" s="205"/>
      <c r="G451" s="205"/>
      <c r="H451" s="206"/>
      <c r="I451" s="207"/>
      <c r="J451" s="207"/>
      <c r="K451" s="207"/>
      <c r="L451" s="122"/>
      <c r="M451" s="207"/>
      <c r="N451" s="207"/>
      <c r="O451" s="122"/>
      <c r="P451" s="205"/>
      <c r="Q451" s="205"/>
      <c r="R451" s="205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</row>
    <row r="452">
      <c r="A452" s="122"/>
      <c r="B452" s="204"/>
      <c r="C452" s="204"/>
      <c r="D452" s="204"/>
      <c r="E452" s="205"/>
      <c r="F452" s="205"/>
      <c r="G452" s="205"/>
      <c r="H452" s="206"/>
      <c r="I452" s="207"/>
      <c r="J452" s="207"/>
      <c r="K452" s="207"/>
      <c r="L452" s="122"/>
      <c r="M452" s="207"/>
      <c r="N452" s="207"/>
      <c r="O452" s="122"/>
      <c r="P452" s="205"/>
      <c r="Q452" s="205"/>
      <c r="R452" s="205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</row>
    <row r="453">
      <c r="A453" s="122"/>
      <c r="B453" s="204"/>
      <c r="C453" s="204"/>
      <c r="D453" s="204"/>
      <c r="E453" s="205"/>
      <c r="F453" s="205"/>
      <c r="G453" s="205"/>
      <c r="H453" s="206"/>
      <c r="I453" s="207"/>
      <c r="J453" s="207"/>
      <c r="K453" s="207"/>
      <c r="L453" s="122"/>
      <c r="M453" s="207"/>
      <c r="N453" s="207"/>
      <c r="O453" s="122"/>
      <c r="P453" s="205"/>
      <c r="Q453" s="205"/>
      <c r="R453" s="205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</row>
    <row r="454">
      <c r="A454" s="122"/>
      <c r="B454" s="204"/>
      <c r="C454" s="204"/>
      <c r="D454" s="204"/>
      <c r="E454" s="205"/>
      <c r="F454" s="205"/>
      <c r="G454" s="205"/>
      <c r="H454" s="206"/>
      <c r="I454" s="207"/>
      <c r="J454" s="207"/>
      <c r="K454" s="207"/>
      <c r="L454" s="122"/>
      <c r="M454" s="207"/>
      <c r="N454" s="207"/>
      <c r="O454" s="122"/>
      <c r="P454" s="205"/>
      <c r="Q454" s="205"/>
      <c r="R454" s="205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</row>
    <row r="455">
      <c r="A455" s="122"/>
      <c r="B455" s="204"/>
      <c r="C455" s="204"/>
      <c r="D455" s="204"/>
      <c r="E455" s="205"/>
      <c r="F455" s="205"/>
      <c r="G455" s="205"/>
      <c r="H455" s="206"/>
      <c r="I455" s="207"/>
      <c r="J455" s="207"/>
      <c r="K455" s="207"/>
      <c r="L455" s="122"/>
      <c r="M455" s="207"/>
      <c r="N455" s="207"/>
      <c r="O455" s="122"/>
      <c r="P455" s="205"/>
      <c r="Q455" s="205"/>
      <c r="R455" s="205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</row>
    <row r="456">
      <c r="A456" s="122"/>
      <c r="B456" s="204"/>
      <c r="C456" s="204"/>
      <c r="D456" s="204"/>
      <c r="E456" s="205"/>
      <c r="F456" s="205"/>
      <c r="G456" s="205"/>
      <c r="H456" s="206"/>
      <c r="I456" s="207"/>
      <c r="J456" s="207"/>
      <c r="K456" s="207"/>
      <c r="L456" s="122"/>
      <c r="M456" s="207"/>
      <c r="N456" s="207"/>
      <c r="O456" s="122"/>
      <c r="P456" s="205"/>
      <c r="Q456" s="205"/>
      <c r="R456" s="205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</row>
    <row r="457">
      <c r="A457" s="122"/>
      <c r="B457" s="204"/>
      <c r="C457" s="204"/>
      <c r="D457" s="204"/>
      <c r="E457" s="205"/>
      <c r="F457" s="205"/>
      <c r="G457" s="205"/>
      <c r="H457" s="206"/>
      <c r="I457" s="207"/>
      <c r="J457" s="207"/>
      <c r="K457" s="207"/>
      <c r="L457" s="122"/>
      <c r="M457" s="207"/>
      <c r="N457" s="207"/>
      <c r="O457" s="122"/>
      <c r="P457" s="205"/>
      <c r="Q457" s="205"/>
      <c r="R457" s="205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</row>
    <row r="458">
      <c r="A458" s="122"/>
      <c r="B458" s="204"/>
      <c r="C458" s="204"/>
      <c r="D458" s="204"/>
      <c r="E458" s="205"/>
      <c r="F458" s="205"/>
      <c r="G458" s="205"/>
      <c r="H458" s="206"/>
      <c r="I458" s="207"/>
      <c r="J458" s="207"/>
      <c r="K458" s="207"/>
      <c r="L458" s="122"/>
      <c r="M458" s="207"/>
      <c r="N458" s="207"/>
      <c r="O458" s="122"/>
      <c r="P458" s="205"/>
      <c r="Q458" s="205"/>
      <c r="R458" s="205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</row>
    <row r="459">
      <c r="A459" s="122"/>
      <c r="B459" s="204"/>
      <c r="C459" s="204"/>
      <c r="D459" s="204"/>
      <c r="E459" s="205"/>
      <c r="F459" s="205"/>
      <c r="G459" s="205"/>
      <c r="H459" s="206"/>
      <c r="I459" s="207"/>
      <c r="J459" s="207"/>
      <c r="K459" s="207"/>
      <c r="L459" s="122"/>
      <c r="M459" s="207"/>
      <c r="N459" s="207"/>
      <c r="O459" s="122"/>
      <c r="P459" s="205"/>
      <c r="Q459" s="205"/>
      <c r="R459" s="205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</row>
    <row r="460">
      <c r="A460" s="122"/>
      <c r="B460" s="204"/>
      <c r="C460" s="204"/>
      <c r="D460" s="204"/>
      <c r="E460" s="205"/>
      <c r="F460" s="205"/>
      <c r="G460" s="205"/>
      <c r="H460" s="206"/>
      <c r="I460" s="207"/>
      <c r="J460" s="207"/>
      <c r="K460" s="207"/>
      <c r="L460" s="122"/>
      <c r="M460" s="207"/>
      <c r="N460" s="207"/>
      <c r="O460" s="122"/>
      <c r="P460" s="205"/>
      <c r="Q460" s="205"/>
      <c r="R460" s="205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</row>
    <row r="461">
      <c r="A461" s="122"/>
      <c r="B461" s="204"/>
      <c r="C461" s="204"/>
      <c r="D461" s="204"/>
      <c r="E461" s="205"/>
      <c r="F461" s="205"/>
      <c r="G461" s="205"/>
      <c r="H461" s="206"/>
      <c r="I461" s="207"/>
      <c r="J461" s="207"/>
      <c r="K461" s="207"/>
      <c r="L461" s="122"/>
      <c r="M461" s="207"/>
      <c r="N461" s="207"/>
      <c r="O461" s="122"/>
      <c r="P461" s="205"/>
      <c r="Q461" s="205"/>
      <c r="R461" s="205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</row>
    <row r="462">
      <c r="A462" s="122"/>
      <c r="B462" s="204"/>
      <c r="C462" s="204"/>
      <c r="D462" s="204"/>
      <c r="E462" s="205"/>
      <c r="F462" s="205"/>
      <c r="G462" s="205"/>
      <c r="H462" s="206"/>
      <c r="I462" s="207"/>
      <c r="J462" s="207"/>
      <c r="K462" s="207"/>
      <c r="L462" s="122"/>
      <c r="M462" s="207"/>
      <c r="N462" s="207"/>
      <c r="O462" s="122"/>
      <c r="P462" s="205"/>
      <c r="Q462" s="205"/>
      <c r="R462" s="205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</row>
    <row r="463">
      <c r="A463" s="122"/>
      <c r="B463" s="204"/>
      <c r="C463" s="204"/>
      <c r="D463" s="204"/>
      <c r="E463" s="205"/>
      <c r="F463" s="205"/>
      <c r="G463" s="205"/>
      <c r="H463" s="206"/>
      <c r="I463" s="207"/>
      <c r="J463" s="207"/>
      <c r="K463" s="207"/>
      <c r="L463" s="122"/>
      <c r="M463" s="207"/>
      <c r="N463" s="207"/>
      <c r="O463" s="122"/>
      <c r="P463" s="205"/>
      <c r="Q463" s="205"/>
      <c r="R463" s="205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</row>
    <row r="464">
      <c r="A464" s="122"/>
      <c r="B464" s="204"/>
      <c r="C464" s="204"/>
      <c r="D464" s="204"/>
      <c r="E464" s="205"/>
      <c r="F464" s="205"/>
      <c r="G464" s="205"/>
      <c r="H464" s="206"/>
      <c r="I464" s="207"/>
      <c r="J464" s="207"/>
      <c r="K464" s="207"/>
      <c r="L464" s="122"/>
      <c r="M464" s="207"/>
      <c r="N464" s="207"/>
      <c r="O464" s="122"/>
      <c r="P464" s="205"/>
      <c r="Q464" s="205"/>
      <c r="R464" s="205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</row>
    <row r="465">
      <c r="A465" s="122"/>
      <c r="B465" s="204"/>
      <c r="C465" s="204"/>
      <c r="D465" s="204"/>
      <c r="E465" s="205"/>
      <c r="F465" s="205"/>
      <c r="G465" s="205"/>
      <c r="H465" s="206"/>
      <c r="I465" s="207"/>
      <c r="J465" s="207"/>
      <c r="K465" s="207"/>
      <c r="L465" s="122"/>
      <c r="M465" s="207"/>
      <c r="N465" s="207"/>
      <c r="O465" s="122"/>
      <c r="P465" s="205"/>
      <c r="Q465" s="205"/>
      <c r="R465" s="205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</row>
    <row r="466">
      <c r="A466" s="122"/>
      <c r="B466" s="204"/>
      <c r="C466" s="204"/>
      <c r="D466" s="204"/>
      <c r="E466" s="205"/>
      <c r="F466" s="205"/>
      <c r="G466" s="205"/>
      <c r="H466" s="206"/>
      <c r="I466" s="207"/>
      <c r="J466" s="207"/>
      <c r="K466" s="207"/>
      <c r="L466" s="122"/>
      <c r="M466" s="207"/>
      <c r="N466" s="207"/>
      <c r="O466" s="122"/>
      <c r="P466" s="205"/>
      <c r="Q466" s="205"/>
      <c r="R466" s="205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</row>
    <row r="467">
      <c r="A467" s="122"/>
      <c r="B467" s="204"/>
      <c r="C467" s="204"/>
      <c r="D467" s="204"/>
      <c r="E467" s="205"/>
      <c r="F467" s="205"/>
      <c r="G467" s="205"/>
      <c r="H467" s="206"/>
      <c r="I467" s="207"/>
      <c r="J467" s="207"/>
      <c r="K467" s="207"/>
      <c r="L467" s="122"/>
      <c r="M467" s="207"/>
      <c r="N467" s="207"/>
      <c r="O467" s="122"/>
      <c r="P467" s="205"/>
      <c r="Q467" s="205"/>
      <c r="R467" s="205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</row>
    <row r="468">
      <c r="A468" s="122"/>
      <c r="B468" s="204"/>
      <c r="C468" s="204"/>
      <c r="D468" s="204"/>
      <c r="E468" s="205"/>
      <c r="F468" s="205"/>
      <c r="G468" s="205"/>
      <c r="H468" s="206"/>
      <c r="I468" s="207"/>
      <c r="J468" s="207"/>
      <c r="K468" s="207"/>
      <c r="L468" s="122"/>
      <c r="M468" s="207"/>
      <c r="N468" s="207"/>
      <c r="O468" s="122"/>
      <c r="P468" s="205"/>
      <c r="Q468" s="205"/>
      <c r="R468" s="205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</row>
    <row r="469">
      <c r="A469" s="122"/>
      <c r="B469" s="204"/>
      <c r="C469" s="204"/>
      <c r="D469" s="204"/>
      <c r="E469" s="205"/>
      <c r="F469" s="205"/>
      <c r="G469" s="205"/>
      <c r="H469" s="206"/>
      <c r="I469" s="207"/>
      <c r="J469" s="207"/>
      <c r="K469" s="207"/>
      <c r="L469" s="122"/>
      <c r="M469" s="207"/>
      <c r="N469" s="207"/>
      <c r="O469" s="122"/>
      <c r="P469" s="205"/>
      <c r="Q469" s="205"/>
      <c r="R469" s="205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</row>
    <row r="470">
      <c r="A470" s="122"/>
      <c r="B470" s="204"/>
      <c r="C470" s="204"/>
      <c r="D470" s="204"/>
      <c r="E470" s="205"/>
      <c r="F470" s="205"/>
      <c r="G470" s="205"/>
      <c r="H470" s="206"/>
      <c r="I470" s="207"/>
      <c r="J470" s="207"/>
      <c r="K470" s="207"/>
      <c r="L470" s="122"/>
      <c r="M470" s="207"/>
      <c r="N470" s="207"/>
      <c r="O470" s="122"/>
      <c r="P470" s="205"/>
      <c r="Q470" s="205"/>
      <c r="R470" s="205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</row>
    <row r="471">
      <c r="A471" s="122"/>
      <c r="B471" s="204"/>
      <c r="C471" s="204"/>
      <c r="D471" s="204"/>
      <c r="E471" s="205"/>
      <c r="F471" s="205"/>
      <c r="G471" s="205"/>
      <c r="H471" s="206"/>
      <c r="I471" s="207"/>
      <c r="J471" s="207"/>
      <c r="K471" s="207"/>
      <c r="L471" s="122"/>
      <c r="M471" s="207"/>
      <c r="N471" s="207"/>
      <c r="O471" s="122"/>
      <c r="P471" s="205"/>
      <c r="Q471" s="205"/>
      <c r="R471" s="205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</row>
    <row r="472">
      <c r="A472" s="122"/>
      <c r="B472" s="204"/>
      <c r="C472" s="204"/>
      <c r="D472" s="204"/>
      <c r="E472" s="205"/>
      <c r="F472" s="205"/>
      <c r="G472" s="205"/>
      <c r="H472" s="206"/>
      <c r="I472" s="207"/>
      <c r="J472" s="207"/>
      <c r="K472" s="207"/>
      <c r="L472" s="122"/>
      <c r="M472" s="207"/>
      <c r="N472" s="207"/>
      <c r="O472" s="122"/>
      <c r="P472" s="205"/>
      <c r="Q472" s="205"/>
      <c r="R472" s="205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</row>
    <row r="473">
      <c r="A473" s="122"/>
      <c r="B473" s="204"/>
      <c r="C473" s="204"/>
      <c r="D473" s="204"/>
      <c r="E473" s="205"/>
      <c r="F473" s="205"/>
      <c r="G473" s="205"/>
      <c r="H473" s="206"/>
      <c r="I473" s="207"/>
      <c r="J473" s="207"/>
      <c r="K473" s="207"/>
      <c r="L473" s="122"/>
      <c r="M473" s="207"/>
      <c r="N473" s="207"/>
      <c r="O473" s="122"/>
      <c r="P473" s="205"/>
      <c r="Q473" s="205"/>
      <c r="R473" s="205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</row>
    <row r="474">
      <c r="A474" s="122"/>
      <c r="B474" s="204"/>
      <c r="C474" s="204"/>
      <c r="D474" s="204"/>
      <c r="E474" s="205"/>
      <c r="F474" s="205"/>
      <c r="G474" s="205"/>
      <c r="H474" s="206"/>
      <c r="I474" s="207"/>
      <c r="J474" s="207"/>
      <c r="K474" s="207"/>
      <c r="L474" s="122"/>
      <c r="M474" s="207"/>
      <c r="N474" s="207"/>
      <c r="O474" s="122"/>
      <c r="P474" s="205"/>
      <c r="Q474" s="205"/>
      <c r="R474" s="205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</row>
    <row r="475">
      <c r="A475" s="122"/>
      <c r="B475" s="204"/>
      <c r="C475" s="204"/>
      <c r="D475" s="204"/>
      <c r="E475" s="205"/>
      <c r="F475" s="205"/>
      <c r="G475" s="205"/>
      <c r="H475" s="206"/>
      <c r="I475" s="207"/>
      <c r="J475" s="207"/>
      <c r="K475" s="207"/>
      <c r="L475" s="122"/>
      <c r="M475" s="207"/>
      <c r="N475" s="207"/>
      <c r="O475" s="122"/>
      <c r="P475" s="205"/>
      <c r="Q475" s="205"/>
      <c r="R475" s="205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</row>
    <row r="476">
      <c r="A476" s="122"/>
      <c r="B476" s="204"/>
      <c r="C476" s="204"/>
      <c r="D476" s="204"/>
      <c r="E476" s="205"/>
      <c r="F476" s="205"/>
      <c r="G476" s="205"/>
      <c r="H476" s="206"/>
      <c r="I476" s="207"/>
      <c r="J476" s="207"/>
      <c r="K476" s="207"/>
      <c r="L476" s="122"/>
      <c r="M476" s="207"/>
      <c r="N476" s="207"/>
      <c r="O476" s="122"/>
      <c r="P476" s="205"/>
      <c r="Q476" s="205"/>
      <c r="R476" s="205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</row>
    <row r="477">
      <c r="A477" s="122"/>
      <c r="B477" s="204"/>
      <c r="C477" s="204"/>
      <c r="D477" s="204"/>
      <c r="E477" s="205"/>
      <c r="F477" s="205"/>
      <c r="G477" s="205"/>
      <c r="H477" s="206"/>
      <c r="I477" s="207"/>
      <c r="J477" s="207"/>
      <c r="K477" s="207"/>
      <c r="L477" s="122"/>
      <c r="M477" s="207"/>
      <c r="N477" s="207"/>
      <c r="O477" s="122"/>
      <c r="P477" s="205"/>
      <c r="Q477" s="205"/>
      <c r="R477" s="205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</row>
    <row r="478">
      <c r="A478" s="122"/>
      <c r="B478" s="204"/>
      <c r="C478" s="204"/>
      <c r="D478" s="204"/>
      <c r="E478" s="205"/>
      <c r="F478" s="205"/>
      <c r="G478" s="205"/>
      <c r="H478" s="206"/>
      <c r="I478" s="207"/>
      <c r="J478" s="207"/>
      <c r="K478" s="207"/>
      <c r="L478" s="122"/>
      <c r="M478" s="207"/>
      <c r="N478" s="207"/>
      <c r="O478" s="122"/>
      <c r="P478" s="205"/>
      <c r="Q478" s="205"/>
      <c r="R478" s="205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</row>
    <row r="479">
      <c r="A479" s="122"/>
      <c r="B479" s="204"/>
      <c r="C479" s="204"/>
      <c r="D479" s="204"/>
      <c r="E479" s="205"/>
      <c r="F479" s="205"/>
      <c r="G479" s="205"/>
      <c r="H479" s="206"/>
      <c r="I479" s="207"/>
      <c r="J479" s="207"/>
      <c r="K479" s="207"/>
      <c r="L479" s="122"/>
      <c r="M479" s="207"/>
      <c r="N479" s="207"/>
      <c r="O479" s="122"/>
      <c r="P479" s="205"/>
      <c r="Q479" s="205"/>
      <c r="R479" s="205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</row>
    <row r="480">
      <c r="A480" s="122"/>
      <c r="B480" s="204"/>
      <c r="C480" s="204"/>
      <c r="D480" s="204"/>
      <c r="E480" s="205"/>
      <c r="F480" s="205"/>
      <c r="G480" s="205"/>
      <c r="H480" s="206"/>
      <c r="I480" s="207"/>
      <c r="J480" s="207"/>
      <c r="K480" s="207"/>
      <c r="L480" s="122"/>
      <c r="M480" s="207"/>
      <c r="N480" s="207"/>
      <c r="O480" s="122"/>
      <c r="P480" s="205"/>
      <c r="Q480" s="205"/>
      <c r="R480" s="205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</row>
    <row r="481">
      <c r="A481" s="122"/>
      <c r="B481" s="204"/>
      <c r="C481" s="204"/>
      <c r="D481" s="204"/>
      <c r="E481" s="205"/>
      <c r="F481" s="205"/>
      <c r="G481" s="205"/>
      <c r="H481" s="206"/>
      <c r="I481" s="207"/>
      <c r="J481" s="207"/>
      <c r="K481" s="207"/>
      <c r="L481" s="122"/>
      <c r="M481" s="207"/>
      <c r="N481" s="207"/>
      <c r="O481" s="122"/>
      <c r="P481" s="205"/>
      <c r="Q481" s="205"/>
      <c r="R481" s="205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</row>
    <row r="482">
      <c r="A482" s="122"/>
      <c r="B482" s="204"/>
      <c r="C482" s="204"/>
      <c r="D482" s="204"/>
      <c r="E482" s="205"/>
      <c r="F482" s="205"/>
      <c r="G482" s="205"/>
      <c r="H482" s="206"/>
      <c r="I482" s="207"/>
      <c r="J482" s="207"/>
      <c r="K482" s="207"/>
      <c r="L482" s="122"/>
      <c r="M482" s="207"/>
      <c r="N482" s="207"/>
      <c r="O482" s="122"/>
      <c r="P482" s="205"/>
      <c r="Q482" s="205"/>
      <c r="R482" s="205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</row>
    <row r="483">
      <c r="A483" s="122"/>
      <c r="B483" s="204"/>
      <c r="C483" s="204"/>
      <c r="D483" s="204"/>
      <c r="E483" s="205"/>
      <c r="F483" s="205"/>
      <c r="G483" s="205"/>
      <c r="H483" s="206"/>
      <c r="I483" s="207"/>
      <c r="J483" s="207"/>
      <c r="K483" s="207"/>
      <c r="L483" s="122"/>
      <c r="M483" s="207"/>
      <c r="N483" s="207"/>
      <c r="O483" s="122"/>
      <c r="P483" s="205"/>
      <c r="Q483" s="205"/>
      <c r="R483" s="205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</row>
    <row r="484">
      <c r="A484" s="122"/>
      <c r="B484" s="204"/>
      <c r="C484" s="204"/>
      <c r="D484" s="204"/>
      <c r="E484" s="205"/>
      <c r="F484" s="205"/>
      <c r="G484" s="205"/>
      <c r="H484" s="206"/>
      <c r="I484" s="207"/>
      <c r="J484" s="207"/>
      <c r="K484" s="207"/>
      <c r="L484" s="122"/>
      <c r="M484" s="207"/>
      <c r="N484" s="207"/>
      <c r="O484" s="122"/>
      <c r="P484" s="205"/>
      <c r="Q484" s="205"/>
      <c r="R484" s="205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</row>
    <row r="485">
      <c r="A485" s="122"/>
      <c r="B485" s="204"/>
      <c r="C485" s="204"/>
      <c r="D485" s="204"/>
      <c r="E485" s="205"/>
      <c r="F485" s="205"/>
      <c r="G485" s="205"/>
      <c r="H485" s="206"/>
      <c r="I485" s="207"/>
      <c r="J485" s="207"/>
      <c r="K485" s="207"/>
      <c r="L485" s="122"/>
      <c r="M485" s="207"/>
      <c r="N485" s="207"/>
      <c r="O485" s="122"/>
      <c r="P485" s="205"/>
      <c r="Q485" s="205"/>
      <c r="R485" s="205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</row>
    <row r="486">
      <c r="A486" s="122"/>
      <c r="B486" s="204"/>
      <c r="C486" s="204"/>
      <c r="D486" s="204"/>
      <c r="E486" s="205"/>
      <c r="F486" s="205"/>
      <c r="G486" s="205"/>
      <c r="H486" s="206"/>
      <c r="I486" s="207"/>
      <c r="J486" s="207"/>
      <c r="K486" s="207"/>
      <c r="L486" s="122"/>
      <c r="M486" s="207"/>
      <c r="N486" s="207"/>
      <c r="O486" s="122"/>
      <c r="P486" s="205"/>
      <c r="Q486" s="205"/>
      <c r="R486" s="205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</row>
    <row r="487">
      <c r="A487" s="122"/>
      <c r="B487" s="204"/>
      <c r="C487" s="204"/>
      <c r="D487" s="204"/>
      <c r="E487" s="205"/>
      <c r="F487" s="205"/>
      <c r="G487" s="205"/>
      <c r="H487" s="206"/>
      <c r="I487" s="207"/>
      <c r="J487" s="207"/>
      <c r="K487" s="207"/>
      <c r="L487" s="122"/>
      <c r="M487" s="207"/>
      <c r="N487" s="207"/>
      <c r="O487" s="122"/>
      <c r="P487" s="205"/>
      <c r="Q487" s="205"/>
      <c r="R487" s="205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</row>
    <row r="488">
      <c r="A488" s="122"/>
      <c r="B488" s="204"/>
      <c r="C488" s="204"/>
      <c r="D488" s="204"/>
      <c r="E488" s="205"/>
      <c r="F488" s="205"/>
      <c r="G488" s="205"/>
      <c r="H488" s="206"/>
      <c r="I488" s="207"/>
      <c r="J488" s="207"/>
      <c r="K488" s="207"/>
      <c r="L488" s="122"/>
      <c r="M488" s="207"/>
      <c r="N488" s="207"/>
      <c r="O488" s="122"/>
      <c r="P488" s="205"/>
      <c r="Q488" s="205"/>
      <c r="R488" s="205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</row>
    <row r="489">
      <c r="A489" s="122"/>
      <c r="B489" s="204"/>
      <c r="C489" s="204"/>
      <c r="D489" s="204"/>
      <c r="E489" s="205"/>
      <c r="F489" s="205"/>
      <c r="G489" s="205"/>
      <c r="H489" s="206"/>
      <c r="I489" s="207"/>
      <c r="J489" s="207"/>
      <c r="K489" s="207"/>
      <c r="L489" s="122"/>
      <c r="M489" s="207"/>
      <c r="N489" s="207"/>
      <c r="O489" s="122"/>
      <c r="P489" s="205"/>
      <c r="Q489" s="205"/>
      <c r="R489" s="205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</row>
    <row r="490">
      <c r="A490" s="122"/>
      <c r="B490" s="204"/>
      <c r="C490" s="204"/>
      <c r="D490" s="204"/>
      <c r="E490" s="205"/>
      <c r="F490" s="205"/>
      <c r="G490" s="205"/>
      <c r="H490" s="206"/>
      <c r="I490" s="207"/>
      <c r="J490" s="207"/>
      <c r="K490" s="207"/>
      <c r="L490" s="122"/>
      <c r="M490" s="207"/>
      <c r="N490" s="207"/>
      <c r="O490" s="122"/>
      <c r="P490" s="205"/>
      <c r="Q490" s="205"/>
      <c r="R490" s="205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</row>
    <row r="491">
      <c r="A491" s="122"/>
      <c r="B491" s="204"/>
      <c r="C491" s="204"/>
      <c r="D491" s="204"/>
      <c r="E491" s="205"/>
      <c r="F491" s="205"/>
      <c r="G491" s="205"/>
      <c r="H491" s="206"/>
      <c r="I491" s="207"/>
      <c r="J491" s="207"/>
      <c r="K491" s="207"/>
      <c r="L491" s="122"/>
      <c r="M491" s="207"/>
      <c r="N491" s="207"/>
      <c r="O491" s="122"/>
      <c r="P491" s="205"/>
      <c r="Q491" s="205"/>
      <c r="R491" s="205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</row>
    <row r="492">
      <c r="A492" s="122"/>
      <c r="B492" s="204"/>
      <c r="C492" s="204"/>
      <c r="D492" s="204"/>
      <c r="E492" s="205"/>
      <c r="F492" s="205"/>
      <c r="G492" s="205"/>
      <c r="H492" s="206"/>
      <c r="I492" s="207"/>
      <c r="J492" s="207"/>
      <c r="K492" s="207"/>
      <c r="L492" s="122"/>
      <c r="M492" s="207"/>
      <c r="N492" s="207"/>
      <c r="O492" s="122"/>
      <c r="P492" s="205"/>
      <c r="Q492" s="205"/>
      <c r="R492" s="205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</row>
    <row r="493">
      <c r="A493" s="122"/>
      <c r="B493" s="204"/>
      <c r="C493" s="204"/>
      <c r="D493" s="204"/>
      <c r="E493" s="205"/>
      <c r="F493" s="205"/>
      <c r="G493" s="205"/>
      <c r="H493" s="206"/>
      <c r="I493" s="207"/>
      <c r="J493" s="207"/>
      <c r="K493" s="207"/>
      <c r="L493" s="122"/>
      <c r="M493" s="207"/>
      <c r="N493" s="207"/>
      <c r="O493" s="122"/>
      <c r="P493" s="205"/>
      <c r="Q493" s="205"/>
      <c r="R493" s="205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</row>
    <row r="494">
      <c r="A494" s="122"/>
      <c r="B494" s="204"/>
      <c r="C494" s="204"/>
      <c r="D494" s="204"/>
      <c r="E494" s="205"/>
      <c r="F494" s="205"/>
      <c r="G494" s="205"/>
      <c r="H494" s="206"/>
      <c r="I494" s="207"/>
      <c r="J494" s="207"/>
      <c r="K494" s="207"/>
      <c r="L494" s="122"/>
      <c r="M494" s="207"/>
      <c r="N494" s="207"/>
      <c r="O494" s="122"/>
      <c r="P494" s="205"/>
      <c r="Q494" s="205"/>
      <c r="R494" s="205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</row>
    <row r="495">
      <c r="A495" s="122"/>
      <c r="B495" s="204"/>
      <c r="C495" s="204"/>
      <c r="D495" s="204"/>
      <c r="E495" s="205"/>
      <c r="F495" s="205"/>
      <c r="G495" s="205"/>
      <c r="H495" s="206"/>
      <c r="I495" s="207"/>
      <c r="J495" s="207"/>
      <c r="K495" s="207"/>
      <c r="L495" s="122"/>
      <c r="M495" s="207"/>
      <c r="N495" s="207"/>
      <c r="O495" s="122"/>
      <c r="P495" s="205"/>
      <c r="Q495" s="205"/>
      <c r="R495" s="205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</row>
    <row r="496">
      <c r="A496" s="122"/>
      <c r="B496" s="204"/>
      <c r="C496" s="204"/>
      <c r="D496" s="204"/>
      <c r="E496" s="205"/>
      <c r="F496" s="205"/>
      <c r="G496" s="205"/>
      <c r="H496" s="206"/>
      <c r="I496" s="207"/>
      <c r="J496" s="207"/>
      <c r="K496" s="207"/>
      <c r="L496" s="122"/>
      <c r="M496" s="207"/>
      <c r="N496" s="207"/>
      <c r="O496" s="122"/>
      <c r="P496" s="205"/>
      <c r="Q496" s="205"/>
      <c r="R496" s="205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</row>
    <row r="497">
      <c r="A497" s="122"/>
      <c r="B497" s="204"/>
      <c r="C497" s="204"/>
      <c r="D497" s="204"/>
      <c r="E497" s="205"/>
      <c r="F497" s="205"/>
      <c r="G497" s="205"/>
      <c r="H497" s="206"/>
      <c r="I497" s="207"/>
      <c r="J497" s="207"/>
      <c r="K497" s="207"/>
      <c r="L497" s="122"/>
      <c r="M497" s="207"/>
      <c r="N497" s="207"/>
      <c r="O497" s="122"/>
      <c r="P497" s="205"/>
      <c r="Q497" s="205"/>
      <c r="R497" s="205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</row>
    <row r="498">
      <c r="A498" s="122"/>
      <c r="B498" s="204"/>
      <c r="C498" s="204"/>
      <c r="D498" s="204"/>
      <c r="E498" s="205"/>
      <c r="F498" s="205"/>
      <c r="G498" s="205"/>
      <c r="H498" s="206"/>
      <c r="I498" s="207"/>
      <c r="J498" s="207"/>
      <c r="K498" s="207"/>
      <c r="L498" s="122"/>
      <c r="M498" s="207"/>
      <c r="N498" s="207"/>
      <c r="O498" s="122"/>
      <c r="P498" s="205"/>
      <c r="Q498" s="205"/>
      <c r="R498" s="205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</row>
    <row r="499">
      <c r="A499" s="122"/>
      <c r="B499" s="204"/>
      <c r="C499" s="204"/>
      <c r="D499" s="204"/>
      <c r="E499" s="205"/>
      <c r="F499" s="205"/>
      <c r="G499" s="205"/>
      <c r="H499" s="206"/>
      <c r="I499" s="207"/>
      <c r="J499" s="207"/>
      <c r="K499" s="207"/>
      <c r="L499" s="122"/>
      <c r="M499" s="207"/>
      <c r="N499" s="207"/>
      <c r="O499" s="122"/>
      <c r="P499" s="205"/>
      <c r="Q499" s="205"/>
      <c r="R499" s="205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</row>
    <row r="500">
      <c r="A500" s="122"/>
      <c r="B500" s="204"/>
      <c r="C500" s="204"/>
      <c r="D500" s="204"/>
      <c r="E500" s="205"/>
      <c r="F500" s="205"/>
      <c r="G500" s="205"/>
      <c r="H500" s="206"/>
      <c r="I500" s="207"/>
      <c r="J500" s="207"/>
      <c r="K500" s="207"/>
      <c r="L500" s="122"/>
      <c r="M500" s="207"/>
      <c r="N500" s="207"/>
      <c r="O500" s="122"/>
      <c r="P500" s="205"/>
      <c r="Q500" s="205"/>
      <c r="R500" s="205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</row>
    <row r="501">
      <c r="A501" s="122"/>
      <c r="B501" s="204"/>
      <c r="C501" s="204"/>
      <c r="D501" s="204"/>
      <c r="E501" s="205"/>
      <c r="F501" s="205"/>
      <c r="G501" s="205"/>
      <c r="H501" s="206"/>
      <c r="I501" s="207"/>
      <c r="J501" s="207"/>
      <c r="K501" s="207"/>
      <c r="L501" s="122"/>
      <c r="M501" s="207"/>
      <c r="N501" s="207"/>
      <c r="O501" s="122"/>
      <c r="P501" s="205"/>
      <c r="Q501" s="205"/>
      <c r="R501" s="205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</row>
    <row r="502">
      <c r="A502" s="122"/>
      <c r="B502" s="204"/>
      <c r="C502" s="204"/>
      <c r="D502" s="204"/>
      <c r="E502" s="205"/>
      <c r="F502" s="205"/>
      <c r="G502" s="205"/>
      <c r="H502" s="206"/>
      <c r="I502" s="207"/>
      <c r="J502" s="207"/>
      <c r="K502" s="207"/>
      <c r="L502" s="122"/>
      <c r="M502" s="207"/>
      <c r="N502" s="207"/>
      <c r="O502" s="122"/>
      <c r="P502" s="205"/>
      <c r="Q502" s="205"/>
      <c r="R502" s="205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</row>
    <row r="503">
      <c r="A503" s="122"/>
      <c r="B503" s="204"/>
      <c r="C503" s="204"/>
      <c r="D503" s="204"/>
      <c r="E503" s="205"/>
      <c r="F503" s="205"/>
      <c r="G503" s="205"/>
      <c r="H503" s="206"/>
      <c r="I503" s="207"/>
      <c r="J503" s="207"/>
      <c r="K503" s="207"/>
      <c r="L503" s="122"/>
      <c r="M503" s="207"/>
      <c r="N503" s="207"/>
      <c r="O503" s="122"/>
      <c r="P503" s="205"/>
      <c r="Q503" s="205"/>
      <c r="R503" s="205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</row>
    <row r="504">
      <c r="A504" s="122"/>
      <c r="B504" s="204"/>
      <c r="C504" s="204"/>
      <c r="D504" s="204"/>
      <c r="E504" s="205"/>
      <c r="F504" s="205"/>
      <c r="G504" s="205"/>
      <c r="H504" s="206"/>
      <c r="I504" s="207"/>
      <c r="J504" s="207"/>
      <c r="K504" s="207"/>
      <c r="L504" s="122"/>
      <c r="M504" s="207"/>
      <c r="N504" s="207"/>
      <c r="O504" s="122"/>
      <c r="P504" s="205"/>
      <c r="Q504" s="205"/>
      <c r="R504" s="205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</row>
    <row r="505">
      <c r="A505" s="122"/>
      <c r="B505" s="204"/>
      <c r="C505" s="204"/>
      <c r="D505" s="204"/>
      <c r="E505" s="205"/>
      <c r="F505" s="205"/>
      <c r="G505" s="205"/>
      <c r="H505" s="206"/>
      <c r="I505" s="207"/>
      <c r="J505" s="207"/>
      <c r="K505" s="207"/>
      <c r="L505" s="122"/>
      <c r="M505" s="207"/>
      <c r="N505" s="207"/>
      <c r="O505" s="122"/>
      <c r="P505" s="205"/>
      <c r="Q505" s="205"/>
      <c r="R505" s="205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</row>
    <row r="506">
      <c r="A506" s="122"/>
      <c r="B506" s="204"/>
      <c r="C506" s="204"/>
      <c r="D506" s="204"/>
      <c r="E506" s="205"/>
      <c r="F506" s="205"/>
      <c r="G506" s="205"/>
      <c r="H506" s="206"/>
      <c r="I506" s="207"/>
      <c r="J506" s="207"/>
      <c r="K506" s="207"/>
      <c r="L506" s="122"/>
      <c r="M506" s="207"/>
      <c r="N506" s="207"/>
      <c r="O506" s="122"/>
      <c r="P506" s="205"/>
      <c r="Q506" s="205"/>
      <c r="R506" s="205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</row>
    <row r="507">
      <c r="A507" s="122"/>
      <c r="B507" s="204"/>
      <c r="C507" s="204"/>
      <c r="D507" s="204"/>
      <c r="E507" s="205"/>
      <c r="F507" s="205"/>
      <c r="G507" s="205"/>
      <c r="H507" s="206"/>
      <c r="I507" s="207"/>
      <c r="J507" s="207"/>
      <c r="K507" s="207"/>
      <c r="L507" s="122"/>
      <c r="M507" s="207"/>
      <c r="N507" s="207"/>
      <c r="O507" s="122"/>
      <c r="P507" s="205"/>
      <c r="Q507" s="205"/>
      <c r="R507" s="205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</row>
    <row r="508">
      <c r="A508" s="122"/>
      <c r="B508" s="204"/>
      <c r="C508" s="204"/>
      <c r="D508" s="204"/>
      <c r="E508" s="205"/>
      <c r="F508" s="205"/>
      <c r="G508" s="205"/>
      <c r="H508" s="206"/>
      <c r="I508" s="207"/>
      <c r="J508" s="207"/>
      <c r="K508" s="207"/>
      <c r="L508" s="122"/>
      <c r="M508" s="207"/>
      <c r="N508" s="207"/>
      <c r="O508" s="122"/>
      <c r="P508" s="205"/>
      <c r="Q508" s="205"/>
      <c r="R508" s="205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</row>
    <row r="509">
      <c r="A509" s="122"/>
      <c r="B509" s="204"/>
      <c r="C509" s="204"/>
      <c r="D509" s="204"/>
      <c r="E509" s="205"/>
      <c r="F509" s="205"/>
      <c r="G509" s="205"/>
      <c r="H509" s="206"/>
      <c r="I509" s="207"/>
      <c r="J509" s="207"/>
      <c r="K509" s="207"/>
      <c r="L509" s="122"/>
      <c r="M509" s="207"/>
      <c r="N509" s="207"/>
      <c r="O509" s="122"/>
      <c r="P509" s="205"/>
      <c r="Q509" s="205"/>
      <c r="R509" s="205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</row>
    <row r="510">
      <c r="A510" s="122"/>
      <c r="B510" s="204"/>
      <c r="C510" s="204"/>
      <c r="D510" s="204"/>
      <c r="E510" s="205"/>
      <c r="F510" s="205"/>
      <c r="G510" s="205"/>
      <c r="H510" s="206"/>
      <c r="I510" s="207"/>
      <c r="J510" s="207"/>
      <c r="K510" s="207"/>
      <c r="L510" s="122"/>
      <c r="M510" s="207"/>
      <c r="N510" s="207"/>
      <c r="O510" s="122"/>
      <c r="P510" s="205"/>
      <c r="Q510" s="205"/>
      <c r="R510" s="205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</row>
    <row r="511">
      <c r="A511" s="122"/>
      <c r="B511" s="204"/>
      <c r="C511" s="204"/>
      <c r="D511" s="204"/>
      <c r="E511" s="205"/>
      <c r="F511" s="205"/>
      <c r="G511" s="205"/>
      <c r="H511" s="206"/>
      <c r="I511" s="207"/>
      <c r="J511" s="207"/>
      <c r="K511" s="207"/>
      <c r="L511" s="122"/>
      <c r="M511" s="207"/>
      <c r="N511" s="207"/>
      <c r="O511" s="122"/>
      <c r="P511" s="205"/>
      <c r="Q511" s="205"/>
      <c r="R511" s="205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</row>
    <row r="512">
      <c r="A512" s="122"/>
      <c r="B512" s="204"/>
      <c r="C512" s="204"/>
      <c r="D512" s="204"/>
      <c r="E512" s="205"/>
      <c r="F512" s="205"/>
      <c r="G512" s="205"/>
      <c r="H512" s="206"/>
      <c r="I512" s="207"/>
      <c r="J512" s="207"/>
      <c r="K512" s="207"/>
      <c r="L512" s="122"/>
      <c r="M512" s="207"/>
      <c r="N512" s="207"/>
      <c r="O512" s="122"/>
      <c r="P512" s="205"/>
      <c r="Q512" s="205"/>
      <c r="R512" s="205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</row>
    <row r="513">
      <c r="A513" s="122"/>
      <c r="B513" s="204"/>
      <c r="C513" s="204"/>
      <c r="D513" s="204"/>
      <c r="E513" s="205"/>
      <c r="F513" s="205"/>
      <c r="G513" s="205"/>
      <c r="H513" s="206"/>
      <c r="I513" s="207"/>
      <c r="J513" s="207"/>
      <c r="K513" s="207"/>
      <c r="L513" s="122"/>
      <c r="M513" s="207"/>
      <c r="N513" s="207"/>
      <c r="O513" s="122"/>
      <c r="P513" s="205"/>
      <c r="Q513" s="205"/>
      <c r="R513" s="205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</row>
    <row r="514">
      <c r="A514" s="122"/>
      <c r="B514" s="204"/>
      <c r="C514" s="204"/>
      <c r="D514" s="204"/>
      <c r="E514" s="205"/>
      <c r="F514" s="205"/>
      <c r="G514" s="205"/>
      <c r="H514" s="206"/>
      <c r="I514" s="207"/>
      <c r="J514" s="207"/>
      <c r="K514" s="207"/>
      <c r="L514" s="122"/>
      <c r="M514" s="207"/>
      <c r="N514" s="207"/>
      <c r="O514" s="122"/>
      <c r="P514" s="205"/>
      <c r="Q514" s="205"/>
      <c r="R514" s="205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</row>
    <row r="515">
      <c r="A515" s="122"/>
      <c r="B515" s="204"/>
      <c r="C515" s="204"/>
      <c r="D515" s="204"/>
      <c r="E515" s="205"/>
      <c r="F515" s="205"/>
      <c r="G515" s="205"/>
      <c r="H515" s="206"/>
      <c r="I515" s="207"/>
      <c r="J515" s="207"/>
      <c r="K515" s="207"/>
      <c r="L515" s="122"/>
      <c r="M515" s="207"/>
      <c r="N515" s="207"/>
      <c r="O515" s="122"/>
      <c r="P515" s="205"/>
      <c r="Q515" s="205"/>
      <c r="R515" s="205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</row>
    <row r="516">
      <c r="A516" s="122"/>
      <c r="B516" s="204"/>
      <c r="C516" s="204"/>
      <c r="D516" s="204"/>
      <c r="E516" s="205"/>
      <c r="F516" s="205"/>
      <c r="G516" s="205"/>
      <c r="H516" s="206"/>
      <c r="I516" s="207"/>
      <c r="J516" s="207"/>
      <c r="K516" s="207"/>
      <c r="L516" s="122"/>
      <c r="M516" s="207"/>
      <c r="N516" s="207"/>
      <c r="O516" s="122"/>
      <c r="P516" s="205"/>
      <c r="Q516" s="205"/>
      <c r="R516" s="205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</row>
    <row r="517">
      <c r="A517" s="122"/>
      <c r="B517" s="204"/>
      <c r="C517" s="204"/>
      <c r="D517" s="204"/>
      <c r="E517" s="205"/>
      <c r="F517" s="205"/>
      <c r="G517" s="205"/>
      <c r="H517" s="206"/>
      <c r="I517" s="207"/>
      <c r="J517" s="207"/>
      <c r="K517" s="207"/>
      <c r="L517" s="122"/>
      <c r="M517" s="207"/>
      <c r="N517" s="207"/>
      <c r="O517" s="122"/>
      <c r="P517" s="205"/>
      <c r="Q517" s="205"/>
      <c r="R517" s="205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</row>
    <row r="518">
      <c r="A518" s="122"/>
      <c r="B518" s="204"/>
      <c r="C518" s="204"/>
      <c r="D518" s="204"/>
      <c r="E518" s="205"/>
      <c r="F518" s="205"/>
      <c r="G518" s="205"/>
      <c r="H518" s="206"/>
      <c r="I518" s="207"/>
      <c r="J518" s="207"/>
      <c r="K518" s="207"/>
      <c r="L518" s="122"/>
      <c r="M518" s="207"/>
      <c r="N518" s="207"/>
      <c r="O518" s="122"/>
      <c r="P518" s="205"/>
      <c r="Q518" s="205"/>
      <c r="R518" s="205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</row>
    <row r="519">
      <c r="A519" s="122"/>
      <c r="B519" s="204"/>
      <c r="C519" s="204"/>
      <c r="D519" s="204"/>
      <c r="E519" s="205"/>
      <c r="F519" s="205"/>
      <c r="G519" s="205"/>
      <c r="H519" s="206"/>
      <c r="I519" s="207"/>
      <c r="J519" s="207"/>
      <c r="K519" s="207"/>
      <c r="L519" s="122"/>
      <c r="M519" s="207"/>
      <c r="N519" s="207"/>
      <c r="O519" s="122"/>
      <c r="P519" s="205"/>
      <c r="Q519" s="205"/>
      <c r="R519" s="205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</row>
    <row r="520">
      <c r="A520" s="122"/>
      <c r="B520" s="204"/>
      <c r="C520" s="204"/>
      <c r="D520" s="204"/>
      <c r="E520" s="205"/>
      <c r="F520" s="205"/>
      <c r="G520" s="205"/>
      <c r="H520" s="206"/>
      <c r="I520" s="207"/>
      <c r="J520" s="207"/>
      <c r="K520" s="207"/>
      <c r="L520" s="122"/>
      <c r="M520" s="207"/>
      <c r="N520" s="207"/>
      <c r="O520" s="122"/>
      <c r="P520" s="205"/>
      <c r="Q520" s="205"/>
      <c r="R520" s="205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</row>
    <row r="521">
      <c r="A521" s="122"/>
      <c r="B521" s="204"/>
      <c r="C521" s="204"/>
      <c r="D521" s="204"/>
      <c r="E521" s="205"/>
      <c r="F521" s="205"/>
      <c r="G521" s="205"/>
      <c r="H521" s="206"/>
      <c r="I521" s="207"/>
      <c r="J521" s="207"/>
      <c r="K521" s="207"/>
      <c r="L521" s="122"/>
      <c r="M521" s="207"/>
      <c r="N521" s="207"/>
      <c r="O521" s="122"/>
      <c r="P521" s="205"/>
      <c r="Q521" s="205"/>
      <c r="R521" s="205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</row>
    <row r="522">
      <c r="A522" s="122"/>
      <c r="B522" s="204"/>
      <c r="C522" s="204"/>
      <c r="D522" s="204"/>
      <c r="E522" s="205"/>
      <c r="F522" s="205"/>
      <c r="G522" s="205"/>
      <c r="H522" s="206"/>
      <c r="I522" s="207"/>
      <c r="J522" s="207"/>
      <c r="K522" s="207"/>
      <c r="L522" s="122"/>
      <c r="M522" s="207"/>
      <c r="N522" s="207"/>
      <c r="O522" s="122"/>
      <c r="P522" s="205"/>
      <c r="Q522" s="205"/>
      <c r="R522" s="205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</row>
    <row r="523">
      <c r="A523" s="122"/>
      <c r="B523" s="204"/>
      <c r="C523" s="204"/>
      <c r="D523" s="204"/>
      <c r="E523" s="205"/>
      <c r="F523" s="205"/>
      <c r="G523" s="205"/>
      <c r="H523" s="206"/>
      <c r="I523" s="207"/>
      <c r="J523" s="207"/>
      <c r="K523" s="207"/>
      <c r="L523" s="122"/>
      <c r="M523" s="207"/>
      <c r="N523" s="207"/>
      <c r="O523" s="122"/>
      <c r="P523" s="205"/>
      <c r="Q523" s="205"/>
      <c r="R523" s="205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</row>
    <row r="524">
      <c r="A524" s="122"/>
      <c r="B524" s="204"/>
      <c r="C524" s="204"/>
      <c r="D524" s="204"/>
      <c r="E524" s="205"/>
      <c r="F524" s="205"/>
      <c r="G524" s="205"/>
      <c r="H524" s="206"/>
      <c r="I524" s="207"/>
      <c r="J524" s="207"/>
      <c r="K524" s="207"/>
      <c r="L524" s="122"/>
      <c r="M524" s="207"/>
      <c r="N524" s="207"/>
      <c r="O524" s="122"/>
      <c r="P524" s="205"/>
      <c r="Q524" s="205"/>
      <c r="R524" s="205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</row>
    <row r="525">
      <c r="A525" s="122"/>
      <c r="B525" s="204"/>
      <c r="C525" s="204"/>
      <c r="D525" s="204"/>
      <c r="E525" s="205"/>
      <c r="F525" s="205"/>
      <c r="G525" s="205"/>
      <c r="H525" s="206"/>
      <c r="I525" s="207"/>
      <c r="J525" s="207"/>
      <c r="K525" s="207"/>
      <c r="L525" s="122"/>
      <c r="M525" s="207"/>
      <c r="N525" s="207"/>
      <c r="O525" s="122"/>
      <c r="P525" s="205"/>
      <c r="Q525" s="205"/>
      <c r="R525" s="205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</row>
    <row r="526">
      <c r="A526" s="122"/>
      <c r="B526" s="204"/>
      <c r="C526" s="204"/>
      <c r="D526" s="204"/>
      <c r="E526" s="205"/>
      <c r="F526" s="205"/>
      <c r="G526" s="205"/>
      <c r="H526" s="206"/>
      <c r="I526" s="207"/>
      <c r="J526" s="207"/>
      <c r="K526" s="207"/>
      <c r="L526" s="122"/>
      <c r="M526" s="207"/>
      <c r="N526" s="207"/>
      <c r="O526" s="122"/>
      <c r="P526" s="205"/>
      <c r="Q526" s="205"/>
      <c r="R526" s="205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</row>
    <row r="527">
      <c r="A527" s="122"/>
      <c r="B527" s="204"/>
      <c r="C527" s="204"/>
      <c r="D527" s="204"/>
      <c r="E527" s="205"/>
      <c r="F527" s="205"/>
      <c r="G527" s="205"/>
      <c r="H527" s="206"/>
      <c r="I527" s="207"/>
      <c r="J527" s="207"/>
      <c r="K527" s="207"/>
      <c r="L527" s="122"/>
      <c r="M527" s="207"/>
      <c r="N527" s="207"/>
      <c r="O527" s="122"/>
      <c r="P527" s="205"/>
      <c r="Q527" s="205"/>
      <c r="R527" s="205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</row>
    <row r="528">
      <c r="A528" s="122"/>
      <c r="B528" s="204"/>
      <c r="C528" s="204"/>
      <c r="D528" s="204"/>
      <c r="E528" s="205"/>
      <c r="F528" s="205"/>
      <c r="G528" s="205"/>
      <c r="H528" s="206"/>
      <c r="I528" s="207"/>
      <c r="J528" s="207"/>
      <c r="K528" s="207"/>
      <c r="L528" s="122"/>
      <c r="M528" s="207"/>
      <c r="N528" s="207"/>
      <c r="O528" s="122"/>
      <c r="P528" s="205"/>
      <c r="Q528" s="205"/>
      <c r="R528" s="205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</row>
    <row r="529">
      <c r="A529" s="122"/>
      <c r="B529" s="204"/>
      <c r="C529" s="204"/>
      <c r="D529" s="204"/>
      <c r="E529" s="205"/>
      <c r="F529" s="205"/>
      <c r="G529" s="205"/>
      <c r="H529" s="206"/>
      <c r="I529" s="207"/>
      <c r="J529" s="207"/>
      <c r="K529" s="207"/>
      <c r="L529" s="122"/>
      <c r="M529" s="207"/>
      <c r="N529" s="207"/>
      <c r="O529" s="122"/>
      <c r="P529" s="205"/>
      <c r="Q529" s="205"/>
      <c r="R529" s="205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</row>
    <row r="530">
      <c r="A530" s="122"/>
      <c r="B530" s="204"/>
      <c r="C530" s="204"/>
      <c r="D530" s="204"/>
      <c r="E530" s="205"/>
      <c r="F530" s="205"/>
      <c r="G530" s="205"/>
      <c r="H530" s="206"/>
      <c r="I530" s="207"/>
      <c r="J530" s="207"/>
      <c r="K530" s="207"/>
      <c r="L530" s="122"/>
      <c r="M530" s="207"/>
      <c r="N530" s="207"/>
      <c r="O530" s="122"/>
      <c r="P530" s="205"/>
      <c r="Q530" s="205"/>
      <c r="R530" s="205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</row>
    <row r="531">
      <c r="A531" s="122"/>
      <c r="B531" s="204"/>
      <c r="C531" s="204"/>
      <c r="D531" s="204"/>
      <c r="E531" s="205"/>
      <c r="F531" s="205"/>
      <c r="G531" s="205"/>
      <c r="H531" s="206"/>
      <c r="I531" s="207"/>
      <c r="J531" s="207"/>
      <c r="K531" s="207"/>
      <c r="L531" s="122"/>
      <c r="M531" s="207"/>
      <c r="N531" s="207"/>
      <c r="O531" s="122"/>
      <c r="P531" s="205"/>
      <c r="Q531" s="205"/>
      <c r="R531" s="205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</row>
    <row r="532">
      <c r="A532" s="122"/>
      <c r="B532" s="204"/>
      <c r="C532" s="204"/>
      <c r="D532" s="204"/>
      <c r="E532" s="205"/>
      <c r="F532" s="205"/>
      <c r="G532" s="205"/>
      <c r="H532" s="206"/>
      <c r="I532" s="207"/>
      <c r="J532" s="207"/>
      <c r="K532" s="207"/>
      <c r="L532" s="122"/>
      <c r="M532" s="207"/>
      <c r="N532" s="207"/>
      <c r="O532" s="122"/>
      <c r="P532" s="205"/>
      <c r="Q532" s="205"/>
      <c r="R532" s="205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</row>
    <row r="533">
      <c r="A533" s="122"/>
      <c r="B533" s="204"/>
      <c r="C533" s="204"/>
      <c r="D533" s="204"/>
      <c r="E533" s="205"/>
      <c r="F533" s="205"/>
      <c r="G533" s="205"/>
      <c r="H533" s="206"/>
      <c r="I533" s="207"/>
      <c r="J533" s="207"/>
      <c r="K533" s="207"/>
      <c r="L533" s="122"/>
      <c r="M533" s="207"/>
      <c r="N533" s="207"/>
      <c r="O533" s="122"/>
      <c r="P533" s="205"/>
      <c r="Q533" s="205"/>
      <c r="R533" s="205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</row>
    <row r="534">
      <c r="A534" s="122"/>
      <c r="B534" s="204"/>
      <c r="C534" s="204"/>
      <c r="D534" s="204"/>
      <c r="E534" s="205"/>
      <c r="F534" s="205"/>
      <c r="G534" s="205"/>
      <c r="H534" s="206"/>
      <c r="I534" s="207"/>
      <c r="J534" s="207"/>
      <c r="K534" s="207"/>
      <c r="L534" s="122"/>
      <c r="M534" s="207"/>
      <c r="N534" s="207"/>
      <c r="O534" s="122"/>
      <c r="P534" s="205"/>
      <c r="Q534" s="205"/>
      <c r="R534" s="205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</row>
    <row r="535">
      <c r="A535" s="122"/>
      <c r="B535" s="204"/>
      <c r="C535" s="204"/>
      <c r="D535" s="204"/>
      <c r="E535" s="205"/>
      <c r="F535" s="205"/>
      <c r="G535" s="205"/>
      <c r="H535" s="206"/>
      <c r="I535" s="207"/>
      <c r="J535" s="207"/>
      <c r="K535" s="207"/>
      <c r="L535" s="122"/>
      <c r="M535" s="207"/>
      <c r="N535" s="207"/>
      <c r="O535" s="122"/>
      <c r="P535" s="205"/>
      <c r="Q535" s="205"/>
      <c r="R535" s="205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</row>
    <row r="536">
      <c r="A536" s="122"/>
      <c r="B536" s="204"/>
      <c r="C536" s="204"/>
      <c r="D536" s="204"/>
      <c r="E536" s="205"/>
      <c r="F536" s="205"/>
      <c r="G536" s="205"/>
      <c r="H536" s="206"/>
      <c r="I536" s="207"/>
      <c r="J536" s="207"/>
      <c r="K536" s="207"/>
      <c r="L536" s="122"/>
      <c r="M536" s="207"/>
      <c r="N536" s="207"/>
      <c r="O536" s="122"/>
      <c r="P536" s="205"/>
      <c r="Q536" s="205"/>
      <c r="R536" s="205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</row>
    <row r="537">
      <c r="A537" s="122"/>
      <c r="B537" s="204"/>
      <c r="C537" s="204"/>
      <c r="D537" s="204"/>
      <c r="E537" s="205"/>
      <c r="F537" s="205"/>
      <c r="G537" s="205"/>
      <c r="H537" s="206"/>
      <c r="I537" s="207"/>
      <c r="J537" s="207"/>
      <c r="K537" s="207"/>
      <c r="L537" s="122"/>
      <c r="M537" s="207"/>
      <c r="N537" s="207"/>
      <c r="O537" s="122"/>
      <c r="P537" s="205"/>
      <c r="Q537" s="205"/>
      <c r="R537" s="205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</row>
    <row r="538">
      <c r="A538" s="122"/>
      <c r="B538" s="204"/>
      <c r="C538" s="204"/>
      <c r="D538" s="204"/>
      <c r="E538" s="205"/>
      <c r="F538" s="205"/>
      <c r="G538" s="205"/>
      <c r="H538" s="206"/>
      <c r="I538" s="207"/>
      <c r="J538" s="207"/>
      <c r="K538" s="207"/>
      <c r="L538" s="122"/>
      <c r="M538" s="207"/>
      <c r="N538" s="207"/>
      <c r="O538" s="122"/>
      <c r="P538" s="205"/>
      <c r="Q538" s="205"/>
      <c r="R538" s="205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</row>
    <row r="539">
      <c r="A539" s="122"/>
      <c r="B539" s="204"/>
      <c r="C539" s="204"/>
      <c r="D539" s="204"/>
      <c r="E539" s="205"/>
      <c r="F539" s="205"/>
      <c r="G539" s="205"/>
      <c r="H539" s="206"/>
      <c r="I539" s="207"/>
      <c r="J539" s="207"/>
      <c r="K539" s="207"/>
      <c r="L539" s="122"/>
      <c r="M539" s="207"/>
      <c r="N539" s="207"/>
      <c r="O539" s="122"/>
      <c r="P539" s="205"/>
      <c r="Q539" s="205"/>
      <c r="R539" s="205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</row>
    <row r="540">
      <c r="A540" s="122"/>
      <c r="B540" s="204"/>
      <c r="C540" s="204"/>
      <c r="D540" s="204"/>
      <c r="E540" s="205"/>
      <c r="F540" s="205"/>
      <c r="G540" s="205"/>
      <c r="H540" s="206"/>
      <c r="I540" s="207"/>
      <c r="J540" s="207"/>
      <c r="K540" s="207"/>
      <c r="L540" s="122"/>
      <c r="M540" s="207"/>
      <c r="N540" s="207"/>
      <c r="O540" s="122"/>
      <c r="P540" s="205"/>
      <c r="Q540" s="205"/>
      <c r="R540" s="205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</row>
    <row r="541">
      <c r="A541" s="122"/>
      <c r="B541" s="204"/>
      <c r="C541" s="204"/>
      <c r="D541" s="204"/>
      <c r="E541" s="205"/>
      <c r="F541" s="205"/>
      <c r="G541" s="205"/>
      <c r="H541" s="206"/>
      <c r="I541" s="207"/>
      <c r="J541" s="207"/>
      <c r="K541" s="207"/>
      <c r="L541" s="122"/>
      <c r="M541" s="207"/>
      <c r="N541" s="207"/>
      <c r="O541" s="122"/>
      <c r="P541" s="205"/>
      <c r="Q541" s="205"/>
      <c r="R541" s="205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</row>
    <row r="542">
      <c r="A542" s="122"/>
      <c r="B542" s="204"/>
      <c r="C542" s="204"/>
      <c r="D542" s="204"/>
      <c r="E542" s="205"/>
      <c r="F542" s="205"/>
      <c r="G542" s="205"/>
      <c r="H542" s="206"/>
      <c r="I542" s="207"/>
      <c r="J542" s="207"/>
      <c r="K542" s="207"/>
      <c r="L542" s="122"/>
      <c r="M542" s="207"/>
      <c r="N542" s="207"/>
      <c r="O542" s="122"/>
      <c r="P542" s="205"/>
      <c r="Q542" s="205"/>
      <c r="R542" s="205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</row>
    <row r="543">
      <c r="A543" s="122"/>
      <c r="B543" s="204"/>
      <c r="C543" s="204"/>
      <c r="D543" s="204"/>
      <c r="E543" s="205"/>
      <c r="F543" s="205"/>
      <c r="G543" s="205"/>
      <c r="H543" s="206"/>
      <c r="I543" s="207"/>
      <c r="J543" s="207"/>
      <c r="K543" s="207"/>
      <c r="L543" s="122"/>
      <c r="M543" s="207"/>
      <c r="N543" s="207"/>
      <c r="O543" s="122"/>
      <c r="P543" s="205"/>
      <c r="Q543" s="205"/>
      <c r="R543" s="205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</row>
    <row r="544">
      <c r="A544" s="122"/>
      <c r="B544" s="204"/>
      <c r="C544" s="204"/>
      <c r="D544" s="204"/>
      <c r="E544" s="205"/>
      <c r="F544" s="205"/>
      <c r="G544" s="205"/>
      <c r="H544" s="206"/>
      <c r="I544" s="207"/>
      <c r="J544" s="207"/>
      <c r="K544" s="207"/>
      <c r="L544" s="122"/>
      <c r="M544" s="207"/>
      <c r="N544" s="207"/>
      <c r="O544" s="122"/>
      <c r="P544" s="205"/>
      <c r="Q544" s="205"/>
      <c r="R544" s="205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</row>
    <row r="545">
      <c r="A545" s="122"/>
      <c r="B545" s="204"/>
      <c r="C545" s="204"/>
      <c r="D545" s="204"/>
      <c r="E545" s="205"/>
      <c r="F545" s="205"/>
      <c r="G545" s="205"/>
      <c r="H545" s="206"/>
      <c r="I545" s="207"/>
      <c r="J545" s="207"/>
      <c r="K545" s="207"/>
      <c r="L545" s="122"/>
      <c r="M545" s="207"/>
      <c r="N545" s="207"/>
      <c r="O545" s="122"/>
      <c r="P545" s="205"/>
      <c r="Q545" s="205"/>
      <c r="R545" s="205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</row>
    <row r="546">
      <c r="A546" s="122"/>
      <c r="B546" s="204"/>
      <c r="C546" s="204"/>
      <c r="D546" s="204"/>
      <c r="E546" s="205"/>
      <c r="F546" s="205"/>
      <c r="G546" s="205"/>
      <c r="H546" s="206"/>
      <c r="I546" s="207"/>
      <c r="J546" s="207"/>
      <c r="K546" s="207"/>
      <c r="L546" s="122"/>
      <c r="M546" s="207"/>
      <c r="N546" s="207"/>
      <c r="O546" s="122"/>
      <c r="P546" s="205"/>
      <c r="Q546" s="205"/>
      <c r="R546" s="205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</row>
    <row r="547">
      <c r="A547" s="122"/>
      <c r="B547" s="204"/>
      <c r="C547" s="204"/>
      <c r="D547" s="204"/>
      <c r="E547" s="205"/>
      <c r="F547" s="205"/>
      <c r="G547" s="205"/>
      <c r="H547" s="206"/>
      <c r="I547" s="207"/>
      <c r="J547" s="207"/>
      <c r="K547" s="207"/>
      <c r="L547" s="122"/>
      <c r="M547" s="207"/>
      <c r="N547" s="207"/>
      <c r="O547" s="122"/>
      <c r="P547" s="205"/>
      <c r="Q547" s="205"/>
      <c r="R547" s="205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</row>
    <row r="548">
      <c r="A548" s="122"/>
      <c r="B548" s="204"/>
      <c r="C548" s="204"/>
      <c r="D548" s="204"/>
      <c r="E548" s="205"/>
      <c r="F548" s="205"/>
      <c r="G548" s="205"/>
      <c r="H548" s="206"/>
      <c r="I548" s="207"/>
      <c r="J548" s="207"/>
      <c r="K548" s="207"/>
      <c r="L548" s="122"/>
      <c r="M548" s="207"/>
      <c r="N548" s="207"/>
      <c r="O548" s="122"/>
      <c r="P548" s="205"/>
      <c r="Q548" s="205"/>
      <c r="R548" s="205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</row>
    <row r="549">
      <c r="A549" s="122"/>
      <c r="B549" s="204"/>
      <c r="C549" s="204"/>
      <c r="D549" s="204"/>
      <c r="E549" s="205"/>
      <c r="F549" s="205"/>
      <c r="G549" s="205"/>
      <c r="H549" s="206"/>
      <c r="I549" s="207"/>
      <c r="J549" s="207"/>
      <c r="K549" s="207"/>
      <c r="L549" s="122"/>
      <c r="M549" s="207"/>
      <c r="N549" s="207"/>
      <c r="O549" s="122"/>
      <c r="P549" s="205"/>
      <c r="Q549" s="205"/>
      <c r="R549" s="205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</row>
    <row r="550">
      <c r="A550" s="122"/>
      <c r="B550" s="204"/>
      <c r="C550" s="204"/>
      <c r="D550" s="204"/>
      <c r="E550" s="205"/>
      <c r="F550" s="205"/>
      <c r="G550" s="205"/>
      <c r="H550" s="206"/>
      <c r="I550" s="207"/>
      <c r="J550" s="207"/>
      <c r="K550" s="207"/>
      <c r="L550" s="122"/>
      <c r="M550" s="207"/>
      <c r="N550" s="207"/>
      <c r="O550" s="122"/>
      <c r="P550" s="205"/>
      <c r="Q550" s="205"/>
      <c r="R550" s="205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</row>
    <row r="551">
      <c r="A551" s="122"/>
      <c r="B551" s="204"/>
      <c r="C551" s="204"/>
      <c r="D551" s="204"/>
      <c r="E551" s="205"/>
      <c r="F551" s="205"/>
      <c r="G551" s="205"/>
      <c r="H551" s="206"/>
      <c r="I551" s="207"/>
      <c r="J551" s="207"/>
      <c r="K551" s="207"/>
      <c r="L551" s="122"/>
      <c r="M551" s="207"/>
      <c r="N551" s="207"/>
      <c r="O551" s="122"/>
      <c r="P551" s="205"/>
      <c r="Q551" s="205"/>
      <c r="R551" s="205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</row>
    <row r="552">
      <c r="A552" s="122"/>
      <c r="B552" s="204"/>
      <c r="C552" s="204"/>
      <c r="D552" s="204"/>
      <c r="E552" s="205"/>
      <c r="F552" s="205"/>
      <c r="G552" s="205"/>
      <c r="H552" s="206"/>
      <c r="I552" s="207"/>
      <c r="J552" s="207"/>
      <c r="K552" s="207"/>
      <c r="L552" s="122"/>
      <c r="M552" s="207"/>
      <c r="N552" s="207"/>
      <c r="O552" s="122"/>
      <c r="P552" s="205"/>
      <c r="Q552" s="205"/>
      <c r="R552" s="205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</row>
    <row r="553">
      <c r="A553" s="122"/>
      <c r="B553" s="204"/>
      <c r="C553" s="204"/>
      <c r="D553" s="204"/>
      <c r="E553" s="205"/>
      <c r="F553" s="205"/>
      <c r="G553" s="205"/>
      <c r="H553" s="206"/>
      <c r="I553" s="207"/>
      <c r="J553" s="207"/>
      <c r="K553" s="207"/>
      <c r="L553" s="122"/>
      <c r="M553" s="207"/>
      <c r="N553" s="207"/>
      <c r="O553" s="122"/>
      <c r="P553" s="205"/>
      <c r="Q553" s="205"/>
      <c r="R553" s="205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</row>
    <row r="554">
      <c r="A554" s="122"/>
      <c r="B554" s="204"/>
      <c r="C554" s="204"/>
      <c r="D554" s="204"/>
      <c r="E554" s="205"/>
      <c r="F554" s="205"/>
      <c r="G554" s="205"/>
      <c r="H554" s="206"/>
      <c r="I554" s="207"/>
      <c r="J554" s="207"/>
      <c r="K554" s="207"/>
      <c r="L554" s="122"/>
      <c r="M554" s="207"/>
      <c r="N554" s="207"/>
      <c r="O554" s="122"/>
      <c r="P554" s="205"/>
      <c r="Q554" s="205"/>
      <c r="R554" s="205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</row>
    <row r="555">
      <c r="A555" s="122"/>
      <c r="B555" s="204"/>
      <c r="C555" s="204"/>
      <c r="D555" s="204"/>
      <c r="E555" s="205"/>
      <c r="F555" s="205"/>
      <c r="G555" s="205"/>
      <c r="H555" s="206"/>
      <c r="I555" s="207"/>
      <c r="J555" s="207"/>
      <c r="K555" s="207"/>
      <c r="L555" s="122"/>
      <c r="M555" s="207"/>
      <c r="N555" s="207"/>
      <c r="O555" s="122"/>
      <c r="P555" s="205"/>
      <c r="Q555" s="205"/>
      <c r="R555" s="205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</row>
    <row r="556">
      <c r="A556" s="122"/>
      <c r="B556" s="204"/>
      <c r="C556" s="204"/>
      <c r="D556" s="204"/>
      <c r="E556" s="205"/>
      <c r="F556" s="205"/>
      <c r="G556" s="205"/>
      <c r="H556" s="206"/>
      <c r="I556" s="207"/>
      <c r="J556" s="207"/>
      <c r="K556" s="207"/>
      <c r="L556" s="122"/>
      <c r="M556" s="207"/>
      <c r="N556" s="207"/>
      <c r="O556" s="122"/>
      <c r="P556" s="205"/>
      <c r="Q556" s="205"/>
      <c r="R556" s="205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</row>
    <row r="557">
      <c r="A557" s="122"/>
      <c r="B557" s="204"/>
      <c r="C557" s="204"/>
      <c r="D557" s="204"/>
      <c r="E557" s="205"/>
      <c r="F557" s="205"/>
      <c r="G557" s="205"/>
      <c r="H557" s="206"/>
      <c r="I557" s="207"/>
      <c r="J557" s="207"/>
      <c r="K557" s="207"/>
      <c r="L557" s="122"/>
      <c r="M557" s="207"/>
      <c r="N557" s="207"/>
      <c r="O557" s="122"/>
      <c r="P557" s="205"/>
      <c r="Q557" s="205"/>
      <c r="R557" s="205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</row>
    <row r="558">
      <c r="A558" s="122"/>
      <c r="B558" s="204"/>
      <c r="C558" s="204"/>
      <c r="D558" s="204"/>
      <c r="E558" s="205"/>
      <c r="F558" s="205"/>
      <c r="G558" s="205"/>
      <c r="H558" s="206"/>
      <c r="I558" s="207"/>
      <c r="J558" s="207"/>
      <c r="K558" s="207"/>
      <c r="L558" s="122"/>
      <c r="M558" s="207"/>
      <c r="N558" s="207"/>
      <c r="O558" s="122"/>
      <c r="P558" s="205"/>
      <c r="Q558" s="205"/>
      <c r="R558" s="205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</row>
    <row r="559">
      <c r="A559" s="122"/>
      <c r="B559" s="204"/>
      <c r="C559" s="204"/>
      <c r="D559" s="204"/>
      <c r="E559" s="205"/>
      <c r="F559" s="205"/>
      <c r="G559" s="205"/>
      <c r="H559" s="206"/>
      <c r="I559" s="207"/>
      <c r="J559" s="207"/>
      <c r="K559" s="207"/>
      <c r="L559" s="122"/>
      <c r="M559" s="207"/>
      <c r="N559" s="207"/>
      <c r="O559" s="122"/>
      <c r="P559" s="205"/>
      <c r="Q559" s="205"/>
      <c r="R559" s="205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</row>
    <row r="560">
      <c r="A560" s="122"/>
      <c r="B560" s="204"/>
      <c r="C560" s="204"/>
      <c r="D560" s="204"/>
      <c r="E560" s="205"/>
      <c r="F560" s="205"/>
      <c r="G560" s="205"/>
      <c r="H560" s="206"/>
      <c r="I560" s="207"/>
      <c r="J560" s="207"/>
      <c r="K560" s="207"/>
      <c r="L560" s="122"/>
      <c r="M560" s="207"/>
      <c r="N560" s="207"/>
      <c r="O560" s="122"/>
      <c r="P560" s="205"/>
      <c r="Q560" s="205"/>
      <c r="R560" s="205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</row>
    <row r="561">
      <c r="A561" s="122"/>
      <c r="B561" s="204"/>
      <c r="C561" s="204"/>
      <c r="D561" s="204"/>
      <c r="E561" s="205"/>
      <c r="F561" s="205"/>
      <c r="G561" s="205"/>
      <c r="H561" s="206"/>
      <c r="I561" s="207"/>
      <c r="J561" s="207"/>
      <c r="K561" s="207"/>
      <c r="L561" s="122"/>
      <c r="M561" s="207"/>
      <c r="N561" s="207"/>
      <c r="O561" s="122"/>
      <c r="P561" s="205"/>
      <c r="Q561" s="205"/>
      <c r="R561" s="205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</row>
    <row r="562">
      <c r="A562" s="122"/>
      <c r="B562" s="204"/>
      <c r="C562" s="204"/>
      <c r="D562" s="204"/>
      <c r="E562" s="205"/>
      <c r="F562" s="205"/>
      <c r="G562" s="205"/>
      <c r="H562" s="206"/>
      <c r="I562" s="207"/>
      <c r="J562" s="207"/>
      <c r="K562" s="207"/>
      <c r="L562" s="122"/>
      <c r="M562" s="207"/>
      <c r="N562" s="207"/>
      <c r="O562" s="122"/>
      <c r="P562" s="205"/>
      <c r="Q562" s="205"/>
      <c r="R562" s="205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</row>
    <row r="563">
      <c r="A563" s="122"/>
      <c r="B563" s="204"/>
      <c r="C563" s="204"/>
      <c r="D563" s="204"/>
      <c r="E563" s="205"/>
      <c r="F563" s="205"/>
      <c r="G563" s="205"/>
      <c r="H563" s="206"/>
      <c r="I563" s="207"/>
      <c r="J563" s="207"/>
      <c r="K563" s="207"/>
      <c r="L563" s="122"/>
      <c r="M563" s="207"/>
      <c r="N563" s="207"/>
      <c r="O563" s="122"/>
      <c r="P563" s="205"/>
      <c r="Q563" s="205"/>
      <c r="R563" s="205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</row>
    <row r="564">
      <c r="A564" s="122"/>
      <c r="B564" s="204"/>
      <c r="C564" s="204"/>
      <c r="D564" s="204"/>
      <c r="E564" s="205"/>
      <c r="F564" s="205"/>
      <c r="G564" s="205"/>
      <c r="H564" s="206"/>
      <c r="I564" s="207"/>
      <c r="J564" s="207"/>
      <c r="K564" s="207"/>
      <c r="L564" s="122"/>
      <c r="M564" s="207"/>
      <c r="N564" s="207"/>
      <c r="O564" s="122"/>
      <c r="P564" s="205"/>
      <c r="Q564" s="205"/>
      <c r="R564" s="205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</row>
    <row r="565">
      <c r="A565" s="122"/>
      <c r="B565" s="204"/>
      <c r="C565" s="204"/>
      <c r="D565" s="204"/>
      <c r="E565" s="205"/>
      <c r="F565" s="205"/>
      <c r="G565" s="205"/>
      <c r="H565" s="206"/>
      <c r="I565" s="207"/>
      <c r="J565" s="207"/>
      <c r="K565" s="207"/>
      <c r="L565" s="122"/>
      <c r="M565" s="207"/>
      <c r="N565" s="207"/>
      <c r="O565" s="122"/>
      <c r="P565" s="205"/>
      <c r="Q565" s="205"/>
      <c r="R565" s="205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</row>
    <row r="566">
      <c r="A566" s="122"/>
      <c r="B566" s="204"/>
      <c r="C566" s="204"/>
      <c r="D566" s="204"/>
      <c r="E566" s="205"/>
      <c r="F566" s="205"/>
      <c r="G566" s="205"/>
      <c r="H566" s="206"/>
      <c r="I566" s="207"/>
      <c r="J566" s="207"/>
      <c r="K566" s="207"/>
      <c r="L566" s="122"/>
      <c r="M566" s="207"/>
      <c r="N566" s="207"/>
      <c r="O566" s="122"/>
      <c r="P566" s="205"/>
      <c r="Q566" s="205"/>
      <c r="R566" s="205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</row>
    <row r="567">
      <c r="A567" s="122"/>
      <c r="B567" s="204"/>
      <c r="C567" s="204"/>
      <c r="D567" s="204"/>
      <c r="E567" s="205"/>
      <c r="F567" s="205"/>
      <c r="G567" s="205"/>
      <c r="H567" s="206"/>
      <c r="I567" s="207"/>
      <c r="J567" s="207"/>
      <c r="K567" s="207"/>
      <c r="L567" s="122"/>
      <c r="M567" s="207"/>
      <c r="N567" s="207"/>
      <c r="O567" s="122"/>
      <c r="P567" s="205"/>
      <c r="Q567" s="205"/>
      <c r="R567" s="205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</row>
    <row r="568">
      <c r="A568" s="122"/>
      <c r="B568" s="204"/>
      <c r="C568" s="204"/>
      <c r="D568" s="204"/>
      <c r="E568" s="205"/>
      <c r="F568" s="205"/>
      <c r="G568" s="205"/>
      <c r="H568" s="206"/>
      <c r="I568" s="207"/>
      <c r="J568" s="207"/>
      <c r="K568" s="207"/>
      <c r="L568" s="122"/>
      <c r="M568" s="207"/>
      <c r="N568" s="207"/>
      <c r="O568" s="122"/>
      <c r="P568" s="205"/>
      <c r="Q568" s="205"/>
      <c r="R568" s="205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</row>
    <row r="569">
      <c r="A569" s="122"/>
      <c r="B569" s="204"/>
      <c r="C569" s="204"/>
      <c r="D569" s="204"/>
      <c r="E569" s="205"/>
      <c r="F569" s="205"/>
      <c r="G569" s="205"/>
      <c r="H569" s="206"/>
      <c r="I569" s="207"/>
      <c r="J569" s="207"/>
      <c r="K569" s="207"/>
      <c r="L569" s="122"/>
      <c r="M569" s="207"/>
      <c r="N569" s="207"/>
      <c r="O569" s="122"/>
      <c r="P569" s="205"/>
      <c r="Q569" s="205"/>
      <c r="R569" s="205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</row>
    <row r="570">
      <c r="A570" s="122"/>
      <c r="B570" s="204"/>
      <c r="C570" s="204"/>
      <c r="D570" s="204"/>
      <c r="E570" s="205"/>
      <c r="F570" s="205"/>
      <c r="G570" s="205"/>
      <c r="H570" s="206"/>
      <c r="I570" s="207"/>
      <c r="J570" s="207"/>
      <c r="K570" s="207"/>
      <c r="L570" s="122"/>
      <c r="M570" s="207"/>
      <c r="N570" s="207"/>
      <c r="O570" s="122"/>
      <c r="P570" s="205"/>
      <c r="Q570" s="205"/>
      <c r="R570" s="205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</row>
    <row r="571">
      <c r="A571" s="122"/>
      <c r="B571" s="204"/>
      <c r="C571" s="204"/>
      <c r="D571" s="204"/>
      <c r="E571" s="205"/>
      <c r="F571" s="205"/>
      <c r="G571" s="205"/>
      <c r="H571" s="206"/>
      <c r="I571" s="207"/>
      <c r="J571" s="207"/>
      <c r="K571" s="207"/>
      <c r="L571" s="122"/>
      <c r="M571" s="207"/>
      <c r="N571" s="207"/>
      <c r="O571" s="122"/>
      <c r="P571" s="205"/>
      <c r="Q571" s="205"/>
      <c r="R571" s="205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</row>
    <row r="572">
      <c r="A572" s="122"/>
      <c r="B572" s="204"/>
      <c r="C572" s="204"/>
      <c r="D572" s="204"/>
      <c r="E572" s="205"/>
      <c r="F572" s="205"/>
      <c r="G572" s="205"/>
      <c r="H572" s="206"/>
      <c r="I572" s="207"/>
      <c r="J572" s="207"/>
      <c r="K572" s="207"/>
      <c r="L572" s="122"/>
      <c r="M572" s="207"/>
      <c r="N572" s="207"/>
      <c r="O572" s="122"/>
      <c r="P572" s="205"/>
      <c r="Q572" s="205"/>
      <c r="R572" s="205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</row>
    <row r="573">
      <c r="A573" s="122"/>
      <c r="B573" s="204"/>
      <c r="C573" s="204"/>
      <c r="D573" s="204"/>
      <c r="E573" s="205"/>
      <c r="F573" s="205"/>
      <c r="G573" s="205"/>
      <c r="H573" s="206"/>
      <c r="I573" s="207"/>
      <c r="J573" s="207"/>
      <c r="K573" s="207"/>
      <c r="L573" s="122"/>
      <c r="M573" s="207"/>
      <c r="N573" s="207"/>
      <c r="O573" s="122"/>
      <c r="P573" s="205"/>
      <c r="Q573" s="205"/>
      <c r="R573" s="205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</row>
    <row r="574">
      <c r="A574" s="122"/>
      <c r="B574" s="204"/>
      <c r="C574" s="204"/>
      <c r="D574" s="204"/>
      <c r="E574" s="205"/>
      <c r="F574" s="205"/>
      <c r="G574" s="205"/>
      <c r="H574" s="206"/>
      <c r="I574" s="207"/>
      <c r="J574" s="207"/>
      <c r="K574" s="207"/>
      <c r="L574" s="122"/>
      <c r="M574" s="207"/>
      <c r="N574" s="207"/>
      <c r="O574" s="122"/>
      <c r="P574" s="205"/>
      <c r="Q574" s="205"/>
      <c r="R574" s="205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</row>
    <row r="575">
      <c r="A575" s="122"/>
      <c r="B575" s="204"/>
      <c r="C575" s="204"/>
      <c r="D575" s="204"/>
      <c r="E575" s="205"/>
      <c r="F575" s="205"/>
      <c r="G575" s="205"/>
      <c r="H575" s="206"/>
      <c r="I575" s="207"/>
      <c r="J575" s="207"/>
      <c r="K575" s="207"/>
      <c r="L575" s="122"/>
      <c r="M575" s="207"/>
      <c r="N575" s="207"/>
      <c r="O575" s="122"/>
      <c r="P575" s="205"/>
      <c r="Q575" s="205"/>
      <c r="R575" s="205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</row>
    <row r="576">
      <c r="A576" s="122"/>
      <c r="B576" s="204"/>
      <c r="C576" s="204"/>
      <c r="D576" s="204"/>
      <c r="E576" s="205"/>
      <c r="F576" s="205"/>
      <c r="G576" s="205"/>
      <c r="H576" s="206"/>
      <c r="I576" s="207"/>
      <c r="J576" s="207"/>
      <c r="K576" s="207"/>
      <c r="L576" s="122"/>
      <c r="M576" s="207"/>
      <c r="N576" s="207"/>
      <c r="O576" s="122"/>
      <c r="P576" s="205"/>
      <c r="Q576" s="205"/>
      <c r="R576" s="205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</row>
    <row r="577">
      <c r="A577" s="122"/>
      <c r="B577" s="204"/>
      <c r="C577" s="204"/>
      <c r="D577" s="204"/>
      <c r="E577" s="205"/>
      <c r="F577" s="205"/>
      <c r="G577" s="205"/>
      <c r="H577" s="206"/>
      <c r="I577" s="207"/>
      <c r="J577" s="207"/>
      <c r="K577" s="207"/>
      <c r="L577" s="122"/>
      <c r="M577" s="207"/>
      <c r="N577" s="207"/>
      <c r="O577" s="122"/>
      <c r="P577" s="205"/>
      <c r="Q577" s="205"/>
      <c r="R577" s="205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</row>
    <row r="578">
      <c r="A578" s="122"/>
      <c r="B578" s="204"/>
      <c r="C578" s="204"/>
      <c r="D578" s="204"/>
      <c r="E578" s="205"/>
      <c r="F578" s="205"/>
      <c r="G578" s="205"/>
      <c r="H578" s="206"/>
      <c r="I578" s="207"/>
      <c r="J578" s="207"/>
      <c r="K578" s="207"/>
      <c r="L578" s="122"/>
      <c r="M578" s="207"/>
      <c r="N578" s="207"/>
      <c r="O578" s="122"/>
      <c r="P578" s="205"/>
      <c r="Q578" s="205"/>
      <c r="R578" s="205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</row>
    <row r="579">
      <c r="A579" s="122"/>
      <c r="B579" s="204"/>
      <c r="C579" s="204"/>
      <c r="D579" s="204"/>
      <c r="E579" s="205"/>
      <c r="F579" s="205"/>
      <c r="G579" s="205"/>
      <c r="H579" s="206"/>
      <c r="I579" s="207"/>
      <c r="J579" s="207"/>
      <c r="K579" s="207"/>
      <c r="L579" s="122"/>
      <c r="M579" s="207"/>
      <c r="N579" s="207"/>
      <c r="O579" s="122"/>
      <c r="P579" s="205"/>
      <c r="Q579" s="205"/>
      <c r="R579" s="205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</row>
    <row r="580">
      <c r="A580" s="122"/>
      <c r="B580" s="204"/>
      <c r="C580" s="204"/>
      <c r="D580" s="204"/>
      <c r="E580" s="205"/>
      <c r="F580" s="205"/>
      <c r="G580" s="205"/>
      <c r="H580" s="206"/>
      <c r="I580" s="207"/>
      <c r="J580" s="207"/>
      <c r="K580" s="207"/>
      <c r="L580" s="122"/>
      <c r="M580" s="207"/>
      <c r="N580" s="207"/>
      <c r="O580" s="122"/>
      <c r="P580" s="205"/>
      <c r="Q580" s="205"/>
      <c r="R580" s="205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</row>
    <row r="581">
      <c r="A581" s="122"/>
      <c r="B581" s="204"/>
      <c r="C581" s="204"/>
      <c r="D581" s="204"/>
      <c r="E581" s="205"/>
      <c r="F581" s="205"/>
      <c r="G581" s="205"/>
      <c r="H581" s="206"/>
      <c r="I581" s="207"/>
      <c r="J581" s="207"/>
      <c r="K581" s="207"/>
      <c r="L581" s="122"/>
      <c r="M581" s="207"/>
      <c r="N581" s="207"/>
      <c r="O581" s="122"/>
      <c r="P581" s="205"/>
      <c r="Q581" s="205"/>
      <c r="R581" s="205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</row>
    <row r="582">
      <c r="A582" s="122"/>
      <c r="B582" s="204"/>
      <c r="C582" s="204"/>
      <c r="D582" s="204"/>
      <c r="E582" s="205"/>
      <c r="F582" s="205"/>
      <c r="G582" s="205"/>
      <c r="H582" s="206"/>
      <c r="I582" s="207"/>
      <c r="J582" s="207"/>
      <c r="K582" s="207"/>
      <c r="L582" s="122"/>
      <c r="M582" s="207"/>
      <c r="N582" s="207"/>
      <c r="O582" s="122"/>
      <c r="P582" s="205"/>
      <c r="Q582" s="205"/>
      <c r="R582" s="205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</row>
    <row r="583">
      <c r="A583" s="122"/>
      <c r="B583" s="204"/>
      <c r="C583" s="204"/>
      <c r="D583" s="204"/>
      <c r="E583" s="205"/>
      <c r="F583" s="205"/>
      <c r="G583" s="205"/>
      <c r="H583" s="206"/>
      <c r="I583" s="207"/>
      <c r="J583" s="207"/>
      <c r="K583" s="207"/>
      <c r="L583" s="122"/>
      <c r="M583" s="207"/>
      <c r="N583" s="207"/>
      <c r="O583" s="122"/>
      <c r="P583" s="205"/>
      <c r="Q583" s="205"/>
      <c r="R583" s="205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</row>
    <row r="584">
      <c r="A584" s="122"/>
      <c r="B584" s="204"/>
      <c r="C584" s="204"/>
      <c r="D584" s="204"/>
      <c r="E584" s="205"/>
      <c r="F584" s="205"/>
      <c r="G584" s="205"/>
      <c r="H584" s="206"/>
      <c r="I584" s="207"/>
      <c r="J584" s="207"/>
      <c r="K584" s="207"/>
      <c r="L584" s="122"/>
      <c r="M584" s="207"/>
      <c r="N584" s="207"/>
      <c r="O584" s="122"/>
      <c r="P584" s="205"/>
      <c r="Q584" s="205"/>
      <c r="R584" s="205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</row>
    <row r="585">
      <c r="A585" s="122"/>
      <c r="B585" s="204"/>
      <c r="C585" s="204"/>
      <c r="D585" s="204"/>
      <c r="E585" s="205"/>
      <c r="F585" s="205"/>
      <c r="G585" s="205"/>
      <c r="H585" s="206"/>
      <c r="I585" s="207"/>
      <c r="J585" s="207"/>
      <c r="K585" s="207"/>
      <c r="L585" s="122"/>
      <c r="M585" s="207"/>
      <c r="N585" s="207"/>
      <c r="O585" s="122"/>
      <c r="P585" s="205"/>
      <c r="Q585" s="205"/>
      <c r="R585" s="205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</row>
    <row r="586">
      <c r="A586" s="122"/>
      <c r="B586" s="204"/>
      <c r="C586" s="204"/>
      <c r="D586" s="204"/>
      <c r="E586" s="205"/>
      <c r="F586" s="205"/>
      <c r="G586" s="205"/>
      <c r="H586" s="206"/>
      <c r="I586" s="207"/>
      <c r="J586" s="207"/>
      <c r="K586" s="207"/>
      <c r="L586" s="122"/>
      <c r="M586" s="207"/>
      <c r="N586" s="207"/>
      <c r="O586" s="122"/>
      <c r="P586" s="205"/>
      <c r="Q586" s="205"/>
      <c r="R586" s="205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</row>
    <row r="587">
      <c r="A587" s="122"/>
      <c r="B587" s="204"/>
      <c r="C587" s="204"/>
      <c r="D587" s="204"/>
      <c r="E587" s="205"/>
      <c r="F587" s="205"/>
      <c r="G587" s="205"/>
      <c r="H587" s="206"/>
      <c r="I587" s="207"/>
      <c r="J587" s="207"/>
      <c r="K587" s="207"/>
      <c r="L587" s="122"/>
      <c r="M587" s="207"/>
      <c r="N587" s="207"/>
      <c r="O587" s="122"/>
      <c r="P587" s="205"/>
      <c r="Q587" s="205"/>
      <c r="R587" s="205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</row>
    <row r="588">
      <c r="A588" s="122"/>
      <c r="B588" s="204"/>
      <c r="C588" s="204"/>
      <c r="D588" s="204"/>
      <c r="E588" s="205"/>
      <c r="F588" s="205"/>
      <c r="G588" s="205"/>
      <c r="H588" s="206"/>
      <c r="I588" s="207"/>
      <c r="J588" s="207"/>
      <c r="K588" s="207"/>
      <c r="L588" s="122"/>
      <c r="M588" s="207"/>
      <c r="N588" s="207"/>
      <c r="O588" s="122"/>
      <c r="P588" s="205"/>
      <c r="Q588" s="205"/>
      <c r="R588" s="205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</row>
    <row r="589">
      <c r="A589" s="122"/>
      <c r="B589" s="204"/>
      <c r="C589" s="204"/>
      <c r="D589" s="204"/>
      <c r="E589" s="205"/>
      <c r="F589" s="205"/>
      <c r="G589" s="205"/>
      <c r="H589" s="206"/>
      <c r="I589" s="207"/>
      <c r="J589" s="207"/>
      <c r="K589" s="207"/>
      <c r="L589" s="122"/>
      <c r="M589" s="207"/>
      <c r="N589" s="207"/>
      <c r="O589" s="122"/>
      <c r="P589" s="205"/>
      <c r="Q589" s="205"/>
      <c r="R589" s="205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</row>
    <row r="590">
      <c r="A590" s="122"/>
      <c r="B590" s="204"/>
      <c r="C590" s="204"/>
      <c r="D590" s="204"/>
      <c r="E590" s="205"/>
      <c r="F590" s="205"/>
      <c r="G590" s="205"/>
      <c r="H590" s="206"/>
      <c r="I590" s="207"/>
      <c r="J590" s="207"/>
      <c r="K590" s="207"/>
      <c r="L590" s="122"/>
      <c r="M590" s="207"/>
      <c r="N590" s="207"/>
      <c r="O590" s="122"/>
      <c r="P590" s="205"/>
      <c r="Q590" s="205"/>
      <c r="R590" s="205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</row>
    <row r="591">
      <c r="A591" s="122"/>
      <c r="B591" s="204"/>
      <c r="C591" s="204"/>
      <c r="D591" s="204"/>
      <c r="E591" s="205"/>
      <c r="F591" s="205"/>
      <c r="G591" s="205"/>
      <c r="H591" s="206"/>
      <c r="I591" s="207"/>
      <c r="J591" s="207"/>
      <c r="K591" s="207"/>
      <c r="L591" s="122"/>
      <c r="M591" s="207"/>
      <c r="N591" s="207"/>
      <c r="O591" s="122"/>
      <c r="P591" s="205"/>
      <c r="Q591" s="205"/>
      <c r="R591" s="205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</row>
    <row r="592">
      <c r="A592" s="122"/>
      <c r="B592" s="204"/>
      <c r="C592" s="204"/>
      <c r="D592" s="204"/>
      <c r="E592" s="205"/>
      <c r="F592" s="205"/>
      <c r="G592" s="205"/>
      <c r="H592" s="206"/>
      <c r="I592" s="207"/>
      <c r="J592" s="207"/>
      <c r="K592" s="207"/>
      <c r="L592" s="122"/>
      <c r="M592" s="207"/>
      <c r="N592" s="207"/>
      <c r="O592" s="122"/>
      <c r="P592" s="205"/>
      <c r="Q592" s="205"/>
      <c r="R592" s="205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</row>
    <row r="593">
      <c r="A593" s="122"/>
      <c r="B593" s="204"/>
      <c r="C593" s="204"/>
      <c r="D593" s="204"/>
      <c r="E593" s="205"/>
      <c r="F593" s="205"/>
      <c r="G593" s="205"/>
      <c r="H593" s="206"/>
      <c r="I593" s="207"/>
      <c r="J593" s="207"/>
      <c r="K593" s="207"/>
      <c r="L593" s="122"/>
      <c r="M593" s="207"/>
      <c r="N593" s="207"/>
      <c r="O593" s="122"/>
      <c r="P593" s="205"/>
      <c r="Q593" s="205"/>
      <c r="R593" s="205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</row>
    <row r="594">
      <c r="A594" s="122"/>
      <c r="B594" s="204"/>
      <c r="C594" s="204"/>
      <c r="D594" s="204"/>
      <c r="E594" s="205"/>
      <c r="F594" s="205"/>
      <c r="G594" s="205"/>
      <c r="H594" s="206"/>
      <c r="I594" s="207"/>
      <c r="J594" s="207"/>
      <c r="K594" s="207"/>
      <c r="L594" s="122"/>
      <c r="M594" s="207"/>
      <c r="N594" s="207"/>
      <c r="O594" s="122"/>
      <c r="P594" s="205"/>
      <c r="Q594" s="205"/>
      <c r="R594" s="205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</row>
    <row r="595">
      <c r="A595" s="122"/>
      <c r="B595" s="204"/>
      <c r="C595" s="204"/>
      <c r="D595" s="204"/>
      <c r="E595" s="205"/>
      <c r="F595" s="205"/>
      <c r="G595" s="205"/>
      <c r="H595" s="206"/>
      <c r="I595" s="207"/>
      <c r="J595" s="207"/>
      <c r="K595" s="207"/>
      <c r="L595" s="122"/>
      <c r="M595" s="207"/>
      <c r="N595" s="207"/>
      <c r="O595" s="122"/>
      <c r="P595" s="205"/>
      <c r="Q595" s="205"/>
      <c r="R595" s="205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</row>
    <row r="596">
      <c r="A596" s="122"/>
      <c r="B596" s="204"/>
      <c r="C596" s="204"/>
      <c r="D596" s="204"/>
      <c r="E596" s="205"/>
      <c r="F596" s="205"/>
      <c r="G596" s="205"/>
      <c r="H596" s="206"/>
      <c r="I596" s="207"/>
      <c r="J596" s="207"/>
      <c r="K596" s="207"/>
      <c r="L596" s="122"/>
      <c r="M596" s="207"/>
      <c r="N596" s="207"/>
      <c r="O596" s="122"/>
      <c r="P596" s="205"/>
      <c r="Q596" s="205"/>
      <c r="R596" s="205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</row>
    <row r="597">
      <c r="A597" s="122"/>
      <c r="B597" s="204"/>
      <c r="C597" s="204"/>
      <c r="D597" s="204"/>
      <c r="E597" s="205"/>
      <c r="F597" s="205"/>
      <c r="G597" s="205"/>
      <c r="H597" s="206"/>
      <c r="I597" s="207"/>
      <c r="J597" s="207"/>
      <c r="K597" s="207"/>
      <c r="L597" s="122"/>
      <c r="M597" s="207"/>
      <c r="N597" s="207"/>
      <c r="O597" s="122"/>
      <c r="P597" s="205"/>
      <c r="Q597" s="205"/>
      <c r="R597" s="205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</row>
    <row r="598">
      <c r="A598" s="122"/>
      <c r="B598" s="204"/>
      <c r="C598" s="204"/>
      <c r="D598" s="204"/>
      <c r="E598" s="205"/>
      <c r="F598" s="205"/>
      <c r="G598" s="205"/>
      <c r="H598" s="206"/>
      <c r="I598" s="207"/>
      <c r="J598" s="207"/>
      <c r="K598" s="207"/>
      <c r="L598" s="122"/>
      <c r="M598" s="207"/>
      <c r="N598" s="207"/>
      <c r="O598" s="122"/>
      <c r="P598" s="205"/>
      <c r="Q598" s="205"/>
      <c r="R598" s="205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</row>
    <row r="599">
      <c r="A599" s="122"/>
      <c r="B599" s="204"/>
      <c r="C599" s="204"/>
      <c r="D599" s="204"/>
      <c r="E599" s="205"/>
      <c r="F599" s="205"/>
      <c r="G599" s="205"/>
      <c r="H599" s="206"/>
      <c r="I599" s="207"/>
      <c r="J599" s="207"/>
      <c r="K599" s="207"/>
      <c r="L599" s="122"/>
      <c r="M599" s="207"/>
      <c r="N599" s="207"/>
      <c r="O599" s="122"/>
      <c r="P599" s="205"/>
      <c r="Q599" s="205"/>
      <c r="R599" s="205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</row>
    <row r="600">
      <c r="A600" s="122"/>
      <c r="B600" s="204"/>
      <c r="C600" s="204"/>
      <c r="D600" s="204"/>
      <c r="E600" s="205"/>
      <c r="F600" s="205"/>
      <c r="G600" s="205"/>
      <c r="H600" s="206"/>
      <c r="I600" s="207"/>
      <c r="J600" s="207"/>
      <c r="K600" s="207"/>
      <c r="L600" s="122"/>
      <c r="M600" s="207"/>
      <c r="N600" s="207"/>
      <c r="O600" s="122"/>
      <c r="P600" s="205"/>
      <c r="Q600" s="205"/>
      <c r="R600" s="205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</row>
    <row r="601">
      <c r="A601" s="122"/>
      <c r="B601" s="204"/>
      <c r="C601" s="204"/>
      <c r="D601" s="204"/>
      <c r="E601" s="205"/>
      <c r="F601" s="205"/>
      <c r="G601" s="205"/>
      <c r="H601" s="206"/>
      <c r="I601" s="207"/>
      <c r="J601" s="207"/>
      <c r="K601" s="207"/>
      <c r="L601" s="122"/>
      <c r="M601" s="207"/>
      <c r="N601" s="207"/>
      <c r="O601" s="122"/>
      <c r="P601" s="205"/>
      <c r="Q601" s="205"/>
      <c r="R601" s="205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</row>
    <row r="602">
      <c r="A602" s="122"/>
      <c r="B602" s="204"/>
      <c r="C602" s="204"/>
      <c r="D602" s="204"/>
      <c r="E602" s="205"/>
      <c r="F602" s="205"/>
      <c r="G602" s="205"/>
      <c r="H602" s="206"/>
      <c r="I602" s="207"/>
      <c r="J602" s="207"/>
      <c r="K602" s="207"/>
      <c r="L602" s="122"/>
      <c r="M602" s="207"/>
      <c r="N602" s="207"/>
      <c r="O602" s="122"/>
      <c r="P602" s="205"/>
      <c r="Q602" s="205"/>
      <c r="R602" s="205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</row>
    <row r="603">
      <c r="A603" s="122"/>
      <c r="B603" s="204"/>
      <c r="C603" s="204"/>
      <c r="D603" s="204"/>
      <c r="E603" s="205"/>
      <c r="F603" s="205"/>
      <c r="G603" s="205"/>
      <c r="H603" s="206"/>
      <c r="I603" s="207"/>
      <c r="J603" s="207"/>
      <c r="K603" s="207"/>
      <c r="L603" s="122"/>
      <c r="M603" s="207"/>
      <c r="N603" s="207"/>
      <c r="O603" s="122"/>
      <c r="P603" s="205"/>
      <c r="Q603" s="205"/>
      <c r="R603" s="205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</row>
    <row r="604">
      <c r="A604" s="122"/>
      <c r="B604" s="204"/>
      <c r="C604" s="204"/>
      <c r="D604" s="204"/>
      <c r="E604" s="205"/>
      <c r="F604" s="205"/>
      <c r="G604" s="205"/>
      <c r="H604" s="206"/>
      <c r="I604" s="207"/>
      <c r="J604" s="207"/>
      <c r="K604" s="207"/>
      <c r="L604" s="122"/>
      <c r="M604" s="207"/>
      <c r="N604" s="207"/>
      <c r="O604" s="122"/>
      <c r="P604" s="205"/>
      <c r="Q604" s="205"/>
      <c r="R604" s="205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</row>
    <row r="605">
      <c r="A605" s="122"/>
      <c r="B605" s="204"/>
      <c r="C605" s="204"/>
      <c r="D605" s="204"/>
      <c r="E605" s="205"/>
      <c r="F605" s="205"/>
      <c r="G605" s="205"/>
      <c r="H605" s="206"/>
      <c r="I605" s="207"/>
      <c r="J605" s="207"/>
      <c r="K605" s="207"/>
      <c r="L605" s="122"/>
      <c r="M605" s="207"/>
      <c r="N605" s="207"/>
      <c r="O605" s="122"/>
      <c r="P605" s="205"/>
      <c r="Q605" s="205"/>
      <c r="R605" s="205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</row>
    <row r="606">
      <c r="A606" s="122"/>
      <c r="B606" s="204"/>
      <c r="C606" s="204"/>
      <c r="D606" s="204"/>
      <c r="E606" s="205"/>
      <c r="F606" s="205"/>
      <c r="G606" s="205"/>
      <c r="H606" s="206"/>
      <c r="I606" s="207"/>
      <c r="J606" s="207"/>
      <c r="K606" s="207"/>
      <c r="L606" s="122"/>
      <c r="M606" s="207"/>
      <c r="N606" s="207"/>
      <c r="O606" s="122"/>
      <c r="P606" s="205"/>
      <c r="Q606" s="205"/>
      <c r="R606" s="205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</row>
    <row r="607">
      <c r="A607" s="122"/>
      <c r="B607" s="204"/>
      <c r="C607" s="204"/>
      <c r="D607" s="204"/>
      <c r="E607" s="205"/>
      <c r="F607" s="205"/>
      <c r="G607" s="205"/>
      <c r="H607" s="206"/>
      <c r="I607" s="207"/>
      <c r="J607" s="207"/>
      <c r="K607" s="207"/>
      <c r="L607" s="122"/>
      <c r="M607" s="207"/>
      <c r="N607" s="207"/>
      <c r="O607" s="122"/>
      <c r="P607" s="205"/>
      <c r="Q607" s="205"/>
      <c r="R607" s="205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</row>
    <row r="608">
      <c r="A608" s="122"/>
      <c r="B608" s="204"/>
      <c r="C608" s="204"/>
      <c r="D608" s="204"/>
      <c r="E608" s="205"/>
      <c r="F608" s="205"/>
      <c r="G608" s="205"/>
      <c r="H608" s="206"/>
      <c r="I608" s="207"/>
      <c r="J608" s="207"/>
      <c r="K608" s="207"/>
      <c r="L608" s="122"/>
      <c r="M608" s="207"/>
      <c r="N608" s="207"/>
      <c r="O608" s="122"/>
      <c r="P608" s="205"/>
      <c r="Q608" s="205"/>
      <c r="R608" s="205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</row>
    <row r="609">
      <c r="A609" s="122"/>
      <c r="B609" s="204"/>
      <c r="C609" s="204"/>
      <c r="D609" s="204"/>
      <c r="E609" s="205"/>
      <c r="F609" s="205"/>
      <c r="G609" s="205"/>
      <c r="H609" s="206"/>
      <c r="I609" s="207"/>
      <c r="J609" s="207"/>
      <c r="K609" s="207"/>
      <c r="L609" s="122"/>
      <c r="M609" s="207"/>
      <c r="N609" s="207"/>
      <c r="O609" s="122"/>
      <c r="P609" s="205"/>
      <c r="Q609" s="205"/>
      <c r="R609" s="205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</row>
    <row r="610">
      <c r="A610" s="122"/>
      <c r="B610" s="204"/>
      <c r="C610" s="204"/>
      <c r="D610" s="204"/>
      <c r="E610" s="205"/>
      <c r="F610" s="205"/>
      <c r="G610" s="205"/>
      <c r="H610" s="206"/>
      <c r="I610" s="207"/>
      <c r="J610" s="207"/>
      <c r="K610" s="207"/>
      <c r="L610" s="122"/>
      <c r="M610" s="207"/>
      <c r="N610" s="207"/>
      <c r="O610" s="122"/>
      <c r="P610" s="205"/>
      <c r="Q610" s="205"/>
      <c r="R610" s="205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</row>
    <row r="611">
      <c r="A611" s="122"/>
      <c r="B611" s="204"/>
      <c r="C611" s="204"/>
      <c r="D611" s="204"/>
      <c r="E611" s="205"/>
      <c r="F611" s="205"/>
      <c r="G611" s="205"/>
      <c r="H611" s="206"/>
      <c r="I611" s="207"/>
      <c r="J611" s="207"/>
      <c r="K611" s="207"/>
      <c r="L611" s="122"/>
      <c r="M611" s="207"/>
      <c r="N611" s="207"/>
      <c r="O611" s="122"/>
      <c r="P611" s="205"/>
      <c r="Q611" s="205"/>
      <c r="R611" s="205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</row>
    <row r="612">
      <c r="A612" s="122"/>
      <c r="B612" s="204"/>
      <c r="C612" s="204"/>
      <c r="D612" s="204"/>
      <c r="E612" s="205"/>
      <c r="F612" s="205"/>
      <c r="G612" s="205"/>
      <c r="H612" s="206"/>
      <c r="I612" s="207"/>
      <c r="J612" s="207"/>
      <c r="K612" s="207"/>
      <c r="L612" s="122"/>
      <c r="M612" s="207"/>
      <c r="N612" s="207"/>
      <c r="O612" s="122"/>
      <c r="P612" s="205"/>
      <c r="Q612" s="205"/>
      <c r="R612" s="205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</row>
    <row r="613">
      <c r="A613" s="122"/>
      <c r="B613" s="204"/>
      <c r="C613" s="204"/>
      <c r="D613" s="204"/>
      <c r="E613" s="205"/>
      <c r="F613" s="205"/>
      <c r="G613" s="205"/>
      <c r="H613" s="206"/>
      <c r="I613" s="207"/>
      <c r="J613" s="207"/>
      <c r="K613" s="207"/>
      <c r="L613" s="122"/>
      <c r="M613" s="207"/>
      <c r="N613" s="207"/>
      <c r="O613" s="122"/>
      <c r="P613" s="205"/>
      <c r="Q613" s="205"/>
      <c r="R613" s="205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</row>
    <row r="614">
      <c r="A614" s="122"/>
      <c r="B614" s="204"/>
      <c r="C614" s="204"/>
      <c r="D614" s="204"/>
      <c r="E614" s="205"/>
      <c r="F614" s="205"/>
      <c r="G614" s="205"/>
      <c r="H614" s="206"/>
      <c r="I614" s="207"/>
      <c r="J614" s="207"/>
      <c r="K614" s="207"/>
      <c r="L614" s="122"/>
      <c r="M614" s="207"/>
      <c r="N614" s="207"/>
      <c r="O614" s="122"/>
      <c r="P614" s="205"/>
      <c r="Q614" s="205"/>
      <c r="R614" s="205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</row>
    <row r="615">
      <c r="A615" s="122"/>
      <c r="B615" s="204"/>
      <c r="C615" s="204"/>
      <c r="D615" s="204"/>
      <c r="E615" s="205"/>
      <c r="F615" s="205"/>
      <c r="G615" s="205"/>
      <c r="H615" s="206"/>
      <c r="I615" s="207"/>
      <c r="J615" s="207"/>
      <c r="K615" s="207"/>
      <c r="L615" s="122"/>
      <c r="M615" s="207"/>
      <c r="N615" s="207"/>
      <c r="O615" s="122"/>
      <c r="P615" s="205"/>
      <c r="Q615" s="205"/>
      <c r="R615" s="205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</row>
    <row r="616">
      <c r="A616" s="122"/>
      <c r="B616" s="204"/>
      <c r="C616" s="204"/>
      <c r="D616" s="204"/>
      <c r="E616" s="205"/>
      <c r="F616" s="205"/>
      <c r="G616" s="205"/>
      <c r="H616" s="206"/>
      <c r="I616" s="207"/>
      <c r="J616" s="207"/>
      <c r="K616" s="207"/>
      <c r="L616" s="122"/>
      <c r="M616" s="207"/>
      <c r="N616" s="207"/>
      <c r="O616" s="122"/>
      <c r="P616" s="205"/>
      <c r="Q616" s="205"/>
      <c r="R616" s="205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</row>
    <row r="617">
      <c r="A617" s="122"/>
      <c r="B617" s="204"/>
      <c r="C617" s="204"/>
      <c r="D617" s="204"/>
      <c r="E617" s="205"/>
      <c r="F617" s="205"/>
      <c r="G617" s="205"/>
      <c r="H617" s="206"/>
      <c r="I617" s="207"/>
      <c r="J617" s="207"/>
      <c r="K617" s="207"/>
      <c r="L617" s="122"/>
      <c r="M617" s="207"/>
      <c r="N617" s="207"/>
      <c r="O617" s="122"/>
      <c r="P617" s="205"/>
      <c r="Q617" s="205"/>
      <c r="R617" s="205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</row>
    <row r="618">
      <c r="A618" s="122"/>
      <c r="B618" s="204"/>
      <c r="C618" s="204"/>
      <c r="D618" s="204"/>
      <c r="E618" s="205"/>
      <c r="F618" s="205"/>
      <c r="G618" s="205"/>
      <c r="H618" s="206"/>
      <c r="I618" s="207"/>
      <c r="J618" s="207"/>
      <c r="K618" s="207"/>
      <c r="L618" s="122"/>
      <c r="M618" s="207"/>
      <c r="N618" s="207"/>
      <c r="O618" s="122"/>
      <c r="P618" s="205"/>
      <c r="Q618" s="205"/>
      <c r="R618" s="205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</row>
    <row r="619">
      <c r="A619" s="122"/>
      <c r="B619" s="204"/>
      <c r="C619" s="204"/>
      <c r="D619" s="204"/>
      <c r="E619" s="205"/>
      <c r="F619" s="205"/>
      <c r="G619" s="205"/>
      <c r="H619" s="206"/>
      <c r="I619" s="207"/>
      <c r="J619" s="207"/>
      <c r="K619" s="207"/>
      <c r="L619" s="122"/>
      <c r="M619" s="207"/>
      <c r="N619" s="207"/>
      <c r="O619" s="122"/>
      <c r="P619" s="205"/>
      <c r="Q619" s="205"/>
      <c r="R619" s="205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</row>
    <row r="620">
      <c r="A620" s="122"/>
      <c r="B620" s="204"/>
      <c r="C620" s="204"/>
      <c r="D620" s="204"/>
      <c r="E620" s="205"/>
      <c r="F620" s="205"/>
      <c r="G620" s="205"/>
      <c r="H620" s="206"/>
      <c r="I620" s="207"/>
      <c r="J620" s="207"/>
      <c r="K620" s="207"/>
      <c r="L620" s="122"/>
      <c r="M620" s="207"/>
      <c r="N620" s="207"/>
      <c r="O620" s="122"/>
      <c r="P620" s="205"/>
      <c r="Q620" s="205"/>
      <c r="R620" s="205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</row>
    <row r="621">
      <c r="A621" s="122"/>
      <c r="B621" s="204"/>
      <c r="C621" s="204"/>
      <c r="D621" s="204"/>
      <c r="E621" s="205"/>
      <c r="F621" s="205"/>
      <c r="G621" s="205"/>
      <c r="H621" s="206"/>
      <c r="I621" s="207"/>
      <c r="J621" s="207"/>
      <c r="K621" s="207"/>
      <c r="L621" s="122"/>
      <c r="M621" s="207"/>
      <c r="N621" s="207"/>
      <c r="O621" s="122"/>
      <c r="P621" s="205"/>
      <c r="Q621" s="205"/>
      <c r="R621" s="205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</row>
    <row r="622">
      <c r="A622" s="122"/>
      <c r="B622" s="204"/>
      <c r="C622" s="204"/>
      <c r="D622" s="204"/>
      <c r="E622" s="205"/>
      <c r="F622" s="205"/>
      <c r="G622" s="205"/>
      <c r="H622" s="206"/>
      <c r="I622" s="207"/>
      <c r="J622" s="207"/>
      <c r="K622" s="207"/>
      <c r="L622" s="122"/>
      <c r="M622" s="207"/>
      <c r="N622" s="207"/>
      <c r="O622" s="122"/>
      <c r="P622" s="205"/>
      <c r="Q622" s="205"/>
      <c r="R622" s="205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</row>
    <row r="623">
      <c r="A623" s="122"/>
      <c r="B623" s="204"/>
      <c r="C623" s="204"/>
      <c r="D623" s="204"/>
      <c r="E623" s="205"/>
      <c r="F623" s="205"/>
      <c r="G623" s="205"/>
      <c r="H623" s="206"/>
      <c r="I623" s="207"/>
      <c r="J623" s="207"/>
      <c r="K623" s="207"/>
      <c r="L623" s="122"/>
      <c r="M623" s="207"/>
      <c r="N623" s="207"/>
      <c r="O623" s="122"/>
      <c r="P623" s="205"/>
      <c r="Q623" s="205"/>
      <c r="R623" s="205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</row>
    <row r="624">
      <c r="A624" s="122"/>
      <c r="B624" s="204"/>
      <c r="C624" s="204"/>
      <c r="D624" s="204"/>
      <c r="E624" s="205"/>
      <c r="F624" s="205"/>
      <c r="G624" s="205"/>
      <c r="H624" s="206"/>
      <c r="I624" s="207"/>
      <c r="J624" s="207"/>
      <c r="K624" s="207"/>
      <c r="L624" s="122"/>
      <c r="M624" s="207"/>
      <c r="N624" s="207"/>
      <c r="O624" s="122"/>
      <c r="P624" s="205"/>
      <c r="Q624" s="205"/>
      <c r="R624" s="205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</row>
    <row r="625">
      <c r="A625" s="122"/>
      <c r="B625" s="204"/>
      <c r="C625" s="204"/>
      <c r="D625" s="204"/>
      <c r="E625" s="205"/>
      <c r="F625" s="205"/>
      <c r="G625" s="205"/>
      <c r="H625" s="206"/>
      <c r="I625" s="207"/>
      <c r="J625" s="207"/>
      <c r="K625" s="207"/>
      <c r="L625" s="122"/>
      <c r="M625" s="207"/>
      <c r="N625" s="207"/>
      <c r="O625" s="122"/>
      <c r="P625" s="205"/>
      <c r="Q625" s="205"/>
      <c r="R625" s="205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</row>
    <row r="626">
      <c r="A626" s="122"/>
      <c r="B626" s="204"/>
      <c r="C626" s="204"/>
      <c r="D626" s="204"/>
      <c r="E626" s="205"/>
      <c r="F626" s="205"/>
      <c r="G626" s="205"/>
      <c r="H626" s="206"/>
      <c r="I626" s="207"/>
      <c r="J626" s="207"/>
      <c r="K626" s="207"/>
      <c r="L626" s="122"/>
      <c r="M626" s="207"/>
      <c r="N626" s="207"/>
      <c r="O626" s="122"/>
      <c r="P626" s="205"/>
      <c r="Q626" s="205"/>
      <c r="R626" s="205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</row>
    <row r="627">
      <c r="A627" s="122"/>
      <c r="B627" s="204"/>
      <c r="C627" s="204"/>
      <c r="D627" s="204"/>
      <c r="E627" s="205"/>
      <c r="F627" s="205"/>
      <c r="G627" s="205"/>
      <c r="H627" s="206"/>
      <c r="I627" s="207"/>
      <c r="J627" s="207"/>
      <c r="K627" s="207"/>
      <c r="L627" s="122"/>
      <c r="M627" s="207"/>
      <c r="N627" s="207"/>
      <c r="O627" s="122"/>
      <c r="P627" s="205"/>
      <c r="Q627" s="205"/>
      <c r="R627" s="205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</row>
    <row r="628">
      <c r="A628" s="122"/>
      <c r="B628" s="204"/>
      <c r="C628" s="204"/>
      <c r="D628" s="204"/>
      <c r="E628" s="205"/>
      <c r="F628" s="205"/>
      <c r="G628" s="205"/>
      <c r="H628" s="206"/>
      <c r="I628" s="207"/>
      <c r="J628" s="207"/>
      <c r="K628" s="207"/>
      <c r="L628" s="122"/>
      <c r="M628" s="207"/>
      <c r="N628" s="207"/>
      <c r="O628" s="122"/>
      <c r="P628" s="205"/>
      <c r="Q628" s="205"/>
      <c r="R628" s="205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</row>
    <row r="629">
      <c r="A629" s="122"/>
      <c r="B629" s="204"/>
      <c r="C629" s="204"/>
      <c r="D629" s="204"/>
      <c r="E629" s="205"/>
      <c r="F629" s="205"/>
      <c r="G629" s="205"/>
      <c r="H629" s="206"/>
      <c r="I629" s="207"/>
      <c r="J629" s="207"/>
      <c r="K629" s="207"/>
      <c r="L629" s="122"/>
      <c r="M629" s="207"/>
      <c r="N629" s="207"/>
      <c r="O629" s="122"/>
      <c r="P629" s="205"/>
      <c r="Q629" s="205"/>
      <c r="R629" s="205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</row>
    <row r="630">
      <c r="A630" s="122"/>
      <c r="B630" s="204"/>
      <c r="C630" s="204"/>
      <c r="D630" s="204"/>
      <c r="E630" s="205"/>
      <c r="F630" s="205"/>
      <c r="G630" s="205"/>
      <c r="H630" s="206"/>
      <c r="I630" s="207"/>
      <c r="J630" s="207"/>
      <c r="K630" s="207"/>
      <c r="L630" s="122"/>
      <c r="M630" s="207"/>
      <c r="N630" s="207"/>
      <c r="O630" s="122"/>
      <c r="P630" s="205"/>
      <c r="Q630" s="205"/>
      <c r="R630" s="205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</row>
    <row r="631">
      <c r="A631" s="122"/>
      <c r="B631" s="204"/>
      <c r="C631" s="204"/>
      <c r="D631" s="204"/>
      <c r="E631" s="205"/>
      <c r="F631" s="205"/>
      <c r="G631" s="205"/>
      <c r="H631" s="206"/>
      <c r="I631" s="207"/>
      <c r="J631" s="207"/>
      <c r="K631" s="207"/>
      <c r="L631" s="122"/>
      <c r="M631" s="207"/>
      <c r="N631" s="207"/>
      <c r="O631" s="122"/>
      <c r="P631" s="205"/>
      <c r="Q631" s="205"/>
      <c r="R631" s="205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</row>
    <row r="632">
      <c r="A632" s="122"/>
      <c r="B632" s="204"/>
      <c r="C632" s="204"/>
      <c r="D632" s="204"/>
      <c r="E632" s="205"/>
      <c r="F632" s="205"/>
      <c r="G632" s="205"/>
      <c r="H632" s="206"/>
      <c r="I632" s="207"/>
      <c r="J632" s="207"/>
      <c r="K632" s="207"/>
      <c r="L632" s="122"/>
      <c r="M632" s="207"/>
      <c r="N632" s="207"/>
      <c r="O632" s="122"/>
      <c r="P632" s="205"/>
      <c r="Q632" s="205"/>
      <c r="R632" s="205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</row>
    <row r="633">
      <c r="A633" s="122"/>
      <c r="B633" s="204"/>
      <c r="C633" s="204"/>
      <c r="D633" s="204"/>
      <c r="E633" s="205"/>
      <c r="F633" s="205"/>
      <c r="G633" s="205"/>
      <c r="H633" s="206"/>
      <c r="I633" s="207"/>
      <c r="J633" s="207"/>
      <c r="K633" s="207"/>
      <c r="L633" s="122"/>
      <c r="M633" s="207"/>
      <c r="N633" s="207"/>
      <c r="O633" s="122"/>
      <c r="P633" s="205"/>
      <c r="Q633" s="205"/>
      <c r="R633" s="205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</row>
    <row r="634">
      <c r="A634" s="122"/>
      <c r="B634" s="204"/>
      <c r="C634" s="204"/>
      <c r="D634" s="204"/>
      <c r="E634" s="205"/>
      <c r="F634" s="205"/>
      <c r="G634" s="205"/>
      <c r="H634" s="206"/>
      <c r="I634" s="207"/>
      <c r="J634" s="207"/>
      <c r="K634" s="207"/>
      <c r="L634" s="122"/>
      <c r="M634" s="207"/>
      <c r="N634" s="207"/>
      <c r="O634" s="122"/>
      <c r="P634" s="205"/>
      <c r="Q634" s="205"/>
      <c r="R634" s="205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</row>
    <row r="635">
      <c r="A635" s="122"/>
      <c r="B635" s="204"/>
      <c r="C635" s="204"/>
      <c r="D635" s="204"/>
      <c r="E635" s="205"/>
      <c r="F635" s="205"/>
      <c r="G635" s="205"/>
      <c r="H635" s="206"/>
      <c r="I635" s="207"/>
      <c r="J635" s="207"/>
      <c r="K635" s="207"/>
      <c r="L635" s="122"/>
      <c r="M635" s="207"/>
      <c r="N635" s="207"/>
      <c r="O635" s="122"/>
      <c r="P635" s="205"/>
      <c r="Q635" s="205"/>
      <c r="R635" s="205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</row>
    <row r="636">
      <c r="A636" s="122"/>
      <c r="B636" s="204"/>
      <c r="C636" s="204"/>
      <c r="D636" s="204"/>
      <c r="E636" s="205"/>
      <c r="F636" s="205"/>
      <c r="G636" s="205"/>
      <c r="H636" s="206"/>
      <c r="I636" s="207"/>
      <c r="J636" s="207"/>
      <c r="K636" s="207"/>
      <c r="L636" s="122"/>
      <c r="M636" s="207"/>
      <c r="N636" s="207"/>
      <c r="O636" s="122"/>
      <c r="P636" s="205"/>
      <c r="Q636" s="205"/>
      <c r="R636" s="205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</row>
    <row r="637">
      <c r="A637" s="122"/>
      <c r="B637" s="204"/>
      <c r="C637" s="204"/>
      <c r="D637" s="204"/>
      <c r="E637" s="205"/>
      <c r="F637" s="205"/>
      <c r="G637" s="205"/>
      <c r="H637" s="206"/>
      <c r="I637" s="207"/>
      <c r="J637" s="207"/>
      <c r="K637" s="207"/>
      <c r="L637" s="122"/>
      <c r="M637" s="207"/>
      <c r="N637" s="207"/>
      <c r="O637" s="122"/>
      <c r="P637" s="205"/>
      <c r="Q637" s="205"/>
      <c r="R637" s="205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</row>
    <row r="638">
      <c r="A638" s="122"/>
      <c r="B638" s="204"/>
      <c r="C638" s="204"/>
      <c r="D638" s="204"/>
      <c r="E638" s="205"/>
      <c r="F638" s="205"/>
      <c r="G638" s="205"/>
      <c r="H638" s="206"/>
      <c r="I638" s="207"/>
      <c r="J638" s="207"/>
      <c r="K638" s="207"/>
      <c r="L638" s="122"/>
      <c r="M638" s="207"/>
      <c r="N638" s="207"/>
      <c r="O638" s="122"/>
      <c r="P638" s="205"/>
      <c r="Q638" s="205"/>
      <c r="R638" s="205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</row>
    <row r="639">
      <c r="A639" s="122"/>
      <c r="B639" s="204"/>
      <c r="C639" s="204"/>
      <c r="D639" s="204"/>
      <c r="E639" s="205"/>
      <c r="F639" s="205"/>
      <c r="G639" s="205"/>
      <c r="H639" s="206"/>
      <c r="I639" s="207"/>
      <c r="J639" s="207"/>
      <c r="K639" s="207"/>
      <c r="L639" s="122"/>
      <c r="M639" s="207"/>
      <c r="N639" s="207"/>
      <c r="O639" s="122"/>
      <c r="P639" s="205"/>
      <c r="Q639" s="205"/>
      <c r="R639" s="205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</row>
    <row r="640">
      <c r="A640" s="122"/>
      <c r="B640" s="204"/>
      <c r="C640" s="204"/>
      <c r="D640" s="204"/>
      <c r="E640" s="205"/>
      <c r="F640" s="205"/>
      <c r="G640" s="205"/>
      <c r="H640" s="206"/>
      <c r="I640" s="207"/>
      <c r="J640" s="207"/>
      <c r="K640" s="207"/>
      <c r="L640" s="122"/>
      <c r="M640" s="207"/>
      <c r="N640" s="207"/>
      <c r="O640" s="122"/>
      <c r="P640" s="205"/>
      <c r="Q640" s="205"/>
      <c r="R640" s="205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</row>
    <row r="641">
      <c r="A641" s="122"/>
      <c r="B641" s="204"/>
      <c r="C641" s="204"/>
      <c r="D641" s="204"/>
      <c r="E641" s="205"/>
      <c r="F641" s="205"/>
      <c r="G641" s="205"/>
      <c r="H641" s="206"/>
      <c r="I641" s="207"/>
      <c r="J641" s="207"/>
      <c r="K641" s="207"/>
      <c r="L641" s="122"/>
      <c r="M641" s="207"/>
      <c r="N641" s="207"/>
      <c r="O641" s="122"/>
      <c r="P641" s="205"/>
      <c r="Q641" s="205"/>
      <c r="R641" s="205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</row>
    <row r="642">
      <c r="A642" s="122"/>
      <c r="B642" s="204"/>
      <c r="C642" s="204"/>
      <c r="D642" s="204"/>
      <c r="E642" s="205"/>
      <c r="F642" s="205"/>
      <c r="G642" s="205"/>
      <c r="H642" s="206"/>
      <c r="I642" s="207"/>
      <c r="J642" s="207"/>
      <c r="K642" s="207"/>
      <c r="L642" s="122"/>
      <c r="M642" s="207"/>
      <c r="N642" s="207"/>
      <c r="O642" s="122"/>
      <c r="P642" s="205"/>
      <c r="Q642" s="205"/>
      <c r="R642" s="205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</row>
    <row r="643">
      <c r="A643" s="122"/>
      <c r="B643" s="204"/>
      <c r="C643" s="204"/>
      <c r="D643" s="204"/>
      <c r="E643" s="205"/>
      <c r="F643" s="205"/>
      <c r="G643" s="205"/>
      <c r="H643" s="206"/>
      <c r="I643" s="207"/>
      <c r="J643" s="207"/>
      <c r="K643" s="207"/>
      <c r="L643" s="122"/>
      <c r="M643" s="207"/>
      <c r="N643" s="207"/>
      <c r="O643" s="122"/>
      <c r="P643" s="205"/>
      <c r="Q643" s="205"/>
      <c r="R643" s="205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</row>
    <row r="644">
      <c r="A644" s="122"/>
      <c r="B644" s="204"/>
      <c r="C644" s="204"/>
      <c r="D644" s="204"/>
      <c r="E644" s="205"/>
      <c r="F644" s="205"/>
      <c r="G644" s="205"/>
      <c r="H644" s="206"/>
      <c r="I644" s="207"/>
      <c r="J644" s="207"/>
      <c r="K644" s="207"/>
      <c r="L644" s="122"/>
      <c r="M644" s="207"/>
      <c r="N644" s="207"/>
      <c r="O644" s="122"/>
      <c r="P644" s="205"/>
      <c r="Q644" s="205"/>
      <c r="R644" s="205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</row>
    <row r="645">
      <c r="A645" s="122"/>
      <c r="B645" s="204"/>
      <c r="C645" s="204"/>
      <c r="D645" s="204"/>
      <c r="E645" s="205"/>
      <c r="F645" s="205"/>
      <c r="G645" s="205"/>
      <c r="H645" s="206"/>
      <c r="I645" s="207"/>
      <c r="J645" s="207"/>
      <c r="K645" s="207"/>
      <c r="L645" s="122"/>
      <c r="M645" s="207"/>
      <c r="N645" s="207"/>
      <c r="O645" s="122"/>
      <c r="P645" s="205"/>
      <c r="Q645" s="205"/>
      <c r="R645" s="205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</row>
    <row r="646">
      <c r="A646" s="122"/>
      <c r="B646" s="204"/>
      <c r="C646" s="204"/>
      <c r="D646" s="204"/>
      <c r="E646" s="205"/>
      <c r="F646" s="205"/>
      <c r="G646" s="205"/>
      <c r="H646" s="206"/>
      <c r="I646" s="207"/>
      <c r="J646" s="207"/>
      <c r="K646" s="207"/>
      <c r="L646" s="122"/>
      <c r="M646" s="207"/>
      <c r="N646" s="207"/>
      <c r="O646" s="122"/>
      <c r="P646" s="205"/>
      <c r="Q646" s="205"/>
      <c r="R646" s="205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</row>
    <row r="647">
      <c r="A647" s="122"/>
      <c r="B647" s="204"/>
      <c r="C647" s="204"/>
      <c r="D647" s="204"/>
      <c r="E647" s="205"/>
      <c r="F647" s="205"/>
      <c r="G647" s="205"/>
      <c r="H647" s="206"/>
      <c r="I647" s="207"/>
      <c r="J647" s="207"/>
      <c r="K647" s="207"/>
      <c r="L647" s="122"/>
      <c r="M647" s="207"/>
      <c r="N647" s="207"/>
      <c r="O647" s="122"/>
      <c r="P647" s="205"/>
      <c r="Q647" s="205"/>
      <c r="R647" s="205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</row>
    <row r="648">
      <c r="A648" s="122"/>
      <c r="B648" s="204"/>
      <c r="C648" s="204"/>
      <c r="D648" s="204"/>
      <c r="E648" s="205"/>
      <c r="F648" s="205"/>
      <c r="G648" s="205"/>
      <c r="H648" s="206"/>
      <c r="I648" s="207"/>
      <c r="J648" s="207"/>
      <c r="K648" s="207"/>
      <c r="L648" s="122"/>
      <c r="M648" s="207"/>
      <c r="N648" s="207"/>
      <c r="O648" s="122"/>
      <c r="P648" s="205"/>
      <c r="Q648" s="205"/>
      <c r="R648" s="205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</row>
    <row r="649">
      <c r="A649" s="122"/>
      <c r="B649" s="204"/>
      <c r="C649" s="204"/>
      <c r="D649" s="204"/>
      <c r="E649" s="205"/>
      <c r="F649" s="205"/>
      <c r="G649" s="205"/>
      <c r="H649" s="206"/>
      <c r="I649" s="207"/>
      <c r="J649" s="207"/>
      <c r="K649" s="207"/>
      <c r="L649" s="122"/>
      <c r="M649" s="207"/>
      <c r="N649" s="207"/>
      <c r="O649" s="122"/>
      <c r="P649" s="205"/>
      <c r="Q649" s="205"/>
      <c r="R649" s="205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</row>
    <row r="650">
      <c r="A650" s="122"/>
      <c r="B650" s="204"/>
      <c r="C650" s="204"/>
      <c r="D650" s="204"/>
      <c r="E650" s="205"/>
      <c r="F650" s="205"/>
      <c r="G650" s="205"/>
      <c r="H650" s="206"/>
      <c r="I650" s="207"/>
      <c r="J650" s="207"/>
      <c r="K650" s="207"/>
      <c r="L650" s="122"/>
      <c r="M650" s="207"/>
      <c r="N650" s="207"/>
      <c r="O650" s="122"/>
      <c r="P650" s="205"/>
      <c r="Q650" s="205"/>
      <c r="R650" s="205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</row>
    <row r="651">
      <c r="A651" s="122"/>
      <c r="B651" s="204"/>
      <c r="C651" s="204"/>
      <c r="D651" s="204"/>
      <c r="E651" s="205"/>
      <c r="F651" s="205"/>
      <c r="G651" s="205"/>
      <c r="H651" s="206"/>
      <c r="I651" s="207"/>
      <c r="J651" s="207"/>
      <c r="K651" s="207"/>
      <c r="L651" s="122"/>
      <c r="M651" s="207"/>
      <c r="N651" s="207"/>
      <c r="O651" s="122"/>
      <c r="P651" s="205"/>
      <c r="Q651" s="205"/>
      <c r="R651" s="205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</row>
    <row r="652">
      <c r="A652" s="122"/>
      <c r="B652" s="204"/>
      <c r="C652" s="204"/>
      <c r="D652" s="204"/>
      <c r="E652" s="205"/>
      <c r="F652" s="205"/>
      <c r="G652" s="205"/>
      <c r="H652" s="206"/>
      <c r="I652" s="207"/>
      <c r="J652" s="207"/>
      <c r="K652" s="207"/>
      <c r="L652" s="122"/>
      <c r="M652" s="207"/>
      <c r="N652" s="207"/>
      <c r="O652" s="122"/>
      <c r="P652" s="205"/>
      <c r="Q652" s="205"/>
      <c r="R652" s="205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</row>
    <row r="653">
      <c r="A653" s="122"/>
      <c r="B653" s="204"/>
      <c r="C653" s="204"/>
      <c r="D653" s="204"/>
      <c r="E653" s="205"/>
      <c r="F653" s="205"/>
      <c r="G653" s="205"/>
      <c r="H653" s="206"/>
      <c r="I653" s="207"/>
      <c r="J653" s="207"/>
      <c r="K653" s="207"/>
      <c r="L653" s="122"/>
      <c r="M653" s="207"/>
      <c r="N653" s="207"/>
      <c r="O653" s="122"/>
      <c r="P653" s="205"/>
      <c r="Q653" s="205"/>
      <c r="R653" s="205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</row>
    <row r="654">
      <c r="A654" s="122"/>
      <c r="B654" s="204"/>
      <c r="C654" s="204"/>
      <c r="D654" s="204"/>
      <c r="E654" s="205"/>
      <c r="F654" s="205"/>
      <c r="G654" s="205"/>
      <c r="H654" s="206"/>
      <c r="I654" s="207"/>
      <c r="J654" s="207"/>
      <c r="K654" s="207"/>
      <c r="L654" s="122"/>
      <c r="M654" s="207"/>
      <c r="N654" s="207"/>
      <c r="O654" s="122"/>
      <c r="P654" s="205"/>
      <c r="Q654" s="205"/>
      <c r="R654" s="205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</row>
    <row r="655">
      <c r="A655" s="122"/>
      <c r="B655" s="204"/>
      <c r="C655" s="204"/>
      <c r="D655" s="204"/>
      <c r="E655" s="205"/>
      <c r="F655" s="205"/>
      <c r="G655" s="205"/>
      <c r="H655" s="206"/>
      <c r="I655" s="207"/>
      <c r="J655" s="207"/>
      <c r="K655" s="207"/>
      <c r="L655" s="122"/>
      <c r="M655" s="207"/>
      <c r="N655" s="207"/>
      <c r="O655" s="122"/>
      <c r="P655" s="205"/>
      <c r="Q655" s="205"/>
      <c r="R655" s="205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</row>
    <row r="656">
      <c r="A656" s="122"/>
      <c r="B656" s="204"/>
      <c r="C656" s="204"/>
      <c r="D656" s="204"/>
      <c r="E656" s="205"/>
      <c r="F656" s="205"/>
      <c r="G656" s="205"/>
      <c r="H656" s="206"/>
      <c r="I656" s="207"/>
      <c r="J656" s="207"/>
      <c r="K656" s="207"/>
      <c r="L656" s="122"/>
      <c r="M656" s="207"/>
      <c r="N656" s="207"/>
      <c r="O656" s="122"/>
      <c r="P656" s="205"/>
      <c r="Q656" s="205"/>
      <c r="R656" s="205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</row>
    <row r="657">
      <c r="A657" s="122"/>
      <c r="B657" s="204"/>
      <c r="C657" s="204"/>
      <c r="D657" s="204"/>
      <c r="E657" s="205"/>
      <c r="F657" s="205"/>
      <c r="G657" s="205"/>
      <c r="H657" s="206"/>
      <c r="I657" s="207"/>
      <c r="J657" s="207"/>
      <c r="K657" s="207"/>
      <c r="L657" s="122"/>
      <c r="M657" s="207"/>
      <c r="N657" s="207"/>
      <c r="O657" s="122"/>
      <c r="P657" s="205"/>
      <c r="Q657" s="205"/>
      <c r="R657" s="205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</row>
    <row r="658">
      <c r="A658" s="122"/>
      <c r="B658" s="204"/>
      <c r="C658" s="204"/>
      <c r="D658" s="204"/>
      <c r="E658" s="205"/>
      <c r="F658" s="205"/>
      <c r="G658" s="205"/>
      <c r="H658" s="206"/>
      <c r="I658" s="207"/>
      <c r="J658" s="207"/>
      <c r="K658" s="207"/>
      <c r="L658" s="122"/>
      <c r="M658" s="207"/>
      <c r="N658" s="207"/>
      <c r="O658" s="122"/>
      <c r="P658" s="205"/>
      <c r="Q658" s="205"/>
      <c r="R658" s="205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</row>
    <row r="659">
      <c r="A659" s="122"/>
      <c r="B659" s="204"/>
      <c r="C659" s="204"/>
      <c r="D659" s="204"/>
      <c r="E659" s="205"/>
      <c r="F659" s="205"/>
      <c r="G659" s="205"/>
      <c r="H659" s="206"/>
      <c r="I659" s="207"/>
      <c r="J659" s="207"/>
      <c r="K659" s="207"/>
      <c r="L659" s="122"/>
      <c r="M659" s="207"/>
      <c r="N659" s="207"/>
      <c r="O659" s="122"/>
      <c r="P659" s="205"/>
      <c r="Q659" s="205"/>
      <c r="R659" s="205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</row>
    <row r="660">
      <c r="A660" s="122"/>
      <c r="B660" s="204"/>
      <c r="C660" s="204"/>
      <c r="D660" s="204"/>
      <c r="E660" s="205"/>
      <c r="F660" s="205"/>
      <c r="G660" s="205"/>
      <c r="H660" s="206"/>
      <c r="I660" s="207"/>
      <c r="J660" s="207"/>
      <c r="K660" s="207"/>
      <c r="L660" s="122"/>
      <c r="M660" s="207"/>
      <c r="N660" s="207"/>
      <c r="O660" s="122"/>
      <c r="P660" s="205"/>
      <c r="Q660" s="205"/>
      <c r="R660" s="205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</row>
    <row r="661">
      <c r="A661" s="122"/>
      <c r="B661" s="204"/>
      <c r="C661" s="204"/>
      <c r="D661" s="204"/>
      <c r="E661" s="205"/>
      <c r="F661" s="205"/>
      <c r="G661" s="205"/>
      <c r="H661" s="206"/>
      <c r="I661" s="207"/>
      <c r="J661" s="207"/>
      <c r="K661" s="207"/>
      <c r="L661" s="122"/>
      <c r="M661" s="207"/>
      <c r="N661" s="207"/>
      <c r="O661" s="122"/>
      <c r="P661" s="205"/>
      <c r="Q661" s="205"/>
      <c r="R661" s="205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</row>
    <row r="662">
      <c r="A662" s="122"/>
      <c r="B662" s="204"/>
      <c r="C662" s="204"/>
      <c r="D662" s="204"/>
      <c r="E662" s="205"/>
      <c r="F662" s="205"/>
      <c r="G662" s="205"/>
      <c r="H662" s="206"/>
      <c r="I662" s="207"/>
      <c r="J662" s="207"/>
      <c r="K662" s="207"/>
      <c r="L662" s="122"/>
      <c r="M662" s="207"/>
      <c r="N662" s="207"/>
      <c r="O662" s="122"/>
      <c r="P662" s="205"/>
      <c r="Q662" s="205"/>
      <c r="R662" s="205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</row>
    <row r="663">
      <c r="A663" s="122"/>
      <c r="B663" s="204"/>
      <c r="C663" s="204"/>
      <c r="D663" s="204"/>
      <c r="E663" s="205"/>
      <c r="F663" s="205"/>
      <c r="G663" s="205"/>
      <c r="H663" s="206"/>
      <c r="I663" s="207"/>
      <c r="J663" s="207"/>
      <c r="K663" s="207"/>
      <c r="L663" s="122"/>
      <c r="M663" s="207"/>
      <c r="N663" s="207"/>
      <c r="O663" s="122"/>
      <c r="P663" s="205"/>
      <c r="Q663" s="205"/>
      <c r="R663" s="205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</row>
    <row r="664">
      <c r="A664" s="122"/>
      <c r="B664" s="204"/>
      <c r="C664" s="204"/>
      <c r="D664" s="204"/>
      <c r="E664" s="205"/>
      <c r="F664" s="205"/>
      <c r="G664" s="205"/>
      <c r="H664" s="206"/>
      <c r="I664" s="207"/>
      <c r="J664" s="207"/>
      <c r="K664" s="207"/>
      <c r="L664" s="122"/>
      <c r="M664" s="207"/>
      <c r="N664" s="207"/>
      <c r="O664" s="122"/>
      <c r="P664" s="205"/>
      <c r="Q664" s="205"/>
      <c r="R664" s="205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</row>
    <row r="665">
      <c r="A665" s="122"/>
      <c r="B665" s="204"/>
      <c r="C665" s="204"/>
      <c r="D665" s="204"/>
      <c r="E665" s="205"/>
      <c r="F665" s="205"/>
      <c r="G665" s="205"/>
      <c r="H665" s="206"/>
      <c r="I665" s="207"/>
      <c r="J665" s="207"/>
      <c r="K665" s="207"/>
      <c r="L665" s="122"/>
      <c r="M665" s="207"/>
      <c r="N665" s="207"/>
      <c r="O665" s="122"/>
      <c r="P665" s="205"/>
      <c r="Q665" s="205"/>
      <c r="R665" s="205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</row>
    <row r="666">
      <c r="A666" s="122"/>
      <c r="B666" s="204"/>
      <c r="C666" s="204"/>
      <c r="D666" s="204"/>
      <c r="E666" s="205"/>
      <c r="F666" s="205"/>
      <c r="G666" s="205"/>
      <c r="H666" s="206"/>
      <c r="I666" s="207"/>
      <c r="J666" s="207"/>
      <c r="K666" s="207"/>
      <c r="L666" s="122"/>
      <c r="M666" s="207"/>
      <c r="N666" s="207"/>
      <c r="O666" s="122"/>
      <c r="P666" s="205"/>
      <c r="Q666" s="205"/>
      <c r="R666" s="205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</row>
    <row r="667">
      <c r="A667" s="122"/>
      <c r="B667" s="204"/>
      <c r="C667" s="204"/>
      <c r="D667" s="204"/>
      <c r="E667" s="205"/>
      <c r="F667" s="205"/>
      <c r="G667" s="205"/>
      <c r="H667" s="206"/>
      <c r="I667" s="207"/>
      <c r="J667" s="207"/>
      <c r="K667" s="207"/>
      <c r="L667" s="122"/>
      <c r="M667" s="207"/>
      <c r="N667" s="207"/>
      <c r="O667" s="122"/>
      <c r="P667" s="205"/>
      <c r="Q667" s="205"/>
      <c r="R667" s="205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</row>
    <row r="668">
      <c r="A668" s="122"/>
      <c r="B668" s="204"/>
      <c r="C668" s="204"/>
      <c r="D668" s="204"/>
      <c r="E668" s="205"/>
      <c r="F668" s="205"/>
      <c r="G668" s="205"/>
      <c r="H668" s="206"/>
      <c r="I668" s="207"/>
      <c r="J668" s="207"/>
      <c r="K668" s="207"/>
      <c r="L668" s="122"/>
      <c r="M668" s="207"/>
      <c r="N668" s="207"/>
      <c r="O668" s="122"/>
      <c r="P668" s="205"/>
      <c r="Q668" s="205"/>
      <c r="R668" s="205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</row>
    <row r="669">
      <c r="A669" s="122"/>
      <c r="B669" s="204"/>
      <c r="C669" s="204"/>
      <c r="D669" s="204"/>
      <c r="E669" s="205"/>
      <c r="F669" s="205"/>
      <c r="G669" s="205"/>
      <c r="H669" s="206"/>
      <c r="I669" s="207"/>
      <c r="J669" s="207"/>
      <c r="K669" s="207"/>
      <c r="L669" s="122"/>
      <c r="M669" s="207"/>
      <c r="N669" s="207"/>
      <c r="O669" s="122"/>
      <c r="P669" s="205"/>
      <c r="Q669" s="205"/>
      <c r="R669" s="205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</row>
    <row r="670">
      <c r="A670" s="122"/>
      <c r="B670" s="204"/>
      <c r="C670" s="204"/>
      <c r="D670" s="204"/>
      <c r="E670" s="205"/>
      <c r="F670" s="205"/>
      <c r="G670" s="205"/>
      <c r="H670" s="206"/>
      <c r="I670" s="207"/>
      <c r="J670" s="207"/>
      <c r="K670" s="207"/>
      <c r="L670" s="122"/>
      <c r="M670" s="207"/>
      <c r="N670" s="207"/>
      <c r="O670" s="122"/>
      <c r="P670" s="205"/>
      <c r="Q670" s="205"/>
      <c r="R670" s="205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</row>
    <row r="671">
      <c r="A671" s="122"/>
      <c r="B671" s="204"/>
      <c r="C671" s="204"/>
      <c r="D671" s="204"/>
      <c r="E671" s="205"/>
      <c r="F671" s="205"/>
      <c r="G671" s="205"/>
      <c r="H671" s="206"/>
      <c r="I671" s="207"/>
      <c r="J671" s="207"/>
      <c r="K671" s="207"/>
      <c r="L671" s="122"/>
      <c r="M671" s="207"/>
      <c r="N671" s="207"/>
      <c r="O671" s="122"/>
      <c r="P671" s="205"/>
      <c r="Q671" s="205"/>
      <c r="R671" s="205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</row>
    <row r="672">
      <c r="A672" s="122"/>
      <c r="B672" s="204"/>
      <c r="C672" s="204"/>
      <c r="D672" s="204"/>
      <c r="E672" s="205"/>
      <c r="F672" s="205"/>
      <c r="G672" s="205"/>
      <c r="H672" s="206"/>
      <c r="I672" s="207"/>
      <c r="J672" s="207"/>
      <c r="K672" s="207"/>
      <c r="L672" s="122"/>
      <c r="M672" s="207"/>
      <c r="N672" s="207"/>
      <c r="O672" s="122"/>
      <c r="P672" s="205"/>
      <c r="Q672" s="205"/>
      <c r="R672" s="205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</row>
    <row r="673">
      <c r="A673" s="122"/>
      <c r="B673" s="204"/>
      <c r="C673" s="204"/>
      <c r="D673" s="204"/>
      <c r="E673" s="205"/>
      <c r="F673" s="205"/>
      <c r="G673" s="205"/>
      <c r="H673" s="206"/>
      <c r="I673" s="207"/>
      <c r="J673" s="207"/>
      <c r="K673" s="207"/>
      <c r="L673" s="122"/>
      <c r="M673" s="207"/>
      <c r="N673" s="207"/>
      <c r="O673" s="122"/>
      <c r="P673" s="205"/>
      <c r="Q673" s="205"/>
      <c r="R673" s="205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</row>
    <row r="674">
      <c r="A674" s="122"/>
      <c r="B674" s="204"/>
      <c r="C674" s="204"/>
      <c r="D674" s="204"/>
      <c r="E674" s="205"/>
      <c r="F674" s="205"/>
      <c r="G674" s="205"/>
      <c r="H674" s="206"/>
      <c r="I674" s="207"/>
      <c r="J674" s="207"/>
      <c r="K674" s="207"/>
      <c r="L674" s="122"/>
      <c r="M674" s="207"/>
      <c r="N674" s="207"/>
      <c r="O674" s="122"/>
      <c r="P674" s="205"/>
      <c r="Q674" s="205"/>
      <c r="R674" s="205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</row>
    <row r="675">
      <c r="A675" s="122"/>
      <c r="B675" s="204"/>
      <c r="C675" s="204"/>
      <c r="D675" s="204"/>
      <c r="E675" s="205"/>
      <c r="F675" s="205"/>
      <c r="G675" s="205"/>
      <c r="H675" s="206"/>
      <c r="I675" s="207"/>
      <c r="J675" s="207"/>
      <c r="K675" s="207"/>
      <c r="L675" s="122"/>
      <c r="M675" s="207"/>
      <c r="N675" s="207"/>
      <c r="O675" s="122"/>
      <c r="P675" s="205"/>
      <c r="Q675" s="205"/>
      <c r="R675" s="205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</row>
    <row r="676">
      <c r="A676" s="122"/>
      <c r="B676" s="204"/>
      <c r="C676" s="204"/>
      <c r="D676" s="204"/>
      <c r="E676" s="205"/>
      <c r="F676" s="205"/>
      <c r="G676" s="205"/>
      <c r="H676" s="206"/>
      <c r="I676" s="207"/>
      <c r="J676" s="207"/>
      <c r="K676" s="207"/>
      <c r="L676" s="122"/>
      <c r="M676" s="207"/>
      <c r="N676" s="207"/>
      <c r="O676" s="122"/>
      <c r="P676" s="205"/>
      <c r="Q676" s="205"/>
      <c r="R676" s="205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</row>
    <row r="677">
      <c r="A677" s="122"/>
      <c r="B677" s="204"/>
      <c r="C677" s="204"/>
      <c r="D677" s="204"/>
      <c r="E677" s="205"/>
      <c r="F677" s="205"/>
      <c r="G677" s="205"/>
      <c r="H677" s="206"/>
      <c r="I677" s="207"/>
      <c r="J677" s="207"/>
      <c r="K677" s="207"/>
      <c r="L677" s="122"/>
      <c r="M677" s="207"/>
      <c r="N677" s="207"/>
      <c r="O677" s="122"/>
      <c r="P677" s="205"/>
      <c r="Q677" s="205"/>
      <c r="R677" s="205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</row>
    <row r="678">
      <c r="A678" s="122"/>
      <c r="B678" s="204"/>
      <c r="C678" s="204"/>
      <c r="D678" s="204"/>
      <c r="E678" s="205"/>
      <c r="F678" s="205"/>
      <c r="G678" s="205"/>
      <c r="H678" s="206"/>
      <c r="I678" s="207"/>
      <c r="J678" s="207"/>
      <c r="K678" s="207"/>
      <c r="L678" s="122"/>
      <c r="M678" s="207"/>
      <c r="N678" s="207"/>
      <c r="O678" s="122"/>
      <c r="P678" s="205"/>
      <c r="Q678" s="205"/>
      <c r="R678" s="205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</row>
    <row r="679">
      <c r="A679" s="122"/>
      <c r="B679" s="204"/>
      <c r="C679" s="204"/>
      <c r="D679" s="204"/>
      <c r="E679" s="205"/>
      <c r="F679" s="205"/>
      <c r="G679" s="205"/>
      <c r="H679" s="206"/>
      <c r="I679" s="207"/>
      <c r="J679" s="207"/>
      <c r="K679" s="207"/>
      <c r="L679" s="122"/>
      <c r="M679" s="207"/>
      <c r="N679" s="207"/>
      <c r="O679" s="122"/>
      <c r="P679" s="205"/>
      <c r="Q679" s="205"/>
      <c r="R679" s="205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</row>
    <row r="680">
      <c r="A680" s="122"/>
      <c r="B680" s="204"/>
      <c r="C680" s="204"/>
      <c r="D680" s="204"/>
      <c r="E680" s="205"/>
      <c r="F680" s="205"/>
      <c r="G680" s="205"/>
      <c r="H680" s="206"/>
      <c r="I680" s="207"/>
      <c r="J680" s="207"/>
      <c r="K680" s="207"/>
      <c r="L680" s="122"/>
      <c r="M680" s="207"/>
      <c r="N680" s="207"/>
      <c r="O680" s="122"/>
      <c r="P680" s="205"/>
      <c r="Q680" s="205"/>
      <c r="R680" s="205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</row>
    <row r="681">
      <c r="A681" s="122"/>
      <c r="B681" s="204"/>
      <c r="C681" s="204"/>
      <c r="D681" s="204"/>
      <c r="E681" s="205"/>
      <c r="F681" s="205"/>
      <c r="G681" s="205"/>
      <c r="H681" s="206"/>
      <c r="I681" s="207"/>
      <c r="J681" s="207"/>
      <c r="K681" s="207"/>
      <c r="L681" s="122"/>
      <c r="M681" s="207"/>
      <c r="N681" s="207"/>
      <c r="O681" s="122"/>
      <c r="P681" s="205"/>
      <c r="Q681" s="205"/>
      <c r="R681" s="205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</row>
    <row r="682">
      <c r="A682" s="122"/>
      <c r="B682" s="204"/>
      <c r="C682" s="204"/>
      <c r="D682" s="204"/>
      <c r="E682" s="205"/>
      <c r="F682" s="205"/>
      <c r="G682" s="205"/>
      <c r="H682" s="206"/>
      <c r="I682" s="207"/>
      <c r="J682" s="207"/>
      <c r="K682" s="207"/>
      <c r="L682" s="122"/>
      <c r="M682" s="207"/>
      <c r="N682" s="207"/>
      <c r="O682" s="122"/>
      <c r="P682" s="205"/>
      <c r="Q682" s="205"/>
      <c r="R682" s="205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</row>
    <row r="683">
      <c r="A683" s="122"/>
      <c r="B683" s="204"/>
      <c r="C683" s="204"/>
      <c r="D683" s="204"/>
      <c r="E683" s="205"/>
      <c r="F683" s="205"/>
      <c r="G683" s="205"/>
      <c r="H683" s="206"/>
      <c r="I683" s="207"/>
      <c r="J683" s="207"/>
      <c r="K683" s="207"/>
      <c r="L683" s="122"/>
      <c r="M683" s="207"/>
      <c r="N683" s="207"/>
      <c r="O683" s="122"/>
      <c r="P683" s="205"/>
      <c r="Q683" s="205"/>
      <c r="R683" s="205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</row>
    <row r="684">
      <c r="A684" s="122"/>
      <c r="B684" s="204"/>
      <c r="C684" s="204"/>
      <c r="D684" s="204"/>
      <c r="E684" s="205"/>
      <c r="F684" s="205"/>
      <c r="G684" s="205"/>
      <c r="H684" s="206"/>
      <c r="I684" s="207"/>
      <c r="J684" s="207"/>
      <c r="K684" s="207"/>
      <c r="L684" s="122"/>
      <c r="M684" s="207"/>
      <c r="N684" s="207"/>
      <c r="O684" s="122"/>
      <c r="P684" s="205"/>
      <c r="Q684" s="205"/>
      <c r="R684" s="205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</row>
    <row r="685">
      <c r="A685" s="122"/>
      <c r="B685" s="204"/>
      <c r="C685" s="204"/>
      <c r="D685" s="204"/>
      <c r="E685" s="205"/>
      <c r="F685" s="205"/>
      <c r="G685" s="205"/>
      <c r="H685" s="206"/>
      <c r="I685" s="207"/>
      <c r="J685" s="207"/>
      <c r="K685" s="207"/>
      <c r="L685" s="122"/>
      <c r="M685" s="207"/>
      <c r="N685" s="207"/>
      <c r="O685" s="122"/>
      <c r="P685" s="205"/>
      <c r="Q685" s="205"/>
      <c r="R685" s="205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</row>
    <row r="686">
      <c r="A686" s="122"/>
      <c r="B686" s="204"/>
      <c r="C686" s="204"/>
      <c r="D686" s="204"/>
      <c r="E686" s="205"/>
      <c r="F686" s="205"/>
      <c r="G686" s="205"/>
      <c r="H686" s="206"/>
      <c r="I686" s="207"/>
      <c r="J686" s="207"/>
      <c r="K686" s="207"/>
      <c r="L686" s="122"/>
      <c r="M686" s="207"/>
      <c r="N686" s="207"/>
      <c r="O686" s="122"/>
      <c r="P686" s="205"/>
      <c r="Q686" s="205"/>
      <c r="R686" s="205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</row>
    <row r="687">
      <c r="A687" s="122"/>
      <c r="B687" s="204"/>
      <c r="C687" s="204"/>
      <c r="D687" s="204"/>
      <c r="E687" s="205"/>
      <c r="F687" s="205"/>
      <c r="G687" s="205"/>
      <c r="H687" s="206"/>
      <c r="I687" s="207"/>
      <c r="J687" s="207"/>
      <c r="K687" s="207"/>
      <c r="L687" s="122"/>
      <c r="M687" s="207"/>
      <c r="N687" s="207"/>
      <c r="O687" s="122"/>
      <c r="P687" s="205"/>
      <c r="Q687" s="205"/>
      <c r="R687" s="205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</row>
    <row r="688">
      <c r="A688" s="122"/>
      <c r="B688" s="204"/>
      <c r="C688" s="204"/>
      <c r="D688" s="204"/>
      <c r="E688" s="205"/>
      <c r="F688" s="205"/>
      <c r="G688" s="205"/>
      <c r="H688" s="206"/>
      <c r="I688" s="207"/>
      <c r="J688" s="207"/>
      <c r="K688" s="207"/>
      <c r="L688" s="122"/>
      <c r="M688" s="207"/>
      <c r="N688" s="207"/>
      <c r="O688" s="122"/>
      <c r="P688" s="205"/>
      <c r="Q688" s="205"/>
      <c r="R688" s="205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</row>
    <row r="689">
      <c r="A689" s="122"/>
      <c r="B689" s="204"/>
      <c r="C689" s="204"/>
      <c r="D689" s="204"/>
      <c r="E689" s="205"/>
      <c r="F689" s="205"/>
      <c r="G689" s="205"/>
      <c r="H689" s="206"/>
      <c r="I689" s="207"/>
      <c r="J689" s="207"/>
      <c r="K689" s="207"/>
      <c r="L689" s="122"/>
      <c r="M689" s="207"/>
      <c r="N689" s="207"/>
      <c r="O689" s="122"/>
      <c r="P689" s="205"/>
      <c r="Q689" s="205"/>
      <c r="R689" s="205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</row>
    <row r="690">
      <c r="A690" s="122"/>
      <c r="B690" s="204"/>
      <c r="C690" s="204"/>
      <c r="D690" s="204"/>
      <c r="E690" s="205"/>
      <c r="F690" s="205"/>
      <c r="G690" s="205"/>
      <c r="H690" s="206"/>
      <c r="I690" s="207"/>
      <c r="J690" s="207"/>
      <c r="K690" s="207"/>
      <c r="L690" s="122"/>
      <c r="M690" s="207"/>
      <c r="N690" s="207"/>
      <c r="O690" s="122"/>
      <c r="P690" s="205"/>
      <c r="Q690" s="205"/>
      <c r="R690" s="205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</row>
    <row r="691">
      <c r="A691" s="122"/>
      <c r="B691" s="204"/>
      <c r="C691" s="204"/>
      <c r="D691" s="204"/>
      <c r="E691" s="205"/>
      <c r="F691" s="205"/>
      <c r="G691" s="205"/>
      <c r="H691" s="206"/>
      <c r="I691" s="207"/>
      <c r="J691" s="207"/>
      <c r="K691" s="207"/>
      <c r="L691" s="122"/>
      <c r="M691" s="207"/>
      <c r="N691" s="207"/>
      <c r="O691" s="122"/>
      <c r="P691" s="205"/>
      <c r="Q691" s="205"/>
      <c r="R691" s="205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</row>
    <row r="692">
      <c r="A692" s="122"/>
      <c r="B692" s="204"/>
      <c r="C692" s="204"/>
      <c r="D692" s="204"/>
      <c r="E692" s="205"/>
      <c r="F692" s="205"/>
      <c r="G692" s="205"/>
      <c r="H692" s="206"/>
      <c r="I692" s="207"/>
      <c r="J692" s="207"/>
      <c r="K692" s="207"/>
      <c r="L692" s="122"/>
      <c r="M692" s="207"/>
      <c r="N692" s="207"/>
      <c r="O692" s="122"/>
      <c r="P692" s="205"/>
      <c r="Q692" s="205"/>
      <c r="R692" s="205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</row>
    <row r="693">
      <c r="A693" s="122"/>
      <c r="B693" s="204"/>
      <c r="C693" s="204"/>
      <c r="D693" s="204"/>
      <c r="E693" s="205"/>
      <c r="F693" s="205"/>
      <c r="G693" s="205"/>
      <c r="H693" s="206"/>
      <c r="I693" s="207"/>
      <c r="J693" s="207"/>
      <c r="K693" s="207"/>
      <c r="L693" s="122"/>
      <c r="M693" s="207"/>
      <c r="N693" s="207"/>
      <c r="O693" s="122"/>
      <c r="P693" s="205"/>
      <c r="Q693" s="205"/>
      <c r="R693" s="205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</row>
    <row r="694">
      <c r="A694" s="122"/>
      <c r="B694" s="204"/>
      <c r="C694" s="204"/>
      <c r="D694" s="204"/>
      <c r="E694" s="205"/>
      <c r="F694" s="205"/>
      <c r="G694" s="205"/>
      <c r="H694" s="206"/>
      <c r="I694" s="207"/>
      <c r="J694" s="207"/>
      <c r="K694" s="207"/>
      <c r="L694" s="122"/>
      <c r="M694" s="207"/>
      <c r="N694" s="207"/>
      <c r="O694" s="122"/>
      <c r="P694" s="205"/>
      <c r="Q694" s="205"/>
      <c r="R694" s="205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</row>
    <row r="695">
      <c r="A695" s="122"/>
      <c r="B695" s="204"/>
      <c r="C695" s="204"/>
      <c r="D695" s="204"/>
      <c r="E695" s="205"/>
      <c r="F695" s="205"/>
      <c r="G695" s="205"/>
      <c r="H695" s="206"/>
      <c r="I695" s="207"/>
      <c r="J695" s="207"/>
      <c r="K695" s="207"/>
      <c r="L695" s="122"/>
      <c r="M695" s="207"/>
      <c r="N695" s="207"/>
      <c r="O695" s="122"/>
      <c r="P695" s="205"/>
      <c r="Q695" s="205"/>
      <c r="R695" s="205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</row>
    <row r="696">
      <c r="A696" s="122"/>
      <c r="B696" s="204"/>
      <c r="C696" s="204"/>
      <c r="D696" s="204"/>
      <c r="E696" s="205"/>
      <c r="F696" s="205"/>
      <c r="G696" s="205"/>
      <c r="H696" s="206"/>
      <c r="I696" s="207"/>
      <c r="J696" s="207"/>
      <c r="K696" s="207"/>
      <c r="L696" s="122"/>
      <c r="M696" s="207"/>
      <c r="N696" s="207"/>
      <c r="O696" s="122"/>
      <c r="P696" s="205"/>
      <c r="Q696" s="205"/>
      <c r="R696" s="205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</row>
    <row r="697">
      <c r="A697" s="122"/>
      <c r="B697" s="204"/>
      <c r="C697" s="204"/>
      <c r="D697" s="204"/>
      <c r="E697" s="205"/>
      <c r="F697" s="205"/>
      <c r="G697" s="205"/>
      <c r="H697" s="206"/>
      <c r="I697" s="207"/>
      <c r="J697" s="207"/>
      <c r="K697" s="207"/>
      <c r="L697" s="122"/>
      <c r="M697" s="207"/>
      <c r="N697" s="207"/>
      <c r="O697" s="122"/>
      <c r="P697" s="205"/>
      <c r="Q697" s="205"/>
      <c r="R697" s="205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</row>
    <row r="698">
      <c r="A698" s="122"/>
      <c r="B698" s="204"/>
      <c r="C698" s="204"/>
      <c r="D698" s="204"/>
      <c r="E698" s="205"/>
      <c r="F698" s="205"/>
      <c r="G698" s="205"/>
      <c r="H698" s="206"/>
      <c r="I698" s="207"/>
      <c r="J698" s="207"/>
      <c r="K698" s="207"/>
      <c r="L698" s="122"/>
      <c r="M698" s="207"/>
      <c r="N698" s="207"/>
      <c r="O698" s="122"/>
      <c r="P698" s="205"/>
      <c r="Q698" s="205"/>
      <c r="R698" s="205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</row>
    <row r="699">
      <c r="A699" s="122"/>
      <c r="B699" s="204"/>
      <c r="C699" s="204"/>
      <c r="D699" s="204"/>
      <c r="E699" s="205"/>
      <c r="F699" s="205"/>
      <c r="G699" s="205"/>
      <c r="H699" s="206"/>
      <c r="I699" s="207"/>
      <c r="J699" s="207"/>
      <c r="K699" s="207"/>
      <c r="L699" s="122"/>
      <c r="M699" s="207"/>
      <c r="N699" s="207"/>
      <c r="O699" s="122"/>
      <c r="P699" s="205"/>
      <c r="Q699" s="205"/>
      <c r="R699" s="205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</row>
    <row r="700">
      <c r="A700" s="122"/>
      <c r="B700" s="204"/>
      <c r="C700" s="204"/>
      <c r="D700" s="204"/>
      <c r="E700" s="205"/>
      <c r="F700" s="205"/>
      <c r="G700" s="205"/>
      <c r="H700" s="206"/>
      <c r="I700" s="207"/>
      <c r="J700" s="207"/>
      <c r="K700" s="207"/>
      <c r="L700" s="122"/>
      <c r="M700" s="207"/>
      <c r="N700" s="207"/>
      <c r="O700" s="122"/>
      <c r="P700" s="205"/>
      <c r="Q700" s="205"/>
      <c r="R700" s="205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</row>
    <row r="701">
      <c r="A701" s="122"/>
      <c r="B701" s="204"/>
      <c r="C701" s="204"/>
      <c r="D701" s="204"/>
      <c r="E701" s="205"/>
      <c r="F701" s="205"/>
      <c r="G701" s="205"/>
      <c r="H701" s="206"/>
      <c r="I701" s="207"/>
      <c r="J701" s="207"/>
      <c r="K701" s="207"/>
      <c r="L701" s="122"/>
      <c r="M701" s="207"/>
      <c r="N701" s="207"/>
      <c r="O701" s="122"/>
      <c r="P701" s="205"/>
      <c r="Q701" s="205"/>
      <c r="R701" s="205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</row>
    <row r="702">
      <c r="A702" s="122"/>
      <c r="B702" s="204"/>
      <c r="C702" s="204"/>
      <c r="D702" s="204"/>
      <c r="E702" s="205"/>
      <c r="F702" s="205"/>
      <c r="G702" s="205"/>
      <c r="H702" s="206"/>
      <c r="I702" s="207"/>
      <c r="J702" s="207"/>
      <c r="K702" s="207"/>
      <c r="L702" s="122"/>
      <c r="M702" s="207"/>
      <c r="N702" s="207"/>
      <c r="O702" s="122"/>
      <c r="P702" s="205"/>
      <c r="Q702" s="205"/>
      <c r="R702" s="205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</row>
    <row r="703">
      <c r="A703" s="122"/>
      <c r="B703" s="204"/>
      <c r="C703" s="204"/>
      <c r="D703" s="204"/>
      <c r="E703" s="205"/>
      <c r="F703" s="205"/>
      <c r="G703" s="205"/>
      <c r="H703" s="206"/>
      <c r="I703" s="207"/>
      <c r="J703" s="207"/>
      <c r="K703" s="207"/>
      <c r="L703" s="122"/>
      <c r="M703" s="207"/>
      <c r="N703" s="207"/>
      <c r="O703" s="122"/>
      <c r="P703" s="205"/>
      <c r="Q703" s="205"/>
      <c r="R703" s="205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</row>
    <row r="704">
      <c r="A704" s="122"/>
      <c r="B704" s="204"/>
      <c r="C704" s="204"/>
      <c r="D704" s="204"/>
      <c r="E704" s="205"/>
      <c r="F704" s="205"/>
      <c r="G704" s="205"/>
      <c r="H704" s="206"/>
      <c r="I704" s="207"/>
      <c r="J704" s="207"/>
      <c r="K704" s="207"/>
      <c r="L704" s="122"/>
      <c r="M704" s="207"/>
      <c r="N704" s="207"/>
      <c r="O704" s="122"/>
      <c r="P704" s="205"/>
      <c r="Q704" s="205"/>
      <c r="R704" s="205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</row>
    <row r="705">
      <c r="A705" s="122"/>
      <c r="B705" s="204"/>
      <c r="C705" s="204"/>
      <c r="D705" s="204"/>
      <c r="E705" s="205"/>
      <c r="F705" s="205"/>
      <c r="G705" s="205"/>
      <c r="H705" s="206"/>
      <c r="I705" s="207"/>
      <c r="J705" s="207"/>
      <c r="K705" s="207"/>
      <c r="L705" s="122"/>
      <c r="M705" s="207"/>
      <c r="N705" s="207"/>
      <c r="O705" s="122"/>
      <c r="P705" s="205"/>
      <c r="Q705" s="205"/>
      <c r="R705" s="205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</row>
    <row r="706">
      <c r="A706" s="122"/>
      <c r="B706" s="204"/>
      <c r="C706" s="204"/>
      <c r="D706" s="204"/>
      <c r="E706" s="205"/>
      <c r="F706" s="205"/>
      <c r="G706" s="205"/>
      <c r="H706" s="206"/>
      <c r="I706" s="207"/>
      <c r="J706" s="207"/>
      <c r="K706" s="207"/>
      <c r="L706" s="122"/>
      <c r="M706" s="207"/>
      <c r="N706" s="207"/>
      <c r="O706" s="122"/>
      <c r="P706" s="205"/>
      <c r="Q706" s="205"/>
      <c r="R706" s="205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</row>
    <row r="707">
      <c r="A707" s="122"/>
      <c r="B707" s="204"/>
      <c r="C707" s="204"/>
      <c r="D707" s="204"/>
      <c r="E707" s="205"/>
      <c r="F707" s="205"/>
      <c r="G707" s="205"/>
      <c r="H707" s="206"/>
      <c r="I707" s="207"/>
      <c r="J707" s="207"/>
      <c r="K707" s="207"/>
      <c r="L707" s="122"/>
      <c r="M707" s="207"/>
      <c r="N707" s="207"/>
      <c r="O707" s="122"/>
      <c r="P707" s="205"/>
      <c r="Q707" s="205"/>
      <c r="R707" s="205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</row>
    <row r="708">
      <c r="A708" s="122"/>
      <c r="B708" s="204"/>
      <c r="C708" s="204"/>
      <c r="D708" s="204"/>
      <c r="E708" s="205"/>
      <c r="F708" s="205"/>
      <c r="G708" s="205"/>
      <c r="H708" s="206"/>
      <c r="I708" s="207"/>
      <c r="J708" s="207"/>
      <c r="K708" s="207"/>
      <c r="L708" s="122"/>
      <c r="M708" s="207"/>
      <c r="N708" s="207"/>
      <c r="O708" s="122"/>
      <c r="P708" s="205"/>
      <c r="Q708" s="205"/>
      <c r="R708" s="205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</row>
    <row r="709">
      <c r="A709" s="122"/>
      <c r="B709" s="204"/>
      <c r="C709" s="204"/>
      <c r="D709" s="204"/>
      <c r="E709" s="205"/>
      <c r="F709" s="205"/>
      <c r="G709" s="205"/>
      <c r="H709" s="206"/>
      <c r="I709" s="207"/>
      <c r="J709" s="207"/>
      <c r="K709" s="207"/>
      <c r="L709" s="122"/>
      <c r="M709" s="207"/>
      <c r="N709" s="207"/>
      <c r="O709" s="122"/>
      <c r="P709" s="205"/>
      <c r="Q709" s="205"/>
      <c r="R709" s="205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</row>
    <row r="710">
      <c r="A710" s="122"/>
      <c r="B710" s="204"/>
      <c r="C710" s="204"/>
      <c r="D710" s="204"/>
      <c r="E710" s="205"/>
      <c r="F710" s="205"/>
      <c r="G710" s="205"/>
      <c r="H710" s="206"/>
      <c r="I710" s="207"/>
      <c r="J710" s="207"/>
      <c r="K710" s="207"/>
      <c r="L710" s="122"/>
      <c r="M710" s="207"/>
      <c r="N710" s="207"/>
      <c r="O710" s="122"/>
      <c r="P710" s="205"/>
      <c r="Q710" s="205"/>
      <c r="R710" s="205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</row>
    <row r="711">
      <c r="A711" s="122"/>
      <c r="B711" s="204"/>
      <c r="C711" s="204"/>
      <c r="D711" s="204"/>
      <c r="E711" s="205"/>
      <c r="F711" s="205"/>
      <c r="G711" s="205"/>
      <c r="H711" s="206"/>
      <c r="I711" s="207"/>
      <c r="J711" s="207"/>
      <c r="K711" s="207"/>
      <c r="L711" s="122"/>
      <c r="M711" s="207"/>
      <c r="N711" s="207"/>
      <c r="O711" s="122"/>
      <c r="P711" s="205"/>
      <c r="Q711" s="205"/>
      <c r="R711" s="205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</row>
    <row r="712">
      <c r="A712" s="122"/>
      <c r="B712" s="204"/>
      <c r="C712" s="204"/>
      <c r="D712" s="204"/>
      <c r="E712" s="205"/>
      <c r="F712" s="205"/>
      <c r="G712" s="205"/>
      <c r="H712" s="206"/>
      <c r="I712" s="207"/>
      <c r="J712" s="207"/>
      <c r="K712" s="207"/>
      <c r="L712" s="122"/>
      <c r="M712" s="207"/>
      <c r="N712" s="207"/>
      <c r="O712" s="122"/>
      <c r="P712" s="205"/>
      <c r="Q712" s="205"/>
      <c r="R712" s="205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</row>
    <row r="713">
      <c r="A713" s="122"/>
      <c r="B713" s="204"/>
      <c r="C713" s="204"/>
      <c r="D713" s="204"/>
      <c r="E713" s="205"/>
      <c r="F713" s="205"/>
      <c r="G713" s="205"/>
      <c r="H713" s="206"/>
      <c r="I713" s="207"/>
      <c r="J713" s="207"/>
      <c r="K713" s="207"/>
      <c r="L713" s="122"/>
      <c r="M713" s="207"/>
      <c r="N713" s="207"/>
      <c r="O713" s="122"/>
      <c r="P713" s="205"/>
      <c r="Q713" s="205"/>
      <c r="R713" s="205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</row>
    <row r="714">
      <c r="A714" s="122"/>
      <c r="B714" s="204"/>
      <c r="C714" s="204"/>
      <c r="D714" s="204"/>
      <c r="E714" s="205"/>
      <c r="F714" s="205"/>
      <c r="G714" s="205"/>
      <c r="H714" s="206"/>
      <c r="I714" s="207"/>
      <c r="J714" s="207"/>
      <c r="K714" s="207"/>
      <c r="L714" s="122"/>
      <c r="M714" s="207"/>
      <c r="N714" s="207"/>
      <c r="O714" s="122"/>
      <c r="P714" s="205"/>
      <c r="Q714" s="205"/>
      <c r="R714" s="205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</row>
    <row r="715">
      <c r="A715" s="122"/>
      <c r="B715" s="204"/>
      <c r="C715" s="204"/>
      <c r="D715" s="204"/>
      <c r="E715" s="205"/>
      <c r="F715" s="205"/>
      <c r="G715" s="205"/>
      <c r="H715" s="206"/>
      <c r="I715" s="207"/>
      <c r="J715" s="207"/>
      <c r="K715" s="207"/>
      <c r="L715" s="122"/>
      <c r="M715" s="207"/>
      <c r="N715" s="207"/>
      <c r="O715" s="122"/>
      <c r="P715" s="205"/>
      <c r="Q715" s="205"/>
      <c r="R715" s="205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</row>
    <row r="716">
      <c r="A716" s="122"/>
      <c r="B716" s="204"/>
      <c r="C716" s="204"/>
      <c r="D716" s="204"/>
      <c r="E716" s="205"/>
      <c r="F716" s="205"/>
      <c r="G716" s="205"/>
      <c r="H716" s="206"/>
      <c r="I716" s="207"/>
      <c r="J716" s="207"/>
      <c r="K716" s="207"/>
      <c r="L716" s="122"/>
      <c r="M716" s="207"/>
      <c r="N716" s="207"/>
      <c r="O716" s="122"/>
      <c r="P716" s="205"/>
      <c r="Q716" s="205"/>
      <c r="R716" s="205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</row>
    <row r="717">
      <c r="A717" s="122"/>
      <c r="B717" s="204"/>
      <c r="C717" s="204"/>
      <c r="D717" s="204"/>
      <c r="E717" s="205"/>
      <c r="F717" s="205"/>
      <c r="G717" s="205"/>
      <c r="H717" s="206"/>
      <c r="I717" s="207"/>
      <c r="J717" s="207"/>
      <c r="K717" s="207"/>
      <c r="L717" s="122"/>
      <c r="M717" s="207"/>
      <c r="N717" s="207"/>
      <c r="O717" s="122"/>
      <c r="P717" s="205"/>
      <c r="Q717" s="205"/>
      <c r="R717" s="205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</row>
    <row r="718">
      <c r="A718" s="122"/>
      <c r="B718" s="204"/>
      <c r="C718" s="204"/>
      <c r="D718" s="204"/>
      <c r="E718" s="205"/>
      <c r="F718" s="205"/>
      <c r="G718" s="205"/>
      <c r="H718" s="206"/>
      <c r="I718" s="207"/>
      <c r="J718" s="207"/>
      <c r="K718" s="207"/>
      <c r="L718" s="122"/>
      <c r="M718" s="207"/>
      <c r="N718" s="207"/>
      <c r="O718" s="122"/>
      <c r="P718" s="205"/>
      <c r="Q718" s="205"/>
      <c r="R718" s="205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</row>
    <row r="719">
      <c r="A719" s="122"/>
      <c r="B719" s="204"/>
      <c r="C719" s="204"/>
      <c r="D719" s="204"/>
      <c r="E719" s="205"/>
      <c r="F719" s="205"/>
      <c r="G719" s="205"/>
      <c r="H719" s="206"/>
      <c r="I719" s="207"/>
      <c r="J719" s="207"/>
      <c r="K719" s="207"/>
      <c r="L719" s="122"/>
      <c r="M719" s="207"/>
      <c r="N719" s="207"/>
      <c r="O719" s="122"/>
      <c r="P719" s="205"/>
      <c r="Q719" s="205"/>
      <c r="R719" s="205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</row>
    <row r="720">
      <c r="A720" s="122"/>
      <c r="B720" s="204"/>
      <c r="C720" s="204"/>
      <c r="D720" s="204"/>
      <c r="E720" s="205"/>
      <c r="F720" s="205"/>
      <c r="G720" s="205"/>
      <c r="H720" s="206"/>
      <c r="I720" s="207"/>
      <c r="J720" s="207"/>
      <c r="K720" s="207"/>
      <c r="L720" s="122"/>
      <c r="M720" s="207"/>
      <c r="N720" s="207"/>
      <c r="O720" s="122"/>
      <c r="P720" s="205"/>
      <c r="Q720" s="205"/>
      <c r="R720" s="205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</row>
    <row r="721">
      <c r="A721" s="122"/>
      <c r="B721" s="204"/>
      <c r="C721" s="204"/>
      <c r="D721" s="204"/>
      <c r="E721" s="205"/>
      <c r="F721" s="205"/>
      <c r="G721" s="205"/>
      <c r="H721" s="206"/>
      <c r="I721" s="207"/>
      <c r="J721" s="207"/>
      <c r="K721" s="207"/>
      <c r="L721" s="122"/>
      <c r="M721" s="207"/>
      <c r="N721" s="207"/>
      <c r="O721" s="122"/>
      <c r="P721" s="205"/>
      <c r="Q721" s="205"/>
      <c r="R721" s="205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</row>
    <row r="722">
      <c r="A722" s="122"/>
      <c r="B722" s="204"/>
      <c r="C722" s="204"/>
      <c r="D722" s="204"/>
      <c r="E722" s="205"/>
      <c r="F722" s="205"/>
      <c r="G722" s="205"/>
      <c r="H722" s="206"/>
      <c r="I722" s="207"/>
      <c r="J722" s="207"/>
      <c r="K722" s="207"/>
      <c r="L722" s="122"/>
      <c r="M722" s="207"/>
      <c r="N722" s="207"/>
      <c r="O722" s="122"/>
      <c r="P722" s="205"/>
      <c r="Q722" s="205"/>
      <c r="R722" s="205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</row>
    <row r="723">
      <c r="A723" s="122"/>
      <c r="B723" s="204"/>
      <c r="C723" s="204"/>
      <c r="D723" s="204"/>
      <c r="E723" s="205"/>
      <c r="F723" s="205"/>
      <c r="G723" s="205"/>
      <c r="H723" s="206"/>
      <c r="I723" s="207"/>
      <c r="J723" s="207"/>
      <c r="K723" s="207"/>
      <c r="L723" s="122"/>
      <c r="M723" s="207"/>
      <c r="N723" s="207"/>
      <c r="O723" s="122"/>
      <c r="P723" s="205"/>
      <c r="Q723" s="205"/>
      <c r="R723" s="205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</row>
    <row r="724">
      <c r="A724" s="122"/>
      <c r="B724" s="204"/>
      <c r="C724" s="204"/>
      <c r="D724" s="204"/>
      <c r="E724" s="205"/>
      <c r="F724" s="205"/>
      <c r="G724" s="205"/>
      <c r="H724" s="206"/>
      <c r="I724" s="207"/>
      <c r="J724" s="207"/>
      <c r="K724" s="207"/>
      <c r="L724" s="122"/>
      <c r="M724" s="207"/>
      <c r="N724" s="207"/>
      <c r="O724" s="122"/>
      <c r="P724" s="205"/>
      <c r="Q724" s="205"/>
      <c r="R724" s="205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</row>
    <row r="725">
      <c r="A725" s="122"/>
      <c r="B725" s="204"/>
      <c r="C725" s="204"/>
      <c r="D725" s="204"/>
      <c r="E725" s="205"/>
      <c r="F725" s="205"/>
      <c r="G725" s="205"/>
      <c r="H725" s="206"/>
      <c r="I725" s="207"/>
      <c r="J725" s="207"/>
      <c r="K725" s="207"/>
      <c r="L725" s="122"/>
      <c r="M725" s="207"/>
      <c r="N725" s="207"/>
      <c r="O725" s="122"/>
      <c r="P725" s="205"/>
      <c r="Q725" s="205"/>
      <c r="R725" s="205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</row>
    <row r="726">
      <c r="A726" s="122"/>
      <c r="B726" s="204"/>
      <c r="C726" s="204"/>
      <c r="D726" s="204"/>
      <c r="E726" s="205"/>
      <c r="F726" s="205"/>
      <c r="G726" s="205"/>
      <c r="H726" s="206"/>
      <c r="I726" s="207"/>
      <c r="J726" s="207"/>
      <c r="K726" s="207"/>
      <c r="L726" s="122"/>
      <c r="M726" s="207"/>
      <c r="N726" s="207"/>
      <c r="O726" s="122"/>
      <c r="P726" s="205"/>
      <c r="Q726" s="205"/>
      <c r="R726" s="205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</row>
    <row r="727">
      <c r="A727" s="122"/>
      <c r="B727" s="204"/>
      <c r="C727" s="204"/>
      <c r="D727" s="204"/>
      <c r="E727" s="205"/>
      <c r="F727" s="205"/>
      <c r="G727" s="205"/>
      <c r="H727" s="206"/>
      <c r="I727" s="207"/>
      <c r="J727" s="207"/>
      <c r="K727" s="207"/>
      <c r="L727" s="122"/>
      <c r="M727" s="207"/>
      <c r="N727" s="207"/>
      <c r="O727" s="122"/>
      <c r="P727" s="205"/>
      <c r="Q727" s="205"/>
      <c r="R727" s="205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</row>
    <row r="728">
      <c r="A728" s="122"/>
      <c r="B728" s="204"/>
      <c r="C728" s="204"/>
      <c r="D728" s="204"/>
      <c r="E728" s="205"/>
      <c r="F728" s="205"/>
      <c r="G728" s="205"/>
      <c r="H728" s="206"/>
      <c r="I728" s="207"/>
      <c r="J728" s="207"/>
      <c r="K728" s="207"/>
      <c r="L728" s="122"/>
      <c r="M728" s="207"/>
      <c r="N728" s="207"/>
      <c r="O728" s="122"/>
      <c r="P728" s="205"/>
      <c r="Q728" s="205"/>
      <c r="R728" s="205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</row>
    <row r="729">
      <c r="A729" s="122"/>
      <c r="B729" s="204"/>
      <c r="C729" s="204"/>
      <c r="D729" s="204"/>
      <c r="E729" s="205"/>
      <c r="F729" s="205"/>
      <c r="G729" s="205"/>
      <c r="H729" s="206"/>
      <c r="I729" s="207"/>
      <c r="J729" s="207"/>
      <c r="K729" s="207"/>
      <c r="L729" s="122"/>
      <c r="M729" s="207"/>
      <c r="N729" s="207"/>
      <c r="O729" s="122"/>
      <c r="P729" s="205"/>
      <c r="Q729" s="205"/>
      <c r="R729" s="205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</row>
    <row r="730">
      <c r="A730" s="122"/>
      <c r="B730" s="204"/>
      <c r="C730" s="204"/>
      <c r="D730" s="204"/>
      <c r="E730" s="205"/>
      <c r="F730" s="205"/>
      <c r="G730" s="205"/>
      <c r="H730" s="206"/>
      <c r="I730" s="207"/>
      <c r="J730" s="207"/>
      <c r="K730" s="207"/>
      <c r="L730" s="122"/>
      <c r="M730" s="207"/>
      <c r="N730" s="207"/>
      <c r="O730" s="122"/>
      <c r="P730" s="205"/>
      <c r="Q730" s="205"/>
      <c r="R730" s="205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</row>
    <row r="731">
      <c r="A731" s="122"/>
      <c r="B731" s="204"/>
      <c r="C731" s="204"/>
      <c r="D731" s="204"/>
      <c r="E731" s="205"/>
      <c r="F731" s="205"/>
      <c r="G731" s="205"/>
      <c r="H731" s="206"/>
      <c r="I731" s="207"/>
      <c r="J731" s="207"/>
      <c r="K731" s="207"/>
      <c r="L731" s="122"/>
      <c r="M731" s="207"/>
      <c r="N731" s="207"/>
      <c r="O731" s="122"/>
      <c r="P731" s="205"/>
      <c r="Q731" s="205"/>
      <c r="R731" s="205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</row>
    <row r="732">
      <c r="A732" s="122"/>
      <c r="B732" s="204"/>
      <c r="C732" s="204"/>
      <c r="D732" s="204"/>
      <c r="E732" s="205"/>
      <c r="F732" s="205"/>
      <c r="G732" s="205"/>
      <c r="H732" s="206"/>
      <c r="I732" s="207"/>
      <c r="J732" s="207"/>
      <c r="K732" s="207"/>
      <c r="L732" s="122"/>
      <c r="M732" s="207"/>
      <c r="N732" s="207"/>
      <c r="O732" s="122"/>
      <c r="P732" s="205"/>
      <c r="Q732" s="205"/>
      <c r="R732" s="205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</row>
    <row r="733">
      <c r="A733" s="122"/>
      <c r="B733" s="204"/>
      <c r="C733" s="204"/>
      <c r="D733" s="204"/>
      <c r="E733" s="205"/>
      <c r="F733" s="205"/>
      <c r="G733" s="205"/>
      <c r="H733" s="206"/>
      <c r="I733" s="207"/>
      <c r="J733" s="207"/>
      <c r="K733" s="207"/>
      <c r="L733" s="122"/>
      <c r="M733" s="207"/>
      <c r="N733" s="207"/>
      <c r="O733" s="122"/>
      <c r="P733" s="205"/>
      <c r="Q733" s="205"/>
      <c r="R733" s="205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</row>
    <row r="734">
      <c r="A734" s="122"/>
      <c r="B734" s="204"/>
      <c r="C734" s="204"/>
      <c r="D734" s="204"/>
      <c r="E734" s="205"/>
      <c r="F734" s="205"/>
      <c r="G734" s="205"/>
      <c r="H734" s="206"/>
      <c r="I734" s="207"/>
      <c r="J734" s="207"/>
      <c r="K734" s="207"/>
      <c r="L734" s="122"/>
      <c r="M734" s="207"/>
      <c r="N734" s="207"/>
      <c r="O734" s="122"/>
      <c r="P734" s="205"/>
      <c r="Q734" s="205"/>
      <c r="R734" s="205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</row>
    <row r="735">
      <c r="A735" s="122"/>
      <c r="B735" s="204"/>
      <c r="C735" s="204"/>
      <c r="D735" s="204"/>
      <c r="E735" s="205"/>
      <c r="F735" s="205"/>
      <c r="G735" s="205"/>
      <c r="H735" s="206"/>
      <c r="I735" s="207"/>
      <c r="J735" s="207"/>
      <c r="K735" s="207"/>
      <c r="L735" s="122"/>
      <c r="M735" s="207"/>
      <c r="N735" s="207"/>
      <c r="O735" s="122"/>
      <c r="P735" s="205"/>
      <c r="Q735" s="205"/>
      <c r="R735" s="205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</row>
    <row r="736">
      <c r="A736" s="122"/>
      <c r="B736" s="204"/>
      <c r="C736" s="204"/>
      <c r="D736" s="204"/>
      <c r="E736" s="205"/>
      <c r="F736" s="205"/>
      <c r="G736" s="205"/>
      <c r="H736" s="206"/>
      <c r="I736" s="207"/>
      <c r="J736" s="207"/>
      <c r="K736" s="207"/>
      <c r="L736" s="122"/>
      <c r="M736" s="207"/>
      <c r="N736" s="207"/>
      <c r="O736" s="122"/>
      <c r="P736" s="205"/>
      <c r="Q736" s="205"/>
      <c r="R736" s="205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</row>
    <row r="737">
      <c r="A737" s="122"/>
      <c r="B737" s="204"/>
      <c r="C737" s="204"/>
      <c r="D737" s="204"/>
      <c r="E737" s="205"/>
      <c r="F737" s="205"/>
      <c r="G737" s="205"/>
      <c r="H737" s="206"/>
      <c r="I737" s="207"/>
      <c r="J737" s="207"/>
      <c r="K737" s="207"/>
      <c r="L737" s="122"/>
      <c r="M737" s="207"/>
      <c r="N737" s="207"/>
      <c r="O737" s="122"/>
      <c r="P737" s="205"/>
      <c r="Q737" s="205"/>
      <c r="R737" s="205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</row>
    <row r="738">
      <c r="A738" s="122"/>
      <c r="B738" s="204"/>
      <c r="C738" s="204"/>
      <c r="D738" s="204"/>
      <c r="E738" s="205"/>
      <c r="F738" s="205"/>
      <c r="G738" s="205"/>
      <c r="H738" s="206"/>
      <c r="I738" s="207"/>
      <c r="J738" s="207"/>
      <c r="K738" s="207"/>
      <c r="L738" s="122"/>
      <c r="M738" s="207"/>
      <c r="N738" s="207"/>
      <c r="O738" s="122"/>
      <c r="P738" s="205"/>
      <c r="Q738" s="205"/>
      <c r="R738" s="205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</row>
    <row r="739">
      <c r="A739" s="122"/>
      <c r="B739" s="204"/>
      <c r="C739" s="204"/>
      <c r="D739" s="204"/>
      <c r="E739" s="205"/>
      <c r="F739" s="205"/>
      <c r="G739" s="205"/>
      <c r="H739" s="206"/>
      <c r="I739" s="207"/>
      <c r="J739" s="207"/>
      <c r="K739" s="207"/>
      <c r="L739" s="122"/>
      <c r="M739" s="207"/>
      <c r="N739" s="207"/>
      <c r="O739" s="122"/>
      <c r="P739" s="205"/>
      <c r="Q739" s="205"/>
      <c r="R739" s="205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</row>
    <row r="740">
      <c r="A740" s="122"/>
      <c r="B740" s="204"/>
      <c r="C740" s="204"/>
      <c r="D740" s="204"/>
      <c r="E740" s="205"/>
      <c r="F740" s="205"/>
      <c r="G740" s="205"/>
      <c r="H740" s="206"/>
      <c r="I740" s="207"/>
      <c r="J740" s="207"/>
      <c r="K740" s="207"/>
      <c r="L740" s="122"/>
      <c r="M740" s="207"/>
      <c r="N740" s="207"/>
      <c r="O740" s="122"/>
      <c r="P740" s="205"/>
      <c r="Q740" s="205"/>
      <c r="R740" s="205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</row>
    <row r="741">
      <c r="A741" s="122"/>
      <c r="B741" s="204"/>
      <c r="C741" s="204"/>
      <c r="D741" s="204"/>
      <c r="E741" s="205"/>
      <c r="F741" s="205"/>
      <c r="G741" s="205"/>
      <c r="H741" s="206"/>
      <c r="I741" s="207"/>
      <c r="J741" s="207"/>
      <c r="K741" s="207"/>
      <c r="L741" s="122"/>
      <c r="M741" s="207"/>
      <c r="N741" s="207"/>
      <c r="O741" s="122"/>
      <c r="P741" s="205"/>
      <c r="Q741" s="205"/>
      <c r="R741" s="205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</row>
    <row r="742">
      <c r="A742" s="122"/>
      <c r="B742" s="204"/>
      <c r="C742" s="204"/>
      <c r="D742" s="204"/>
      <c r="E742" s="205"/>
      <c r="F742" s="205"/>
      <c r="G742" s="205"/>
      <c r="H742" s="206"/>
      <c r="I742" s="207"/>
      <c r="J742" s="207"/>
      <c r="K742" s="207"/>
      <c r="L742" s="122"/>
      <c r="M742" s="207"/>
      <c r="N742" s="207"/>
      <c r="O742" s="122"/>
      <c r="P742" s="205"/>
      <c r="Q742" s="205"/>
      <c r="R742" s="205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</row>
    <row r="743">
      <c r="A743" s="122"/>
      <c r="B743" s="204"/>
      <c r="C743" s="204"/>
      <c r="D743" s="204"/>
      <c r="E743" s="205"/>
      <c r="F743" s="205"/>
      <c r="G743" s="205"/>
      <c r="H743" s="206"/>
      <c r="I743" s="207"/>
      <c r="J743" s="207"/>
      <c r="K743" s="207"/>
      <c r="L743" s="122"/>
      <c r="M743" s="207"/>
      <c r="N743" s="207"/>
      <c r="O743" s="122"/>
      <c r="P743" s="205"/>
      <c r="Q743" s="205"/>
      <c r="R743" s="205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</row>
    <row r="744">
      <c r="A744" s="122"/>
      <c r="B744" s="204"/>
      <c r="C744" s="204"/>
      <c r="D744" s="204"/>
      <c r="E744" s="205"/>
      <c r="F744" s="205"/>
      <c r="G744" s="205"/>
      <c r="H744" s="206"/>
      <c r="I744" s="207"/>
      <c r="J744" s="207"/>
      <c r="K744" s="207"/>
      <c r="L744" s="122"/>
      <c r="M744" s="207"/>
      <c r="N744" s="207"/>
      <c r="O744" s="122"/>
      <c r="P744" s="205"/>
      <c r="Q744" s="205"/>
      <c r="R744" s="205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</row>
    <row r="745">
      <c r="A745" s="122"/>
      <c r="B745" s="204"/>
      <c r="C745" s="204"/>
      <c r="D745" s="204"/>
      <c r="E745" s="205"/>
      <c r="F745" s="205"/>
      <c r="G745" s="205"/>
      <c r="H745" s="206"/>
      <c r="I745" s="207"/>
      <c r="J745" s="207"/>
      <c r="K745" s="207"/>
      <c r="L745" s="122"/>
      <c r="M745" s="207"/>
      <c r="N745" s="207"/>
      <c r="O745" s="122"/>
      <c r="P745" s="205"/>
      <c r="Q745" s="205"/>
      <c r="R745" s="205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</row>
    <row r="746">
      <c r="A746" s="122"/>
      <c r="B746" s="204"/>
      <c r="C746" s="204"/>
      <c r="D746" s="204"/>
      <c r="E746" s="205"/>
      <c r="F746" s="205"/>
      <c r="G746" s="205"/>
      <c r="H746" s="206"/>
      <c r="I746" s="207"/>
      <c r="J746" s="207"/>
      <c r="K746" s="207"/>
      <c r="L746" s="122"/>
      <c r="M746" s="207"/>
      <c r="N746" s="207"/>
      <c r="O746" s="122"/>
      <c r="P746" s="205"/>
      <c r="Q746" s="205"/>
      <c r="R746" s="205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</row>
    <row r="747">
      <c r="A747" s="122"/>
      <c r="B747" s="204"/>
      <c r="C747" s="204"/>
      <c r="D747" s="204"/>
      <c r="E747" s="205"/>
      <c r="F747" s="205"/>
      <c r="G747" s="205"/>
      <c r="H747" s="206"/>
      <c r="I747" s="207"/>
      <c r="J747" s="207"/>
      <c r="K747" s="207"/>
      <c r="L747" s="122"/>
      <c r="M747" s="207"/>
      <c r="N747" s="207"/>
      <c r="O747" s="122"/>
      <c r="P747" s="205"/>
      <c r="Q747" s="205"/>
      <c r="R747" s="205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</row>
    <row r="748">
      <c r="A748" s="122"/>
      <c r="B748" s="204"/>
      <c r="C748" s="204"/>
      <c r="D748" s="204"/>
      <c r="E748" s="205"/>
      <c r="F748" s="205"/>
      <c r="G748" s="205"/>
      <c r="H748" s="206"/>
      <c r="I748" s="207"/>
      <c r="J748" s="207"/>
      <c r="K748" s="207"/>
      <c r="L748" s="122"/>
      <c r="M748" s="207"/>
      <c r="N748" s="207"/>
      <c r="O748" s="122"/>
      <c r="P748" s="205"/>
      <c r="Q748" s="205"/>
      <c r="R748" s="205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</row>
    <row r="749">
      <c r="A749" s="122"/>
      <c r="B749" s="204"/>
      <c r="C749" s="204"/>
      <c r="D749" s="204"/>
      <c r="E749" s="205"/>
      <c r="F749" s="205"/>
      <c r="G749" s="205"/>
      <c r="H749" s="206"/>
      <c r="I749" s="207"/>
      <c r="J749" s="207"/>
      <c r="K749" s="207"/>
      <c r="L749" s="122"/>
      <c r="M749" s="207"/>
      <c r="N749" s="207"/>
      <c r="O749" s="122"/>
      <c r="P749" s="205"/>
      <c r="Q749" s="205"/>
      <c r="R749" s="205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</row>
    <row r="750">
      <c r="A750" s="122"/>
      <c r="B750" s="204"/>
      <c r="C750" s="204"/>
      <c r="D750" s="204"/>
      <c r="E750" s="205"/>
      <c r="F750" s="205"/>
      <c r="G750" s="205"/>
      <c r="H750" s="206"/>
      <c r="I750" s="207"/>
      <c r="J750" s="207"/>
      <c r="K750" s="207"/>
      <c r="L750" s="122"/>
      <c r="M750" s="207"/>
      <c r="N750" s="207"/>
      <c r="O750" s="122"/>
      <c r="P750" s="205"/>
      <c r="Q750" s="205"/>
      <c r="R750" s="205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</row>
    <row r="751">
      <c r="A751" s="122"/>
      <c r="B751" s="204"/>
      <c r="C751" s="204"/>
      <c r="D751" s="204"/>
      <c r="E751" s="205"/>
      <c r="F751" s="205"/>
      <c r="G751" s="205"/>
      <c r="H751" s="206"/>
      <c r="I751" s="207"/>
      <c r="J751" s="207"/>
      <c r="K751" s="207"/>
      <c r="L751" s="122"/>
      <c r="M751" s="207"/>
      <c r="N751" s="207"/>
      <c r="O751" s="122"/>
      <c r="P751" s="205"/>
      <c r="Q751" s="205"/>
      <c r="R751" s="205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</row>
    <row r="752">
      <c r="A752" s="122"/>
      <c r="B752" s="204"/>
      <c r="C752" s="204"/>
      <c r="D752" s="204"/>
      <c r="E752" s="205"/>
      <c r="F752" s="205"/>
      <c r="G752" s="205"/>
      <c r="H752" s="206"/>
      <c r="I752" s="207"/>
      <c r="J752" s="207"/>
      <c r="K752" s="207"/>
      <c r="L752" s="122"/>
      <c r="M752" s="207"/>
      <c r="N752" s="207"/>
      <c r="O752" s="122"/>
      <c r="P752" s="205"/>
      <c r="Q752" s="205"/>
      <c r="R752" s="205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</row>
    <row r="753">
      <c r="A753" s="122"/>
      <c r="B753" s="204"/>
      <c r="C753" s="204"/>
      <c r="D753" s="204"/>
      <c r="E753" s="205"/>
      <c r="F753" s="205"/>
      <c r="G753" s="205"/>
      <c r="H753" s="206"/>
      <c r="I753" s="207"/>
      <c r="J753" s="207"/>
      <c r="K753" s="207"/>
      <c r="L753" s="122"/>
      <c r="M753" s="207"/>
      <c r="N753" s="207"/>
      <c r="O753" s="122"/>
      <c r="P753" s="205"/>
      <c r="Q753" s="205"/>
      <c r="R753" s="205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</row>
    <row r="754">
      <c r="A754" s="122"/>
      <c r="B754" s="204"/>
      <c r="C754" s="204"/>
      <c r="D754" s="204"/>
      <c r="E754" s="205"/>
      <c r="F754" s="205"/>
      <c r="G754" s="205"/>
      <c r="H754" s="206"/>
      <c r="I754" s="207"/>
      <c r="J754" s="207"/>
      <c r="K754" s="207"/>
      <c r="L754" s="122"/>
      <c r="M754" s="207"/>
      <c r="N754" s="207"/>
      <c r="O754" s="122"/>
      <c r="P754" s="205"/>
      <c r="Q754" s="205"/>
      <c r="R754" s="205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</row>
    <row r="755">
      <c r="A755" s="122"/>
      <c r="B755" s="204"/>
      <c r="C755" s="204"/>
      <c r="D755" s="204"/>
      <c r="E755" s="205"/>
      <c r="F755" s="205"/>
      <c r="G755" s="205"/>
      <c r="H755" s="206"/>
      <c r="I755" s="207"/>
      <c r="J755" s="207"/>
      <c r="K755" s="207"/>
      <c r="L755" s="122"/>
      <c r="M755" s="207"/>
      <c r="N755" s="207"/>
      <c r="O755" s="122"/>
      <c r="P755" s="205"/>
      <c r="Q755" s="205"/>
      <c r="R755" s="205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</row>
    <row r="756">
      <c r="A756" s="122"/>
      <c r="B756" s="204"/>
      <c r="C756" s="204"/>
      <c r="D756" s="204"/>
      <c r="E756" s="205"/>
      <c r="F756" s="205"/>
      <c r="G756" s="205"/>
      <c r="H756" s="206"/>
      <c r="I756" s="207"/>
      <c r="J756" s="207"/>
      <c r="K756" s="207"/>
      <c r="L756" s="122"/>
      <c r="M756" s="207"/>
      <c r="N756" s="207"/>
      <c r="O756" s="122"/>
      <c r="P756" s="205"/>
      <c r="Q756" s="205"/>
      <c r="R756" s="205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</row>
    <row r="757">
      <c r="A757" s="122"/>
      <c r="B757" s="204"/>
      <c r="C757" s="204"/>
      <c r="D757" s="204"/>
      <c r="E757" s="205"/>
      <c r="F757" s="205"/>
      <c r="G757" s="205"/>
      <c r="H757" s="206"/>
      <c r="I757" s="207"/>
      <c r="J757" s="207"/>
      <c r="K757" s="207"/>
      <c r="L757" s="122"/>
      <c r="M757" s="207"/>
      <c r="N757" s="207"/>
      <c r="O757" s="122"/>
      <c r="P757" s="205"/>
      <c r="Q757" s="205"/>
      <c r="R757" s="205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</row>
    <row r="758">
      <c r="A758" s="122"/>
      <c r="B758" s="204"/>
      <c r="C758" s="204"/>
      <c r="D758" s="204"/>
      <c r="E758" s="205"/>
      <c r="F758" s="205"/>
      <c r="G758" s="205"/>
      <c r="H758" s="206"/>
      <c r="I758" s="207"/>
      <c r="J758" s="207"/>
      <c r="K758" s="207"/>
      <c r="L758" s="122"/>
      <c r="M758" s="207"/>
      <c r="N758" s="207"/>
      <c r="O758" s="122"/>
      <c r="P758" s="205"/>
      <c r="Q758" s="205"/>
      <c r="R758" s="205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</row>
    <row r="759">
      <c r="A759" s="122"/>
      <c r="B759" s="204"/>
      <c r="C759" s="204"/>
      <c r="D759" s="204"/>
      <c r="E759" s="205"/>
      <c r="F759" s="205"/>
      <c r="G759" s="205"/>
      <c r="H759" s="206"/>
      <c r="I759" s="207"/>
      <c r="J759" s="207"/>
      <c r="K759" s="207"/>
      <c r="L759" s="122"/>
      <c r="M759" s="207"/>
      <c r="N759" s="207"/>
      <c r="O759" s="122"/>
      <c r="P759" s="205"/>
      <c r="Q759" s="205"/>
      <c r="R759" s="205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</row>
    <row r="760">
      <c r="A760" s="122"/>
      <c r="B760" s="204"/>
      <c r="C760" s="204"/>
      <c r="D760" s="204"/>
      <c r="E760" s="205"/>
      <c r="F760" s="205"/>
      <c r="G760" s="205"/>
      <c r="H760" s="206"/>
      <c r="I760" s="207"/>
      <c r="J760" s="207"/>
      <c r="K760" s="207"/>
      <c r="L760" s="122"/>
      <c r="M760" s="207"/>
      <c r="N760" s="207"/>
      <c r="O760" s="122"/>
      <c r="P760" s="205"/>
      <c r="Q760" s="205"/>
      <c r="R760" s="205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</row>
    <row r="761">
      <c r="A761" s="122"/>
      <c r="B761" s="204"/>
      <c r="C761" s="204"/>
      <c r="D761" s="204"/>
      <c r="E761" s="205"/>
      <c r="F761" s="205"/>
      <c r="G761" s="205"/>
      <c r="H761" s="206"/>
      <c r="I761" s="207"/>
      <c r="J761" s="207"/>
      <c r="K761" s="207"/>
      <c r="L761" s="122"/>
      <c r="M761" s="207"/>
      <c r="N761" s="207"/>
      <c r="O761" s="122"/>
      <c r="P761" s="205"/>
      <c r="Q761" s="205"/>
      <c r="R761" s="205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</row>
    <row r="762">
      <c r="A762" s="122"/>
      <c r="B762" s="204"/>
      <c r="C762" s="204"/>
      <c r="D762" s="204"/>
      <c r="E762" s="205"/>
      <c r="F762" s="205"/>
      <c r="G762" s="205"/>
      <c r="H762" s="206"/>
      <c r="I762" s="207"/>
      <c r="J762" s="207"/>
      <c r="K762" s="207"/>
      <c r="L762" s="122"/>
      <c r="M762" s="207"/>
      <c r="N762" s="207"/>
      <c r="O762" s="122"/>
      <c r="P762" s="205"/>
      <c r="Q762" s="205"/>
      <c r="R762" s="205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</row>
    <row r="763">
      <c r="A763" s="122"/>
      <c r="B763" s="204"/>
      <c r="C763" s="204"/>
      <c r="D763" s="204"/>
      <c r="E763" s="205"/>
      <c r="F763" s="205"/>
      <c r="G763" s="205"/>
      <c r="H763" s="206"/>
      <c r="I763" s="207"/>
      <c r="J763" s="207"/>
      <c r="K763" s="207"/>
      <c r="L763" s="122"/>
      <c r="M763" s="207"/>
      <c r="N763" s="207"/>
      <c r="O763" s="122"/>
      <c r="P763" s="205"/>
      <c r="Q763" s="205"/>
      <c r="R763" s="205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</row>
    <row r="764">
      <c r="A764" s="122"/>
      <c r="B764" s="204"/>
      <c r="C764" s="204"/>
      <c r="D764" s="204"/>
      <c r="E764" s="205"/>
      <c r="F764" s="205"/>
      <c r="G764" s="205"/>
      <c r="H764" s="206"/>
      <c r="I764" s="207"/>
      <c r="J764" s="207"/>
      <c r="K764" s="207"/>
      <c r="L764" s="122"/>
      <c r="M764" s="207"/>
      <c r="N764" s="207"/>
      <c r="O764" s="122"/>
      <c r="P764" s="205"/>
      <c r="Q764" s="205"/>
      <c r="R764" s="205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</row>
    <row r="765">
      <c r="A765" s="122"/>
      <c r="B765" s="204"/>
      <c r="C765" s="204"/>
      <c r="D765" s="204"/>
      <c r="E765" s="205"/>
      <c r="F765" s="205"/>
      <c r="G765" s="205"/>
      <c r="H765" s="206"/>
      <c r="I765" s="207"/>
      <c r="J765" s="207"/>
      <c r="K765" s="207"/>
      <c r="L765" s="122"/>
      <c r="M765" s="207"/>
      <c r="N765" s="207"/>
      <c r="O765" s="122"/>
      <c r="P765" s="205"/>
      <c r="Q765" s="205"/>
      <c r="R765" s="205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</row>
    <row r="766">
      <c r="A766" s="122"/>
      <c r="B766" s="204"/>
      <c r="C766" s="204"/>
      <c r="D766" s="204"/>
      <c r="E766" s="205"/>
      <c r="F766" s="205"/>
      <c r="G766" s="205"/>
      <c r="H766" s="206"/>
      <c r="I766" s="207"/>
      <c r="J766" s="207"/>
      <c r="K766" s="207"/>
      <c r="L766" s="122"/>
      <c r="M766" s="207"/>
      <c r="N766" s="207"/>
      <c r="O766" s="122"/>
      <c r="P766" s="205"/>
      <c r="Q766" s="205"/>
      <c r="R766" s="205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</row>
    <row r="767">
      <c r="A767" s="122"/>
      <c r="B767" s="204"/>
      <c r="C767" s="204"/>
      <c r="D767" s="204"/>
      <c r="E767" s="205"/>
      <c r="F767" s="205"/>
      <c r="G767" s="205"/>
      <c r="H767" s="206"/>
      <c r="I767" s="207"/>
      <c r="J767" s="207"/>
      <c r="K767" s="207"/>
      <c r="L767" s="122"/>
      <c r="M767" s="207"/>
      <c r="N767" s="207"/>
      <c r="O767" s="122"/>
      <c r="P767" s="205"/>
      <c r="Q767" s="205"/>
      <c r="R767" s="205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</row>
    <row r="768">
      <c r="A768" s="122"/>
      <c r="B768" s="204"/>
      <c r="C768" s="204"/>
      <c r="D768" s="204"/>
      <c r="E768" s="205"/>
      <c r="F768" s="205"/>
      <c r="G768" s="205"/>
      <c r="H768" s="206"/>
      <c r="I768" s="207"/>
      <c r="J768" s="207"/>
      <c r="K768" s="207"/>
      <c r="L768" s="122"/>
      <c r="M768" s="207"/>
      <c r="N768" s="207"/>
      <c r="O768" s="122"/>
      <c r="P768" s="205"/>
      <c r="Q768" s="205"/>
      <c r="R768" s="205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</row>
    <row r="769">
      <c r="A769" s="122"/>
      <c r="B769" s="204"/>
      <c r="C769" s="204"/>
      <c r="D769" s="204"/>
      <c r="E769" s="205"/>
      <c r="F769" s="205"/>
      <c r="G769" s="205"/>
      <c r="H769" s="206"/>
      <c r="I769" s="207"/>
      <c r="J769" s="207"/>
      <c r="K769" s="207"/>
      <c r="L769" s="122"/>
      <c r="M769" s="207"/>
      <c r="N769" s="207"/>
      <c r="O769" s="122"/>
      <c r="P769" s="205"/>
      <c r="Q769" s="205"/>
      <c r="R769" s="205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</row>
    <row r="770">
      <c r="A770" s="122"/>
      <c r="B770" s="204"/>
      <c r="C770" s="204"/>
      <c r="D770" s="204"/>
      <c r="E770" s="205"/>
      <c r="F770" s="205"/>
      <c r="G770" s="205"/>
      <c r="H770" s="206"/>
      <c r="I770" s="207"/>
      <c r="J770" s="207"/>
      <c r="K770" s="207"/>
      <c r="L770" s="122"/>
      <c r="M770" s="207"/>
      <c r="N770" s="207"/>
      <c r="O770" s="122"/>
      <c r="P770" s="205"/>
      <c r="Q770" s="205"/>
      <c r="R770" s="205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</row>
    <row r="771">
      <c r="A771" s="122"/>
      <c r="B771" s="204"/>
      <c r="C771" s="204"/>
      <c r="D771" s="204"/>
      <c r="E771" s="205"/>
      <c r="F771" s="205"/>
      <c r="G771" s="205"/>
      <c r="H771" s="206"/>
      <c r="I771" s="207"/>
      <c r="J771" s="207"/>
      <c r="K771" s="207"/>
      <c r="L771" s="122"/>
      <c r="M771" s="207"/>
      <c r="N771" s="207"/>
      <c r="O771" s="122"/>
      <c r="P771" s="205"/>
      <c r="Q771" s="205"/>
      <c r="R771" s="205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</row>
    <row r="772">
      <c r="A772" s="122"/>
      <c r="B772" s="204"/>
      <c r="C772" s="204"/>
      <c r="D772" s="204"/>
      <c r="E772" s="205"/>
      <c r="F772" s="205"/>
      <c r="G772" s="205"/>
      <c r="H772" s="206"/>
      <c r="I772" s="207"/>
      <c r="J772" s="207"/>
      <c r="K772" s="207"/>
      <c r="L772" s="122"/>
      <c r="M772" s="207"/>
      <c r="N772" s="207"/>
      <c r="O772" s="122"/>
      <c r="P772" s="205"/>
      <c r="Q772" s="205"/>
      <c r="R772" s="205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</row>
    <row r="773">
      <c r="A773" s="122"/>
      <c r="B773" s="204"/>
      <c r="C773" s="204"/>
      <c r="D773" s="204"/>
      <c r="E773" s="205"/>
      <c r="F773" s="205"/>
      <c r="G773" s="205"/>
      <c r="H773" s="206"/>
      <c r="I773" s="207"/>
      <c r="J773" s="207"/>
      <c r="K773" s="207"/>
      <c r="L773" s="122"/>
      <c r="M773" s="207"/>
      <c r="N773" s="207"/>
      <c r="O773" s="122"/>
      <c r="P773" s="205"/>
      <c r="Q773" s="205"/>
      <c r="R773" s="205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</row>
    <row r="774">
      <c r="A774" s="122"/>
      <c r="B774" s="204"/>
      <c r="C774" s="204"/>
      <c r="D774" s="204"/>
      <c r="E774" s="205"/>
      <c r="F774" s="205"/>
      <c r="G774" s="205"/>
      <c r="H774" s="206"/>
      <c r="I774" s="207"/>
      <c r="J774" s="207"/>
      <c r="K774" s="207"/>
      <c r="L774" s="122"/>
      <c r="M774" s="207"/>
      <c r="N774" s="207"/>
      <c r="O774" s="122"/>
      <c r="P774" s="205"/>
      <c r="Q774" s="205"/>
      <c r="R774" s="205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</row>
    <row r="775">
      <c r="A775" s="122"/>
      <c r="B775" s="204"/>
      <c r="C775" s="204"/>
      <c r="D775" s="204"/>
      <c r="E775" s="205"/>
      <c r="F775" s="205"/>
      <c r="G775" s="205"/>
      <c r="H775" s="206"/>
      <c r="I775" s="207"/>
      <c r="J775" s="207"/>
      <c r="K775" s="207"/>
      <c r="L775" s="122"/>
      <c r="M775" s="207"/>
      <c r="N775" s="207"/>
      <c r="O775" s="122"/>
      <c r="P775" s="205"/>
      <c r="Q775" s="205"/>
      <c r="R775" s="205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</row>
    <row r="776">
      <c r="A776" s="122"/>
      <c r="B776" s="204"/>
      <c r="C776" s="204"/>
      <c r="D776" s="204"/>
      <c r="E776" s="205"/>
      <c r="F776" s="205"/>
      <c r="G776" s="205"/>
      <c r="H776" s="206"/>
      <c r="I776" s="207"/>
      <c r="J776" s="207"/>
      <c r="K776" s="207"/>
      <c r="L776" s="122"/>
      <c r="M776" s="207"/>
      <c r="N776" s="207"/>
      <c r="O776" s="122"/>
      <c r="P776" s="205"/>
      <c r="Q776" s="205"/>
      <c r="R776" s="205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</row>
    <row r="777">
      <c r="A777" s="122"/>
      <c r="B777" s="204"/>
      <c r="C777" s="204"/>
      <c r="D777" s="204"/>
      <c r="E777" s="205"/>
      <c r="F777" s="205"/>
      <c r="G777" s="205"/>
      <c r="H777" s="206"/>
      <c r="I777" s="207"/>
      <c r="J777" s="207"/>
      <c r="K777" s="207"/>
      <c r="L777" s="122"/>
      <c r="M777" s="207"/>
      <c r="N777" s="207"/>
      <c r="O777" s="122"/>
      <c r="P777" s="205"/>
      <c r="Q777" s="205"/>
      <c r="R777" s="205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</row>
    <row r="778">
      <c r="A778" s="122"/>
      <c r="B778" s="204"/>
      <c r="C778" s="204"/>
      <c r="D778" s="204"/>
      <c r="E778" s="205"/>
      <c r="F778" s="205"/>
      <c r="G778" s="205"/>
      <c r="H778" s="206"/>
      <c r="I778" s="207"/>
      <c r="J778" s="207"/>
      <c r="K778" s="207"/>
      <c r="L778" s="122"/>
      <c r="M778" s="207"/>
      <c r="N778" s="207"/>
      <c r="O778" s="122"/>
      <c r="P778" s="205"/>
      <c r="Q778" s="205"/>
      <c r="R778" s="205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</row>
    <row r="779">
      <c r="A779" s="122"/>
      <c r="B779" s="204"/>
      <c r="C779" s="204"/>
      <c r="D779" s="204"/>
      <c r="E779" s="205"/>
      <c r="F779" s="205"/>
      <c r="G779" s="205"/>
      <c r="H779" s="206"/>
      <c r="I779" s="207"/>
      <c r="J779" s="207"/>
      <c r="K779" s="207"/>
      <c r="L779" s="122"/>
      <c r="M779" s="207"/>
      <c r="N779" s="207"/>
      <c r="O779" s="122"/>
      <c r="P779" s="205"/>
      <c r="Q779" s="205"/>
      <c r="R779" s="205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</row>
    <row r="780">
      <c r="A780" s="122"/>
      <c r="B780" s="204"/>
      <c r="C780" s="204"/>
      <c r="D780" s="204"/>
      <c r="E780" s="205"/>
      <c r="F780" s="205"/>
      <c r="G780" s="205"/>
      <c r="H780" s="206"/>
      <c r="I780" s="207"/>
      <c r="J780" s="207"/>
      <c r="K780" s="207"/>
      <c r="L780" s="122"/>
      <c r="M780" s="207"/>
      <c r="N780" s="207"/>
      <c r="O780" s="122"/>
      <c r="P780" s="205"/>
      <c r="Q780" s="205"/>
      <c r="R780" s="205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</row>
    <row r="781">
      <c r="A781" s="122"/>
      <c r="B781" s="204"/>
      <c r="C781" s="204"/>
      <c r="D781" s="204"/>
      <c r="E781" s="205"/>
      <c r="F781" s="205"/>
      <c r="G781" s="205"/>
      <c r="H781" s="206"/>
      <c r="I781" s="207"/>
      <c r="J781" s="207"/>
      <c r="K781" s="207"/>
      <c r="L781" s="122"/>
      <c r="M781" s="207"/>
      <c r="N781" s="207"/>
      <c r="O781" s="122"/>
      <c r="P781" s="205"/>
      <c r="Q781" s="205"/>
      <c r="R781" s="205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</row>
    <row r="782">
      <c r="A782" s="122"/>
      <c r="B782" s="204"/>
      <c r="C782" s="204"/>
      <c r="D782" s="204"/>
      <c r="E782" s="205"/>
      <c r="F782" s="205"/>
      <c r="G782" s="205"/>
      <c r="H782" s="206"/>
      <c r="I782" s="207"/>
      <c r="J782" s="207"/>
      <c r="K782" s="207"/>
      <c r="L782" s="122"/>
      <c r="M782" s="207"/>
      <c r="N782" s="207"/>
      <c r="O782" s="122"/>
      <c r="P782" s="205"/>
      <c r="Q782" s="205"/>
      <c r="R782" s="205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</row>
    <row r="783">
      <c r="A783" s="122"/>
      <c r="B783" s="204"/>
      <c r="C783" s="204"/>
      <c r="D783" s="204"/>
      <c r="E783" s="205"/>
      <c r="F783" s="205"/>
      <c r="G783" s="205"/>
      <c r="H783" s="206"/>
      <c r="I783" s="207"/>
      <c r="J783" s="207"/>
      <c r="K783" s="207"/>
      <c r="L783" s="122"/>
      <c r="M783" s="207"/>
      <c r="N783" s="207"/>
      <c r="O783" s="122"/>
      <c r="P783" s="205"/>
      <c r="Q783" s="205"/>
      <c r="R783" s="205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</row>
    <row r="784">
      <c r="A784" s="122"/>
      <c r="B784" s="204"/>
      <c r="C784" s="204"/>
      <c r="D784" s="204"/>
      <c r="E784" s="205"/>
      <c r="F784" s="205"/>
      <c r="G784" s="205"/>
      <c r="H784" s="206"/>
      <c r="I784" s="207"/>
      <c r="J784" s="207"/>
      <c r="K784" s="207"/>
      <c r="L784" s="122"/>
      <c r="M784" s="207"/>
      <c r="N784" s="207"/>
      <c r="O784" s="122"/>
      <c r="P784" s="205"/>
      <c r="Q784" s="205"/>
      <c r="R784" s="205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</row>
    <row r="785">
      <c r="A785" s="122"/>
      <c r="B785" s="204"/>
      <c r="C785" s="204"/>
      <c r="D785" s="204"/>
      <c r="E785" s="205"/>
      <c r="F785" s="205"/>
      <c r="G785" s="205"/>
      <c r="H785" s="206"/>
      <c r="I785" s="207"/>
      <c r="J785" s="207"/>
      <c r="K785" s="207"/>
      <c r="L785" s="122"/>
      <c r="M785" s="207"/>
      <c r="N785" s="207"/>
      <c r="O785" s="122"/>
      <c r="P785" s="205"/>
      <c r="Q785" s="205"/>
      <c r="R785" s="205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</row>
    <row r="786">
      <c r="A786" s="122"/>
      <c r="B786" s="204"/>
      <c r="C786" s="204"/>
      <c r="D786" s="204"/>
      <c r="E786" s="205"/>
      <c r="F786" s="205"/>
      <c r="G786" s="205"/>
      <c r="H786" s="206"/>
      <c r="I786" s="207"/>
      <c r="J786" s="207"/>
      <c r="K786" s="207"/>
      <c r="L786" s="122"/>
      <c r="M786" s="207"/>
      <c r="N786" s="207"/>
      <c r="O786" s="122"/>
      <c r="P786" s="205"/>
      <c r="Q786" s="205"/>
      <c r="R786" s="205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</row>
    <row r="787">
      <c r="A787" s="122"/>
      <c r="B787" s="204"/>
      <c r="C787" s="204"/>
      <c r="D787" s="204"/>
      <c r="E787" s="205"/>
      <c r="F787" s="205"/>
      <c r="G787" s="205"/>
      <c r="H787" s="206"/>
      <c r="I787" s="207"/>
      <c r="J787" s="207"/>
      <c r="K787" s="207"/>
      <c r="L787" s="122"/>
      <c r="M787" s="207"/>
      <c r="N787" s="207"/>
      <c r="O787" s="122"/>
      <c r="P787" s="205"/>
      <c r="Q787" s="205"/>
      <c r="R787" s="205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</row>
    <row r="788">
      <c r="A788" s="122"/>
      <c r="B788" s="204"/>
      <c r="C788" s="204"/>
      <c r="D788" s="204"/>
      <c r="E788" s="205"/>
      <c r="F788" s="205"/>
      <c r="G788" s="205"/>
      <c r="H788" s="206"/>
      <c r="I788" s="207"/>
      <c r="J788" s="207"/>
      <c r="K788" s="207"/>
      <c r="L788" s="122"/>
      <c r="M788" s="207"/>
      <c r="N788" s="207"/>
      <c r="O788" s="122"/>
      <c r="P788" s="205"/>
      <c r="Q788" s="205"/>
      <c r="R788" s="205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</row>
    <row r="789">
      <c r="A789" s="122"/>
      <c r="B789" s="204"/>
      <c r="C789" s="204"/>
      <c r="D789" s="204"/>
      <c r="E789" s="205"/>
      <c r="F789" s="205"/>
      <c r="G789" s="205"/>
      <c r="H789" s="206"/>
      <c r="I789" s="207"/>
      <c r="J789" s="207"/>
      <c r="K789" s="207"/>
      <c r="L789" s="122"/>
      <c r="M789" s="207"/>
      <c r="N789" s="207"/>
      <c r="O789" s="122"/>
      <c r="P789" s="205"/>
      <c r="Q789" s="205"/>
      <c r="R789" s="205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</row>
    <row r="790">
      <c r="A790" s="122"/>
      <c r="B790" s="204"/>
      <c r="C790" s="204"/>
      <c r="D790" s="204"/>
      <c r="E790" s="205"/>
      <c r="F790" s="205"/>
      <c r="G790" s="205"/>
      <c r="H790" s="206"/>
      <c r="I790" s="207"/>
      <c r="J790" s="207"/>
      <c r="K790" s="207"/>
      <c r="L790" s="122"/>
      <c r="M790" s="207"/>
      <c r="N790" s="207"/>
      <c r="O790" s="122"/>
      <c r="P790" s="205"/>
      <c r="Q790" s="205"/>
      <c r="R790" s="205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</row>
    <row r="791">
      <c r="A791" s="122"/>
      <c r="B791" s="204"/>
      <c r="C791" s="204"/>
      <c r="D791" s="204"/>
      <c r="E791" s="205"/>
      <c r="F791" s="205"/>
      <c r="G791" s="205"/>
      <c r="H791" s="206"/>
      <c r="I791" s="207"/>
      <c r="J791" s="207"/>
      <c r="K791" s="207"/>
      <c r="L791" s="122"/>
      <c r="M791" s="207"/>
      <c r="N791" s="207"/>
      <c r="O791" s="122"/>
      <c r="P791" s="205"/>
      <c r="Q791" s="205"/>
      <c r="R791" s="205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</row>
    <row r="792">
      <c r="A792" s="122"/>
      <c r="B792" s="204"/>
      <c r="C792" s="204"/>
      <c r="D792" s="204"/>
      <c r="E792" s="205"/>
      <c r="F792" s="205"/>
      <c r="G792" s="205"/>
      <c r="H792" s="206"/>
      <c r="I792" s="207"/>
      <c r="J792" s="207"/>
      <c r="K792" s="207"/>
      <c r="L792" s="122"/>
      <c r="M792" s="207"/>
      <c r="N792" s="207"/>
      <c r="O792" s="122"/>
      <c r="P792" s="205"/>
      <c r="Q792" s="205"/>
      <c r="R792" s="205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</row>
    <row r="793">
      <c r="A793" s="122"/>
      <c r="B793" s="204"/>
      <c r="C793" s="204"/>
      <c r="D793" s="204"/>
      <c r="E793" s="205"/>
      <c r="F793" s="205"/>
      <c r="G793" s="205"/>
      <c r="H793" s="206"/>
      <c r="I793" s="207"/>
      <c r="J793" s="207"/>
      <c r="K793" s="207"/>
      <c r="L793" s="122"/>
      <c r="M793" s="207"/>
      <c r="N793" s="207"/>
      <c r="O793" s="122"/>
      <c r="P793" s="205"/>
      <c r="Q793" s="205"/>
      <c r="R793" s="205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</row>
    <row r="794">
      <c r="A794" s="122"/>
      <c r="B794" s="204"/>
      <c r="C794" s="204"/>
      <c r="D794" s="204"/>
      <c r="E794" s="205"/>
      <c r="F794" s="205"/>
      <c r="G794" s="205"/>
      <c r="H794" s="206"/>
      <c r="I794" s="207"/>
      <c r="J794" s="207"/>
      <c r="K794" s="207"/>
      <c r="L794" s="122"/>
      <c r="M794" s="207"/>
      <c r="N794" s="207"/>
      <c r="O794" s="122"/>
      <c r="P794" s="205"/>
      <c r="Q794" s="205"/>
      <c r="R794" s="205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</row>
    <row r="795">
      <c r="A795" s="122"/>
      <c r="B795" s="204"/>
      <c r="C795" s="204"/>
      <c r="D795" s="204"/>
      <c r="E795" s="205"/>
      <c r="F795" s="205"/>
      <c r="G795" s="205"/>
      <c r="H795" s="206"/>
      <c r="I795" s="207"/>
      <c r="J795" s="207"/>
      <c r="K795" s="207"/>
      <c r="L795" s="122"/>
      <c r="M795" s="207"/>
      <c r="N795" s="207"/>
      <c r="O795" s="122"/>
      <c r="P795" s="205"/>
      <c r="Q795" s="205"/>
      <c r="R795" s="205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</row>
    <row r="796">
      <c r="A796" s="122"/>
      <c r="B796" s="204"/>
      <c r="C796" s="204"/>
      <c r="D796" s="204"/>
      <c r="E796" s="205"/>
      <c r="F796" s="205"/>
      <c r="G796" s="205"/>
      <c r="H796" s="206"/>
      <c r="I796" s="207"/>
      <c r="J796" s="207"/>
      <c r="K796" s="207"/>
      <c r="L796" s="122"/>
      <c r="M796" s="207"/>
      <c r="N796" s="207"/>
      <c r="O796" s="122"/>
      <c r="P796" s="205"/>
      <c r="Q796" s="205"/>
      <c r="R796" s="205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</row>
    <row r="797">
      <c r="A797" s="122"/>
      <c r="B797" s="204"/>
      <c r="C797" s="204"/>
      <c r="D797" s="204"/>
      <c r="E797" s="205"/>
      <c r="F797" s="205"/>
      <c r="G797" s="205"/>
      <c r="H797" s="206"/>
      <c r="I797" s="207"/>
      <c r="J797" s="207"/>
      <c r="K797" s="207"/>
      <c r="L797" s="122"/>
      <c r="M797" s="207"/>
      <c r="N797" s="207"/>
      <c r="O797" s="122"/>
      <c r="P797" s="205"/>
      <c r="Q797" s="205"/>
      <c r="R797" s="205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</row>
    <row r="798">
      <c r="A798" s="122"/>
      <c r="B798" s="204"/>
      <c r="C798" s="204"/>
      <c r="D798" s="204"/>
      <c r="E798" s="205"/>
      <c r="F798" s="205"/>
      <c r="G798" s="205"/>
      <c r="H798" s="206"/>
      <c r="I798" s="207"/>
      <c r="J798" s="207"/>
      <c r="K798" s="207"/>
      <c r="L798" s="122"/>
      <c r="M798" s="207"/>
      <c r="N798" s="207"/>
      <c r="O798" s="122"/>
      <c r="P798" s="205"/>
      <c r="Q798" s="205"/>
      <c r="R798" s="205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</row>
    <row r="799">
      <c r="A799" s="122"/>
      <c r="B799" s="204"/>
      <c r="C799" s="204"/>
      <c r="D799" s="204"/>
      <c r="E799" s="205"/>
      <c r="F799" s="205"/>
      <c r="G799" s="205"/>
      <c r="H799" s="206"/>
      <c r="I799" s="207"/>
      <c r="J799" s="207"/>
      <c r="K799" s="207"/>
      <c r="L799" s="122"/>
      <c r="M799" s="207"/>
      <c r="N799" s="207"/>
      <c r="O799" s="122"/>
      <c r="P799" s="205"/>
      <c r="Q799" s="205"/>
      <c r="R799" s="205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</row>
    <row r="800">
      <c r="A800" s="122"/>
      <c r="B800" s="204"/>
      <c r="C800" s="204"/>
      <c r="D800" s="204"/>
      <c r="E800" s="205"/>
      <c r="F800" s="205"/>
      <c r="G800" s="205"/>
      <c r="H800" s="206"/>
      <c r="I800" s="207"/>
      <c r="J800" s="207"/>
      <c r="K800" s="207"/>
      <c r="L800" s="122"/>
      <c r="M800" s="207"/>
      <c r="N800" s="207"/>
      <c r="O800" s="122"/>
      <c r="P800" s="205"/>
      <c r="Q800" s="205"/>
      <c r="R800" s="205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</row>
    <row r="801">
      <c r="A801" s="122"/>
      <c r="B801" s="204"/>
      <c r="C801" s="204"/>
      <c r="D801" s="204"/>
      <c r="E801" s="205"/>
      <c r="F801" s="205"/>
      <c r="G801" s="205"/>
      <c r="H801" s="206"/>
      <c r="I801" s="207"/>
      <c r="J801" s="207"/>
      <c r="K801" s="207"/>
      <c r="L801" s="122"/>
      <c r="M801" s="207"/>
      <c r="N801" s="207"/>
      <c r="O801" s="122"/>
      <c r="P801" s="205"/>
      <c r="Q801" s="205"/>
      <c r="R801" s="205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</row>
    <row r="802">
      <c r="A802" s="122"/>
      <c r="B802" s="204"/>
      <c r="C802" s="204"/>
      <c r="D802" s="204"/>
      <c r="E802" s="205"/>
      <c r="F802" s="205"/>
      <c r="G802" s="205"/>
      <c r="H802" s="206"/>
      <c r="I802" s="207"/>
      <c r="J802" s="207"/>
      <c r="K802" s="207"/>
      <c r="L802" s="122"/>
      <c r="M802" s="207"/>
      <c r="N802" s="207"/>
      <c r="O802" s="122"/>
      <c r="P802" s="205"/>
      <c r="Q802" s="205"/>
      <c r="R802" s="205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</row>
    <row r="803">
      <c r="A803" s="122"/>
      <c r="B803" s="204"/>
      <c r="C803" s="204"/>
      <c r="D803" s="204"/>
      <c r="E803" s="205"/>
      <c r="F803" s="205"/>
      <c r="G803" s="205"/>
      <c r="H803" s="206"/>
      <c r="I803" s="207"/>
      <c r="J803" s="207"/>
      <c r="K803" s="207"/>
      <c r="L803" s="122"/>
      <c r="M803" s="207"/>
      <c r="N803" s="207"/>
      <c r="O803" s="122"/>
      <c r="P803" s="205"/>
      <c r="Q803" s="205"/>
      <c r="R803" s="205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</row>
    <row r="804">
      <c r="A804" s="122"/>
      <c r="B804" s="204"/>
      <c r="C804" s="204"/>
      <c r="D804" s="204"/>
      <c r="E804" s="205"/>
      <c r="F804" s="205"/>
      <c r="G804" s="205"/>
      <c r="H804" s="206"/>
      <c r="I804" s="207"/>
      <c r="J804" s="207"/>
      <c r="K804" s="207"/>
      <c r="L804" s="122"/>
      <c r="M804" s="207"/>
      <c r="N804" s="207"/>
      <c r="O804" s="122"/>
      <c r="P804" s="205"/>
      <c r="Q804" s="205"/>
      <c r="R804" s="205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</row>
    <row r="805">
      <c r="A805" s="122"/>
      <c r="B805" s="204"/>
      <c r="C805" s="204"/>
      <c r="D805" s="204"/>
      <c r="E805" s="205"/>
      <c r="F805" s="205"/>
      <c r="G805" s="205"/>
      <c r="H805" s="206"/>
      <c r="I805" s="207"/>
      <c r="J805" s="207"/>
      <c r="K805" s="207"/>
      <c r="L805" s="122"/>
      <c r="M805" s="207"/>
      <c r="N805" s="207"/>
      <c r="O805" s="122"/>
      <c r="P805" s="205"/>
      <c r="Q805" s="205"/>
      <c r="R805" s="205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</row>
    <row r="806">
      <c r="A806" s="122"/>
      <c r="B806" s="204"/>
      <c r="C806" s="204"/>
      <c r="D806" s="204"/>
      <c r="E806" s="205"/>
      <c r="F806" s="205"/>
      <c r="G806" s="205"/>
      <c r="H806" s="206"/>
      <c r="I806" s="207"/>
      <c r="J806" s="207"/>
      <c r="K806" s="207"/>
      <c r="L806" s="122"/>
      <c r="M806" s="207"/>
      <c r="N806" s="207"/>
      <c r="O806" s="122"/>
      <c r="P806" s="205"/>
      <c r="Q806" s="205"/>
      <c r="R806" s="205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</row>
    <row r="807">
      <c r="A807" s="122"/>
      <c r="B807" s="204"/>
      <c r="C807" s="204"/>
      <c r="D807" s="204"/>
      <c r="E807" s="205"/>
      <c r="F807" s="205"/>
      <c r="G807" s="205"/>
      <c r="H807" s="206"/>
      <c r="I807" s="207"/>
      <c r="J807" s="207"/>
      <c r="K807" s="207"/>
      <c r="L807" s="122"/>
      <c r="M807" s="207"/>
      <c r="N807" s="207"/>
      <c r="O807" s="122"/>
      <c r="P807" s="205"/>
      <c r="Q807" s="205"/>
      <c r="R807" s="205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</row>
    <row r="808">
      <c r="A808" s="122"/>
      <c r="B808" s="204"/>
      <c r="C808" s="204"/>
      <c r="D808" s="204"/>
      <c r="E808" s="205"/>
      <c r="F808" s="205"/>
      <c r="G808" s="205"/>
      <c r="H808" s="206"/>
      <c r="I808" s="207"/>
      <c r="J808" s="207"/>
      <c r="K808" s="207"/>
      <c r="L808" s="122"/>
      <c r="M808" s="207"/>
      <c r="N808" s="207"/>
      <c r="O808" s="122"/>
      <c r="P808" s="205"/>
      <c r="Q808" s="205"/>
      <c r="R808" s="205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</row>
    <row r="809">
      <c r="A809" s="122"/>
      <c r="B809" s="204"/>
      <c r="C809" s="204"/>
      <c r="D809" s="204"/>
      <c r="E809" s="205"/>
      <c r="F809" s="205"/>
      <c r="G809" s="205"/>
      <c r="H809" s="206"/>
      <c r="I809" s="207"/>
      <c r="J809" s="207"/>
      <c r="K809" s="207"/>
      <c r="L809" s="122"/>
      <c r="M809" s="207"/>
      <c r="N809" s="207"/>
      <c r="O809" s="122"/>
      <c r="P809" s="205"/>
      <c r="Q809" s="205"/>
      <c r="R809" s="205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</row>
    <row r="810">
      <c r="A810" s="122"/>
      <c r="B810" s="204"/>
      <c r="C810" s="204"/>
      <c r="D810" s="204"/>
      <c r="E810" s="205"/>
      <c r="F810" s="205"/>
      <c r="G810" s="205"/>
      <c r="H810" s="206"/>
      <c r="I810" s="207"/>
      <c r="J810" s="207"/>
      <c r="K810" s="207"/>
      <c r="L810" s="122"/>
      <c r="M810" s="207"/>
      <c r="N810" s="207"/>
      <c r="O810" s="122"/>
      <c r="P810" s="205"/>
      <c r="Q810" s="205"/>
      <c r="R810" s="205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</row>
    <row r="811">
      <c r="A811" s="122"/>
      <c r="B811" s="204"/>
      <c r="C811" s="204"/>
      <c r="D811" s="204"/>
      <c r="E811" s="205"/>
      <c r="F811" s="205"/>
      <c r="G811" s="205"/>
      <c r="H811" s="206"/>
      <c r="I811" s="207"/>
      <c r="J811" s="207"/>
      <c r="K811" s="207"/>
      <c r="L811" s="122"/>
      <c r="M811" s="207"/>
      <c r="N811" s="207"/>
      <c r="O811" s="122"/>
      <c r="P811" s="205"/>
      <c r="Q811" s="205"/>
      <c r="R811" s="205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</row>
    <row r="812">
      <c r="A812" s="122"/>
      <c r="B812" s="204"/>
      <c r="C812" s="204"/>
      <c r="D812" s="204"/>
      <c r="E812" s="205"/>
      <c r="F812" s="205"/>
      <c r="G812" s="205"/>
      <c r="H812" s="206"/>
      <c r="I812" s="207"/>
      <c r="J812" s="207"/>
      <c r="K812" s="207"/>
      <c r="L812" s="122"/>
      <c r="M812" s="207"/>
      <c r="N812" s="207"/>
      <c r="O812" s="122"/>
      <c r="P812" s="205"/>
      <c r="Q812" s="205"/>
      <c r="R812" s="205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</row>
    <row r="813">
      <c r="A813" s="122"/>
      <c r="B813" s="204"/>
      <c r="C813" s="204"/>
      <c r="D813" s="204"/>
      <c r="E813" s="205"/>
      <c r="F813" s="205"/>
      <c r="G813" s="205"/>
      <c r="H813" s="206"/>
      <c r="I813" s="207"/>
      <c r="J813" s="207"/>
      <c r="K813" s="207"/>
      <c r="L813" s="122"/>
      <c r="M813" s="207"/>
      <c r="N813" s="207"/>
      <c r="O813" s="122"/>
      <c r="P813" s="205"/>
      <c r="Q813" s="205"/>
      <c r="R813" s="205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</row>
    <row r="814">
      <c r="A814" s="122"/>
      <c r="B814" s="204"/>
      <c r="C814" s="204"/>
      <c r="D814" s="204"/>
      <c r="E814" s="205"/>
      <c r="F814" s="205"/>
      <c r="G814" s="205"/>
      <c r="H814" s="206"/>
      <c r="I814" s="207"/>
      <c r="J814" s="207"/>
      <c r="K814" s="207"/>
      <c r="L814" s="122"/>
      <c r="M814" s="207"/>
      <c r="N814" s="207"/>
      <c r="O814" s="122"/>
      <c r="P814" s="205"/>
      <c r="Q814" s="205"/>
      <c r="R814" s="205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</row>
    <row r="815">
      <c r="A815" s="122"/>
      <c r="B815" s="204"/>
      <c r="C815" s="204"/>
      <c r="D815" s="204"/>
      <c r="E815" s="205"/>
      <c r="F815" s="205"/>
      <c r="G815" s="205"/>
      <c r="H815" s="206"/>
      <c r="I815" s="207"/>
      <c r="J815" s="207"/>
      <c r="K815" s="207"/>
      <c r="L815" s="122"/>
      <c r="M815" s="207"/>
      <c r="N815" s="207"/>
      <c r="O815" s="122"/>
      <c r="P815" s="205"/>
      <c r="Q815" s="205"/>
      <c r="R815" s="205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</row>
    <row r="816">
      <c r="A816" s="122"/>
      <c r="B816" s="204"/>
      <c r="C816" s="204"/>
      <c r="D816" s="204"/>
      <c r="E816" s="205"/>
      <c r="F816" s="205"/>
      <c r="G816" s="205"/>
      <c r="H816" s="206"/>
      <c r="I816" s="207"/>
      <c r="J816" s="207"/>
      <c r="K816" s="207"/>
      <c r="L816" s="122"/>
      <c r="M816" s="207"/>
      <c r="N816" s="207"/>
      <c r="O816" s="122"/>
      <c r="P816" s="205"/>
      <c r="Q816" s="205"/>
      <c r="R816" s="205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</row>
    <row r="817">
      <c r="A817" s="122"/>
      <c r="B817" s="204"/>
      <c r="C817" s="204"/>
      <c r="D817" s="204"/>
      <c r="E817" s="205"/>
      <c r="F817" s="205"/>
      <c r="G817" s="205"/>
      <c r="H817" s="206"/>
      <c r="I817" s="207"/>
      <c r="J817" s="207"/>
      <c r="K817" s="207"/>
      <c r="L817" s="122"/>
      <c r="M817" s="207"/>
      <c r="N817" s="207"/>
      <c r="O817" s="122"/>
      <c r="P817" s="205"/>
      <c r="Q817" s="205"/>
      <c r="R817" s="205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</row>
    <row r="818">
      <c r="A818" s="122"/>
      <c r="B818" s="204"/>
      <c r="C818" s="204"/>
      <c r="D818" s="204"/>
      <c r="E818" s="205"/>
      <c r="F818" s="205"/>
      <c r="G818" s="205"/>
      <c r="H818" s="206"/>
      <c r="I818" s="207"/>
      <c r="J818" s="207"/>
      <c r="K818" s="207"/>
      <c r="L818" s="122"/>
      <c r="M818" s="207"/>
      <c r="N818" s="207"/>
      <c r="O818" s="122"/>
      <c r="P818" s="205"/>
      <c r="Q818" s="205"/>
      <c r="R818" s="205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</row>
    <row r="819">
      <c r="A819" s="122"/>
      <c r="B819" s="204"/>
      <c r="C819" s="204"/>
      <c r="D819" s="204"/>
      <c r="E819" s="205"/>
      <c r="F819" s="205"/>
      <c r="G819" s="205"/>
      <c r="H819" s="206"/>
      <c r="I819" s="207"/>
      <c r="J819" s="207"/>
      <c r="K819" s="207"/>
      <c r="L819" s="122"/>
      <c r="M819" s="207"/>
      <c r="N819" s="207"/>
      <c r="O819" s="122"/>
      <c r="P819" s="205"/>
      <c r="Q819" s="205"/>
      <c r="R819" s="205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</row>
    <row r="820">
      <c r="A820" s="122"/>
      <c r="B820" s="204"/>
      <c r="C820" s="204"/>
      <c r="D820" s="204"/>
      <c r="E820" s="205"/>
      <c r="F820" s="205"/>
      <c r="G820" s="205"/>
      <c r="H820" s="206"/>
      <c r="I820" s="207"/>
      <c r="J820" s="207"/>
      <c r="K820" s="207"/>
      <c r="L820" s="122"/>
      <c r="M820" s="207"/>
      <c r="N820" s="207"/>
      <c r="O820" s="122"/>
      <c r="P820" s="205"/>
      <c r="Q820" s="205"/>
      <c r="R820" s="205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</row>
    <row r="821">
      <c r="A821" s="122"/>
      <c r="B821" s="204"/>
      <c r="C821" s="204"/>
      <c r="D821" s="204"/>
      <c r="E821" s="205"/>
      <c r="F821" s="205"/>
      <c r="G821" s="205"/>
      <c r="H821" s="206"/>
      <c r="I821" s="207"/>
      <c r="J821" s="207"/>
      <c r="K821" s="207"/>
      <c r="L821" s="122"/>
      <c r="M821" s="207"/>
      <c r="N821" s="207"/>
      <c r="O821" s="122"/>
      <c r="P821" s="205"/>
      <c r="Q821" s="205"/>
      <c r="R821" s="205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</row>
    <row r="822">
      <c r="A822" s="122"/>
      <c r="B822" s="204"/>
      <c r="C822" s="204"/>
      <c r="D822" s="204"/>
      <c r="E822" s="205"/>
      <c r="F822" s="205"/>
      <c r="G822" s="205"/>
      <c r="H822" s="206"/>
      <c r="I822" s="207"/>
      <c r="J822" s="207"/>
      <c r="K822" s="207"/>
      <c r="L822" s="122"/>
      <c r="M822" s="207"/>
      <c r="N822" s="207"/>
      <c r="O822" s="122"/>
      <c r="P822" s="205"/>
      <c r="Q822" s="205"/>
      <c r="R822" s="205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</row>
    <row r="823">
      <c r="A823" s="122"/>
      <c r="B823" s="204"/>
      <c r="C823" s="204"/>
      <c r="D823" s="204"/>
      <c r="E823" s="205"/>
      <c r="F823" s="205"/>
      <c r="G823" s="205"/>
      <c r="H823" s="206"/>
      <c r="I823" s="207"/>
      <c r="J823" s="207"/>
      <c r="K823" s="207"/>
      <c r="L823" s="122"/>
      <c r="M823" s="207"/>
      <c r="N823" s="207"/>
      <c r="O823" s="122"/>
      <c r="P823" s="205"/>
      <c r="Q823" s="205"/>
      <c r="R823" s="205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</row>
    <row r="824">
      <c r="A824" s="122"/>
      <c r="B824" s="204"/>
      <c r="C824" s="204"/>
      <c r="D824" s="204"/>
      <c r="E824" s="205"/>
      <c r="F824" s="205"/>
      <c r="G824" s="205"/>
      <c r="H824" s="206"/>
      <c r="I824" s="207"/>
      <c r="J824" s="207"/>
      <c r="K824" s="207"/>
      <c r="L824" s="122"/>
      <c r="M824" s="207"/>
      <c r="N824" s="207"/>
      <c r="O824" s="122"/>
      <c r="P824" s="205"/>
      <c r="Q824" s="205"/>
      <c r="R824" s="205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</row>
    <row r="825">
      <c r="A825" s="122"/>
      <c r="B825" s="204"/>
      <c r="C825" s="204"/>
      <c r="D825" s="204"/>
      <c r="E825" s="205"/>
      <c r="F825" s="205"/>
      <c r="G825" s="205"/>
      <c r="H825" s="206"/>
      <c r="I825" s="207"/>
      <c r="J825" s="207"/>
      <c r="K825" s="207"/>
      <c r="L825" s="122"/>
      <c r="M825" s="207"/>
      <c r="N825" s="207"/>
      <c r="O825" s="122"/>
      <c r="P825" s="205"/>
      <c r="Q825" s="205"/>
      <c r="R825" s="205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</row>
    <row r="826">
      <c r="A826" s="122"/>
      <c r="B826" s="204"/>
      <c r="C826" s="204"/>
      <c r="D826" s="204"/>
      <c r="E826" s="205"/>
      <c r="F826" s="205"/>
      <c r="G826" s="205"/>
      <c r="H826" s="206"/>
      <c r="I826" s="207"/>
      <c r="J826" s="207"/>
      <c r="K826" s="207"/>
      <c r="L826" s="122"/>
      <c r="M826" s="207"/>
      <c r="N826" s="207"/>
      <c r="O826" s="122"/>
      <c r="P826" s="205"/>
      <c r="Q826" s="205"/>
      <c r="R826" s="205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</row>
    <row r="827">
      <c r="A827" s="122"/>
      <c r="B827" s="204"/>
      <c r="C827" s="204"/>
      <c r="D827" s="204"/>
      <c r="E827" s="205"/>
      <c r="F827" s="205"/>
      <c r="G827" s="205"/>
      <c r="H827" s="206"/>
      <c r="I827" s="207"/>
      <c r="J827" s="207"/>
      <c r="K827" s="207"/>
      <c r="L827" s="122"/>
      <c r="M827" s="207"/>
      <c r="N827" s="207"/>
      <c r="O827" s="122"/>
      <c r="P827" s="205"/>
      <c r="Q827" s="205"/>
      <c r="R827" s="205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</row>
    <row r="828">
      <c r="A828" s="122"/>
      <c r="B828" s="204"/>
      <c r="C828" s="204"/>
      <c r="D828" s="204"/>
      <c r="E828" s="205"/>
      <c r="F828" s="205"/>
      <c r="G828" s="205"/>
      <c r="H828" s="206"/>
      <c r="I828" s="207"/>
      <c r="J828" s="207"/>
      <c r="K828" s="207"/>
      <c r="L828" s="122"/>
      <c r="M828" s="207"/>
      <c r="N828" s="207"/>
      <c r="O828" s="122"/>
      <c r="P828" s="205"/>
      <c r="Q828" s="205"/>
      <c r="R828" s="205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</row>
    <row r="829">
      <c r="A829" s="122"/>
      <c r="B829" s="204"/>
      <c r="C829" s="204"/>
      <c r="D829" s="204"/>
      <c r="E829" s="205"/>
      <c r="F829" s="205"/>
      <c r="G829" s="205"/>
      <c r="H829" s="206"/>
      <c r="I829" s="207"/>
      <c r="J829" s="207"/>
      <c r="K829" s="207"/>
      <c r="L829" s="122"/>
      <c r="M829" s="207"/>
      <c r="N829" s="207"/>
      <c r="O829" s="122"/>
      <c r="P829" s="205"/>
      <c r="Q829" s="205"/>
      <c r="R829" s="205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</row>
    <row r="830">
      <c r="A830" s="122"/>
      <c r="B830" s="204"/>
      <c r="C830" s="204"/>
      <c r="D830" s="204"/>
      <c r="E830" s="205"/>
      <c r="F830" s="205"/>
      <c r="G830" s="205"/>
      <c r="H830" s="206"/>
      <c r="I830" s="207"/>
      <c r="J830" s="207"/>
      <c r="K830" s="207"/>
      <c r="L830" s="122"/>
      <c r="M830" s="207"/>
      <c r="N830" s="207"/>
      <c r="O830" s="122"/>
      <c r="P830" s="205"/>
      <c r="Q830" s="205"/>
      <c r="R830" s="205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</row>
    <row r="831">
      <c r="A831" s="122"/>
      <c r="B831" s="204"/>
      <c r="C831" s="204"/>
      <c r="D831" s="204"/>
      <c r="E831" s="205"/>
      <c r="F831" s="205"/>
      <c r="G831" s="205"/>
      <c r="H831" s="206"/>
      <c r="I831" s="207"/>
      <c r="J831" s="207"/>
      <c r="K831" s="207"/>
      <c r="L831" s="122"/>
      <c r="M831" s="207"/>
      <c r="N831" s="207"/>
      <c r="O831" s="122"/>
      <c r="P831" s="205"/>
      <c r="Q831" s="205"/>
      <c r="R831" s="205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</row>
    <row r="832">
      <c r="A832" s="122"/>
      <c r="B832" s="204"/>
      <c r="C832" s="204"/>
      <c r="D832" s="204"/>
      <c r="E832" s="205"/>
      <c r="F832" s="205"/>
      <c r="G832" s="205"/>
      <c r="H832" s="206"/>
      <c r="I832" s="207"/>
      <c r="J832" s="207"/>
      <c r="K832" s="207"/>
      <c r="L832" s="122"/>
      <c r="M832" s="207"/>
      <c r="N832" s="207"/>
      <c r="O832" s="122"/>
      <c r="P832" s="205"/>
      <c r="Q832" s="205"/>
      <c r="R832" s="205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</row>
    <row r="833">
      <c r="A833" s="122"/>
      <c r="B833" s="204"/>
      <c r="C833" s="204"/>
      <c r="D833" s="204"/>
      <c r="E833" s="205"/>
      <c r="F833" s="205"/>
      <c r="G833" s="205"/>
      <c r="H833" s="206"/>
      <c r="I833" s="207"/>
      <c r="J833" s="207"/>
      <c r="K833" s="207"/>
      <c r="L833" s="122"/>
      <c r="M833" s="207"/>
      <c r="N833" s="207"/>
      <c r="O833" s="122"/>
      <c r="P833" s="205"/>
      <c r="Q833" s="205"/>
      <c r="R833" s="205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</row>
    <row r="834">
      <c r="A834" s="122"/>
      <c r="B834" s="204"/>
      <c r="C834" s="204"/>
      <c r="D834" s="204"/>
      <c r="E834" s="205"/>
      <c r="F834" s="205"/>
      <c r="G834" s="205"/>
      <c r="H834" s="206"/>
      <c r="I834" s="207"/>
      <c r="J834" s="207"/>
      <c r="K834" s="207"/>
      <c r="L834" s="122"/>
      <c r="M834" s="207"/>
      <c r="N834" s="207"/>
      <c r="O834" s="122"/>
      <c r="P834" s="205"/>
      <c r="Q834" s="205"/>
      <c r="R834" s="205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</row>
    <row r="835">
      <c r="A835" s="122"/>
      <c r="B835" s="204"/>
      <c r="C835" s="204"/>
      <c r="D835" s="204"/>
      <c r="E835" s="205"/>
      <c r="F835" s="205"/>
      <c r="G835" s="205"/>
      <c r="H835" s="206"/>
      <c r="I835" s="207"/>
      <c r="J835" s="207"/>
      <c r="K835" s="207"/>
      <c r="L835" s="122"/>
      <c r="M835" s="207"/>
      <c r="N835" s="207"/>
      <c r="O835" s="122"/>
      <c r="P835" s="205"/>
      <c r="Q835" s="205"/>
      <c r="R835" s="205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</row>
    <row r="836">
      <c r="A836" s="122"/>
      <c r="B836" s="204"/>
      <c r="C836" s="204"/>
      <c r="D836" s="204"/>
      <c r="E836" s="205"/>
      <c r="F836" s="205"/>
      <c r="G836" s="205"/>
      <c r="H836" s="206"/>
      <c r="I836" s="207"/>
      <c r="J836" s="207"/>
      <c r="K836" s="207"/>
      <c r="L836" s="122"/>
      <c r="M836" s="207"/>
      <c r="N836" s="207"/>
      <c r="O836" s="122"/>
      <c r="P836" s="205"/>
      <c r="Q836" s="205"/>
      <c r="R836" s="205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</row>
    <row r="837">
      <c r="A837" s="122"/>
      <c r="B837" s="204"/>
      <c r="C837" s="204"/>
      <c r="D837" s="204"/>
      <c r="E837" s="205"/>
      <c r="F837" s="205"/>
      <c r="G837" s="205"/>
      <c r="H837" s="206"/>
      <c r="I837" s="207"/>
      <c r="J837" s="207"/>
      <c r="K837" s="207"/>
      <c r="L837" s="122"/>
      <c r="M837" s="207"/>
      <c r="N837" s="207"/>
      <c r="O837" s="122"/>
      <c r="P837" s="205"/>
      <c r="Q837" s="205"/>
      <c r="R837" s="205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</row>
    <row r="838">
      <c r="A838" s="122"/>
      <c r="B838" s="204"/>
      <c r="C838" s="204"/>
      <c r="D838" s="204"/>
      <c r="E838" s="205"/>
      <c r="F838" s="205"/>
      <c r="G838" s="205"/>
      <c r="H838" s="206"/>
      <c r="I838" s="207"/>
      <c r="J838" s="207"/>
      <c r="K838" s="207"/>
      <c r="L838" s="122"/>
      <c r="M838" s="207"/>
      <c r="N838" s="207"/>
      <c r="O838" s="122"/>
      <c r="P838" s="205"/>
      <c r="Q838" s="205"/>
      <c r="R838" s="205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</row>
    <row r="839">
      <c r="A839" s="122"/>
      <c r="B839" s="204"/>
      <c r="C839" s="204"/>
      <c r="D839" s="204"/>
      <c r="E839" s="205"/>
      <c r="F839" s="205"/>
      <c r="G839" s="205"/>
      <c r="H839" s="206"/>
      <c r="I839" s="207"/>
      <c r="J839" s="207"/>
      <c r="K839" s="207"/>
      <c r="L839" s="122"/>
      <c r="M839" s="207"/>
      <c r="N839" s="207"/>
      <c r="O839" s="122"/>
      <c r="P839" s="205"/>
      <c r="Q839" s="205"/>
      <c r="R839" s="205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</row>
    <row r="840">
      <c r="A840" s="122"/>
      <c r="B840" s="204"/>
      <c r="C840" s="204"/>
      <c r="D840" s="204"/>
      <c r="E840" s="205"/>
      <c r="F840" s="205"/>
      <c r="G840" s="205"/>
      <c r="H840" s="206"/>
      <c r="I840" s="207"/>
      <c r="J840" s="207"/>
      <c r="K840" s="207"/>
      <c r="L840" s="122"/>
      <c r="M840" s="207"/>
      <c r="N840" s="207"/>
      <c r="O840" s="122"/>
      <c r="P840" s="205"/>
      <c r="Q840" s="205"/>
      <c r="R840" s="205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</row>
    <row r="841">
      <c r="A841" s="122"/>
      <c r="B841" s="204"/>
      <c r="C841" s="204"/>
      <c r="D841" s="204"/>
      <c r="E841" s="205"/>
      <c r="F841" s="205"/>
      <c r="G841" s="205"/>
      <c r="H841" s="206"/>
      <c r="I841" s="207"/>
      <c r="J841" s="207"/>
      <c r="K841" s="207"/>
      <c r="L841" s="122"/>
      <c r="M841" s="207"/>
      <c r="N841" s="207"/>
      <c r="O841" s="122"/>
      <c r="P841" s="205"/>
      <c r="Q841" s="205"/>
      <c r="R841" s="205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</row>
    <row r="842">
      <c r="A842" s="122"/>
      <c r="B842" s="204"/>
      <c r="C842" s="204"/>
      <c r="D842" s="204"/>
      <c r="E842" s="205"/>
      <c r="F842" s="205"/>
      <c r="G842" s="205"/>
      <c r="H842" s="206"/>
      <c r="I842" s="207"/>
      <c r="J842" s="207"/>
      <c r="K842" s="207"/>
      <c r="L842" s="122"/>
      <c r="M842" s="207"/>
      <c r="N842" s="207"/>
      <c r="O842" s="122"/>
      <c r="P842" s="205"/>
      <c r="Q842" s="205"/>
      <c r="R842" s="205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</row>
    <row r="843">
      <c r="A843" s="122"/>
      <c r="B843" s="204"/>
      <c r="C843" s="204"/>
      <c r="D843" s="204"/>
      <c r="E843" s="205"/>
      <c r="F843" s="205"/>
      <c r="G843" s="205"/>
      <c r="H843" s="206"/>
      <c r="I843" s="207"/>
      <c r="J843" s="207"/>
      <c r="K843" s="207"/>
      <c r="L843" s="122"/>
      <c r="M843" s="207"/>
      <c r="N843" s="207"/>
      <c r="O843" s="122"/>
      <c r="P843" s="205"/>
      <c r="Q843" s="205"/>
      <c r="R843" s="205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</row>
    <row r="844">
      <c r="A844" s="122"/>
      <c r="B844" s="204"/>
      <c r="C844" s="204"/>
      <c r="D844" s="204"/>
      <c r="E844" s="205"/>
      <c r="F844" s="205"/>
      <c r="G844" s="205"/>
      <c r="H844" s="206"/>
      <c r="I844" s="207"/>
      <c r="J844" s="207"/>
      <c r="K844" s="207"/>
      <c r="L844" s="122"/>
      <c r="M844" s="207"/>
      <c r="N844" s="207"/>
      <c r="O844" s="122"/>
      <c r="P844" s="205"/>
      <c r="Q844" s="205"/>
      <c r="R844" s="205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</row>
    <row r="845">
      <c r="A845" s="122"/>
      <c r="B845" s="204"/>
      <c r="C845" s="204"/>
      <c r="D845" s="204"/>
      <c r="E845" s="205"/>
      <c r="F845" s="205"/>
      <c r="G845" s="205"/>
      <c r="H845" s="206"/>
      <c r="I845" s="207"/>
      <c r="J845" s="207"/>
      <c r="K845" s="207"/>
      <c r="L845" s="122"/>
      <c r="M845" s="207"/>
      <c r="N845" s="207"/>
      <c r="O845" s="122"/>
      <c r="P845" s="205"/>
      <c r="Q845" s="205"/>
      <c r="R845" s="205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</row>
    <row r="846">
      <c r="A846" s="122"/>
      <c r="B846" s="204"/>
      <c r="C846" s="204"/>
      <c r="D846" s="204"/>
      <c r="E846" s="205"/>
      <c r="F846" s="205"/>
      <c r="G846" s="205"/>
      <c r="H846" s="206"/>
      <c r="I846" s="207"/>
      <c r="J846" s="207"/>
      <c r="K846" s="207"/>
      <c r="L846" s="122"/>
      <c r="M846" s="207"/>
      <c r="N846" s="207"/>
      <c r="O846" s="122"/>
      <c r="P846" s="205"/>
      <c r="Q846" s="205"/>
      <c r="R846" s="205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</row>
    <row r="847">
      <c r="A847" s="122"/>
      <c r="B847" s="204"/>
      <c r="C847" s="204"/>
      <c r="D847" s="204"/>
      <c r="E847" s="205"/>
      <c r="F847" s="205"/>
      <c r="G847" s="205"/>
      <c r="H847" s="206"/>
      <c r="I847" s="207"/>
      <c r="J847" s="207"/>
      <c r="K847" s="207"/>
      <c r="L847" s="122"/>
      <c r="M847" s="207"/>
      <c r="N847" s="207"/>
      <c r="O847" s="122"/>
      <c r="P847" s="205"/>
      <c r="Q847" s="205"/>
      <c r="R847" s="205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</row>
    <row r="848">
      <c r="A848" s="122"/>
      <c r="B848" s="204"/>
      <c r="C848" s="204"/>
      <c r="D848" s="204"/>
      <c r="E848" s="205"/>
      <c r="F848" s="205"/>
      <c r="G848" s="205"/>
      <c r="H848" s="206"/>
      <c r="I848" s="207"/>
      <c r="J848" s="207"/>
      <c r="K848" s="207"/>
      <c r="L848" s="122"/>
      <c r="M848" s="207"/>
      <c r="N848" s="207"/>
      <c r="O848" s="122"/>
      <c r="P848" s="205"/>
      <c r="Q848" s="205"/>
      <c r="R848" s="205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</row>
    <row r="849">
      <c r="A849" s="122"/>
      <c r="B849" s="204"/>
      <c r="C849" s="204"/>
      <c r="D849" s="204"/>
      <c r="E849" s="205"/>
      <c r="F849" s="205"/>
      <c r="G849" s="205"/>
      <c r="H849" s="206"/>
      <c r="I849" s="207"/>
      <c r="J849" s="207"/>
      <c r="K849" s="207"/>
      <c r="L849" s="122"/>
      <c r="M849" s="207"/>
      <c r="N849" s="207"/>
      <c r="O849" s="122"/>
      <c r="P849" s="205"/>
      <c r="Q849" s="205"/>
      <c r="R849" s="205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</row>
    <row r="850">
      <c r="A850" s="122"/>
      <c r="B850" s="204"/>
      <c r="C850" s="204"/>
      <c r="D850" s="204"/>
      <c r="E850" s="205"/>
      <c r="F850" s="205"/>
      <c r="G850" s="205"/>
      <c r="H850" s="206"/>
      <c r="I850" s="207"/>
      <c r="J850" s="207"/>
      <c r="K850" s="207"/>
      <c r="L850" s="122"/>
      <c r="M850" s="207"/>
      <c r="N850" s="207"/>
      <c r="O850" s="122"/>
      <c r="P850" s="205"/>
      <c r="Q850" s="205"/>
      <c r="R850" s="205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</row>
    <row r="851">
      <c r="A851" s="122"/>
      <c r="B851" s="204"/>
      <c r="C851" s="204"/>
      <c r="D851" s="204"/>
      <c r="E851" s="205"/>
      <c r="F851" s="205"/>
      <c r="G851" s="205"/>
      <c r="H851" s="206"/>
      <c r="I851" s="207"/>
      <c r="J851" s="207"/>
      <c r="K851" s="207"/>
      <c r="L851" s="122"/>
      <c r="M851" s="207"/>
      <c r="N851" s="207"/>
      <c r="O851" s="122"/>
      <c r="P851" s="205"/>
      <c r="Q851" s="205"/>
      <c r="R851" s="205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</row>
    <row r="852">
      <c r="A852" s="122"/>
      <c r="B852" s="204"/>
      <c r="C852" s="204"/>
      <c r="D852" s="204"/>
      <c r="E852" s="205"/>
      <c r="F852" s="205"/>
      <c r="G852" s="205"/>
      <c r="H852" s="206"/>
      <c r="I852" s="207"/>
      <c r="J852" s="207"/>
      <c r="K852" s="207"/>
      <c r="L852" s="122"/>
      <c r="M852" s="207"/>
      <c r="N852" s="207"/>
      <c r="O852" s="122"/>
      <c r="P852" s="205"/>
      <c r="Q852" s="205"/>
      <c r="R852" s="205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</row>
    <row r="853">
      <c r="A853" s="122"/>
      <c r="B853" s="204"/>
      <c r="C853" s="204"/>
      <c r="D853" s="204"/>
      <c r="E853" s="205"/>
      <c r="F853" s="205"/>
      <c r="G853" s="205"/>
      <c r="H853" s="206"/>
      <c r="I853" s="207"/>
      <c r="J853" s="207"/>
      <c r="K853" s="207"/>
      <c r="L853" s="122"/>
      <c r="M853" s="207"/>
      <c r="N853" s="207"/>
      <c r="O853" s="122"/>
      <c r="P853" s="205"/>
      <c r="Q853" s="205"/>
      <c r="R853" s="205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</row>
    <row r="854">
      <c r="A854" s="122"/>
      <c r="B854" s="204"/>
      <c r="C854" s="204"/>
      <c r="D854" s="204"/>
      <c r="E854" s="205"/>
      <c r="F854" s="205"/>
      <c r="G854" s="205"/>
      <c r="H854" s="206"/>
      <c r="I854" s="207"/>
      <c r="J854" s="207"/>
      <c r="K854" s="207"/>
      <c r="L854" s="122"/>
      <c r="M854" s="207"/>
      <c r="N854" s="207"/>
      <c r="O854" s="122"/>
      <c r="P854" s="205"/>
      <c r="Q854" s="205"/>
      <c r="R854" s="205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</row>
    <row r="855">
      <c r="A855" s="122"/>
      <c r="B855" s="204"/>
      <c r="C855" s="204"/>
      <c r="D855" s="204"/>
      <c r="E855" s="205"/>
      <c r="F855" s="205"/>
      <c r="G855" s="205"/>
      <c r="H855" s="206"/>
      <c r="I855" s="207"/>
      <c r="J855" s="207"/>
      <c r="K855" s="207"/>
      <c r="L855" s="122"/>
      <c r="M855" s="207"/>
      <c r="N855" s="207"/>
      <c r="O855" s="122"/>
      <c r="P855" s="205"/>
      <c r="Q855" s="205"/>
      <c r="R855" s="205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</row>
    <row r="856">
      <c r="A856" s="122"/>
      <c r="B856" s="204"/>
      <c r="C856" s="204"/>
      <c r="D856" s="204"/>
      <c r="E856" s="205"/>
      <c r="F856" s="205"/>
      <c r="G856" s="205"/>
      <c r="H856" s="206"/>
      <c r="I856" s="207"/>
      <c r="J856" s="207"/>
      <c r="K856" s="207"/>
      <c r="L856" s="122"/>
      <c r="M856" s="207"/>
      <c r="N856" s="207"/>
      <c r="O856" s="122"/>
      <c r="P856" s="205"/>
      <c r="Q856" s="205"/>
      <c r="R856" s="205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</row>
    <row r="857">
      <c r="A857" s="122"/>
      <c r="B857" s="204"/>
      <c r="C857" s="204"/>
      <c r="D857" s="204"/>
      <c r="E857" s="205"/>
      <c r="F857" s="205"/>
      <c r="G857" s="205"/>
      <c r="H857" s="206"/>
      <c r="I857" s="207"/>
      <c r="J857" s="207"/>
      <c r="K857" s="207"/>
      <c r="L857" s="122"/>
      <c r="M857" s="207"/>
      <c r="N857" s="207"/>
      <c r="O857" s="122"/>
      <c r="P857" s="205"/>
      <c r="Q857" s="205"/>
      <c r="R857" s="205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</row>
    <row r="858">
      <c r="A858" s="122"/>
      <c r="B858" s="204"/>
      <c r="C858" s="204"/>
      <c r="D858" s="204"/>
      <c r="E858" s="205"/>
      <c r="F858" s="205"/>
      <c r="G858" s="205"/>
      <c r="H858" s="206"/>
      <c r="I858" s="207"/>
      <c r="J858" s="207"/>
      <c r="K858" s="207"/>
      <c r="L858" s="122"/>
      <c r="M858" s="207"/>
      <c r="N858" s="207"/>
      <c r="O858" s="122"/>
      <c r="P858" s="205"/>
      <c r="Q858" s="205"/>
      <c r="R858" s="205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</row>
    <row r="859">
      <c r="A859" s="122"/>
      <c r="B859" s="204"/>
      <c r="C859" s="204"/>
      <c r="D859" s="204"/>
      <c r="E859" s="205"/>
      <c r="F859" s="205"/>
      <c r="G859" s="205"/>
      <c r="H859" s="206"/>
      <c r="I859" s="207"/>
      <c r="J859" s="207"/>
      <c r="K859" s="207"/>
      <c r="L859" s="122"/>
      <c r="M859" s="207"/>
      <c r="N859" s="207"/>
      <c r="O859" s="122"/>
      <c r="P859" s="205"/>
      <c r="Q859" s="205"/>
      <c r="R859" s="205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</row>
    <row r="860">
      <c r="A860" s="122"/>
      <c r="B860" s="204"/>
      <c r="C860" s="204"/>
      <c r="D860" s="204"/>
      <c r="E860" s="205"/>
      <c r="F860" s="205"/>
      <c r="G860" s="205"/>
      <c r="H860" s="206"/>
      <c r="I860" s="207"/>
      <c r="J860" s="207"/>
      <c r="K860" s="207"/>
      <c r="L860" s="122"/>
      <c r="M860" s="207"/>
      <c r="N860" s="207"/>
      <c r="O860" s="122"/>
      <c r="P860" s="205"/>
      <c r="Q860" s="205"/>
      <c r="R860" s="205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</row>
    <row r="861">
      <c r="A861" s="122"/>
      <c r="B861" s="204"/>
      <c r="C861" s="204"/>
      <c r="D861" s="204"/>
      <c r="E861" s="205"/>
      <c r="F861" s="205"/>
      <c r="G861" s="205"/>
      <c r="H861" s="206"/>
      <c r="I861" s="207"/>
      <c r="J861" s="207"/>
      <c r="K861" s="207"/>
      <c r="L861" s="122"/>
      <c r="M861" s="207"/>
      <c r="N861" s="207"/>
      <c r="O861" s="122"/>
      <c r="P861" s="205"/>
      <c r="Q861" s="205"/>
      <c r="R861" s="205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</row>
    <row r="862">
      <c r="A862" s="122"/>
      <c r="B862" s="204"/>
      <c r="C862" s="204"/>
      <c r="D862" s="204"/>
      <c r="E862" s="205"/>
      <c r="F862" s="205"/>
      <c r="G862" s="205"/>
      <c r="H862" s="206"/>
      <c r="I862" s="207"/>
      <c r="J862" s="207"/>
      <c r="K862" s="207"/>
      <c r="L862" s="122"/>
      <c r="M862" s="207"/>
      <c r="N862" s="207"/>
      <c r="O862" s="122"/>
      <c r="P862" s="205"/>
      <c r="Q862" s="205"/>
      <c r="R862" s="205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</row>
    <row r="863">
      <c r="A863" s="122"/>
      <c r="B863" s="204"/>
      <c r="C863" s="204"/>
      <c r="D863" s="204"/>
      <c r="E863" s="205"/>
      <c r="F863" s="205"/>
      <c r="G863" s="205"/>
      <c r="H863" s="206"/>
      <c r="I863" s="207"/>
      <c r="J863" s="207"/>
      <c r="K863" s="207"/>
      <c r="L863" s="122"/>
      <c r="M863" s="207"/>
      <c r="N863" s="207"/>
      <c r="O863" s="122"/>
      <c r="P863" s="205"/>
      <c r="Q863" s="205"/>
      <c r="R863" s="205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</row>
    <row r="864">
      <c r="A864" s="122"/>
      <c r="B864" s="204"/>
      <c r="C864" s="204"/>
      <c r="D864" s="204"/>
      <c r="E864" s="205"/>
      <c r="F864" s="205"/>
      <c r="G864" s="205"/>
      <c r="H864" s="206"/>
      <c r="I864" s="207"/>
      <c r="J864" s="207"/>
      <c r="K864" s="207"/>
      <c r="L864" s="122"/>
      <c r="M864" s="207"/>
      <c r="N864" s="207"/>
      <c r="O864" s="122"/>
      <c r="P864" s="205"/>
      <c r="Q864" s="205"/>
      <c r="R864" s="205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</row>
    <row r="865">
      <c r="A865" s="122"/>
      <c r="B865" s="204"/>
      <c r="C865" s="204"/>
      <c r="D865" s="204"/>
      <c r="E865" s="205"/>
      <c r="F865" s="205"/>
      <c r="G865" s="205"/>
      <c r="H865" s="206"/>
      <c r="I865" s="207"/>
      <c r="J865" s="207"/>
      <c r="K865" s="207"/>
      <c r="L865" s="122"/>
      <c r="M865" s="207"/>
      <c r="N865" s="207"/>
      <c r="O865" s="122"/>
      <c r="P865" s="205"/>
      <c r="Q865" s="205"/>
      <c r="R865" s="205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</row>
    <row r="866">
      <c r="A866" s="122"/>
      <c r="B866" s="204"/>
      <c r="C866" s="204"/>
      <c r="D866" s="204"/>
      <c r="E866" s="205"/>
      <c r="F866" s="205"/>
      <c r="G866" s="205"/>
      <c r="H866" s="206"/>
      <c r="I866" s="207"/>
      <c r="J866" s="207"/>
      <c r="K866" s="207"/>
      <c r="L866" s="122"/>
      <c r="M866" s="207"/>
      <c r="N866" s="207"/>
      <c r="O866" s="122"/>
      <c r="P866" s="205"/>
      <c r="Q866" s="205"/>
      <c r="R866" s="205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</row>
    <row r="867">
      <c r="A867" s="122"/>
      <c r="B867" s="204"/>
      <c r="C867" s="204"/>
      <c r="D867" s="204"/>
      <c r="E867" s="205"/>
      <c r="F867" s="205"/>
      <c r="G867" s="205"/>
      <c r="H867" s="206"/>
      <c r="I867" s="207"/>
      <c r="J867" s="207"/>
      <c r="K867" s="207"/>
      <c r="L867" s="122"/>
      <c r="M867" s="207"/>
      <c r="N867" s="207"/>
      <c r="O867" s="122"/>
      <c r="P867" s="205"/>
      <c r="Q867" s="205"/>
      <c r="R867" s="205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</row>
    <row r="868">
      <c r="A868" s="122"/>
      <c r="B868" s="204"/>
      <c r="C868" s="204"/>
      <c r="D868" s="204"/>
      <c r="E868" s="205"/>
      <c r="F868" s="205"/>
      <c r="G868" s="205"/>
      <c r="H868" s="206"/>
      <c r="I868" s="207"/>
      <c r="J868" s="207"/>
      <c r="K868" s="207"/>
      <c r="L868" s="122"/>
      <c r="M868" s="207"/>
      <c r="N868" s="207"/>
      <c r="O868" s="122"/>
      <c r="P868" s="205"/>
      <c r="Q868" s="205"/>
      <c r="R868" s="205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</row>
    <row r="869">
      <c r="A869" s="122"/>
      <c r="B869" s="204"/>
      <c r="C869" s="204"/>
      <c r="D869" s="204"/>
      <c r="E869" s="205"/>
      <c r="F869" s="205"/>
      <c r="G869" s="205"/>
      <c r="H869" s="206"/>
      <c r="I869" s="207"/>
      <c r="J869" s="207"/>
      <c r="K869" s="207"/>
      <c r="L869" s="122"/>
      <c r="M869" s="207"/>
      <c r="N869" s="207"/>
      <c r="O869" s="122"/>
      <c r="P869" s="205"/>
      <c r="Q869" s="205"/>
      <c r="R869" s="205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</row>
    <row r="870">
      <c r="A870" s="122"/>
      <c r="B870" s="204"/>
      <c r="C870" s="204"/>
      <c r="D870" s="204"/>
      <c r="E870" s="205"/>
      <c r="F870" s="205"/>
      <c r="G870" s="205"/>
      <c r="H870" s="206"/>
      <c r="I870" s="207"/>
      <c r="J870" s="207"/>
      <c r="K870" s="207"/>
      <c r="L870" s="122"/>
      <c r="M870" s="207"/>
      <c r="N870" s="207"/>
      <c r="O870" s="122"/>
      <c r="P870" s="205"/>
      <c r="Q870" s="205"/>
      <c r="R870" s="205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</row>
    <row r="871">
      <c r="A871" s="122"/>
      <c r="B871" s="204"/>
      <c r="C871" s="204"/>
      <c r="D871" s="204"/>
      <c r="E871" s="205"/>
      <c r="F871" s="205"/>
      <c r="G871" s="205"/>
      <c r="H871" s="206"/>
      <c r="I871" s="207"/>
      <c r="J871" s="207"/>
      <c r="K871" s="207"/>
      <c r="L871" s="122"/>
      <c r="M871" s="207"/>
      <c r="N871" s="207"/>
      <c r="O871" s="122"/>
      <c r="P871" s="205"/>
      <c r="Q871" s="205"/>
      <c r="R871" s="205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</row>
    <row r="872">
      <c r="A872" s="122"/>
      <c r="B872" s="204"/>
      <c r="C872" s="204"/>
      <c r="D872" s="204"/>
      <c r="E872" s="205"/>
      <c r="F872" s="205"/>
      <c r="G872" s="205"/>
      <c r="H872" s="206"/>
      <c r="I872" s="207"/>
      <c r="J872" s="207"/>
      <c r="K872" s="207"/>
      <c r="L872" s="122"/>
      <c r="M872" s="207"/>
      <c r="N872" s="207"/>
      <c r="O872" s="122"/>
      <c r="P872" s="205"/>
      <c r="Q872" s="205"/>
      <c r="R872" s="205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</row>
    <row r="873">
      <c r="A873" s="122"/>
      <c r="B873" s="204"/>
      <c r="C873" s="204"/>
      <c r="D873" s="204"/>
      <c r="E873" s="205"/>
      <c r="F873" s="205"/>
      <c r="G873" s="205"/>
      <c r="H873" s="206"/>
      <c r="I873" s="207"/>
      <c r="J873" s="207"/>
      <c r="K873" s="207"/>
      <c r="L873" s="122"/>
      <c r="M873" s="207"/>
      <c r="N873" s="207"/>
      <c r="O873" s="122"/>
      <c r="P873" s="205"/>
      <c r="Q873" s="205"/>
      <c r="R873" s="205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</row>
    <row r="874">
      <c r="A874" s="122"/>
      <c r="B874" s="204"/>
      <c r="C874" s="204"/>
      <c r="D874" s="204"/>
      <c r="E874" s="205"/>
      <c r="F874" s="205"/>
      <c r="G874" s="205"/>
      <c r="H874" s="206"/>
      <c r="I874" s="207"/>
      <c r="J874" s="207"/>
      <c r="K874" s="207"/>
      <c r="L874" s="122"/>
      <c r="M874" s="207"/>
      <c r="N874" s="207"/>
      <c r="O874" s="122"/>
      <c r="P874" s="205"/>
      <c r="Q874" s="205"/>
      <c r="R874" s="205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</row>
    <row r="875">
      <c r="A875" s="122"/>
      <c r="B875" s="204"/>
      <c r="C875" s="204"/>
      <c r="D875" s="204"/>
      <c r="E875" s="205"/>
      <c r="F875" s="205"/>
      <c r="G875" s="205"/>
      <c r="H875" s="206"/>
      <c r="I875" s="207"/>
      <c r="J875" s="207"/>
      <c r="K875" s="207"/>
      <c r="L875" s="122"/>
      <c r="M875" s="207"/>
      <c r="N875" s="207"/>
      <c r="O875" s="122"/>
      <c r="P875" s="205"/>
      <c r="Q875" s="205"/>
      <c r="R875" s="205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</row>
    <row r="876">
      <c r="A876" s="122"/>
      <c r="B876" s="204"/>
      <c r="C876" s="204"/>
      <c r="D876" s="204"/>
      <c r="E876" s="205"/>
      <c r="F876" s="205"/>
      <c r="G876" s="205"/>
      <c r="H876" s="206"/>
      <c r="I876" s="207"/>
      <c r="J876" s="207"/>
      <c r="K876" s="207"/>
      <c r="L876" s="122"/>
      <c r="M876" s="207"/>
      <c r="N876" s="207"/>
      <c r="O876" s="122"/>
      <c r="P876" s="205"/>
      <c r="Q876" s="205"/>
      <c r="R876" s="205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</row>
    <row r="877">
      <c r="A877" s="122"/>
      <c r="B877" s="204"/>
      <c r="C877" s="204"/>
      <c r="D877" s="204"/>
      <c r="E877" s="205"/>
      <c r="F877" s="205"/>
      <c r="G877" s="205"/>
      <c r="H877" s="206"/>
      <c r="I877" s="207"/>
      <c r="J877" s="207"/>
      <c r="K877" s="207"/>
      <c r="L877" s="122"/>
      <c r="M877" s="207"/>
      <c r="N877" s="207"/>
      <c r="O877" s="122"/>
      <c r="P877" s="205"/>
      <c r="Q877" s="205"/>
      <c r="R877" s="205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</row>
    <row r="878">
      <c r="A878" s="122"/>
      <c r="B878" s="204"/>
      <c r="C878" s="204"/>
      <c r="D878" s="204"/>
      <c r="E878" s="205"/>
      <c r="F878" s="205"/>
      <c r="G878" s="205"/>
      <c r="H878" s="206"/>
      <c r="I878" s="207"/>
      <c r="J878" s="207"/>
      <c r="K878" s="207"/>
      <c r="L878" s="122"/>
      <c r="M878" s="207"/>
      <c r="N878" s="207"/>
      <c r="O878" s="122"/>
      <c r="P878" s="205"/>
      <c r="Q878" s="205"/>
      <c r="R878" s="205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</row>
    <row r="879">
      <c r="A879" s="122"/>
      <c r="B879" s="204"/>
      <c r="C879" s="204"/>
      <c r="D879" s="204"/>
      <c r="E879" s="205"/>
      <c r="F879" s="205"/>
      <c r="G879" s="205"/>
      <c r="H879" s="206"/>
      <c r="I879" s="207"/>
      <c r="J879" s="207"/>
      <c r="K879" s="207"/>
      <c r="L879" s="122"/>
      <c r="M879" s="207"/>
      <c r="N879" s="207"/>
      <c r="O879" s="122"/>
      <c r="P879" s="205"/>
      <c r="Q879" s="205"/>
      <c r="R879" s="205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</row>
    <row r="880">
      <c r="A880" s="122"/>
      <c r="B880" s="204"/>
      <c r="C880" s="204"/>
      <c r="D880" s="204"/>
      <c r="E880" s="205"/>
      <c r="F880" s="205"/>
      <c r="G880" s="205"/>
      <c r="H880" s="206"/>
      <c r="I880" s="207"/>
      <c r="J880" s="207"/>
      <c r="K880" s="207"/>
      <c r="L880" s="122"/>
      <c r="M880" s="207"/>
      <c r="N880" s="207"/>
      <c r="O880" s="122"/>
      <c r="P880" s="205"/>
      <c r="Q880" s="205"/>
      <c r="R880" s="205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</row>
    <row r="881">
      <c r="A881" s="122"/>
      <c r="B881" s="204"/>
      <c r="C881" s="204"/>
      <c r="D881" s="204"/>
      <c r="E881" s="205"/>
      <c r="F881" s="205"/>
      <c r="G881" s="205"/>
      <c r="H881" s="206"/>
      <c r="I881" s="207"/>
      <c r="J881" s="207"/>
      <c r="K881" s="207"/>
      <c r="L881" s="122"/>
      <c r="M881" s="207"/>
      <c r="N881" s="207"/>
      <c r="O881" s="122"/>
      <c r="P881" s="205"/>
      <c r="Q881" s="205"/>
      <c r="R881" s="205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</row>
    <row r="882">
      <c r="A882" s="122"/>
      <c r="B882" s="204"/>
      <c r="C882" s="204"/>
      <c r="D882" s="204"/>
      <c r="E882" s="205"/>
      <c r="F882" s="205"/>
      <c r="G882" s="205"/>
      <c r="H882" s="206"/>
      <c r="I882" s="207"/>
      <c r="J882" s="207"/>
      <c r="K882" s="207"/>
      <c r="L882" s="122"/>
      <c r="M882" s="207"/>
      <c r="N882" s="207"/>
      <c r="O882" s="122"/>
      <c r="P882" s="205"/>
      <c r="Q882" s="205"/>
      <c r="R882" s="205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</row>
    <row r="883">
      <c r="A883" s="122"/>
      <c r="B883" s="204"/>
      <c r="C883" s="204"/>
      <c r="D883" s="204"/>
      <c r="E883" s="205"/>
      <c r="F883" s="205"/>
      <c r="G883" s="205"/>
      <c r="H883" s="206"/>
      <c r="I883" s="207"/>
      <c r="J883" s="207"/>
      <c r="K883" s="207"/>
      <c r="L883" s="122"/>
      <c r="M883" s="207"/>
      <c r="N883" s="207"/>
      <c r="O883" s="122"/>
      <c r="P883" s="205"/>
      <c r="Q883" s="205"/>
      <c r="R883" s="205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</row>
    <row r="884">
      <c r="A884" s="122"/>
      <c r="B884" s="204"/>
      <c r="C884" s="204"/>
      <c r="D884" s="204"/>
      <c r="E884" s="205"/>
      <c r="F884" s="205"/>
      <c r="G884" s="205"/>
      <c r="H884" s="206"/>
      <c r="I884" s="207"/>
      <c r="J884" s="207"/>
      <c r="K884" s="207"/>
      <c r="L884" s="122"/>
      <c r="M884" s="207"/>
      <c r="N884" s="207"/>
      <c r="O884" s="122"/>
      <c r="P884" s="205"/>
      <c r="Q884" s="205"/>
      <c r="R884" s="205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</row>
    <row r="885">
      <c r="A885" s="122"/>
      <c r="B885" s="204"/>
      <c r="C885" s="204"/>
      <c r="D885" s="204"/>
      <c r="E885" s="205"/>
      <c r="F885" s="205"/>
      <c r="G885" s="205"/>
      <c r="H885" s="206"/>
      <c r="I885" s="207"/>
      <c r="J885" s="207"/>
      <c r="K885" s="207"/>
      <c r="L885" s="122"/>
      <c r="M885" s="207"/>
      <c r="N885" s="207"/>
      <c r="O885" s="122"/>
      <c r="P885" s="205"/>
      <c r="Q885" s="205"/>
      <c r="R885" s="205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</row>
    <row r="886">
      <c r="A886" s="122"/>
      <c r="B886" s="204"/>
      <c r="C886" s="204"/>
      <c r="D886" s="204"/>
      <c r="E886" s="205"/>
      <c r="F886" s="205"/>
      <c r="G886" s="205"/>
      <c r="H886" s="206"/>
      <c r="I886" s="207"/>
      <c r="J886" s="207"/>
      <c r="K886" s="207"/>
      <c r="L886" s="122"/>
      <c r="M886" s="207"/>
      <c r="N886" s="207"/>
      <c r="O886" s="122"/>
      <c r="P886" s="205"/>
      <c r="Q886" s="205"/>
      <c r="R886" s="205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</row>
    <row r="887">
      <c r="A887" s="122"/>
      <c r="B887" s="204"/>
      <c r="C887" s="204"/>
      <c r="D887" s="204"/>
      <c r="E887" s="205"/>
      <c r="F887" s="205"/>
      <c r="G887" s="205"/>
      <c r="H887" s="206"/>
      <c r="I887" s="207"/>
      <c r="J887" s="207"/>
      <c r="K887" s="207"/>
      <c r="L887" s="122"/>
      <c r="M887" s="207"/>
      <c r="N887" s="207"/>
      <c r="O887" s="122"/>
      <c r="P887" s="205"/>
      <c r="Q887" s="205"/>
      <c r="R887" s="205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</row>
    <row r="888">
      <c r="A888" s="122"/>
      <c r="B888" s="204"/>
      <c r="C888" s="204"/>
      <c r="D888" s="204"/>
      <c r="E888" s="205"/>
      <c r="F888" s="205"/>
      <c r="G888" s="205"/>
      <c r="H888" s="206"/>
      <c r="I888" s="207"/>
      <c r="J888" s="207"/>
      <c r="K888" s="207"/>
      <c r="L888" s="122"/>
      <c r="M888" s="207"/>
      <c r="N888" s="207"/>
      <c r="O888" s="122"/>
      <c r="P888" s="205"/>
      <c r="Q888" s="205"/>
      <c r="R888" s="205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</row>
    <row r="889">
      <c r="A889" s="122"/>
      <c r="B889" s="204"/>
      <c r="C889" s="204"/>
      <c r="D889" s="204"/>
      <c r="E889" s="205"/>
      <c r="F889" s="205"/>
      <c r="G889" s="205"/>
      <c r="H889" s="206"/>
      <c r="I889" s="207"/>
      <c r="J889" s="207"/>
      <c r="K889" s="207"/>
      <c r="L889" s="122"/>
      <c r="M889" s="207"/>
      <c r="N889" s="207"/>
      <c r="O889" s="122"/>
      <c r="P889" s="205"/>
      <c r="Q889" s="205"/>
      <c r="R889" s="205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</row>
    <row r="890">
      <c r="A890" s="122"/>
      <c r="B890" s="204"/>
      <c r="C890" s="204"/>
      <c r="D890" s="204"/>
      <c r="E890" s="205"/>
      <c r="F890" s="205"/>
      <c r="G890" s="205"/>
      <c r="H890" s="206"/>
      <c r="I890" s="207"/>
      <c r="J890" s="207"/>
      <c r="K890" s="207"/>
      <c r="L890" s="122"/>
      <c r="M890" s="207"/>
      <c r="N890" s="207"/>
      <c r="O890" s="122"/>
      <c r="P890" s="205"/>
      <c r="Q890" s="205"/>
      <c r="R890" s="205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</row>
    <row r="891">
      <c r="A891" s="122"/>
      <c r="B891" s="204"/>
      <c r="C891" s="204"/>
      <c r="D891" s="204"/>
      <c r="E891" s="205"/>
      <c r="F891" s="205"/>
      <c r="G891" s="205"/>
      <c r="H891" s="206"/>
      <c r="I891" s="207"/>
      <c r="J891" s="207"/>
      <c r="K891" s="207"/>
      <c r="L891" s="122"/>
      <c r="M891" s="207"/>
      <c r="N891" s="207"/>
      <c r="O891" s="122"/>
      <c r="P891" s="205"/>
      <c r="Q891" s="205"/>
      <c r="R891" s="205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</row>
    <row r="892">
      <c r="A892" s="122"/>
      <c r="B892" s="204"/>
      <c r="C892" s="204"/>
      <c r="D892" s="204"/>
      <c r="E892" s="205"/>
      <c r="F892" s="205"/>
      <c r="G892" s="205"/>
      <c r="H892" s="206"/>
      <c r="I892" s="207"/>
      <c r="J892" s="207"/>
      <c r="K892" s="207"/>
      <c r="L892" s="122"/>
      <c r="M892" s="207"/>
      <c r="N892" s="207"/>
      <c r="O892" s="122"/>
      <c r="P892" s="205"/>
      <c r="Q892" s="205"/>
      <c r="R892" s="205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</row>
    <row r="893">
      <c r="A893" s="122"/>
      <c r="B893" s="204"/>
      <c r="C893" s="204"/>
      <c r="D893" s="204"/>
      <c r="E893" s="205"/>
      <c r="F893" s="205"/>
      <c r="G893" s="205"/>
      <c r="H893" s="206"/>
      <c r="I893" s="207"/>
      <c r="J893" s="207"/>
      <c r="K893" s="207"/>
      <c r="L893" s="122"/>
      <c r="M893" s="207"/>
      <c r="N893" s="207"/>
      <c r="O893" s="122"/>
      <c r="P893" s="205"/>
      <c r="Q893" s="205"/>
      <c r="R893" s="205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</row>
    <row r="894">
      <c r="A894" s="122"/>
      <c r="B894" s="204"/>
      <c r="C894" s="204"/>
      <c r="D894" s="204"/>
      <c r="E894" s="205"/>
      <c r="F894" s="205"/>
      <c r="G894" s="205"/>
      <c r="H894" s="206"/>
      <c r="I894" s="207"/>
      <c r="J894" s="207"/>
      <c r="K894" s="207"/>
      <c r="L894" s="122"/>
      <c r="M894" s="207"/>
      <c r="N894" s="207"/>
      <c r="O894" s="122"/>
      <c r="P894" s="205"/>
      <c r="Q894" s="205"/>
      <c r="R894" s="205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</row>
    <row r="895">
      <c r="A895" s="122"/>
      <c r="B895" s="204"/>
      <c r="C895" s="204"/>
      <c r="D895" s="204"/>
      <c r="E895" s="205"/>
      <c r="F895" s="205"/>
      <c r="G895" s="205"/>
      <c r="H895" s="206"/>
      <c r="I895" s="207"/>
      <c r="J895" s="207"/>
      <c r="K895" s="207"/>
      <c r="L895" s="122"/>
      <c r="M895" s="207"/>
      <c r="N895" s="207"/>
      <c r="O895" s="122"/>
      <c r="P895" s="205"/>
      <c r="Q895" s="205"/>
      <c r="R895" s="205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</row>
    <row r="896">
      <c r="A896" s="122"/>
      <c r="B896" s="204"/>
      <c r="C896" s="204"/>
      <c r="D896" s="204"/>
      <c r="E896" s="205"/>
      <c r="F896" s="205"/>
      <c r="G896" s="205"/>
      <c r="H896" s="206"/>
      <c r="I896" s="207"/>
      <c r="J896" s="207"/>
      <c r="K896" s="207"/>
      <c r="L896" s="122"/>
      <c r="M896" s="207"/>
      <c r="N896" s="207"/>
      <c r="O896" s="122"/>
      <c r="P896" s="205"/>
      <c r="Q896" s="205"/>
      <c r="R896" s="205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</row>
    <row r="897">
      <c r="A897" s="122"/>
      <c r="B897" s="204"/>
      <c r="C897" s="204"/>
      <c r="D897" s="204"/>
      <c r="E897" s="205"/>
      <c r="F897" s="205"/>
      <c r="G897" s="205"/>
      <c r="H897" s="206"/>
      <c r="I897" s="207"/>
      <c r="J897" s="207"/>
      <c r="K897" s="207"/>
      <c r="L897" s="122"/>
      <c r="M897" s="207"/>
      <c r="N897" s="207"/>
      <c r="O897" s="122"/>
      <c r="P897" s="205"/>
      <c r="Q897" s="205"/>
      <c r="R897" s="205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</row>
    <row r="898">
      <c r="A898" s="122"/>
      <c r="B898" s="204"/>
      <c r="C898" s="204"/>
      <c r="D898" s="204"/>
      <c r="E898" s="205"/>
      <c r="F898" s="205"/>
      <c r="G898" s="205"/>
      <c r="H898" s="206"/>
      <c r="I898" s="207"/>
      <c r="J898" s="207"/>
      <c r="K898" s="207"/>
      <c r="L898" s="122"/>
      <c r="M898" s="207"/>
      <c r="N898" s="207"/>
      <c r="O898" s="122"/>
      <c r="P898" s="205"/>
      <c r="Q898" s="205"/>
      <c r="R898" s="205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</row>
    <row r="899">
      <c r="A899" s="122"/>
      <c r="B899" s="204"/>
      <c r="C899" s="204"/>
      <c r="D899" s="204"/>
      <c r="E899" s="205"/>
      <c r="F899" s="205"/>
      <c r="G899" s="205"/>
      <c r="H899" s="206"/>
      <c r="I899" s="207"/>
      <c r="J899" s="207"/>
      <c r="K899" s="207"/>
      <c r="L899" s="122"/>
      <c r="M899" s="207"/>
      <c r="N899" s="207"/>
      <c r="O899" s="122"/>
      <c r="P899" s="205"/>
      <c r="Q899" s="205"/>
      <c r="R899" s="205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</row>
    <row r="900">
      <c r="A900" s="122"/>
      <c r="B900" s="204"/>
      <c r="C900" s="204"/>
      <c r="D900" s="204"/>
      <c r="E900" s="205"/>
      <c r="F900" s="205"/>
      <c r="G900" s="205"/>
      <c r="H900" s="206"/>
      <c r="I900" s="207"/>
      <c r="J900" s="207"/>
      <c r="K900" s="207"/>
      <c r="L900" s="122"/>
      <c r="M900" s="207"/>
      <c r="N900" s="207"/>
      <c r="O900" s="122"/>
      <c r="P900" s="205"/>
      <c r="Q900" s="205"/>
      <c r="R900" s="205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</row>
    <row r="901">
      <c r="A901" s="122"/>
      <c r="B901" s="204"/>
      <c r="C901" s="204"/>
      <c r="D901" s="204"/>
      <c r="E901" s="205"/>
      <c r="F901" s="205"/>
      <c r="G901" s="205"/>
      <c r="H901" s="206"/>
      <c r="I901" s="207"/>
      <c r="J901" s="207"/>
      <c r="K901" s="207"/>
      <c r="L901" s="122"/>
      <c r="M901" s="207"/>
      <c r="N901" s="207"/>
      <c r="O901" s="122"/>
      <c r="P901" s="205"/>
      <c r="Q901" s="205"/>
      <c r="R901" s="205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</row>
    <row r="902">
      <c r="A902" s="122"/>
      <c r="B902" s="204"/>
      <c r="C902" s="204"/>
      <c r="D902" s="204"/>
      <c r="E902" s="205"/>
      <c r="F902" s="205"/>
      <c r="G902" s="205"/>
      <c r="H902" s="206"/>
      <c r="I902" s="207"/>
      <c r="J902" s="207"/>
      <c r="K902" s="207"/>
      <c r="L902" s="122"/>
      <c r="M902" s="207"/>
      <c r="N902" s="207"/>
      <c r="O902" s="122"/>
      <c r="P902" s="205"/>
      <c r="Q902" s="205"/>
      <c r="R902" s="205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</row>
    <row r="903">
      <c r="A903" s="122"/>
      <c r="B903" s="204"/>
      <c r="C903" s="204"/>
      <c r="D903" s="204"/>
      <c r="E903" s="205"/>
      <c r="F903" s="205"/>
      <c r="G903" s="205"/>
      <c r="H903" s="206"/>
      <c r="I903" s="207"/>
      <c r="J903" s="207"/>
      <c r="K903" s="207"/>
      <c r="L903" s="122"/>
      <c r="M903" s="207"/>
      <c r="N903" s="207"/>
      <c r="O903" s="122"/>
      <c r="P903" s="205"/>
      <c r="Q903" s="205"/>
      <c r="R903" s="205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</row>
    <row r="904">
      <c r="A904" s="122"/>
      <c r="B904" s="204"/>
      <c r="C904" s="204"/>
      <c r="D904" s="204"/>
      <c r="E904" s="205"/>
      <c r="F904" s="205"/>
      <c r="G904" s="205"/>
      <c r="H904" s="206"/>
      <c r="I904" s="207"/>
      <c r="J904" s="207"/>
      <c r="K904" s="207"/>
      <c r="L904" s="122"/>
      <c r="M904" s="207"/>
      <c r="N904" s="207"/>
      <c r="O904" s="122"/>
      <c r="P904" s="205"/>
      <c r="Q904" s="205"/>
      <c r="R904" s="205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</row>
    <row r="905">
      <c r="A905" s="122"/>
      <c r="B905" s="204"/>
      <c r="C905" s="204"/>
      <c r="D905" s="204"/>
      <c r="E905" s="205"/>
      <c r="F905" s="205"/>
      <c r="G905" s="205"/>
      <c r="H905" s="206"/>
      <c r="I905" s="207"/>
      <c r="J905" s="207"/>
      <c r="K905" s="207"/>
      <c r="L905" s="122"/>
      <c r="M905" s="207"/>
      <c r="N905" s="207"/>
      <c r="O905" s="122"/>
      <c r="P905" s="205"/>
      <c r="Q905" s="205"/>
      <c r="R905" s="205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</row>
    <row r="906">
      <c r="A906" s="122"/>
      <c r="B906" s="204"/>
      <c r="C906" s="204"/>
      <c r="D906" s="204"/>
      <c r="E906" s="205"/>
      <c r="F906" s="205"/>
      <c r="G906" s="205"/>
      <c r="H906" s="206"/>
      <c r="I906" s="207"/>
      <c r="J906" s="207"/>
      <c r="K906" s="207"/>
      <c r="L906" s="122"/>
      <c r="M906" s="207"/>
      <c r="N906" s="207"/>
      <c r="O906" s="122"/>
      <c r="P906" s="205"/>
      <c r="Q906" s="205"/>
      <c r="R906" s="205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</row>
    <row r="907">
      <c r="A907" s="122"/>
      <c r="B907" s="204"/>
      <c r="C907" s="204"/>
      <c r="D907" s="204"/>
      <c r="E907" s="205"/>
      <c r="F907" s="205"/>
      <c r="G907" s="205"/>
      <c r="H907" s="206"/>
      <c r="I907" s="207"/>
      <c r="J907" s="207"/>
      <c r="K907" s="207"/>
      <c r="L907" s="122"/>
      <c r="M907" s="207"/>
      <c r="N907" s="207"/>
      <c r="O907" s="122"/>
      <c r="P907" s="205"/>
      <c r="Q907" s="205"/>
      <c r="R907" s="205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</row>
    <row r="908">
      <c r="A908" s="122"/>
      <c r="B908" s="204"/>
      <c r="C908" s="204"/>
      <c r="D908" s="204"/>
      <c r="E908" s="205"/>
      <c r="F908" s="205"/>
      <c r="G908" s="205"/>
      <c r="H908" s="206"/>
      <c r="I908" s="207"/>
      <c r="J908" s="207"/>
      <c r="K908" s="207"/>
      <c r="L908" s="122"/>
      <c r="M908" s="207"/>
      <c r="N908" s="207"/>
      <c r="O908" s="122"/>
      <c r="P908" s="205"/>
      <c r="Q908" s="205"/>
      <c r="R908" s="205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</row>
    <row r="909">
      <c r="A909" s="122"/>
      <c r="B909" s="204"/>
      <c r="C909" s="204"/>
      <c r="D909" s="204"/>
      <c r="E909" s="205"/>
      <c r="F909" s="205"/>
      <c r="G909" s="205"/>
      <c r="H909" s="206"/>
      <c r="I909" s="207"/>
      <c r="J909" s="207"/>
      <c r="K909" s="207"/>
      <c r="L909" s="122"/>
      <c r="M909" s="207"/>
      <c r="N909" s="207"/>
      <c r="O909" s="122"/>
      <c r="P909" s="205"/>
      <c r="Q909" s="205"/>
      <c r="R909" s="205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</row>
    <row r="910">
      <c r="A910" s="122"/>
      <c r="B910" s="204"/>
      <c r="C910" s="204"/>
      <c r="D910" s="204"/>
      <c r="E910" s="205"/>
      <c r="F910" s="205"/>
      <c r="G910" s="205"/>
      <c r="H910" s="206"/>
      <c r="I910" s="207"/>
      <c r="J910" s="207"/>
      <c r="K910" s="207"/>
      <c r="L910" s="122"/>
      <c r="M910" s="207"/>
      <c r="N910" s="207"/>
      <c r="O910" s="122"/>
      <c r="P910" s="205"/>
      <c r="Q910" s="205"/>
      <c r="R910" s="205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</row>
    <row r="911">
      <c r="A911" s="122"/>
      <c r="B911" s="204"/>
      <c r="C911" s="204"/>
      <c r="D911" s="204"/>
      <c r="E911" s="205"/>
      <c r="F911" s="205"/>
      <c r="G911" s="205"/>
      <c r="H911" s="206"/>
      <c r="I911" s="207"/>
      <c r="J911" s="207"/>
      <c r="K911" s="207"/>
      <c r="L911" s="122"/>
      <c r="M911" s="207"/>
      <c r="N911" s="207"/>
      <c r="O911" s="122"/>
      <c r="P911" s="205"/>
      <c r="Q911" s="205"/>
      <c r="R911" s="205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</row>
    <row r="912">
      <c r="A912" s="122"/>
      <c r="B912" s="204"/>
      <c r="C912" s="204"/>
      <c r="D912" s="204"/>
      <c r="E912" s="205"/>
      <c r="F912" s="205"/>
      <c r="G912" s="205"/>
      <c r="H912" s="206"/>
      <c r="I912" s="207"/>
      <c r="J912" s="207"/>
      <c r="K912" s="207"/>
      <c r="L912" s="122"/>
      <c r="M912" s="207"/>
      <c r="N912" s="207"/>
      <c r="O912" s="122"/>
      <c r="P912" s="205"/>
      <c r="Q912" s="205"/>
      <c r="R912" s="205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</row>
    <row r="913">
      <c r="A913" s="122"/>
      <c r="B913" s="204"/>
      <c r="C913" s="204"/>
      <c r="D913" s="204"/>
      <c r="E913" s="205"/>
      <c r="F913" s="205"/>
      <c r="G913" s="205"/>
      <c r="H913" s="206"/>
      <c r="I913" s="207"/>
      <c r="J913" s="207"/>
      <c r="K913" s="207"/>
      <c r="L913" s="122"/>
      <c r="M913" s="207"/>
      <c r="N913" s="207"/>
      <c r="O913" s="122"/>
      <c r="P913" s="205"/>
      <c r="Q913" s="205"/>
      <c r="R913" s="205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</row>
    <row r="914">
      <c r="A914" s="122"/>
      <c r="B914" s="204"/>
      <c r="C914" s="204"/>
      <c r="D914" s="204"/>
      <c r="E914" s="205"/>
      <c r="F914" s="205"/>
      <c r="G914" s="205"/>
      <c r="H914" s="206"/>
      <c r="I914" s="207"/>
      <c r="J914" s="207"/>
      <c r="K914" s="207"/>
      <c r="L914" s="122"/>
      <c r="M914" s="207"/>
      <c r="N914" s="207"/>
      <c r="O914" s="122"/>
      <c r="P914" s="205"/>
      <c r="Q914" s="205"/>
      <c r="R914" s="205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</row>
    <row r="915">
      <c r="A915" s="122"/>
      <c r="B915" s="204"/>
      <c r="C915" s="204"/>
      <c r="D915" s="204"/>
      <c r="E915" s="205"/>
      <c r="F915" s="205"/>
      <c r="G915" s="205"/>
      <c r="H915" s="206"/>
      <c r="I915" s="207"/>
      <c r="J915" s="207"/>
      <c r="K915" s="207"/>
      <c r="L915" s="122"/>
      <c r="M915" s="207"/>
      <c r="N915" s="207"/>
      <c r="O915" s="122"/>
      <c r="P915" s="205"/>
      <c r="Q915" s="205"/>
      <c r="R915" s="205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</row>
    <row r="916">
      <c r="A916" s="122"/>
      <c r="B916" s="204"/>
      <c r="C916" s="204"/>
      <c r="D916" s="204"/>
      <c r="E916" s="205"/>
      <c r="F916" s="205"/>
      <c r="G916" s="205"/>
      <c r="H916" s="206"/>
      <c r="I916" s="207"/>
      <c r="J916" s="207"/>
      <c r="K916" s="207"/>
      <c r="L916" s="122"/>
      <c r="M916" s="207"/>
      <c r="N916" s="207"/>
      <c r="O916" s="122"/>
      <c r="P916" s="205"/>
      <c r="Q916" s="205"/>
      <c r="R916" s="205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</row>
    <row r="917">
      <c r="A917" s="122"/>
      <c r="B917" s="204"/>
      <c r="C917" s="204"/>
      <c r="D917" s="204"/>
      <c r="E917" s="205"/>
      <c r="F917" s="205"/>
      <c r="G917" s="205"/>
      <c r="H917" s="206"/>
      <c r="I917" s="207"/>
      <c r="J917" s="207"/>
      <c r="K917" s="207"/>
      <c r="L917" s="122"/>
      <c r="M917" s="207"/>
      <c r="N917" s="207"/>
      <c r="O917" s="122"/>
      <c r="P917" s="205"/>
      <c r="Q917" s="205"/>
      <c r="R917" s="205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</row>
    <row r="918">
      <c r="A918" s="122"/>
      <c r="B918" s="204"/>
      <c r="C918" s="204"/>
      <c r="D918" s="204"/>
      <c r="E918" s="205"/>
      <c r="F918" s="205"/>
      <c r="G918" s="205"/>
      <c r="H918" s="206"/>
      <c r="I918" s="207"/>
      <c r="J918" s="207"/>
      <c r="K918" s="207"/>
      <c r="L918" s="122"/>
      <c r="M918" s="207"/>
      <c r="N918" s="207"/>
      <c r="O918" s="122"/>
      <c r="P918" s="205"/>
      <c r="Q918" s="205"/>
      <c r="R918" s="205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</row>
    <row r="919">
      <c r="A919" s="122"/>
      <c r="B919" s="204"/>
      <c r="C919" s="204"/>
      <c r="D919" s="204"/>
      <c r="E919" s="205"/>
      <c r="F919" s="205"/>
      <c r="G919" s="205"/>
      <c r="H919" s="206"/>
      <c r="I919" s="207"/>
      <c r="J919" s="207"/>
      <c r="K919" s="207"/>
      <c r="L919" s="122"/>
      <c r="M919" s="207"/>
      <c r="N919" s="207"/>
      <c r="O919" s="122"/>
      <c r="P919" s="205"/>
      <c r="Q919" s="205"/>
      <c r="R919" s="205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</row>
    <row r="920">
      <c r="A920" s="122"/>
      <c r="B920" s="204"/>
      <c r="C920" s="204"/>
      <c r="D920" s="204"/>
      <c r="E920" s="205"/>
      <c r="F920" s="205"/>
      <c r="G920" s="205"/>
      <c r="H920" s="206"/>
      <c r="I920" s="207"/>
      <c r="J920" s="207"/>
      <c r="K920" s="207"/>
      <c r="L920" s="122"/>
      <c r="M920" s="207"/>
      <c r="N920" s="207"/>
      <c r="O920" s="122"/>
      <c r="P920" s="205"/>
      <c r="Q920" s="205"/>
      <c r="R920" s="205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</row>
    <row r="921">
      <c r="A921" s="122"/>
      <c r="B921" s="204"/>
      <c r="C921" s="204"/>
      <c r="D921" s="204"/>
      <c r="E921" s="205"/>
      <c r="F921" s="205"/>
      <c r="G921" s="205"/>
      <c r="H921" s="206"/>
      <c r="I921" s="207"/>
      <c r="J921" s="207"/>
      <c r="K921" s="207"/>
      <c r="L921" s="122"/>
      <c r="M921" s="207"/>
      <c r="N921" s="207"/>
      <c r="O921" s="122"/>
      <c r="P921" s="205"/>
      <c r="Q921" s="205"/>
      <c r="R921" s="205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</row>
    <row r="922">
      <c r="A922" s="122"/>
      <c r="B922" s="204"/>
      <c r="C922" s="204"/>
      <c r="D922" s="204"/>
      <c r="E922" s="205"/>
      <c r="F922" s="205"/>
      <c r="G922" s="205"/>
      <c r="H922" s="206"/>
      <c r="I922" s="207"/>
      <c r="J922" s="207"/>
      <c r="K922" s="207"/>
      <c r="L922" s="122"/>
      <c r="M922" s="207"/>
      <c r="N922" s="207"/>
      <c r="O922" s="122"/>
      <c r="P922" s="205"/>
      <c r="Q922" s="205"/>
      <c r="R922" s="205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</row>
    <row r="923">
      <c r="A923" s="122"/>
      <c r="B923" s="204"/>
      <c r="C923" s="204"/>
      <c r="D923" s="204"/>
      <c r="E923" s="205"/>
      <c r="F923" s="205"/>
      <c r="G923" s="205"/>
      <c r="H923" s="206"/>
      <c r="I923" s="207"/>
      <c r="J923" s="207"/>
      <c r="K923" s="207"/>
      <c r="L923" s="122"/>
      <c r="M923" s="207"/>
      <c r="N923" s="207"/>
      <c r="O923" s="122"/>
      <c r="P923" s="205"/>
      <c r="Q923" s="205"/>
      <c r="R923" s="205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</row>
    <row r="924">
      <c r="A924" s="122"/>
      <c r="B924" s="204"/>
      <c r="C924" s="204"/>
      <c r="D924" s="204"/>
      <c r="E924" s="205"/>
      <c r="F924" s="205"/>
      <c r="G924" s="205"/>
      <c r="H924" s="206"/>
      <c r="I924" s="207"/>
      <c r="J924" s="207"/>
      <c r="K924" s="207"/>
      <c r="L924" s="122"/>
      <c r="M924" s="207"/>
      <c r="N924" s="207"/>
      <c r="O924" s="122"/>
      <c r="P924" s="205"/>
      <c r="Q924" s="205"/>
      <c r="R924" s="205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</row>
    <row r="925">
      <c r="A925" s="122"/>
      <c r="B925" s="204"/>
      <c r="C925" s="204"/>
      <c r="D925" s="204"/>
      <c r="E925" s="205"/>
      <c r="F925" s="205"/>
      <c r="G925" s="205"/>
      <c r="H925" s="206"/>
      <c r="I925" s="207"/>
      <c r="J925" s="207"/>
      <c r="K925" s="207"/>
      <c r="L925" s="122"/>
      <c r="M925" s="207"/>
      <c r="N925" s="207"/>
      <c r="O925" s="122"/>
      <c r="P925" s="205"/>
      <c r="Q925" s="205"/>
      <c r="R925" s="205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</row>
    <row r="926">
      <c r="A926" s="122"/>
      <c r="B926" s="204"/>
      <c r="C926" s="204"/>
      <c r="D926" s="204"/>
      <c r="E926" s="205"/>
      <c r="F926" s="205"/>
      <c r="G926" s="205"/>
      <c r="H926" s="206"/>
      <c r="I926" s="207"/>
      <c r="J926" s="207"/>
      <c r="K926" s="207"/>
      <c r="L926" s="122"/>
      <c r="M926" s="207"/>
      <c r="N926" s="207"/>
      <c r="O926" s="122"/>
      <c r="P926" s="205"/>
      <c r="Q926" s="205"/>
      <c r="R926" s="205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</row>
    <row r="927">
      <c r="A927" s="122"/>
      <c r="B927" s="204"/>
      <c r="C927" s="204"/>
      <c r="D927" s="204"/>
      <c r="E927" s="205"/>
      <c r="F927" s="205"/>
      <c r="G927" s="205"/>
      <c r="H927" s="206"/>
      <c r="I927" s="207"/>
      <c r="J927" s="207"/>
      <c r="K927" s="207"/>
      <c r="L927" s="122"/>
      <c r="M927" s="207"/>
      <c r="N927" s="207"/>
      <c r="O927" s="122"/>
      <c r="P927" s="205"/>
      <c r="Q927" s="205"/>
      <c r="R927" s="205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</row>
    <row r="928">
      <c r="A928" s="122"/>
      <c r="B928" s="204"/>
      <c r="C928" s="204"/>
      <c r="D928" s="204"/>
      <c r="E928" s="205"/>
      <c r="F928" s="205"/>
      <c r="G928" s="205"/>
      <c r="H928" s="206"/>
      <c r="I928" s="207"/>
      <c r="J928" s="207"/>
      <c r="K928" s="207"/>
      <c r="L928" s="122"/>
      <c r="M928" s="207"/>
      <c r="N928" s="207"/>
      <c r="O928" s="122"/>
      <c r="P928" s="205"/>
      <c r="Q928" s="205"/>
      <c r="R928" s="205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</row>
    <row r="929">
      <c r="A929" s="122"/>
      <c r="B929" s="204"/>
      <c r="C929" s="204"/>
      <c r="D929" s="204"/>
      <c r="E929" s="205"/>
      <c r="F929" s="205"/>
      <c r="G929" s="205"/>
      <c r="H929" s="206"/>
      <c r="I929" s="207"/>
      <c r="J929" s="207"/>
      <c r="K929" s="207"/>
      <c r="L929" s="122"/>
      <c r="M929" s="207"/>
      <c r="N929" s="207"/>
      <c r="O929" s="122"/>
      <c r="P929" s="205"/>
      <c r="Q929" s="205"/>
      <c r="R929" s="205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</row>
    <row r="930">
      <c r="A930" s="122"/>
      <c r="B930" s="204"/>
      <c r="C930" s="204"/>
      <c r="D930" s="204"/>
      <c r="E930" s="205"/>
      <c r="F930" s="205"/>
      <c r="G930" s="205"/>
      <c r="H930" s="206"/>
      <c r="I930" s="207"/>
      <c r="J930" s="207"/>
      <c r="K930" s="207"/>
      <c r="L930" s="122"/>
      <c r="M930" s="207"/>
      <c r="N930" s="207"/>
      <c r="O930" s="122"/>
      <c r="P930" s="205"/>
      <c r="Q930" s="205"/>
      <c r="R930" s="205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</row>
    <row r="931">
      <c r="A931" s="122"/>
      <c r="B931" s="204"/>
      <c r="C931" s="204"/>
      <c r="D931" s="204"/>
      <c r="E931" s="205"/>
      <c r="F931" s="205"/>
      <c r="G931" s="205"/>
      <c r="H931" s="206"/>
      <c r="I931" s="207"/>
      <c r="J931" s="207"/>
      <c r="K931" s="207"/>
      <c r="L931" s="122"/>
      <c r="M931" s="207"/>
      <c r="N931" s="207"/>
      <c r="O931" s="122"/>
      <c r="P931" s="205"/>
      <c r="Q931" s="205"/>
      <c r="R931" s="205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</row>
    <row r="932">
      <c r="A932" s="122"/>
      <c r="B932" s="204"/>
      <c r="C932" s="204"/>
      <c r="D932" s="204"/>
      <c r="E932" s="205"/>
      <c r="F932" s="205"/>
      <c r="G932" s="205"/>
      <c r="H932" s="206"/>
      <c r="I932" s="207"/>
      <c r="J932" s="207"/>
      <c r="K932" s="207"/>
      <c r="L932" s="122"/>
      <c r="M932" s="207"/>
      <c r="N932" s="207"/>
      <c r="O932" s="122"/>
      <c r="P932" s="205"/>
      <c r="Q932" s="205"/>
      <c r="R932" s="205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</row>
    <row r="933">
      <c r="A933" s="122"/>
      <c r="B933" s="204"/>
      <c r="C933" s="204"/>
      <c r="D933" s="204"/>
      <c r="E933" s="205"/>
      <c r="F933" s="205"/>
      <c r="G933" s="205"/>
      <c r="H933" s="206"/>
      <c r="I933" s="207"/>
      <c r="J933" s="207"/>
      <c r="K933" s="207"/>
      <c r="L933" s="122"/>
      <c r="M933" s="207"/>
      <c r="N933" s="207"/>
      <c r="O933" s="122"/>
      <c r="P933" s="205"/>
      <c r="Q933" s="205"/>
      <c r="R933" s="205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</row>
    <row r="934">
      <c r="A934" s="122"/>
      <c r="B934" s="204"/>
      <c r="C934" s="204"/>
      <c r="D934" s="204"/>
      <c r="E934" s="205"/>
      <c r="F934" s="205"/>
      <c r="G934" s="205"/>
      <c r="H934" s="206"/>
      <c r="I934" s="207"/>
      <c r="J934" s="207"/>
      <c r="K934" s="207"/>
      <c r="L934" s="122"/>
      <c r="M934" s="207"/>
      <c r="N934" s="207"/>
      <c r="O934" s="122"/>
      <c r="P934" s="205"/>
      <c r="Q934" s="205"/>
      <c r="R934" s="205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</row>
    <row r="935">
      <c r="A935" s="122"/>
      <c r="B935" s="204"/>
      <c r="C935" s="204"/>
      <c r="D935" s="204"/>
      <c r="E935" s="205"/>
      <c r="F935" s="205"/>
      <c r="G935" s="205"/>
      <c r="H935" s="206"/>
      <c r="I935" s="207"/>
      <c r="J935" s="207"/>
      <c r="K935" s="207"/>
      <c r="L935" s="122"/>
      <c r="M935" s="207"/>
      <c r="N935" s="207"/>
      <c r="O935" s="122"/>
      <c r="P935" s="205"/>
      <c r="Q935" s="205"/>
      <c r="R935" s="205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</row>
    <row r="936">
      <c r="A936" s="122"/>
      <c r="B936" s="204"/>
      <c r="C936" s="204"/>
      <c r="D936" s="204"/>
      <c r="E936" s="205"/>
      <c r="F936" s="205"/>
      <c r="G936" s="205"/>
      <c r="H936" s="206"/>
      <c r="I936" s="207"/>
      <c r="J936" s="207"/>
      <c r="K936" s="207"/>
      <c r="L936" s="122"/>
      <c r="M936" s="207"/>
      <c r="N936" s="207"/>
      <c r="O936" s="122"/>
      <c r="P936" s="205"/>
      <c r="Q936" s="205"/>
      <c r="R936" s="205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</row>
    <row r="937">
      <c r="A937" s="122"/>
      <c r="B937" s="204"/>
      <c r="C937" s="204"/>
      <c r="D937" s="204"/>
      <c r="E937" s="205"/>
      <c r="F937" s="205"/>
      <c r="G937" s="205"/>
      <c r="H937" s="206"/>
      <c r="I937" s="207"/>
      <c r="J937" s="207"/>
      <c r="K937" s="207"/>
      <c r="L937" s="122"/>
      <c r="M937" s="207"/>
      <c r="N937" s="207"/>
      <c r="O937" s="122"/>
      <c r="P937" s="205"/>
      <c r="Q937" s="205"/>
      <c r="R937" s="205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</row>
    <row r="938">
      <c r="A938" s="122"/>
      <c r="B938" s="204"/>
      <c r="C938" s="204"/>
      <c r="D938" s="204"/>
      <c r="E938" s="205"/>
      <c r="F938" s="205"/>
      <c r="G938" s="205"/>
      <c r="H938" s="206"/>
      <c r="I938" s="207"/>
      <c r="J938" s="207"/>
      <c r="K938" s="207"/>
      <c r="L938" s="122"/>
      <c r="M938" s="207"/>
      <c r="N938" s="207"/>
      <c r="O938" s="122"/>
      <c r="P938" s="205"/>
      <c r="Q938" s="205"/>
      <c r="R938" s="205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</row>
    <row r="939">
      <c r="A939" s="122"/>
      <c r="B939" s="204"/>
      <c r="C939" s="204"/>
      <c r="D939" s="204"/>
      <c r="E939" s="205"/>
      <c r="F939" s="205"/>
      <c r="G939" s="205"/>
      <c r="H939" s="206"/>
      <c r="I939" s="207"/>
      <c r="J939" s="207"/>
      <c r="K939" s="207"/>
      <c r="L939" s="122"/>
      <c r="M939" s="207"/>
      <c r="N939" s="207"/>
      <c r="O939" s="122"/>
      <c r="P939" s="205"/>
      <c r="Q939" s="205"/>
      <c r="R939" s="205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</row>
    <row r="940">
      <c r="A940" s="122"/>
      <c r="B940" s="204"/>
      <c r="C940" s="204"/>
      <c r="D940" s="204"/>
      <c r="E940" s="205"/>
      <c r="F940" s="205"/>
      <c r="G940" s="205"/>
      <c r="H940" s="206"/>
      <c r="I940" s="207"/>
      <c r="J940" s="207"/>
      <c r="K940" s="207"/>
      <c r="L940" s="122"/>
      <c r="M940" s="207"/>
      <c r="N940" s="207"/>
      <c r="O940" s="122"/>
      <c r="P940" s="205"/>
      <c r="Q940" s="205"/>
      <c r="R940" s="205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</row>
    <row r="941">
      <c r="A941" s="122"/>
      <c r="B941" s="204"/>
      <c r="C941" s="204"/>
      <c r="D941" s="204"/>
      <c r="E941" s="205"/>
      <c r="F941" s="205"/>
      <c r="G941" s="205"/>
      <c r="H941" s="206"/>
      <c r="I941" s="207"/>
      <c r="J941" s="207"/>
      <c r="K941" s="207"/>
      <c r="L941" s="122"/>
      <c r="M941" s="207"/>
      <c r="N941" s="207"/>
      <c r="O941" s="122"/>
      <c r="P941" s="205"/>
      <c r="Q941" s="205"/>
      <c r="R941" s="205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</row>
    <row r="942">
      <c r="A942" s="122"/>
      <c r="B942" s="204"/>
      <c r="C942" s="204"/>
      <c r="D942" s="204"/>
      <c r="E942" s="205"/>
      <c r="F942" s="205"/>
      <c r="G942" s="205"/>
      <c r="H942" s="206"/>
      <c r="I942" s="207"/>
      <c r="J942" s="207"/>
      <c r="K942" s="207"/>
      <c r="L942" s="122"/>
      <c r="M942" s="207"/>
      <c r="N942" s="207"/>
      <c r="O942" s="122"/>
      <c r="P942" s="205"/>
      <c r="Q942" s="205"/>
      <c r="R942" s="205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</row>
    <row r="943">
      <c r="A943" s="122"/>
      <c r="B943" s="204"/>
      <c r="C943" s="204"/>
      <c r="D943" s="204"/>
      <c r="E943" s="205"/>
      <c r="F943" s="205"/>
      <c r="G943" s="205"/>
      <c r="H943" s="206"/>
      <c r="I943" s="207"/>
      <c r="J943" s="207"/>
      <c r="K943" s="207"/>
      <c r="L943" s="122"/>
      <c r="M943" s="207"/>
      <c r="N943" s="207"/>
      <c r="O943" s="122"/>
      <c r="P943" s="205"/>
      <c r="Q943" s="205"/>
      <c r="R943" s="205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</row>
    <row r="944">
      <c r="A944" s="122"/>
      <c r="B944" s="204"/>
      <c r="C944" s="204"/>
      <c r="D944" s="204"/>
      <c r="E944" s="205"/>
      <c r="F944" s="205"/>
      <c r="G944" s="205"/>
      <c r="H944" s="206"/>
      <c r="I944" s="207"/>
      <c r="J944" s="207"/>
      <c r="K944" s="207"/>
      <c r="L944" s="122"/>
      <c r="M944" s="207"/>
      <c r="N944" s="207"/>
      <c r="O944" s="122"/>
      <c r="P944" s="205"/>
      <c r="Q944" s="205"/>
      <c r="R944" s="205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</row>
    <row r="945">
      <c r="A945" s="122"/>
      <c r="B945" s="204"/>
      <c r="C945" s="204"/>
      <c r="D945" s="204"/>
      <c r="E945" s="205"/>
      <c r="F945" s="205"/>
      <c r="G945" s="205"/>
      <c r="H945" s="206"/>
      <c r="I945" s="207"/>
      <c r="J945" s="207"/>
      <c r="K945" s="207"/>
      <c r="L945" s="122"/>
      <c r="M945" s="207"/>
      <c r="N945" s="207"/>
      <c r="O945" s="122"/>
      <c r="P945" s="205"/>
      <c r="Q945" s="205"/>
      <c r="R945" s="205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</row>
    <row r="946">
      <c r="A946" s="122"/>
      <c r="B946" s="204"/>
      <c r="C946" s="204"/>
      <c r="D946" s="204"/>
      <c r="E946" s="205"/>
      <c r="F946" s="205"/>
      <c r="G946" s="205"/>
      <c r="H946" s="206"/>
      <c r="I946" s="207"/>
      <c r="J946" s="207"/>
      <c r="K946" s="207"/>
      <c r="L946" s="122"/>
      <c r="M946" s="207"/>
      <c r="N946" s="207"/>
      <c r="O946" s="122"/>
      <c r="P946" s="205"/>
      <c r="Q946" s="205"/>
      <c r="R946" s="205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</row>
    <row r="947">
      <c r="A947" s="122"/>
      <c r="B947" s="204"/>
      <c r="C947" s="204"/>
      <c r="D947" s="204"/>
      <c r="E947" s="205"/>
      <c r="F947" s="205"/>
      <c r="G947" s="205"/>
      <c r="H947" s="206"/>
      <c r="I947" s="207"/>
      <c r="J947" s="207"/>
      <c r="K947" s="207"/>
      <c r="L947" s="122"/>
      <c r="M947" s="207"/>
      <c r="N947" s="207"/>
      <c r="O947" s="122"/>
      <c r="P947" s="205"/>
      <c r="Q947" s="205"/>
      <c r="R947" s="205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</row>
    <row r="948">
      <c r="A948" s="122"/>
      <c r="B948" s="204"/>
      <c r="C948" s="204"/>
      <c r="D948" s="204"/>
      <c r="E948" s="205"/>
      <c r="F948" s="205"/>
      <c r="G948" s="205"/>
      <c r="H948" s="206"/>
      <c r="I948" s="207"/>
      <c r="J948" s="207"/>
      <c r="K948" s="207"/>
      <c r="L948" s="122"/>
      <c r="M948" s="207"/>
      <c r="N948" s="207"/>
      <c r="O948" s="122"/>
      <c r="P948" s="205"/>
      <c r="Q948" s="205"/>
      <c r="R948" s="205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</row>
    <row r="949">
      <c r="A949" s="122"/>
      <c r="B949" s="204"/>
      <c r="C949" s="204"/>
      <c r="D949" s="204"/>
      <c r="E949" s="205"/>
      <c r="F949" s="205"/>
      <c r="G949" s="205"/>
      <c r="H949" s="206"/>
      <c r="I949" s="207"/>
      <c r="J949" s="207"/>
      <c r="K949" s="207"/>
      <c r="L949" s="122"/>
      <c r="M949" s="207"/>
      <c r="N949" s="207"/>
      <c r="O949" s="122"/>
      <c r="P949" s="205"/>
      <c r="Q949" s="205"/>
      <c r="R949" s="205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</row>
    <row r="950">
      <c r="A950" s="122"/>
      <c r="B950" s="204"/>
      <c r="C950" s="204"/>
      <c r="D950" s="204"/>
      <c r="E950" s="205"/>
      <c r="F950" s="205"/>
      <c r="G950" s="205"/>
      <c r="H950" s="206"/>
      <c r="I950" s="207"/>
      <c r="J950" s="207"/>
      <c r="K950" s="207"/>
      <c r="L950" s="122"/>
      <c r="M950" s="207"/>
      <c r="N950" s="207"/>
      <c r="O950" s="122"/>
      <c r="P950" s="205"/>
      <c r="Q950" s="205"/>
      <c r="R950" s="205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</row>
    <row r="951">
      <c r="A951" s="122"/>
      <c r="B951" s="204"/>
      <c r="C951" s="204"/>
      <c r="D951" s="204"/>
      <c r="E951" s="205"/>
      <c r="F951" s="205"/>
      <c r="G951" s="205"/>
      <c r="H951" s="206"/>
      <c r="I951" s="207"/>
      <c r="J951" s="207"/>
      <c r="K951" s="207"/>
      <c r="L951" s="122"/>
      <c r="M951" s="207"/>
      <c r="N951" s="207"/>
      <c r="O951" s="122"/>
      <c r="P951" s="205"/>
      <c r="Q951" s="205"/>
      <c r="R951" s="205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</row>
    <row r="952">
      <c r="A952" s="122"/>
      <c r="B952" s="204"/>
      <c r="C952" s="204"/>
      <c r="D952" s="204"/>
      <c r="E952" s="205"/>
      <c r="F952" s="205"/>
      <c r="G952" s="205"/>
      <c r="H952" s="206"/>
      <c r="I952" s="207"/>
      <c r="J952" s="207"/>
      <c r="K952" s="207"/>
      <c r="L952" s="122"/>
      <c r="M952" s="207"/>
      <c r="N952" s="207"/>
      <c r="O952" s="122"/>
      <c r="P952" s="205"/>
      <c r="Q952" s="205"/>
      <c r="R952" s="205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</row>
    <row r="953">
      <c r="A953" s="122"/>
      <c r="B953" s="204"/>
      <c r="C953" s="204"/>
      <c r="D953" s="204"/>
      <c r="E953" s="205"/>
      <c r="F953" s="205"/>
      <c r="G953" s="205"/>
      <c r="H953" s="206"/>
      <c r="I953" s="207"/>
      <c r="J953" s="207"/>
      <c r="K953" s="207"/>
      <c r="L953" s="122"/>
      <c r="M953" s="207"/>
      <c r="N953" s="207"/>
      <c r="O953" s="122"/>
      <c r="P953" s="205"/>
      <c r="Q953" s="205"/>
      <c r="R953" s="205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</row>
    <row r="954">
      <c r="A954" s="122"/>
      <c r="B954" s="204"/>
      <c r="C954" s="204"/>
      <c r="D954" s="204"/>
      <c r="E954" s="205"/>
      <c r="F954" s="205"/>
      <c r="G954" s="205"/>
      <c r="H954" s="206"/>
      <c r="I954" s="207"/>
      <c r="J954" s="207"/>
      <c r="K954" s="207"/>
      <c r="L954" s="122"/>
      <c r="M954" s="207"/>
      <c r="N954" s="207"/>
      <c r="O954" s="122"/>
      <c r="P954" s="205"/>
      <c r="Q954" s="205"/>
      <c r="R954" s="205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</row>
    <row r="955">
      <c r="A955" s="122"/>
      <c r="B955" s="204"/>
      <c r="C955" s="204"/>
      <c r="D955" s="204"/>
      <c r="E955" s="205"/>
      <c r="F955" s="205"/>
      <c r="G955" s="205"/>
      <c r="H955" s="206"/>
      <c r="I955" s="207"/>
      <c r="J955" s="207"/>
      <c r="K955" s="207"/>
      <c r="L955" s="122"/>
      <c r="M955" s="207"/>
      <c r="N955" s="207"/>
      <c r="O955" s="122"/>
      <c r="P955" s="205"/>
      <c r="Q955" s="205"/>
      <c r="R955" s="205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</row>
    <row r="956">
      <c r="A956" s="122"/>
      <c r="B956" s="204"/>
      <c r="C956" s="204"/>
      <c r="D956" s="204"/>
      <c r="E956" s="205"/>
      <c r="F956" s="205"/>
      <c r="G956" s="205"/>
      <c r="H956" s="206"/>
      <c r="I956" s="207"/>
      <c r="J956" s="207"/>
      <c r="K956" s="207"/>
      <c r="L956" s="122"/>
      <c r="M956" s="207"/>
      <c r="N956" s="207"/>
      <c r="O956" s="122"/>
      <c r="P956" s="205"/>
      <c r="Q956" s="205"/>
      <c r="R956" s="205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</row>
    <row r="957">
      <c r="A957" s="122"/>
      <c r="B957" s="204"/>
      <c r="C957" s="204"/>
      <c r="D957" s="204"/>
      <c r="E957" s="205"/>
      <c r="F957" s="205"/>
      <c r="G957" s="205"/>
      <c r="H957" s="206"/>
      <c r="I957" s="207"/>
      <c r="J957" s="207"/>
      <c r="K957" s="207"/>
      <c r="L957" s="122"/>
      <c r="M957" s="207"/>
      <c r="N957" s="207"/>
      <c r="O957" s="122"/>
      <c r="P957" s="205"/>
      <c r="Q957" s="205"/>
      <c r="R957" s="205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</row>
    <row r="958">
      <c r="A958" s="122"/>
      <c r="B958" s="204"/>
      <c r="C958" s="204"/>
      <c r="D958" s="204"/>
      <c r="E958" s="205"/>
      <c r="F958" s="205"/>
      <c r="G958" s="205"/>
      <c r="H958" s="206"/>
      <c r="I958" s="207"/>
      <c r="J958" s="207"/>
      <c r="K958" s="207"/>
      <c r="L958" s="122"/>
      <c r="M958" s="207"/>
      <c r="N958" s="207"/>
      <c r="O958" s="122"/>
      <c r="P958" s="205"/>
      <c r="Q958" s="205"/>
      <c r="R958" s="205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</row>
    <row r="959">
      <c r="A959" s="122"/>
      <c r="B959" s="204"/>
      <c r="C959" s="204"/>
      <c r="D959" s="204"/>
      <c r="E959" s="205"/>
      <c r="F959" s="205"/>
      <c r="G959" s="205"/>
      <c r="H959" s="206"/>
      <c r="I959" s="207"/>
      <c r="J959" s="207"/>
      <c r="K959" s="207"/>
      <c r="L959" s="122"/>
      <c r="M959" s="207"/>
      <c r="N959" s="207"/>
      <c r="O959" s="122"/>
      <c r="P959" s="205"/>
      <c r="Q959" s="205"/>
      <c r="R959" s="205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</row>
    <row r="960">
      <c r="A960" s="122"/>
      <c r="B960" s="204"/>
      <c r="C960" s="204"/>
      <c r="D960" s="204"/>
      <c r="E960" s="205"/>
      <c r="F960" s="205"/>
      <c r="G960" s="205"/>
      <c r="H960" s="206"/>
      <c r="I960" s="207"/>
      <c r="J960" s="207"/>
      <c r="K960" s="207"/>
      <c r="L960" s="122"/>
      <c r="M960" s="207"/>
      <c r="N960" s="207"/>
      <c r="O960" s="122"/>
      <c r="P960" s="205"/>
      <c r="Q960" s="205"/>
      <c r="R960" s="205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</row>
    <row r="961">
      <c r="A961" s="122"/>
      <c r="B961" s="204"/>
      <c r="C961" s="204"/>
      <c r="D961" s="204"/>
      <c r="E961" s="205"/>
      <c r="F961" s="205"/>
      <c r="G961" s="205"/>
      <c r="H961" s="206"/>
      <c r="I961" s="207"/>
      <c r="J961" s="207"/>
      <c r="K961" s="207"/>
      <c r="L961" s="122"/>
      <c r="M961" s="207"/>
      <c r="N961" s="207"/>
      <c r="O961" s="122"/>
      <c r="P961" s="205"/>
      <c r="Q961" s="205"/>
      <c r="R961" s="205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</row>
    <row r="962">
      <c r="A962" s="122"/>
      <c r="B962" s="204"/>
      <c r="C962" s="204"/>
      <c r="D962" s="204"/>
      <c r="E962" s="205"/>
      <c r="F962" s="205"/>
      <c r="G962" s="205"/>
      <c r="H962" s="206"/>
      <c r="I962" s="207"/>
      <c r="J962" s="207"/>
      <c r="K962" s="207"/>
      <c r="L962" s="122"/>
      <c r="M962" s="207"/>
      <c r="N962" s="207"/>
      <c r="O962" s="122"/>
      <c r="P962" s="205"/>
      <c r="Q962" s="205"/>
      <c r="R962" s="205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</row>
    <row r="963">
      <c r="A963" s="122"/>
      <c r="B963" s="204"/>
      <c r="C963" s="204"/>
      <c r="D963" s="204"/>
      <c r="E963" s="205"/>
      <c r="F963" s="205"/>
      <c r="G963" s="205"/>
      <c r="H963" s="206"/>
      <c r="I963" s="207"/>
      <c r="J963" s="207"/>
      <c r="K963" s="207"/>
      <c r="L963" s="122"/>
      <c r="M963" s="207"/>
      <c r="N963" s="207"/>
      <c r="O963" s="122"/>
      <c r="P963" s="205"/>
      <c r="Q963" s="205"/>
      <c r="R963" s="205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</row>
    <row r="964">
      <c r="A964" s="122"/>
      <c r="B964" s="204"/>
      <c r="C964" s="204"/>
      <c r="D964" s="204"/>
      <c r="E964" s="205"/>
      <c r="F964" s="205"/>
      <c r="G964" s="205"/>
      <c r="H964" s="206"/>
      <c r="I964" s="207"/>
      <c r="J964" s="207"/>
      <c r="K964" s="207"/>
      <c r="L964" s="122"/>
      <c r="M964" s="207"/>
      <c r="N964" s="207"/>
      <c r="O964" s="122"/>
      <c r="P964" s="205"/>
      <c r="Q964" s="205"/>
      <c r="R964" s="205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</row>
    <row r="965">
      <c r="A965" s="122"/>
      <c r="B965" s="204"/>
      <c r="C965" s="204"/>
      <c r="D965" s="204"/>
      <c r="E965" s="205"/>
      <c r="F965" s="205"/>
      <c r="G965" s="205"/>
      <c r="H965" s="206"/>
      <c r="I965" s="207"/>
      <c r="J965" s="207"/>
      <c r="K965" s="207"/>
      <c r="L965" s="122"/>
      <c r="M965" s="207"/>
      <c r="N965" s="207"/>
      <c r="O965" s="122"/>
      <c r="P965" s="205"/>
      <c r="Q965" s="205"/>
      <c r="R965" s="205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</row>
    <row r="966">
      <c r="A966" s="122"/>
      <c r="B966" s="204"/>
      <c r="C966" s="204"/>
      <c r="D966" s="204"/>
      <c r="E966" s="205"/>
      <c r="F966" s="205"/>
      <c r="G966" s="205"/>
      <c r="H966" s="206"/>
      <c r="I966" s="207"/>
      <c r="J966" s="207"/>
      <c r="K966" s="207"/>
      <c r="L966" s="122"/>
      <c r="M966" s="207"/>
      <c r="N966" s="207"/>
      <c r="O966" s="122"/>
      <c r="P966" s="205"/>
      <c r="Q966" s="205"/>
      <c r="R966" s="205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</row>
    <row r="967">
      <c r="A967" s="122"/>
      <c r="B967" s="204"/>
      <c r="C967" s="204"/>
      <c r="D967" s="204"/>
      <c r="E967" s="205"/>
      <c r="F967" s="205"/>
      <c r="G967" s="205"/>
      <c r="H967" s="206"/>
      <c r="I967" s="207"/>
      <c r="J967" s="207"/>
      <c r="K967" s="207"/>
      <c r="L967" s="122"/>
      <c r="M967" s="207"/>
      <c r="N967" s="207"/>
      <c r="O967" s="122"/>
      <c r="P967" s="205"/>
      <c r="Q967" s="205"/>
      <c r="R967" s="205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</row>
    <row r="968">
      <c r="A968" s="122"/>
      <c r="B968" s="204"/>
      <c r="C968" s="204"/>
      <c r="D968" s="204"/>
      <c r="E968" s="205"/>
      <c r="F968" s="205"/>
      <c r="G968" s="205"/>
      <c r="H968" s="206"/>
      <c r="I968" s="207"/>
      <c r="J968" s="207"/>
      <c r="K968" s="207"/>
      <c r="L968" s="122"/>
      <c r="M968" s="207"/>
      <c r="N968" s="207"/>
      <c r="O968" s="122"/>
      <c r="P968" s="205"/>
      <c r="Q968" s="205"/>
      <c r="R968" s="205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</row>
    <row r="969">
      <c r="A969" s="122"/>
      <c r="B969" s="204"/>
      <c r="C969" s="204"/>
      <c r="D969" s="204"/>
      <c r="E969" s="205"/>
      <c r="F969" s="205"/>
      <c r="G969" s="205"/>
      <c r="H969" s="206"/>
      <c r="I969" s="207"/>
      <c r="J969" s="207"/>
      <c r="K969" s="207"/>
      <c r="L969" s="122"/>
      <c r="M969" s="207"/>
      <c r="N969" s="207"/>
      <c r="O969" s="122"/>
      <c r="P969" s="205"/>
      <c r="Q969" s="205"/>
      <c r="R969" s="205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</row>
    <row r="970">
      <c r="A970" s="122"/>
      <c r="B970" s="204"/>
      <c r="C970" s="204"/>
      <c r="D970" s="204"/>
      <c r="E970" s="205"/>
      <c r="F970" s="205"/>
      <c r="G970" s="205"/>
      <c r="H970" s="206"/>
      <c r="I970" s="207"/>
      <c r="J970" s="207"/>
      <c r="K970" s="207"/>
      <c r="L970" s="122"/>
      <c r="M970" s="207"/>
      <c r="N970" s="207"/>
      <c r="O970" s="122"/>
      <c r="P970" s="205"/>
      <c r="Q970" s="205"/>
      <c r="R970" s="205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</row>
    <row r="971">
      <c r="A971" s="122"/>
      <c r="B971" s="204"/>
      <c r="C971" s="204"/>
      <c r="D971" s="204"/>
      <c r="E971" s="205"/>
      <c r="F971" s="205"/>
      <c r="G971" s="205"/>
      <c r="H971" s="206"/>
      <c r="I971" s="207"/>
      <c r="J971" s="207"/>
      <c r="K971" s="207"/>
      <c r="L971" s="122"/>
      <c r="M971" s="207"/>
      <c r="N971" s="207"/>
      <c r="O971" s="122"/>
      <c r="P971" s="205"/>
      <c r="Q971" s="205"/>
      <c r="R971" s="205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</row>
    <row r="972">
      <c r="A972" s="122"/>
      <c r="B972" s="204"/>
      <c r="C972" s="204"/>
      <c r="D972" s="204"/>
      <c r="E972" s="205"/>
      <c r="F972" s="205"/>
      <c r="G972" s="205"/>
      <c r="H972" s="206"/>
      <c r="I972" s="207"/>
      <c r="J972" s="207"/>
      <c r="K972" s="207"/>
      <c r="L972" s="122"/>
      <c r="M972" s="207"/>
      <c r="N972" s="207"/>
      <c r="O972" s="122"/>
      <c r="P972" s="205"/>
      <c r="Q972" s="205"/>
      <c r="R972" s="205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</row>
    <row r="973">
      <c r="A973" s="122"/>
      <c r="B973" s="204"/>
      <c r="C973" s="204"/>
      <c r="D973" s="204"/>
      <c r="E973" s="205"/>
      <c r="F973" s="205"/>
      <c r="G973" s="205"/>
      <c r="H973" s="206"/>
      <c r="I973" s="207"/>
      <c r="J973" s="207"/>
      <c r="K973" s="207"/>
      <c r="L973" s="122"/>
      <c r="M973" s="207"/>
      <c r="N973" s="207"/>
      <c r="O973" s="122"/>
      <c r="P973" s="205"/>
      <c r="Q973" s="205"/>
      <c r="R973" s="205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</row>
    <row r="974">
      <c r="A974" s="122"/>
      <c r="B974" s="204"/>
      <c r="C974" s="204"/>
      <c r="D974" s="204"/>
      <c r="E974" s="205"/>
      <c r="F974" s="205"/>
      <c r="G974" s="205"/>
      <c r="H974" s="206"/>
      <c r="I974" s="207"/>
      <c r="J974" s="207"/>
      <c r="K974" s="207"/>
      <c r="L974" s="122"/>
      <c r="M974" s="207"/>
      <c r="N974" s="207"/>
      <c r="O974" s="122"/>
      <c r="P974" s="205"/>
      <c r="Q974" s="205"/>
      <c r="R974" s="205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</row>
    <row r="975">
      <c r="A975" s="122"/>
      <c r="B975" s="204"/>
      <c r="C975" s="204"/>
      <c r="D975" s="204"/>
      <c r="E975" s="205"/>
      <c r="F975" s="205"/>
      <c r="G975" s="205"/>
      <c r="H975" s="206"/>
      <c r="I975" s="207"/>
      <c r="J975" s="207"/>
      <c r="K975" s="207"/>
      <c r="L975" s="122"/>
      <c r="M975" s="207"/>
      <c r="N975" s="207"/>
      <c r="O975" s="122"/>
      <c r="P975" s="205"/>
      <c r="Q975" s="205"/>
      <c r="R975" s="205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</row>
    <row r="976">
      <c r="A976" s="122"/>
      <c r="B976" s="204"/>
      <c r="C976" s="204"/>
      <c r="D976" s="204"/>
      <c r="E976" s="205"/>
      <c r="F976" s="205"/>
      <c r="G976" s="205"/>
      <c r="H976" s="206"/>
      <c r="I976" s="207"/>
      <c r="J976" s="207"/>
      <c r="K976" s="207"/>
      <c r="L976" s="122"/>
      <c r="M976" s="207"/>
      <c r="N976" s="207"/>
      <c r="O976" s="122"/>
      <c r="P976" s="205"/>
      <c r="Q976" s="205"/>
      <c r="R976" s="205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</row>
    <row r="977">
      <c r="A977" s="122"/>
      <c r="B977" s="204"/>
      <c r="C977" s="204"/>
      <c r="D977" s="204"/>
      <c r="E977" s="205"/>
      <c r="F977" s="205"/>
      <c r="G977" s="205"/>
      <c r="H977" s="206"/>
      <c r="I977" s="207"/>
      <c r="J977" s="207"/>
      <c r="K977" s="207"/>
      <c r="L977" s="122"/>
      <c r="M977" s="207"/>
      <c r="N977" s="207"/>
      <c r="O977" s="122"/>
      <c r="P977" s="205"/>
      <c r="Q977" s="205"/>
      <c r="R977" s="205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</row>
    <row r="978">
      <c r="A978" s="122"/>
      <c r="B978" s="204"/>
      <c r="C978" s="204"/>
      <c r="D978" s="204"/>
      <c r="E978" s="205"/>
      <c r="F978" s="205"/>
      <c r="G978" s="205"/>
      <c r="H978" s="206"/>
      <c r="I978" s="207"/>
      <c r="J978" s="207"/>
      <c r="K978" s="207"/>
      <c r="L978" s="122"/>
      <c r="M978" s="207"/>
      <c r="N978" s="207"/>
      <c r="O978" s="122"/>
      <c r="P978" s="205"/>
      <c r="Q978" s="205"/>
      <c r="R978" s="205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</row>
    <row r="979">
      <c r="A979" s="122"/>
      <c r="B979" s="204"/>
      <c r="C979" s="204"/>
      <c r="D979" s="204"/>
      <c r="E979" s="205"/>
      <c r="F979" s="205"/>
      <c r="G979" s="205"/>
      <c r="H979" s="206"/>
      <c r="I979" s="207"/>
      <c r="J979" s="207"/>
      <c r="K979" s="207"/>
      <c r="L979" s="122"/>
      <c r="M979" s="207"/>
      <c r="N979" s="207"/>
      <c r="O979" s="122"/>
      <c r="P979" s="205"/>
      <c r="Q979" s="205"/>
      <c r="R979" s="205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</row>
    <row r="980">
      <c r="A980" s="122"/>
      <c r="B980" s="204"/>
      <c r="C980" s="204"/>
      <c r="D980" s="204"/>
      <c r="E980" s="205"/>
      <c r="F980" s="205"/>
      <c r="G980" s="205"/>
      <c r="H980" s="206"/>
      <c r="I980" s="207"/>
      <c r="J980" s="207"/>
      <c r="K980" s="207"/>
      <c r="L980" s="122"/>
      <c r="M980" s="207"/>
      <c r="N980" s="207"/>
      <c r="O980" s="122"/>
      <c r="P980" s="205"/>
      <c r="Q980" s="205"/>
      <c r="R980" s="205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</row>
    <row r="981">
      <c r="A981" s="122"/>
      <c r="B981" s="204"/>
      <c r="C981" s="204"/>
      <c r="D981" s="204"/>
      <c r="E981" s="205"/>
      <c r="F981" s="205"/>
      <c r="G981" s="205"/>
      <c r="H981" s="206"/>
      <c r="I981" s="207"/>
      <c r="J981" s="207"/>
      <c r="K981" s="207"/>
      <c r="L981" s="122"/>
      <c r="M981" s="207"/>
      <c r="N981" s="207"/>
      <c r="O981" s="122"/>
      <c r="P981" s="205"/>
      <c r="Q981" s="205"/>
      <c r="R981" s="205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</row>
    <row r="982">
      <c r="A982" s="122"/>
      <c r="B982" s="204"/>
      <c r="C982" s="204"/>
      <c r="D982" s="204"/>
      <c r="E982" s="205"/>
      <c r="F982" s="205"/>
      <c r="G982" s="205"/>
      <c r="H982" s="206"/>
      <c r="I982" s="207"/>
      <c r="J982" s="207"/>
      <c r="K982" s="207"/>
      <c r="L982" s="122"/>
      <c r="M982" s="207"/>
      <c r="N982" s="207"/>
      <c r="O982" s="122"/>
      <c r="P982" s="205"/>
      <c r="Q982" s="205"/>
      <c r="R982" s="205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</row>
    <row r="983">
      <c r="A983" s="122"/>
      <c r="B983" s="204"/>
      <c r="C983" s="204"/>
      <c r="D983" s="204"/>
      <c r="E983" s="205"/>
      <c r="F983" s="205"/>
      <c r="G983" s="205"/>
      <c r="H983" s="206"/>
      <c r="I983" s="207"/>
      <c r="J983" s="207"/>
      <c r="K983" s="207"/>
      <c r="L983" s="122"/>
      <c r="M983" s="207"/>
      <c r="N983" s="207"/>
      <c r="O983" s="122"/>
      <c r="P983" s="205"/>
      <c r="Q983" s="205"/>
      <c r="R983" s="205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</row>
    <row r="984">
      <c r="A984" s="122"/>
      <c r="B984" s="204"/>
      <c r="C984" s="204"/>
      <c r="D984" s="204"/>
      <c r="E984" s="205"/>
      <c r="F984" s="205"/>
      <c r="G984" s="205"/>
      <c r="H984" s="206"/>
      <c r="I984" s="207"/>
      <c r="J984" s="207"/>
      <c r="K984" s="207"/>
      <c r="L984" s="122"/>
      <c r="M984" s="207"/>
      <c r="N984" s="207"/>
      <c r="O984" s="122"/>
      <c r="P984" s="205"/>
      <c r="Q984" s="205"/>
      <c r="R984" s="205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</row>
    <row r="985">
      <c r="A985" s="122"/>
      <c r="B985" s="204"/>
      <c r="C985" s="204"/>
      <c r="D985" s="204"/>
      <c r="E985" s="205"/>
      <c r="F985" s="205"/>
      <c r="G985" s="205"/>
      <c r="H985" s="206"/>
      <c r="I985" s="207"/>
      <c r="J985" s="207"/>
      <c r="K985" s="207"/>
      <c r="L985" s="122"/>
      <c r="M985" s="207"/>
      <c r="N985" s="207"/>
      <c r="O985" s="122"/>
      <c r="P985" s="205"/>
      <c r="Q985" s="205"/>
      <c r="R985" s="205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</row>
    <row r="986">
      <c r="A986" s="122"/>
      <c r="B986" s="204"/>
      <c r="C986" s="204"/>
      <c r="D986" s="204"/>
      <c r="E986" s="205"/>
      <c r="F986" s="205"/>
      <c r="G986" s="205"/>
      <c r="H986" s="206"/>
      <c r="I986" s="207"/>
      <c r="J986" s="207"/>
      <c r="K986" s="207"/>
      <c r="L986" s="122"/>
      <c r="M986" s="207"/>
      <c r="N986" s="207"/>
      <c r="O986" s="122"/>
      <c r="P986" s="205"/>
      <c r="Q986" s="205"/>
      <c r="R986" s="205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</row>
    <row r="987">
      <c r="A987" s="122"/>
      <c r="B987" s="204"/>
      <c r="C987" s="204"/>
      <c r="D987" s="204"/>
      <c r="E987" s="205"/>
      <c r="F987" s="205"/>
      <c r="G987" s="205"/>
      <c r="H987" s="206"/>
      <c r="I987" s="207"/>
      <c r="J987" s="207"/>
      <c r="K987" s="207"/>
      <c r="L987" s="122"/>
      <c r="M987" s="207"/>
      <c r="N987" s="207"/>
      <c r="O987" s="122"/>
      <c r="P987" s="205"/>
      <c r="Q987" s="205"/>
      <c r="R987" s="205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</row>
    <row r="988">
      <c r="A988" s="122"/>
      <c r="B988" s="204"/>
      <c r="C988" s="204"/>
      <c r="D988" s="204"/>
      <c r="E988" s="205"/>
      <c r="F988" s="205"/>
      <c r="G988" s="205"/>
      <c r="H988" s="206"/>
      <c r="I988" s="207"/>
      <c r="J988" s="207"/>
      <c r="K988" s="207"/>
      <c r="L988" s="122"/>
      <c r="M988" s="207"/>
      <c r="N988" s="207"/>
      <c r="O988" s="122"/>
      <c r="P988" s="205"/>
      <c r="Q988" s="205"/>
      <c r="R988" s="205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</row>
    <row r="989">
      <c r="A989" s="122"/>
      <c r="B989" s="204"/>
      <c r="C989" s="204"/>
      <c r="D989" s="204"/>
      <c r="E989" s="205"/>
      <c r="F989" s="205"/>
      <c r="G989" s="205"/>
      <c r="H989" s="206"/>
      <c r="I989" s="207"/>
      <c r="J989" s="207"/>
      <c r="K989" s="207"/>
      <c r="L989" s="122"/>
      <c r="M989" s="207"/>
      <c r="N989" s="207"/>
      <c r="O989" s="122"/>
      <c r="P989" s="205"/>
      <c r="Q989" s="205"/>
      <c r="R989" s="205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</row>
    <row r="990">
      <c r="A990" s="122"/>
      <c r="B990" s="204"/>
      <c r="C990" s="204"/>
      <c r="D990" s="204"/>
      <c r="E990" s="205"/>
      <c r="F990" s="205"/>
      <c r="G990" s="205"/>
      <c r="H990" s="206"/>
      <c r="I990" s="207"/>
      <c r="J990" s="207"/>
      <c r="K990" s="207"/>
      <c r="L990" s="122"/>
      <c r="M990" s="207"/>
      <c r="N990" s="207"/>
      <c r="O990" s="122"/>
      <c r="P990" s="205"/>
      <c r="Q990" s="205"/>
      <c r="R990" s="205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</row>
    <row r="991">
      <c r="A991" s="122"/>
      <c r="B991" s="204"/>
      <c r="C991" s="204"/>
      <c r="D991" s="204"/>
      <c r="E991" s="205"/>
      <c r="F991" s="205"/>
      <c r="G991" s="205"/>
      <c r="H991" s="206"/>
      <c r="I991" s="207"/>
      <c r="J991" s="207"/>
      <c r="K991" s="207"/>
      <c r="L991" s="122"/>
      <c r="M991" s="207"/>
      <c r="N991" s="207"/>
      <c r="O991" s="122"/>
      <c r="P991" s="205"/>
      <c r="Q991" s="205"/>
      <c r="R991" s="205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</row>
    <row r="992">
      <c r="A992" s="122"/>
      <c r="B992" s="204"/>
      <c r="C992" s="204"/>
      <c r="D992" s="204"/>
      <c r="E992" s="205"/>
      <c r="F992" s="205"/>
      <c r="G992" s="205"/>
      <c r="H992" s="206"/>
      <c r="I992" s="207"/>
      <c r="J992" s="207"/>
      <c r="K992" s="207"/>
      <c r="L992" s="122"/>
      <c r="M992" s="207"/>
      <c r="N992" s="207"/>
      <c r="O992" s="122"/>
      <c r="P992" s="205"/>
      <c r="Q992" s="205"/>
      <c r="R992" s="205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</row>
    <row r="993">
      <c r="A993" s="122"/>
      <c r="B993" s="204"/>
      <c r="C993" s="204"/>
      <c r="D993" s="204"/>
      <c r="E993" s="205"/>
      <c r="F993" s="205"/>
      <c r="G993" s="205"/>
      <c r="H993" s="206"/>
      <c r="I993" s="207"/>
      <c r="J993" s="207"/>
      <c r="K993" s="207"/>
      <c r="L993" s="122"/>
      <c r="M993" s="207"/>
      <c r="N993" s="207"/>
      <c r="O993" s="122"/>
      <c r="P993" s="205"/>
      <c r="Q993" s="205"/>
      <c r="R993" s="205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</row>
    <row r="994">
      <c r="A994" s="122"/>
      <c r="B994" s="204"/>
      <c r="C994" s="204"/>
      <c r="D994" s="204"/>
      <c r="E994" s="205"/>
      <c r="F994" s="205"/>
      <c r="G994" s="205"/>
      <c r="H994" s="206"/>
      <c r="I994" s="207"/>
      <c r="J994" s="207"/>
      <c r="K994" s="207"/>
      <c r="L994" s="122"/>
      <c r="M994" s="207"/>
      <c r="N994" s="207"/>
      <c r="O994" s="122"/>
      <c r="P994" s="205"/>
      <c r="Q994" s="205"/>
      <c r="R994" s="205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</row>
    <row r="995">
      <c r="A995" s="122"/>
      <c r="B995" s="204"/>
      <c r="C995" s="204"/>
      <c r="D995" s="204"/>
      <c r="E995" s="205"/>
      <c r="F995" s="205"/>
      <c r="G995" s="205"/>
      <c r="H995" s="206"/>
      <c r="I995" s="207"/>
      <c r="J995" s="207"/>
      <c r="K995" s="207"/>
      <c r="L995" s="122"/>
      <c r="M995" s="207"/>
      <c r="N995" s="207"/>
      <c r="O995" s="122"/>
      <c r="P995" s="205"/>
      <c r="Q995" s="205"/>
      <c r="R995" s="205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</row>
    <row r="996">
      <c r="A996" s="122"/>
      <c r="B996" s="204"/>
      <c r="C996" s="204"/>
      <c r="D996" s="204"/>
      <c r="E996" s="205"/>
      <c r="F996" s="205"/>
      <c r="G996" s="205"/>
      <c r="H996" s="206"/>
      <c r="I996" s="207"/>
      <c r="J996" s="207"/>
      <c r="K996" s="207"/>
      <c r="L996" s="122"/>
      <c r="M996" s="207"/>
      <c r="N996" s="207"/>
      <c r="O996" s="122"/>
      <c r="P996" s="205"/>
      <c r="Q996" s="205"/>
      <c r="R996" s="205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</row>
    <row r="997">
      <c r="A997" s="122"/>
      <c r="B997" s="204"/>
      <c r="C997" s="204"/>
      <c r="D997" s="204"/>
      <c r="E997" s="205"/>
      <c r="F997" s="205"/>
      <c r="G997" s="205"/>
      <c r="H997" s="206"/>
      <c r="I997" s="207"/>
      <c r="J997" s="207"/>
      <c r="K997" s="207"/>
      <c r="L997" s="122"/>
      <c r="M997" s="207"/>
      <c r="N997" s="207"/>
      <c r="O997" s="122"/>
      <c r="P997" s="205"/>
      <c r="Q997" s="205"/>
      <c r="R997" s="205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</row>
    <row r="998">
      <c r="A998" s="122"/>
      <c r="B998" s="204"/>
      <c r="C998" s="204"/>
      <c r="D998" s="204"/>
      <c r="E998" s="205"/>
      <c r="F998" s="205"/>
      <c r="G998" s="205"/>
      <c r="H998" s="206"/>
      <c r="I998" s="207"/>
      <c r="J998" s="207"/>
      <c r="K998" s="207"/>
      <c r="L998" s="122"/>
      <c r="M998" s="207"/>
      <c r="N998" s="207"/>
      <c r="O998" s="122"/>
      <c r="P998" s="205"/>
      <c r="Q998" s="205"/>
      <c r="R998" s="205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</row>
    <row r="999">
      <c r="A999" s="122"/>
      <c r="B999" s="204"/>
      <c r="C999" s="204"/>
      <c r="D999" s="204"/>
      <c r="E999" s="205"/>
      <c r="F999" s="205"/>
      <c r="G999" s="205"/>
      <c r="H999" s="206"/>
      <c r="I999" s="207"/>
      <c r="J999" s="207"/>
      <c r="K999" s="207"/>
      <c r="L999" s="122"/>
      <c r="M999" s="207"/>
      <c r="N999" s="207"/>
      <c r="O999" s="122"/>
      <c r="P999" s="205"/>
      <c r="Q999" s="205"/>
      <c r="R999" s="205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</row>
    <row r="1000">
      <c r="A1000" s="122"/>
      <c r="B1000" s="204"/>
      <c r="C1000" s="204"/>
      <c r="D1000" s="204"/>
      <c r="E1000" s="205"/>
      <c r="F1000" s="205"/>
      <c r="G1000" s="205"/>
      <c r="H1000" s="206"/>
      <c r="I1000" s="207"/>
      <c r="J1000" s="207"/>
      <c r="K1000" s="207"/>
      <c r="L1000" s="122"/>
      <c r="M1000" s="207"/>
      <c r="N1000" s="207"/>
      <c r="O1000" s="122"/>
      <c r="P1000" s="205"/>
      <c r="Q1000" s="205"/>
      <c r="R1000" s="205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</row>
    <row r="1001">
      <c r="A1001" s="122"/>
      <c r="B1001" s="204"/>
      <c r="C1001" s="204"/>
      <c r="D1001" s="204"/>
      <c r="E1001" s="205"/>
      <c r="F1001" s="205"/>
      <c r="G1001" s="205"/>
      <c r="H1001" s="206"/>
      <c r="I1001" s="207"/>
      <c r="J1001" s="207"/>
      <c r="K1001" s="207"/>
      <c r="L1001" s="122"/>
      <c r="M1001" s="207"/>
      <c r="N1001" s="207"/>
      <c r="O1001" s="122"/>
      <c r="P1001" s="205"/>
      <c r="Q1001" s="205"/>
      <c r="R1001" s="205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2"/>
    </row>
    <row r="1002">
      <c r="A1002" s="122"/>
      <c r="B1002" s="204"/>
      <c r="C1002" s="204"/>
      <c r="D1002" s="204"/>
      <c r="E1002" s="205"/>
      <c r="F1002" s="205"/>
      <c r="G1002" s="205"/>
      <c r="H1002" s="206"/>
      <c r="I1002" s="207"/>
      <c r="J1002" s="207"/>
      <c r="K1002" s="207"/>
      <c r="L1002" s="122"/>
      <c r="M1002" s="207"/>
      <c r="N1002" s="207"/>
      <c r="O1002" s="122"/>
      <c r="P1002" s="205"/>
      <c r="Q1002" s="205"/>
      <c r="R1002" s="205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2"/>
    </row>
    <row r="1003">
      <c r="A1003" s="122"/>
      <c r="B1003" s="204"/>
      <c r="C1003" s="204"/>
      <c r="D1003" s="204"/>
      <c r="E1003" s="205"/>
      <c r="F1003" s="205"/>
      <c r="G1003" s="205"/>
      <c r="H1003" s="206"/>
      <c r="I1003" s="207"/>
      <c r="J1003" s="207"/>
      <c r="K1003" s="207"/>
      <c r="L1003" s="122"/>
      <c r="M1003" s="207"/>
      <c r="N1003" s="207"/>
      <c r="O1003" s="122"/>
      <c r="P1003" s="205"/>
      <c r="Q1003" s="205"/>
      <c r="R1003" s="205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2"/>
    </row>
    <row r="1004">
      <c r="A1004" s="122"/>
      <c r="B1004" s="204"/>
      <c r="C1004" s="204"/>
      <c r="D1004" s="204"/>
      <c r="E1004" s="205"/>
      <c r="F1004" s="205"/>
      <c r="G1004" s="205"/>
      <c r="H1004" s="206"/>
      <c r="I1004" s="207"/>
      <c r="J1004" s="207"/>
      <c r="K1004" s="207"/>
      <c r="L1004" s="122"/>
      <c r="M1004" s="207"/>
      <c r="N1004" s="207"/>
      <c r="O1004" s="122"/>
      <c r="P1004" s="205"/>
      <c r="Q1004" s="205"/>
      <c r="R1004" s="205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2"/>
    </row>
    <row r="1005">
      <c r="A1005" s="122"/>
      <c r="B1005" s="204"/>
      <c r="C1005" s="204"/>
      <c r="D1005" s="204"/>
      <c r="E1005" s="205"/>
      <c r="F1005" s="205"/>
      <c r="G1005" s="205"/>
      <c r="H1005" s="206"/>
      <c r="I1005" s="207"/>
      <c r="J1005" s="207"/>
      <c r="K1005" s="207"/>
      <c r="L1005" s="122"/>
      <c r="M1005" s="207"/>
      <c r="N1005" s="207"/>
      <c r="O1005" s="122"/>
      <c r="P1005" s="205"/>
      <c r="Q1005" s="205"/>
      <c r="R1005" s="205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2"/>
    </row>
    <row r="1006">
      <c r="A1006" s="122"/>
      <c r="B1006" s="204"/>
      <c r="C1006" s="204"/>
      <c r="D1006" s="204"/>
      <c r="E1006" s="205"/>
      <c r="F1006" s="205"/>
      <c r="G1006" s="205"/>
      <c r="H1006" s="206"/>
      <c r="I1006" s="207"/>
      <c r="J1006" s="207"/>
      <c r="K1006" s="207"/>
      <c r="L1006" s="122"/>
      <c r="M1006" s="207"/>
      <c r="N1006" s="207"/>
      <c r="O1006" s="122"/>
      <c r="P1006" s="205"/>
      <c r="Q1006" s="205"/>
      <c r="R1006" s="205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2"/>
    </row>
    <row r="1007">
      <c r="A1007" s="122"/>
      <c r="B1007" s="204"/>
      <c r="C1007" s="204"/>
      <c r="D1007" s="204"/>
      <c r="E1007" s="205"/>
      <c r="F1007" s="205"/>
      <c r="G1007" s="205"/>
      <c r="H1007" s="206"/>
      <c r="I1007" s="207"/>
      <c r="J1007" s="207"/>
      <c r="K1007" s="207"/>
      <c r="L1007" s="122"/>
      <c r="M1007" s="207"/>
      <c r="N1007" s="207"/>
      <c r="O1007" s="122"/>
      <c r="P1007" s="205"/>
      <c r="Q1007" s="205"/>
      <c r="R1007" s="205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2"/>
    </row>
    <row r="1008">
      <c r="A1008" s="122"/>
      <c r="B1008" s="204"/>
      <c r="C1008" s="204"/>
      <c r="D1008" s="204"/>
      <c r="E1008" s="205"/>
      <c r="F1008" s="205"/>
      <c r="G1008" s="205"/>
      <c r="H1008" s="206"/>
      <c r="I1008" s="207"/>
      <c r="J1008" s="207"/>
      <c r="K1008" s="207"/>
      <c r="L1008" s="122"/>
      <c r="M1008" s="207"/>
      <c r="N1008" s="207"/>
      <c r="O1008" s="122"/>
      <c r="P1008" s="205"/>
      <c r="Q1008" s="205"/>
      <c r="R1008" s="205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2"/>
    </row>
    <row r="1009">
      <c r="A1009" s="122"/>
      <c r="B1009" s="204"/>
      <c r="C1009" s="204"/>
      <c r="D1009" s="204"/>
      <c r="E1009" s="205"/>
      <c r="F1009" s="205"/>
      <c r="G1009" s="205"/>
      <c r="H1009" s="206"/>
      <c r="I1009" s="207"/>
      <c r="J1009" s="207"/>
      <c r="K1009" s="207"/>
      <c r="L1009" s="122"/>
      <c r="M1009" s="207"/>
      <c r="N1009" s="207"/>
      <c r="O1009" s="122"/>
      <c r="P1009" s="205"/>
      <c r="Q1009" s="205"/>
      <c r="R1009" s="205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  <c r="AD1009" s="122"/>
    </row>
    <row r="1010">
      <c r="A1010" s="122"/>
      <c r="B1010" s="204"/>
      <c r="C1010" s="204"/>
      <c r="D1010" s="204"/>
      <c r="E1010" s="205"/>
      <c r="F1010" s="205"/>
      <c r="G1010" s="205"/>
      <c r="H1010" s="206"/>
      <c r="I1010" s="207"/>
      <c r="J1010" s="207"/>
      <c r="K1010" s="207"/>
      <c r="L1010" s="122"/>
      <c r="M1010" s="207"/>
      <c r="N1010" s="207"/>
      <c r="O1010" s="122"/>
      <c r="P1010" s="205"/>
      <c r="Q1010" s="205"/>
      <c r="R1010" s="205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  <c r="AD1010" s="122"/>
    </row>
    <row r="1011">
      <c r="A1011" s="122"/>
      <c r="B1011" s="204"/>
      <c r="C1011" s="204"/>
      <c r="D1011" s="204"/>
      <c r="E1011" s="205"/>
      <c r="F1011" s="205"/>
      <c r="G1011" s="205"/>
      <c r="H1011" s="206"/>
      <c r="I1011" s="207"/>
      <c r="J1011" s="207"/>
      <c r="K1011" s="207"/>
      <c r="L1011" s="122"/>
      <c r="M1011" s="207"/>
      <c r="N1011" s="207"/>
      <c r="O1011" s="122"/>
      <c r="P1011" s="205"/>
      <c r="Q1011" s="205"/>
      <c r="R1011" s="205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  <c r="AD1011" s="122"/>
    </row>
    <row r="1012">
      <c r="A1012" s="122"/>
      <c r="B1012" s="204"/>
      <c r="C1012" s="204"/>
      <c r="D1012" s="204"/>
      <c r="E1012" s="205"/>
      <c r="F1012" s="205"/>
      <c r="G1012" s="205"/>
      <c r="H1012" s="206"/>
      <c r="I1012" s="207"/>
      <c r="J1012" s="207"/>
      <c r="K1012" s="207"/>
      <c r="L1012" s="122"/>
      <c r="M1012" s="207"/>
      <c r="N1012" s="207"/>
      <c r="O1012" s="122"/>
      <c r="P1012" s="205"/>
      <c r="Q1012" s="205"/>
      <c r="R1012" s="205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  <c r="AC1012" s="122"/>
      <c r="AD1012" s="122"/>
    </row>
    <row r="1013">
      <c r="A1013" s="122"/>
      <c r="B1013" s="204"/>
      <c r="C1013" s="204"/>
      <c r="D1013" s="204"/>
      <c r="E1013" s="205"/>
      <c r="F1013" s="205"/>
      <c r="G1013" s="205"/>
      <c r="H1013" s="206"/>
      <c r="I1013" s="207"/>
      <c r="J1013" s="207"/>
      <c r="K1013" s="207"/>
      <c r="L1013" s="122"/>
      <c r="M1013" s="207"/>
      <c r="N1013" s="207"/>
      <c r="O1013" s="122"/>
      <c r="P1013" s="205"/>
      <c r="Q1013" s="205"/>
      <c r="R1013" s="205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  <c r="AC1013" s="122"/>
      <c r="AD1013" s="122"/>
    </row>
    <row r="1014">
      <c r="A1014" s="122"/>
      <c r="B1014" s="204"/>
      <c r="C1014" s="204"/>
      <c r="D1014" s="204"/>
      <c r="E1014" s="205"/>
      <c r="F1014" s="205"/>
      <c r="G1014" s="205"/>
      <c r="H1014" s="206"/>
      <c r="I1014" s="207"/>
      <c r="J1014" s="207"/>
      <c r="K1014" s="207"/>
      <c r="L1014" s="122"/>
      <c r="M1014" s="207"/>
      <c r="N1014" s="207"/>
      <c r="O1014" s="122"/>
      <c r="P1014" s="205"/>
      <c r="Q1014" s="205"/>
      <c r="R1014" s="205"/>
      <c r="S1014" s="122"/>
      <c r="T1014" s="122"/>
      <c r="U1014" s="122"/>
      <c r="V1014" s="122"/>
      <c r="W1014" s="122"/>
      <c r="X1014" s="122"/>
      <c r="Y1014" s="122"/>
      <c r="Z1014" s="122"/>
      <c r="AA1014" s="122"/>
      <c r="AB1014" s="122"/>
      <c r="AC1014" s="122"/>
      <c r="AD1014" s="122"/>
    </row>
    <row r="1015">
      <c r="A1015" s="122"/>
      <c r="B1015" s="204"/>
      <c r="C1015" s="204"/>
      <c r="D1015" s="204"/>
      <c r="E1015" s="205"/>
      <c r="F1015" s="205"/>
      <c r="G1015" s="205"/>
      <c r="H1015" s="206"/>
      <c r="I1015" s="207"/>
      <c r="J1015" s="207"/>
      <c r="K1015" s="207"/>
      <c r="L1015" s="122"/>
      <c r="M1015" s="207"/>
      <c r="N1015" s="207"/>
      <c r="O1015" s="122"/>
      <c r="P1015" s="205"/>
      <c r="Q1015" s="205"/>
      <c r="R1015" s="205"/>
      <c r="S1015" s="122"/>
      <c r="T1015" s="122"/>
      <c r="U1015" s="122"/>
      <c r="V1015" s="122"/>
      <c r="W1015" s="122"/>
      <c r="X1015" s="122"/>
      <c r="Y1015" s="122"/>
      <c r="Z1015" s="122"/>
      <c r="AA1015" s="122"/>
      <c r="AB1015" s="122"/>
      <c r="AC1015" s="122"/>
      <c r="AD1015" s="122"/>
    </row>
    <row r="1016">
      <c r="A1016" s="122"/>
      <c r="B1016" s="204"/>
      <c r="C1016" s="204"/>
      <c r="D1016" s="204"/>
      <c r="E1016" s="205"/>
      <c r="F1016" s="205"/>
      <c r="G1016" s="205"/>
      <c r="H1016" s="206"/>
      <c r="I1016" s="207"/>
      <c r="J1016" s="207"/>
      <c r="K1016" s="207"/>
      <c r="L1016" s="122"/>
      <c r="M1016" s="207"/>
      <c r="N1016" s="207"/>
      <c r="O1016" s="122"/>
      <c r="P1016" s="205"/>
      <c r="Q1016" s="205"/>
      <c r="R1016" s="205"/>
      <c r="S1016" s="122"/>
      <c r="T1016" s="122"/>
      <c r="U1016" s="122"/>
      <c r="V1016" s="122"/>
      <c r="W1016" s="122"/>
      <c r="X1016" s="122"/>
      <c r="Y1016" s="122"/>
      <c r="Z1016" s="122"/>
      <c r="AA1016" s="122"/>
      <c r="AB1016" s="122"/>
      <c r="AC1016" s="122"/>
      <c r="AD1016" s="122"/>
    </row>
    <row r="1017">
      <c r="A1017" s="122"/>
      <c r="B1017" s="204"/>
      <c r="C1017" s="204"/>
      <c r="D1017" s="204"/>
      <c r="E1017" s="205"/>
      <c r="F1017" s="205"/>
      <c r="G1017" s="205"/>
      <c r="H1017" s="206"/>
      <c r="I1017" s="207"/>
      <c r="J1017" s="207"/>
      <c r="K1017" s="207"/>
      <c r="L1017" s="122"/>
      <c r="M1017" s="207"/>
      <c r="N1017" s="207"/>
      <c r="O1017" s="122"/>
      <c r="P1017" s="205"/>
      <c r="Q1017" s="205"/>
      <c r="R1017" s="205"/>
      <c r="S1017" s="122"/>
      <c r="T1017" s="122"/>
      <c r="U1017" s="122"/>
      <c r="V1017" s="122"/>
      <c r="W1017" s="122"/>
      <c r="X1017" s="122"/>
      <c r="Y1017" s="122"/>
      <c r="Z1017" s="122"/>
      <c r="AA1017" s="122"/>
      <c r="AB1017" s="122"/>
      <c r="AC1017" s="122"/>
      <c r="AD1017" s="122"/>
    </row>
    <row r="1018">
      <c r="A1018" s="122"/>
      <c r="B1018" s="204"/>
      <c r="C1018" s="204"/>
      <c r="D1018" s="204"/>
      <c r="E1018" s="205"/>
      <c r="F1018" s="205"/>
      <c r="G1018" s="205"/>
      <c r="H1018" s="206"/>
      <c r="I1018" s="207"/>
      <c r="J1018" s="207"/>
      <c r="K1018" s="207"/>
      <c r="L1018" s="122"/>
      <c r="M1018" s="207"/>
      <c r="N1018" s="207"/>
      <c r="O1018" s="122"/>
      <c r="P1018" s="205"/>
      <c r="Q1018" s="205"/>
      <c r="R1018" s="205"/>
      <c r="S1018" s="122"/>
      <c r="T1018" s="122"/>
      <c r="U1018" s="122"/>
      <c r="V1018" s="122"/>
      <c r="W1018" s="122"/>
      <c r="X1018" s="122"/>
      <c r="Y1018" s="122"/>
      <c r="Z1018" s="122"/>
      <c r="AA1018" s="122"/>
      <c r="AB1018" s="122"/>
      <c r="AC1018" s="122"/>
      <c r="AD1018" s="122"/>
    </row>
    <row r="1019">
      <c r="A1019" s="122"/>
      <c r="B1019" s="204"/>
      <c r="C1019" s="204"/>
      <c r="D1019" s="204"/>
      <c r="E1019" s="205"/>
      <c r="F1019" s="205"/>
      <c r="G1019" s="205"/>
      <c r="H1019" s="206"/>
      <c r="I1019" s="207"/>
      <c r="J1019" s="207"/>
      <c r="K1019" s="207"/>
      <c r="L1019" s="122"/>
      <c r="M1019" s="207"/>
      <c r="N1019" s="207"/>
      <c r="O1019" s="122"/>
      <c r="P1019" s="205"/>
      <c r="Q1019" s="205"/>
      <c r="R1019" s="205"/>
      <c r="S1019" s="122"/>
      <c r="T1019" s="122"/>
      <c r="U1019" s="122"/>
      <c r="V1019" s="122"/>
      <c r="W1019" s="122"/>
      <c r="X1019" s="122"/>
      <c r="Y1019" s="122"/>
      <c r="Z1019" s="122"/>
      <c r="AA1019" s="122"/>
      <c r="AB1019" s="122"/>
      <c r="AC1019" s="122"/>
      <c r="AD1019" s="122"/>
    </row>
    <row r="1020">
      <c r="A1020" s="122"/>
      <c r="B1020" s="204"/>
      <c r="C1020" s="204"/>
      <c r="D1020" s="204"/>
      <c r="E1020" s="205"/>
      <c r="F1020" s="205"/>
      <c r="G1020" s="205"/>
      <c r="H1020" s="206"/>
      <c r="I1020" s="207"/>
      <c r="J1020" s="207"/>
      <c r="K1020" s="207"/>
      <c r="L1020" s="122"/>
      <c r="M1020" s="207"/>
      <c r="N1020" s="207"/>
      <c r="O1020" s="122"/>
      <c r="P1020" s="205"/>
      <c r="Q1020" s="205"/>
      <c r="R1020" s="205"/>
      <c r="S1020" s="122"/>
      <c r="T1020" s="122"/>
      <c r="U1020" s="122"/>
      <c r="V1020" s="122"/>
      <c r="W1020" s="122"/>
      <c r="X1020" s="122"/>
      <c r="Y1020" s="122"/>
      <c r="Z1020" s="122"/>
      <c r="AA1020" s="122"/>
      <c r="AB1020" s="122"/>
      <c r="AC1020" s="122"/>
      <c r="AD1020" s="122"/>
    </row>
    <row r="1021">
      <c r="A1021" s="122"/>
      <c r="B1021" s="204"/>
      <c r="C1021" s="204"/>
      <c r="D1021" s="204"/>
      <c r="E1021" s="205"/>
      <c r="F1021" s="205"/>
      <c r="G1021" s="205"/>
      <c r="H1021" s="206"/>
      <c r="I1021" s="207"/>
      <c r="J1021" s="207"/>
      <c r="K1021" s="207"/>
      <c r="L1021" s="122"/>
      <c r="M1021" s="207"/>
      <c r="N1021" s="207"/>
      <c r="O1021" s="122"/>
      <c r="P1021" s="205"/>
      <c r="Q1021" s="205"/>
      <c r="R1021" s="205"/>
      <c r="S1021" s="122"/>
      <c r="T1021" s="122"/>
      <c r="U1021" s="122"/>
      <c r="V1021" s="122"/>
      <c r="W1021" s="122"/>
      <c r="X1021" s="122"/>
      <c r="Y1021" s="122"/>
      <c r="Z1021" s="122"/>
      <c r="AA1021" s="122"/>
      <c r="AB1021" s="122"/>
      <c r="AC1021" s="122"/>
      <c r="AD1021" s="122"/>
    </row>
  </sheetData>
  <mergeCells count="19">
    <mergeCell ref="L2:L3"/>
    <mergeCell ref="N2:N3"/>
    <mergeCell ref="R2:R3"/>
    <mergeCell ref="R4:R5"/>
    <mergeCell ref="P5:P10"/>
    <mergeCell ref="Q5:Q10"/>
    <mergeCell ref="R7:R10"/>
    <mergeCell ref="D2:D3"/>
    <mergeCell ref="E4:E10"/>
    <mergeCell ref="F4:F10"/>
    <mergeCell ref="G4:G5"/>
    <mergeCell ref="G7:G10"/>
    <mergeCell ref="J1:L1"/>
    <mergeCell ref="M1:O1"/>
    <mergeCell ref="B2:B3"/>
    <mergeCell ref="C2:C3"/>
    <mergeCell ref="H2:H3"/>
    <mergeCell ref="K2:K3"/>
    <mergeCell ref="O2:O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4.0"/>
    <col customWidth="1" min="3" max="3" width="11.25"/>
    <col customWidth="1" min="4" max="4" width="9.75"/>
    <col customWidth="1" min="5" max="5" width="19.25"/>
    <col customWidth="1" min="6" max="6" width="18.88"/>
    <col customWidth="1" min="7" max="7" width="19.25"/>
    <col customWidth="1" min="8" max="8" width="40.25"/>
    <col customWidth="1" min="9" max="9" width="14.25"/>
    <col customWidth="1" hidden="1" min="10" max="10" width="14.25"/>
    <col customWidth="1" hidden="1" min="11" max="11" width="16.88"/>
    <col customWidth="1" hidden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34.38"/>
  </cols>
  <sheetData>
    <row r="1">
      <c r="A1" s="1"/>
      <c r="B1" s="2"/>
      <c r="C1" s="2"/>
      <c r="D1" s="2"/>
      <c r="E1" s="4"/>
      <c r="F1" s="4"/>
      <c r="G1" s="4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8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208"/>
      <c r="F3" s="42"/>
      <c r="G3" s="208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203" t="s">
        <v>356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357</v>
      </c>
      <c r="C4" s="53" t="s">
        <v>358</v>
      </c>
      <c r="D4" s="54" t="s">
        <v>359</v>
      </c>
      <c r="E4" s="104"/>
      <c r="F4" s="104"/>
      <c r="G4" s="104"/>
      <c r="H4" s="62" t="s">
        <v>43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104"/>
      <c r="F5" s="104"/>
      <c r="G5" s="104"/>
      <c r="H5" s="76" t="s">
        <v>206</v>
      </c>
      <c r="I5" s="84">
        <f>13200/1.07</f>
        <v>12336.4486</v>
      </c>
      <c r="J5" s="86"/>
      <c r="K5" s="87"/>
      <c r="L5" s="88"/>
      <c r="M5" s="86">
        <v>7500.0</v>
      </c>
      <c r="N5" s="87">
        <f>I5-M5</f>
        <v>4836.448598</v>
      </c>
      <c r="O5" s="88">
        <f>N5/I5</f>
        <v>0.3920454545</v>
      </c>
      <c r="P5" s="59"/>
      <c r="Q5" s="59"/>
      <c r="R5" s="19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104"/>
      <c r="F6" s="104"/>
      <c r="G6" s="104"/>
      <c r="H6" s="62" t="s">
        <v>92</v>
      </c>
      <c r="I6" s="102"/>
      <c r="J6" s="106"/>
      <c r="K6" s="87"/>
      <c r="L6" s="88"/>
      <c r="M6" s="87"/>
      <c r="N6" s="86"/>
      <c r="O6" s="103"/>
      <c r="P6" s="59"/>
      <c r="Q6" s="59"/>
      <c r="R6" s="18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104"/>
      <c r="F7" s="104"/>
      <c r="G7" s="104"/>
      <c r="H7" s="109"/>
      <c r="I7" s="102"/>
      <c r="J7" s="87"/>
      <c r="K7" s="87"/>
      <c r="L7" s="74"/>
      <c r="M7" s="87"/>
      <c r="N7" s="86"/>
      <c r="O7" s="103"/>
      <c r="P7" s="59"/>
      <c r="Q7" s="105"/>
      <c r="R7" s="18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104"/>
      <c r="F8" s="104"/>
      <c r="G8" s="104"/>
      <c r="H8" s="109"/>
      <c r="I8" s="114"/>
      <c r="J8" s="87"/>
      <c r="K8" s="87"/>
      <c r="L8" s="74"/>
      <c r="M8" s="87"/>
      <c r="N8" s="86"/>
      <c r="O8" s="103"/>
      <c r="P8" s="59"/>
      <c r="Q8" s="105"/>
      <c r="R8" s="18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104"/>
      <c r="F9" s="104"/>
      <c r="G9" s="104"/>
      <c r="H9" s="109"/>
      <c r="I9" s="114"/>
      <c r="J9" s="87"/>
      <c r="K9" s="87"/>
      <c r="L9" s="74"/>
      <c r="M9" s="87"/>
      <c r="N9" s="86"/>
      <c r="O9" s="103"/>
      <c r="P9" s="59"/>
      <c r="Q9" s="105"/>
      <c r="R9" s="18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4"/>
      <c r="F10" s="104"/>
      <c r="G10" s="104"/>
      <c r="H10" s="109"/>
      <c r="I10" s="114"/>
      <c r="J10" s="87"/>
      <c r="K10" s="87"/>
      <c r="L10" s="74"/>
      <c r="M10" s="87"/>
      <c r="N10" s="86"/>
      <c r="O10" s="103"/>
      <c r="P10" s="59"/>
      <c r="Q10" s="105"/>
      <c r="R10" s="18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04"/>
      <c r="F11" s="104"/>
      <c r="G11" s="104"/>
      <c r="H11" s="109"/>
      <c r="I11" s="114"/>
      <c r="J11" s="87"/>
      <c r="K11" s="87"/>
      <c r="L11" s="74"/>
      <c r="M11" s="87"/>
      <c r="N11" s="86"/>
      <c r="O11" s="103"/>
      <c r="P11" s="59"/>
      <c r="Q11" s="105"/>
      <c r="R11" s="18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04"/>
      <c r="F12" s="104"/>
      <c r="G12" s="104"/>
      <c r="H12" s="109"/>
      <c r="I12" s="114"/>
      <c r="J12" s="87"/>
      <c r="K12" s="87"/>
      <c r="L12" s="74"/>
      <c r="M12" s="87"/>
      <c r="N12" s="86"/>
      <c r="O12" s="103"/>
      <c r="P12" s="59"/>
      <c r="Q12" s="105"/>
      <c r="R12" s="18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04"/>
      <c r="F13" s="104"/>
      <c r="G13" s="104"/>
      <c r="H13" s="109"/>
      <c r="I13" s="114"/>
      <c r="J13" s="87"/>
      <c r="K13" s="87"/>
      <c r="L13" s="74"/>
      <c r="M13" s="87"/>
      <c r="N13" s="86"/>
      <c r="O13" s="103"/>
      <c r="P13" s="59"/>
      <c r="Q13" s="105"/>
      <c r="R13" s="18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04"/>
      <c r="F14" s="104"/>
      <c r="G14" s="104"/>
      <c r="H14" s="109"/>
      <c r="I14" s="114"/>
      <c r="J14" s="87"/>
      <c r="K14" s="87"/>
      <c r="L14" s="74"/>
      <c r="M14" s="87"/>
      <c r="N14" s="86"/>
      <c r="O14" s="103"/>
      <c r="P14" s="59"/>
      <c r="Q14" s="105"/>
      <c r="R14" s="18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04"/>
      <c r="F15" s="104"/>
      <c r="G15" s="104"/>
      <c r="H15" s="109"/>
      <c r="I15" s="114"/>
      <c r="J15" s="87"/>
      <c r="K15" s="87"/>
      <c r="L15" s="74"/>
      <c r="M15" s="87"/>
      <c r="N15" s="86"/>
      <c r="O15" s="103"/>
      <c r="P15" s="59"/>
      <c r="Q15" s="105"/>
      <c r="R15" s="18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13" t="str">
        <f t="shared" ref="B16:C16" si="1">B4</f>
        <v>The Origin Phahol 57</v>
      </c>
      <c r="C16" s="113" t="str">
        <f t="shared" si="1"/>
        <v>Room A402</v>
      </c>
      <c r="D16" s="115">
        <f>SUM(D4:D15)</f>
        <v>0</v>
      </c>
      <c r="E16" s="116"/>
      <c r="F16" s="116"/>
      <c r="G16" s="116"/>
      <c r="H16" s="113" t="s">
        <v>95</v>
      </c>
      <c r="I16" s="118">
        <f t="shared" ref="I16:J16" si="2">SUM(I4:I15)</f>
        <v>12336.4486</v>
      </c>
      <c r="J16" s="118">
        <f t="shared" si="2"/>
        <v>0</v>
      </c>
      <c r="K16" s="118">
        <f>I16-J16</f>
        <v>12336.4486</v>
      </c>
      <c r="L16" s="119">
        <f>K16/I16</f>
        <v>1</v>
      </c>
      <c r="M16" s="118">
        <f>SUM(M4:M15)</f>
        <v>7500</v>
      </c>
      <c r="N16" s="118">
        <f>I16-M16</f>
        <v>4836.448598</v>
      </c>
      <c r="O16" s="119">
        <f>N16/I16</f>
        <v>0.3920454545</v>
      </c>
      <c r="P16" s="120"/>
      <c r="Q16" s="121"/>
      <c r="R16" s="12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22"/>
      <c r="B17" s="123"/>
      <c r="C17" s="124"/>
      <c r="D17" s="124"/>
      <c r="E17" s="125"/>
      <c r="F17" s="125"/>
      <c r="G17" s="125"/>
      <c r="H17" s="126"/>
      <c r="I17" s="127"/>
      <c r="J17" s="127"/>
      <c r="K17" s="127"/>
      <c r="L17" s="128"/>
      <c r="M17" s="127"/>
      <c r="N17" s="127"/>
      <c r="O17" s="128"/>
      <c r="P17" s="125"/>
      <c r="Q17" s="125"/>
      <c r="R17" s="125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>
      <c r="A18" s="1"/>
      <c r="B18" s="51" t="s">
        <v>357</v>
      </c>
      <c r="C18" s="53" t="s">
        <v>360</v>
      </c>
      <c r="D18" s="54"/>
      <c r="E18" s="104"/>
      <c r="F18" s="104"/>
      <c r="G18" s="104"/>
      <c r="H18" s="62" t="s">
        <v>43</v>
      </c>
      <c r="I18" s="63"/>
      <c r="J18" s="65"/>
      <c r="K18" s="63"/>
      <c r="L18" s="67"/>
      <c r="M18" s="65"/>
      <c r="N18" s="63"/>
      <c r="O18" s="67"/>
      <c r="P18" s="59"/>
      <c r="Q18" s="59"/>
      <c r="R18" s="5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71"/>
      <c r="C19" s="73"/>
      <c r="D19" s="74"/>
      <c r="E19" s="104"/>
      <c r="F19" s="104"/>
      <c r="G19" s="104"/>
      <c r="H19" s="76" t="s">
        <v>361</v>
      </c>
      <c r="I19" s="84">
        <f>10000/1.07</f>
        <v>9345.794393</v>
      </c>
      <c r="J19" s="86"/>
      <c r="K19" s="87"/>
      <c r="L19" s="88"/>
      <c r="M19" s="86">
        <v>5000.0</v>
      </c>
      <c r="N19" s="87">
        <f>I19-M19</f>
        <v>4345.794393</v>
      </c>
      <c r="O19" s="88">
        <f>N19/I19</f>
        <v>0.465</v>
      </c>
      <c r="P19" s="59"/>
      <c r="Q19" s="59"/>
      <c r="R19" s="197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1"/>
      <c r="C20" s="73"/>
      <c r="D20" s="74"/>
      <c r="E20" s="104"/>
      <c r="F20" s="104"/>
      <c r="G20" s="104"/>
      <c r="H20" s="62" t="s">
        <v>92</v>
      </c>
      <c r="I20" s="102"/>
      <c r="J20" s="106"/>
      <c r="K20" s="87"/>
      <c r="L20" s="88"/>
      <c r="M20" s="87"/>
      <c r="N20" s="86"/>
      <c r="O20" s="103"/>
      <c r="P20" s="59"/>
      <c r="Q20" s="59"/>
      <c r="R20" s="18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71"/>
      <c r="C21" s="73"/>
      <c r="D21" s="74"/>
      <c r="E21" s="104"/>
      <c r="F21" s="104"/>
      <c r="G21" s="104"/>
      <c r="H21" s="109"/>
      <c r="I21" s="102"/>
      <c r="J21" s="87"/>
      <c r="K21" s="87"/>
      <c r="L21" s="74"/>
      <c r="M21" s="87"/>
      <c r="N21" s="86"/>
      <c r="O21" s="103"/>
      <c r="P21" s="59"/>
      <c r="Q21" s="105"/>
      <c r="R21" s="184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1"/>
      <c r="C22" s="73"/>
      <c r="D22" s="74"/>
      <c r="E22" s="104"/>
      <c r="F22" s="104"/>
      <c r="G22" s="104"/>
      <c r="H22" s="109"/>
      <c r="I22" s="114"/>
      <c r="J22" s="87"/>
      <c r="K22" s="87"/>
      <c r="L22" s="74"/>
      <c r="M22" s="87"/>
      <c r="N22" s="86"/>
      <c r="O22" s="103"/>
      <c r="P22" s="59"/>
      <c r="Q22" s="105"/>
      <c r="R22" s="184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71"/>
      <c r="C23" s="73"/>
      <c r="D23" s="74"/>
      <c r="E23" s="104"/>
      <c r="F23" s="104"/>
      <c r="G23" s="104"/>
      <c r="H23" s="109"/>
      <c r="I23" s="114"/>
      <c r="J23" s="87"/>
      <c r="K23" s="87"/>
      <c r="L23" s="74"/>
      <c r="M23" s="87"/>
      <c r="N23" s="86"/>
      <c r="O23" s="103"/>
      <c r="P23" s="59"/>
      <c r="Q23" s="105"/>
      <c r="R23" s="184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71"/>
      <c r="C24" s="73"/>
      <c r="D24" s="74"/>
      <c r="E24" s="104"/>
      <c r="F24" s="104"/>
      <c r="G24" s="104"/>
      <c r="H24" s="109"/>
      <c r="I24" s="114"/>
      <c r="J24" s="87"/>
      <c r="K24" s="87"/>
      <c r="L24" s="74"/>
      <c r="M24" s="87"/>
      <c r="N24" s="86"/>
      <c r="O24" s="103"/>
      <c r="P24" s="59"/>
      <c r="Q24" s="105"/>
      <c r="R24" s="18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71"/>
      <c r="C25" s="73"/>
      <c r="D25" s="74"/>
      <c r="E25" s="104"/>
      <c r="F25" s="104"/>
      <c r="G25" s="104"/>
      <c r="H25" s="109"/>
      <c r="I25" s="114"/>
      <c r="J25" s="87"/>
      <c r="K25" s="87"/>
      <c r="L25" s="74"/>
      <c r="M25" s="87"/>
      <c r="N25" s="86"/>
      <c r="O25" s="103"/>
      <c r="P25" s="59"/>
      <c r="Q25" s="105"/>
      <c r="R25" s="18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71"/>
      <c r="C26" s="73"/>
      <c r="D26" s="74"/>
      <c r="E26" s="104"/>
      <c r="F26" s="104"/>
      <c r="G26" s="104"/>
      <c r="H26" s="109"/>
      <c r="I26" s="114"/>
      <c r="J26" s="87"/>
      <c r="K26" s="87"/>
      <c r="L26" s="74"/>
      <c r="M26" s="87"/>
      <c r="N26" s="86"/>
      <c r="O26" s="103"/>
      <c r="P26" s="59"/>
      <c r="Q26" s="105"/>
      <c r="R26" s="18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1"/>
      <c r="C27" s="73"/>
      <c r="D27" s="74"/>
      <c r="E27" s="104"/>
      <c r="F27" s="104"/>
      <c r="G27" s="104"/>
      <c r="H27" s="109"/>
      <c r="I27" s="114"/>
      <c r="J27" s="87"/>
      <c r="K27" s="87"/>
      <c r="L27" s="74"/>
      <c r="M27" s="87"/>
      <c r="N27" s="86"/>
      <c r="O27" s="103"/>
      <c r="P27" s="59"/>
      <c r="Q27" s="105"/>
      <c r="R27" s="18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1"/>
      <c r="C28" s="73"/>
      <c r="D28" s="74"/>
      <c r="E28" s="104"/>
      <c r="F28" s="104"/>
      <c r="G28" s="104"/>
      <c r="H28" s="109"/>
      <c r="I28" s="114"/>
      <c r="J28" s="87"/>
      <c r="K28" s="87"/>
      <c r="L28" s="74"/>
      <c r="M28" s="87"/>
      <c r="N28" s="86"/>
      <c r="O28" s="103"/>
      <c r="P28" s="59"/>
      <c r="Q28" s="105"/>
      <c r="R28" s="184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1"/>
      <c r="C29" s="73"/>
      <c r="D29" s="74"/>
      <c r="E29" s="104"/>
      <c r="F29" s="104"/>
      <c r="G29" s="104"/>
      <c r="H29" s="109"/>
      <c r="I29" s="114"/>
      <c r="J29" s="87"/>
      <c r="K29" s="87"/>
      <c r="L29" s="74"/>
      <c r="M29" s="87"/>
      <c r="N29" s="86"/>
      <c r="O29" s="103"/>
      <c r="P29" s="59"/>
      <c r="Q29" s="105"/>
      <c r="R29" s="18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13" t="str">
        <f t="shared" ref="B30:C30" si="3">B18</f>
        <v>The Origin Phahol 57</v>
      </c>
      <c r="C30" s="113" t="str">
        <f t="shared" si="3"/>
        <v>Room B720</v>
      </c>
      <c r="D30" s="115">
        <f>SUM(D18:D29)</f>
        <v>0</v>
      </c>
      <c r="E30" s="116"/>
      <c r="F30" s="116"/>
      <c r="G30" s="116"/>
      <c r="H30" s="113" t="s">
        <v>95</v>
      </c>
      <c r="I30" s="118">
        <f t="shared" ref="I30:J30" si="4">SUM(I18:I29)</f>
        <v>9345.794393</v>
      </c>
      <c r="J30" s="118">
        <f t="shared" si="4"/>
        <v>0</v>
      </c>
      <c r="K30" s="118">
        <f>I30-J30</f>
        <v>9345.794393</v>
      </c>
      <c r="L30" s="119">
        <f>K30/I30</f>
        <v>1</v>
      </c>
      <c r="M30" s="118">
        <f>SUM(M18:M29)</f>
        <v>5000</v>
      </c>
      <c r="N30" s="118">
        <f>I30-M30</f>
        <v>4345.794393</v>
      </c>
      <c r="O30" s="119">
        <f>N30/I30</f>
        <v>0.465</v>
      </c>
      <c r="P30" s="120"/>
      <c r="Q30" s="121"/>
      <c r="R30" s="12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22"/>
      <c r="B31" s="204"/>
      <c r="C31" s="204"/>
      <c r="D31" s="204"/>
      <c r="E31" s="205"/>
      <c r="F31" s="205"/>
      <c r="G31" s="205"/>
      <c r="H31" s="206"/>
      <c r="I31" s="207"/>
      <c r="J31" s="207"/>
      <c r="K31" s="207"/>
      <c r="L31" s="122"/>
      <c r="M31" s="207"/>
      <c r="N31" s="207"/>
      <c r="O31" s="122"/>
      <c r="P31" s="205"/>
      <c r="Q31" s="205"/>
      <c r="R31" s="205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</row>
    <row r="32">
      <c r="A32" s="122"/>
      <c r="B32" s="204"/>
      <c r="C32" s="204"/>
      <c r="D32" s="204"/>
      <c r="E32" s="205"/>
      <c r="F32" s="205"/>
      <c r="G32" s="205"/>
      <c r="H32" s="206"/>
      <c r="I32" s="207"/>
      <c r="J32" s="207"/>
      <c r="K32" s="207"/>
      <c r="L32" s="122"/>
      <c r="M32" s="207"/>
      <c r="N32" s="207"/>
      <c r="O32" s="122"/>
      <c r="P32" s="205"/>
      <c r="Q32" s="205"/>
      <c r="R32" s="205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</row>
    <row r="33">
      <c r="A33" s="122"/>
      <c r="B33" s="204"/>
      <c r="C33" s="204"/>
      <c r="D33" s="204"/>
      <c r="E33" s="205"/>
      <c r="F33" s="205"/>
      <c r="G33" s="205"/>
      <c r="H33" s="206"/>
      <c r="I33" s="207"/>
      <c r="J33" s="207"/>
      <c r="K33" s="207"/>
      <c r="L33" s="122"/>
      <c r="M33" s="207"/>
      <c r="N33" s="207"/>
      <c r="O33" s="122"/>
      <c r="P33" s="205"/>
      <c r="Q33" s="205"/>
      <c r="R33" s="205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</row>
    <row r="34">
      <c r="A34" s="122"/>
      <c r="B34" s="204"/>
      <c r="C34" s="204"/>
      <c r="D34" s="204"/>
      <c r="E34" s="205"/>
      <c r="F34" s="205"/>
      <c r="G34" s="205"/>
      <c r="H34" s="206"/>
      <c r="I34" s="207"/>
      <c r="J34" s="207"/>
      <c r="K34" s="207"/>
      <c r="L34" s="122"/>
      <c r="M34" s="207"/>
      <c r="N34" s="207"/>
      <c r="O34" s="122"/>
      <c r="P34" s="205"/>
      <c r="Q34" s="205"/>
      <c r="R34" s="205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</row>
    <row r="35">
      <c r="A35" s="122"/>
      <c r="B35" s="204"/>
      <c r="C35" s="204"/>
      <c r="D35" s="204"/>
      <c r="E35" s="205"/>
      <c r="F35" s="205"/>
      <c r="G35" s="205"/>
      <c r="H35" s="206"/>
      <c r="I35" s="207"/>
      <c r="J35" s="207"/>
      <c r="K35" s="207"/>
      <c r="L35" s="122"/>
      <c r="M35" s="207"/>
      <c r="N35" s="207"/>
      <c r="O35" s="122"/>
      <c r="P35" s="205"/>
      <c r="Q35" s="205"/>
      <c r="R35" s="205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</row>
    <row r="36">
      <c r="A36" s="122"/>
      <c r="B36" s="204"/>
      <c r="C36" s="204"/>
      <c r="D36" s="204"/>
      <c r="E36" s="205"/>
      <c r="F36" s="205"/>
      <c r="G36" s="205"/>
      <c r="H36" s="206"/>
      <c r="I36" s="207"/>
      <c r="J36" s="207"/>
      <c r="K36" s="207"/>
      <c r="L36" s="122"/>
      <c r="M36" s="207"/>
      <c r="N36" s="207"/>
      <c r="O36" s="122"/>
      <c r="P36" s="205"/>
      <c r="Q36" s="205"/>
      <c r="R36" s="205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</row>
    <row r="37">
      <c r="A37" s="122"/>
      <c r="B37" s="204"/>
      <c r="C37" s="204"/>
      <c r="D37" s="204"/>
      <c r="E37" s="205"/>
      <c r="F37" s="205"/>
      <c r="G37" s="205"/>
      <c r="H37" s="206"/>
      <c r="I37" s="207"/>
      <c r="J37" s="207"/>
      <c r="K37" s="207"/>
      <c r="L37" s="122"/>
      <c r="M37" s="207"/>
      <c r="N37" s="207"/>
      <c r="O37" s="122"/>
      <c r="P37" s="205"/>
      <c r="Q37" s="205"/>
      <c r="R37" s="205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</row>
    <row r="38">
      <c r="A38" s="122"/>
      <c r="B38" s="204"/>
      <c r="C38" s="204"/>
      <c r="D38" s="204"/>
      <c r="E38" s="205"/>
      <c r="F38" s="205"/>
      <c r="G38" s="205"/>
      <c r="H38" s="206"/>
      <c r="I38" s="207"/>
      <c r="J38" s="207"/>
      <c r="K38" s="207"/>
      <c r="L38" s="122"/>
      <c r="M38" s="207"/>
      <c r="N38" s="207"/>
      <c r="O38" s="122"/>
      <c r="P38" s="205"/>
      <c r="Q38" s="205"/>
      <c r="R38" s="205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</row>
    <row r="39">
      <c r="A39" s="122"/>
      <c r="B39" s="204"/>
      <c r="C39" s="204"/>
      <c r="D39" s="204"/>
      <c r="E39" s="205"/>
      <c r="F39" s="205"/>
      <c r="G39" s="205"/>
      <c r="H39" s="206"/>
      <c r="I39" s="207"/>
      <c r="J39" s="207"/>
      <c r="K39" s="207"/>
      <c r="L39" s="122"/>
      <c r="M39" s="207"/>
      <c r="N39" s="207"/>
      <c r="O39" s="122"/>
      <c r="P39" s="205"/>
      <c r="Q39" s="205"/>
      <c r="R39" s="205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</row>
    <row r="40">
      <c r="A40" s="122"/>
      <c r="B40" s="204"/>
      <c r="C40" s="204"/>
      <c r="D40" s="204"/>
      <c r="E40" s="205"/>
      <c r="F40" s="205"/>
      <c r="G40" s="205"/>
      <c r="H40" s="206"/>
      <c r="I40" s="207"/>
      <c r="J40" s="207"/>
      <c r="K40" s="207"/>
      <c r="L40" s="122"/>
      <c r="M40" s="207"/>
      <c r="N40" s="207"/>
      <c r="O40" s="122"/>
      <c r="P40" s="205"/>
      <c r="Q40" s="205"/>
      <c r="R40" s="205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</row>
    <row r="41">
      <c r="A41" s="122"/>
      <c r="B41" s="204"/>
      <c r="C41" s="204"/>
      <c r="D41" s="204"/>
      <c r="E41" s="205"/>
      <c r="F41" s="205"/>
      <c r="G41" s="205"/>
      <c r="H41" s="206"/>
      <c r="I41" s="207"/>
      <c r="J41" s="207"/>
      <c r="K41" s="207"/>
      <c r="L41" s="122"/>
      <c r="M41" s="207"/>
      <c r="N41" s="207"/>
      <c r="O41" s="122"/>
      <c r="P41" s="205"/>
      <c r="Q41" s="205"/>
      <c r="R41" s="205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</row>
    <row r="42">
      <c r="A42" s="122"/>
      <c r="B42" s="204"/>
      <c r="C42" s="204"/>
      <c r="D42" s="204"/>
      <c r="E42" s="205"/>
      <c r="F42" s="205"/>
      <c r="G42" s="205"/>
      <c r="H42" s="206"/>
      <c r="I42" s="207"/>
      <c r="J42" s="207"/>
      <c r="K42" s="207"/>
      <c r="L42" s="122"/>
      <c r="M42" s="207"/>
      <c r="N42" s="207"/>
      <c r="O42" s="122"/>
      <c r="P42" s="205"/>
      <c r="Q42" s="205"/>
      <c r="R42" s="205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</row>
    <row r="43">
      <c r="A43" s="122"/>
      <c r="B43" s="204"/>
      <c r="C43" s="204"/>
      <c r="D43" s="204"/>
      <c r="E43" s="205"/>
      <c r="F43" s="205"/>
      <c r="G43" s="205"/>
      <c r="H43" s="206"/>
      <c r="I43" s="207"/>
      <c r="J43" s="207"/>
      <c r="K43" s="207"/>
      <c r="L43" s="122"/>
      <c r="M43" s="207"/>
      <c r="N43" s="207"/>
      <c r="O43" s="122"/>
      <c r="P43" s="205"/>
      <c r="Q43" s="205"/>
      <c r="R43" s="205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</row>
    <row r="44">
      <c r="A44" s="122"/>
      <c r="B44" s="204"/>
      <c r="C44" s="204"/>
      <c r="D44" s="204"/>
      <c r="E44" s="205"/>
      <c r="F44" s="205"/>
      <c r="G44" s="205"/>
      <c r="H44" s="206"/>
      <c r="I44" s="207"/>
      <c r="J44" s="207"/>
      <c r="K44" s="207"/>
      <c r="L44" s="122"/>
      <c r="M44" s="207"/>
      <c r="N44" s="207"/>
      <c r="O44" s="122"/>
      <c r="P44" s="205"/>
      <c r="Q44" s="205"/>
      <c r="R44" s="205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</row>
    <row r="45">
      <c r="A45" s="122"/>
      <c r="B45" s="204"/>
      <c r="C45" s="204"/>
      <c r="D45" s="204"/>
      <c r="E45" s="205"/>
      <c r="F45" s="205"/>
      <c r="G45" s="205"/>
      <c r="H45" s="206"/>
      <c r="I45" s="207"/>
      <c r="J45" s="207"/>
      <c r="K45" s="207"/>
      <c r="L45" s="122"/>
      <c r="M45" s="207"/>
      <c r="N45" s="207"/>
      <c r="O45" s="122"/>
      <c r="P45" s="205"/>
      <c r="Q45" s="205"/>
      <c r="R45" s="20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</row>
    <row r="46">
      <c r="A46" s="122"/>
      <c r="B46" s="204"/>
      <c r="C46" s="204"/>
      <c r="D46" s="204"/>
      <c r="E46" s="205"/>
      <c r="F46" s="205"/>
      <c r="G46" s="205"/>
      <c r="H46" s="206"/>
      <c r="I46" s="207"/>
      <c r="J46" s="207"/>
      <c r="K46" s="207"/>
      <c r="L46" s="122"/>
      <c r="M46" s="207"/>
      <c r="N46" s="207"/>
      <c r="O46" s="122"/>
      <c r="P46" s="205"/>
      <c r="Q46" s="205"/>
      <c r="R46" s="205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</row>
    <row r="47">
      <c r="A47" s="122"/>
      <c r="B47" s="204"/>
      <c r="C47" s="204"/>
      <c r="D47" s="204"/>
      <c r="E47" s="205"/>
      <c r="F47" s="205"/>
      <c r="G47" s="205"/>
      <c r="H47" s="206"/>
      <c r="I47" s="207"/>
      <c r="J47" s="207"/>
      <c r="K47" s="207"/>
      <c r="L47" s="122"/>
      <c r="M47" s="207"/>
      <c r="N47" s="207"/>
      <c r="O47" s="122"/>
      <c r="P47" s="205"/>
      <c r="Q47" s="205"/>
      <c r="R47" s="205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</row>
    <row r="48">
      <c r="A48" s="122"/>
      <c r="B48" s="204"/>
      <c r="C48" s="204"/>
      <c r="D48" s="204"/>
      <c r="E48" s="205"/>
      <c r="F48" s="205"/>
      <c r="G48" s="205"/>
      <c r="H48" s="206"/>
      <c r="I48" s="207"/>
      <c r="J48" s="207"/>
      <c r="K48" s="207"/>
      <c r="L48" s="122"/>
      <c r="M48" s="207"/>
      <c r="N48" s="207"/>
      <c r="O48" s="122"/>
      <c r="P48" s="205"/>
      <c r="Q48" s="205"/>
      <c r="R48" s="205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</row>
    <row r="49">
      <c r="A49" s="122"/>
      <c r="B49" s="204"/>
      <c r="C49" s="204"/>
      <c r="D49" s="204"/>
      <c r="E49" s="205"/>
      <c r="F49" s="205"/>
      <c r="G49" s="205"/>
      <c r="H49" s="206"/>
      <c r="I49" s="207"/>
      <c r="J49" s="207"/>
      <c r="K49" s="207"/>
      <c r="L49" s="122"/>
      <c r="M49" s="207"/>
      <c r="N49" s="207"/>
      <c r="O49" s="122"/>
      <c r="P49" s="205"/>
      <c r="Q49" s="205"/>
      <c r="R49" s="205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</row>
    <row r="50">
      <c r="A50" s="122"/>
      <c r="B50" s="204"/>
      <c r="C50" s="204"/>
      <c r="D50" s="204"/>
      <c r="E50" s="205"/>
      <c r="F50" s="205"/>
      <c r="G50" s="205"/>
      <c r="H50" s="206"/>
      <c r="I50" s="207"/>
      <c r="J50" s="207"/>
      <c r="K50" s="207"/>
      <c r="L50" s="122"/>
      <c r="M50" s="207"/>
      <c r="N50" s="207"/>
      <c r="O50" s="122"/>
      <c r="P50" s="205"/>
      <c r="Q50" s="205"/>
      <c r="R50" s="205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</row>
    <row r="51">
      <c r="A51" s="122"/>
      <c r="B51" s="204"/>
      <c r="C51" s="204"/>
      <c r="D51" s="204"/>
      <c r="E51" s="205"/>
      <c r="F51" s="205"/>
      <c r="G51" s="205"/>
      <c r="H51" s="206"/>
      <c r="I51" s="207"/>
      <c r="J51" s="207"/>
      <c r="K51" s="207"/>
      <c r="L51" s="122"/>
      <c r="M51" s="207"/>
      <c r="N51" s="207"/>
      <c r="O51" s="122"/>
      <c r="P51" s="205"/>
      <c r="Q51" s="205"/>
      <c r="R51" s="205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</row>
    <row r="52">
      <c r="A52" s="122"/>
      <c r="B52" s="204"/>
      <c r="C52" s="204"/>
      <c r="D52" s="204"/>
      <c r="E52" s="205"/>
      <c r="F52" s="205"/>
      <c r="G52" s="205"/>
      <c r="H52" s="206"/>
      <c r="I52" s="207"/>
      <c r="J52" s="207"/>
      <c r="K52" s="207"/>
      <c r="L52" s="122"/>
      <c r="M52" s="207"/>
      <c r="N52" s="207"/>
      <c r="O52" s="122"/>
      <c r="P52" s="205"/>
      <c r="Q52" s="205"/>
      <c r="R52" s="205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</row>
    <row r="53">
      <c r="A53" s="122"/>
      <c r="B53" s="204"/>
      <c r="C53" s="204"/>
      <c r="D53" s="204"/>
      <c r="E53" s="205"/>
      <c r="F53" s="205"/>
      <c r="G53" s="205"/>
      <c r="H53" s="206"/>
      <c r="I53" s="207"/>
      <c r="J53" s="207"/>
      <c r="K53" s="207"/>
      <c r="L53" s="122"/>
      <c r="M53" s="207"/>
      <c r="N53" s="207"/>
      <c r="O53" s="122"/>
      <c r="P53" s="205"/>
      <c r="Q53" s="205"/>
      <c r="R53" s="205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</row>
    <row r="54">
      <c r="A54" s="122"/>
      <c r="B54" s="204"/>
      <c r="C54" s="204"/>
      <c r="D54" s="204"/>
      <c r="E54" s="205"/>
      <c r="F54" s="205"/>
      <c r="G54" s="205"/>
      <c r="H54" s="206"/>
      <c r="I54" s="207"/>
      <c r="J54" s="207"/>
      <c r="K54" s="207"/>
      <c r="L54" s="122"/>
      <c r="M54" s="207"/>
      <c r="N54" s="207"/>
      <c r="O54" s="122"/>
      <c r="P54" s="205"/>
      <c r="Q54" s="205"/>
      <c r="R54" s="205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>
      <c r="A55" s="122"/>
      <c r="B55" s="204"/>
      <c r="C55" s="204"/>
      <c r="D55" s="204"/>
      <c r="E55" s="205"/>
      <c r="F55" s="205"/>
      <c r="G55" s="205"/>
      <c r="H55" s="206"/>
      <c r="I55" s="207"/>
      <c r="J55" s="207"/>
      <c r="K55" s="207"/>
      <c r="L55" s="122"/>
      <c r="M55" s="207"/>
      <c r="N55" s="207"/>
      <c r="O55" s="122"/>
      <c r="P55" s="205"/>
      <c r="Q55" s="205"/>
      <c r="R55" s="205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</row>
    <row r="56">
      <c r="A56" s="122"/>
      <c r="B56" s="204"/>
      <c r="C56" s="204"/>
      <c r="D56" s="204"/>
      <c r="E56" s="205"/>
      <c r="F56" s="205"/>
      <c r="G56" s="205"/>
      <c r="H56" s="206"/>
      <c r="I56" s="207"/>
      <c r="J56" s="207"/>
      <c r="K56" s="207"/>
      <c r="L56" s="122"/>
      <c r="M56" s="207"/>
      <c r="N56" s="207"/>
      <c r="O56" s="122"/>
      <c r="P56" s="205"/>
      <c r="Q56" s="205"/>
      <c r="R56" s="205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</row>
    <row r="57">
      <c r="A57" s="122"/>
      <c r="B57" s="204"/>
      <c r="C57" s="204"/>
      <c r="D57" s="204"/>
      <c r="E57" s="205"/>
      <c r="F57" s="205"/>
      <c r="G57" s="205"/>
      <c r="H57" s="206"/>
      <c r="I57" s="207"/>
      <c r="J57" s="207"/>
      <c r="K57" s="207"/>
      <c r="L57" s="122"/>
      <c r="M57" s="207"/>
      <c r="N57" s="207"/>
      <c r="O57" s="122"/>
      <c r="P57" s="205"/>
      <c r="Q57" s="205"/>
      <c r="R57" s="205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</row>
    <row r="58">
      <c r="A58" s="122"/>
      <c r="B58" s="204"/>
      <c r="C58" s="204"/>
      <c r="D58" s="204"/>
      <c r="E58" s="205"/>
      <c r="F58" s="205"/>
      <c r="G58" s="205"/>
      <c r="H58" s="206"/>
      <c r="I58" s="207"/>
      <c r="J58" s="207"/>
      <c r="K58" s="207"/>
      <c r="L58" s="122"/>
      <c r="M58" s="207"/>
      <c r="N58" s="207"/>
      <c r="O58" s="122"/>
      <c r="P58" s="205"/>
      <c r="Q58" s="205"/>
      <c r="R58" s="205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</row>
    <row r="59">
      <c r="A59" s="122"/>
      <c r="B59" s="204"/>
      <c r="C59" s="204"/>
      <c r="D59" s="204"/>
      <c r="E59" s="205"/>
      <c r="F59" s="205"/>
      <c r="G59" s="205"/>
      <c r="H59" s="206"/>
      <c r="I59" s="207"/>
      <c r="J59" s="207"/>
      <c r="K59" s="207"/>
      <c r="L59" s="122"/>
      <c r="M59" s="207"/>
      <c r="N59" s="207"/>
      <c r="O59" s="122"/>
      <c r="P59" s="205"/>
      <c r="Q59" s="205"/>
      <c r="R59" s="205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</row>
    <row r="60">
      <c r="A60" s="122"/>
      <c r="B60" s="204"/>
      <c r="C60" s="204"/>
      <c r="D60" s="204"/>
      <c r="E60" s="205"/>
      <c r="F60" s="205"/>
      <c r="G60" s="205"/>
      <c r="H60" s="206"/>
      <c r="I60" s="207"/>
      <c r="J60" s="207"/>
      <c r="K60" s="207"/>
      <c r="L60" s="122"/>
      <c r="M60" s="207"/>
      <c r="N60" s="207"/>
      <c r="O60" s="122"/>
      <c r="P60" s="205"/>
      <c r="Q60" s="205"/>
      <c r="R60" s="205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</row>
    <row r="61">
      <c r="A61" s="122"/>
      <c r="B61" s="204"/>
      <c r="C61" s="204"/>
      <c r="D61" s="204"/>
      <c r="E61" s="205"/>
      <c r="F61" s="205"/>
      <c r="G61" s="205"/>
      <c r="H61" s="206"/>
      <c r="I61" s="207"/>
      <c r="J61" s="207"/>
      <c r="K61" s="207"/>
      <c r="L61" s="122"/>
      <c r="M61" s="207"/>
      <c r="N61" s="207"/>
      <c r="O61" s="122"/>
      <c r="P61" s="205"/>
      <c r="Q61" s="205"/>
      <c r="R61" s="205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</row>
    <row r="62">
      <c r="A62" s="122"/>
      <c r="B62" s="204"/>
      <c r="C62" s="204"/>
      <c r="D62" s="204"/>
      <c r="E62" s="205"/>
      <c r="F62" s="205"/>
      <c r="G62" s="205"/>
      <c r="H62" s="206"/>
      <c r="I62" s="207"/>
      <c r="J62" s="207"/>
      <c r="K62" s="207"/>
      <c r="L62" s="122"/>
      <c r="M62" s="207"/>
      <c r="N62" s="207"/>
      <c r="O62" s="122"/>
      <c r="P62" s="205"/>
      <c r="Q62" s="205"/>
      <c r="R62" s="205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</row>
    <row r="63">
      <c r="A63" s="122"/>
      <c r="B63" s="204"/>
      <c r="C63" s="204"/>
      <c r="D63" s="204"/>
      <c r="E63" s="205"/>
      <c r="F63" s="205"/>
      <c r="G63" s="205"/>
      <c r="H63" s="206"/>
      <c r="I63" s="207"/>
      <c r="J63" s="207"/>
      <c r="K63" s="207"/>
      <c r="L63" s="122"/>
      <c r="M63" s="207"/>
      <c r="N63" s="207"/>
      <c r="O63" s="122"/>
      <c r="P63" s="205"/>
      <c r="Q63" s="205"/>
      <c r="R63" s="205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</row>
    <row r="64">
      <c r="A64" s="122"/>
      <c r="B64" s="204"/>
      <c r="C64" s="204"/>
      <c r="D64" s="204"/>
      <c r="E64" s="205"/>
      <c r="F64" s="205"/>
      <c r="G64" s="205"/>
      <c r="H64" s="206"/>
      <c r="I64" s="207"/>
      <c r="J64" s="207"/>
      <c r="K64" s="207"/>
      <c r="L64" s="122"/>
      <c r="M64" s="207"/>
      <c r="N64" s="207"/>
      <c r="O64" s="122"/>
      <c r="P64" s="205"/>
      <c r="Q64" s="205"/>
      <c r="R64" s="205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</row>
    <row r="65">
      <c r="A65" s="122"/>
      <c r="B65" s="204"/>
      <c r="C65" s="204"/>
      <c r="D65" s="204"/>
      <c r="E65" s="205"/>
      <c r="F65" s="205"/>
      <c r="G65" s="205"/>
      <c r="H65" s="206"/>
      <c r="I65" s="207"/>
      <c r="J65" s="207"/>
      <c r="K65" s="207"/>
      <c r="L65" s="122"/>
      <c r="M65" s="207"/>
      <c r="N65" s="207"/>
      <c r="O65" s="122"/>
      <c r="P65" s="205"/>
      <c r="Q65" s="205"/>
      <c r="R65" s="205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</row>
    <row r="66">
      <c r="A66" s="122"/>
      <c r="B66" s="204"/>
      <c r="C66" s="204"/>
      <c r="D66" s="204"/>
      <c r="E66" s="205"/>
      <c r="F66" s="205"/>
      <c r="G66" s="205"/>
      <c r="H66" s="206"/>
      <c r="I66" s="207"/>
      <c r="J66" s="207"/>
      <c r="K66" s="207"/>
      <c r="L66" s="122"/>
      <c r="M66" s="207"/>
      <c r="N66" s="207"/>
      <c r="O66" s="122"/>
      <c r="P66" s="205"/>
      <c r="Q66" s="205"/>
      <c r="R66" s="205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</row>
    <row r="67">
      <c r="A67" s="122"/>
      <c r="B67" s="204"/>
      <c r="C67" s="204"/>
      <c r="D67" s="204"/>
      <c r="E67" s="205"/>
      <c r="F67" s="205"/>
      <c r="G67" s="205"/>
      <c r="H67" s="206"/>
      <c r="I67" s="207"/>
      <c r="J67" s="207"/>
      <c r="K67" s="207"/>
      <c r="L67" s="122"/>
      <c r="M67" s="207"/>
      <c r="N67" s="207"/>
      <c r="O67" s="122"/>
      <c r="P67" s="205"/>
      <c r="Q67" s="205"/>
      <c r="R67" s="205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</row>
    <row r="68">
      <c r="A68" s="122"/>
      <c r="B68" s="204"/>
      <c r="C68" s="204"/>
      <c r="D68" s="204"/>
      <c r="E68" s="205"/>
      <c r="F68" s="205"/>
      <c r="G68" s="205"/>
      <c r="H68" s="206"/>
      <c r="I68" s="207"/>
      <c r="J68" s="207"/>
      <c r="K68" s="207"/>
      <c r="L68" s="122"/>
      <c r="M68" s="207"/>
      <c r="N68" s="207"/>
      <c r="O68" s="122"/>
      <c r="P68" s="205"/>
      <c r="Q68" s="205"/>
      <c r="R68" s="205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</row>
    <row r="69">
      <c r="A69" s="122"/>
      <c r="B69" s="204"/>
      <c r="C69" s="204"/>
      <c r="D69" s="204"/>
      <c r="E69" s="205"/>
      <c r="F69" s="205"/>
      <c r="G69" s="205"/>
      <c r="H69" s="206"/>
      <c r="I69" s="207"/>
      <c r="J69" s="207"/>
      <c r="K69" s="207"/>
      <c r="L69" s="122"/>
      <c r="M69" s="207"/>
      <c r="N69" s="207"/>
      <c r="O69" s="122"/>
      <c r="P69" s="205"/>
      <c r="Q69" s="205"/>
      <c r="R69" s="205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</row>
    <row r="70">
      <c r="A70" s="122"/>
      <c r="B70" s="204"/>
      <c r="C70" s="204"/>
      <c r="D70" s="204"/>
      <c r="E70" s="205"/>
      <c r="F70" s="205"/>
      <c r="G70" s="205"/>
      <c r="H70" s="206"/>
      <c r="I70" s="207"/>
      <c r="J70" s="207"/>
      <c r="K70" s="207"/>
      <c r="L70" s="122"/>
      <c r="M70" s="207"/>
      <c r="N70" s="207"/>
      <c r="O70" s="122"/>
      <c r="P70" s="205"/>
      <c r="Q70" s="205"/>
      <c r="R70" s="205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</row>
    <row r="71">
      <c r="A71" s="122"/>
      <c r="B71" s="204"/>
      <c r="C71" s="204"/>
      <c r="D71" s="204"/>
      <c r="E71" s="205"/>
      <c r="F71" s="205"/>
      <c r="G71" s="205"/>
      <c r="H71" s="206"/>
      <c r="I71" s="207"/>
      <c r="J71" s="207"/>
      <c r="K71" s="207"/>
      <c r="L71" s="122"/>
      <c r="M71" s="207"/>
      <c r="N71" s="207"/>
      <c r="O71" s="122"/>
      <c r="P71" s="205"/>
      <c r="Q71" s="205"/>
      <c r="R71" s="205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</row>
    <row r="72">
      <c r="A72" s="122"/>
      <c r="B72" s="204"/>
      <c r="C72" s="204"/>
      <c r="D72" s="204"/>
      <c r="E72" s="205"/>
      <c r="F72" s="205"/>
      <c r="G72" s="205"/>
      <c r="H72" s="206"/>
      <c r="I72" s="207"/>
      <c r="J72" s="207"/>
      <c r="K72" s="207"/>
      <c r="L72" s="122"/>
      <c r="M72" s="207"/>
      <c r="N72" s="207"/>
      <c r="O72" s="122"/>
      <c r="P72" s="205"/>
      <c r="Q72" s="205"/>
      <c r="R72" s="205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</row>
    <row r="73">
      <c r="A73" s="122"/>
      <c r="B73" s="204"/>
      <c r="C73" s="204"/>
      <c r="D73" s="204"/>
      <c r="E73" s="205"/>
      <c r="F73" s="205"/>
      <c r="G73" s="205"/>
      <c r="H73" s="206"/>
      <c r="I73" s="207"/>
      <c r="J73" s="207"/>
      <c r="K73" s="207"/>
      <c r="L73" s="122"/>
      <c r="M73" s="207"/>
      <c r="N73" s="207"/>
      <c r="O73" s="122"/>
      <c r="P73" s="205"/>
      <c r="Q73" s="205"/>
      <c r="R73" s="205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</row>
    <row r="74">
      <c r="A74" s="122"/>
      <c r="B74" s="204"/>
      <c r="C74" s="204"/>
      <c r="D74" s="204"/>
      <c r="E74" s="205"/>
      <c r="F74" s="205"/>
      <c r="G74" s="205"/>
      <c r="H74" s="206"/>
      <c r="I74" s="207"/>
      <c r="J74" s="207"/>
      <c r="K74" s="207"/>
      <c r="L74" s="122"/>
      <c r="M74" s="207"/>
      <c r="N74" s="207"/>
      <c r="O74" s="122"/>
      <c r="P74" s="205"/>
      <c r="Q74" s="205"/>
      <c r="R74" s="205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</row>
    <row r="75">
      <c r="A75" s="122"/>
      <c r="B75" s="204"/>
      <c r="C75" s="204"/>
      <c r="D75" s="204"/>
      <c r="E75" s="205"/>
      <c r="F75" s="205"/>
      <c r="G75" s="205"/>
      <c r="H75" s="206"/>
      <c r="I75" s="207"/>
      <c r="J75" s="207"/>
      <c r="K75" s="207"/>
      <c r="L75" s="122"/>
      <c r="M75" s="207"/>
      <c r="N75" s="207"/>
      <c r="O75" s="122"/>
      <c r="P75" s="205"/>
      <c r="Q75" s="205"/>
      <c r="R75" s="205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</row>
    <row r="76">
      <c r="A76" s="122"/>
      <c r="B76" s="204"/>
      <c r="C76" s="204"/>
      <c r="D76" s="204"/>
      <c r="E76" s="205"/>
      <c r="F76" s="205"/>
      <c r="G76" s="205"/>
      <c r="H76" s="206"/>
      <c r="I76" s="207"/>
      <c r="J76" s="207"/>
      <c r="K76" s="207"/>
      <c r="L76" s="122"/>
      <c r="M76" s="207"/>
      <c r="N76" s="207"/>
      <c r="O76" s="122"/>
      <c r="P76" s="205"/>
      <c r="Q76" s="205"/>
      <c r="R76" s="205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</row>
    <row r="77">
      <c r="A77" s="122"/>
      <c r="B77" s="204"/>
      <c r="C77" s="204"/>
      <c r="D77" s="204"/>
      <c r="E77" s="205"/>
      <c r="F77" s="205"/>
      <c r="G77" s="205"/>
      <c r="H77" s="206"/>
      <c r="I77" s="207"/>
      <c r="J77" s="207"/>
      <c r="K77" s="207"/>
      <c r="L77" s="122"/>
      <c r="M77" s="207"/>
      <c r="N77" s="207"/>
      <c r="O77" s="122"/>
      <c r="P77" s="205"/>
      <c r="Q77" s="205"/>
      <c r="R77" s="205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</row>
    <row r="78">
      <c r="A78" s="122"/>
      <c r="B78" s="204"/>
      <c r="C78" s="204"/>
      <c r="D78" s="204"/>
      <c r="E78" s="205"/>
      <c r="F78" s="205"/>
      <c r="G78" s="205"/>
      <c r="H78" s="206"/>
      <c r="I78" s="207"/>
      <c r="J78" s="207"/>
      <c r="K78" s="207"/>
      <c r="L78" s="122"/>
      <c r="M78" s="207"/>
      <c r="N78" s="207"/>
      <c r="O78" s="122"/>
      <c r="P78" s="205"/>
      <c r="Q78" s="205"/>
      <c r="R78" s="205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</row>
    <row r="79">
      <c r="A79" s="122"/>
      <c r="B79" s="204"/>
      <c r="C79" s="204"/>
      <c r="D79" s="204"/>
      <c r="E79" s="205"/>
      <c r="F79" s="205"/>
      <c r="G79" s="205"/>
      <c r="H79" s="206"/>
      <c r="I79" s="207"/>
      <c r="J79" s="207"/>
      <c r="K79" s="207"/>
      <c r="L79" s="122"/>
      <c r="M79" s="207"/>
      <c r="N79" s="207"/>
      <c r="O79" s="122"/>
      <c r="P79" s="205"/>
      <c r="Q79" s="205"/>
      <c r="R79" s="205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</row>
    <row r="80">
      <c r="A80" s="122"/>
      <c r="B80" s="204"/>
      <c r="C80" s="204"/>
      <c r="D80" s="204"/>
      <c r="E80" s="205"/>
      <c r="F80" s="205"/>
      <c r="G80" s="205"/>
      <c r="H80" s="206"/>
      <c r="I80" s="207"/>
      <c r="J80" s="207"/>
      <c r="K80" s="207"/>
      <c r="L80" s="122"/>
      <c r="M80" s="207"/>
      <c r="N80" s="207"/>
      <c r="O80" s="122"/>
      <c r="P80" s="205"/>
      <c r="Q80" s="205"/>
      <c r="R80" s="205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</row>
    <row r="81">
      <c r="A81" s="122"/>
      <c r="B81" s="204"/>
      <c r="C81" s="204"/>
      <c r="D81" s="204"/>
      <c r="E81" s="205"/>
      <c r="F81" s="205"/>
      <c r="G81" s="205"/>
      <c r="H81" s="206"/>
      <c r="I81" s="207"/>
      <c r="J81" s="207"/>
      <c r="K81" s="207"/>
      <c r="L81" s="122"/>
      <c r="M81" s="207"/>
      <c r="N81" s="207"/>
      <c r="O81" s="122"/>
      <c r="P81" s="205"/>
      <c r="Q81" s="205"/>
      <c r="R81" s="205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</row>
    <row r="82">
      <c r="A82" s="122"/>
      <c r="B82" s="204"/>
      <c r="C82" s="204"/>
      <c r="D82" s="204"/>
      <c r="E82" s="205"/>
      <c r="F82" s="205"/>
      <c r="G82" s="205"/>
      <c r="H82" s="206"/>
      <c r="I82" s="207"/>
      <c r="J82" s="207"/>
      <c r="K82" s="207"/>
      <c r="L82" s="122"/>
      <c r="M82" s="207"/>
      <c r="N82" s="207"/>
      <c r="O82" s="122"/>
      <c r="P82" s="205"/>
      <c r="Q82" s="205"/>
      <c r="R82" s="205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</row>
    <row r="83">
      <c r="A83" s="122"/>
      <c r="B83" s="204"/>
      <c r="C83" s="204"/>
      <c r="D83" s="204"/>
      <c r="E83" s="205"/>
      <c r="F83" s="205"/>
      <c r="G83" s="205"/>
      <c r="H83" s="206"/>
      <c r="I83" s="207"/>
      <c r="J83" s="207"/>
      <c r="K83" s="207"/>
      <c r="L83" s="122"/>
      <c r="M83" s="207"/>
      <c r="N83" s="207"/>
      <c r="O83" s="122"/>
      <c r="P83" s="205"/>
      <c r="Q83" s="205"/>
      <c r="R83" s="205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</row>
    <row r="84">
      <c r="A84" s="122"/>
      <c r="B84" s="204"/>
      <c r="C84" s="204"/>
      <c r="D84" s="204"/>
      <c r="E84" s="205"/>
      <c r="F84" s="205"/>
      <c r="G84" s="205"/>
      <c r="H84" s="206"/>
      <c r="I84" s="207"/>
      <c r="J84" s="207"/>
      <c r="K84" s="207"/>
      <c r="L84" s="122"/>
      <c r="M84" s="207"/>
      <c r="N84" s="207"/>
      <c r="O84" s="122"/>
      <c r="P84" s="205"/>
      <c r="Q84" s="205"/>
      <c r="R84" s="205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</row>
    <row r="85">
      <c r="A85" s="122"/>
      <c r="B85" s="204"/>
      <c r="C85" s="204"/>
      <c r="D85" s="204"/>
      <c r="E85" s="205"/>
      <c r="F85" s="205"/>
      <c r="G85" s="205"/>
      <c r="H85" s="206"/>
      <c r="I85" s="207"/>
      <c r="J85" s="207"/>
      <c r="K85" s="207"/>
      <c r="L85" s="122"/>
      <c r="M85" s="207"/>
      <c r="N85" s="207"/>
      <c r="O85" s="122"/>
      <c r="P85" s="205"/>
      <c r="Q85" s="205"/>
      <c r="R85" s="205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</row>
    <row r="86">
      <c r="A86" s="122"/>
      <c r="B86" s="204"/>
      <c r="C86" s="204"/>
      <c r="D86" s="204"/>
      <c r="E86" s="205"/>
      <c r="F86" s="205"/>
      <c r="G86" s="205"/>
      <c r="H86" s="206"/>
      <c r="I86" s="207"/>
      <c r="J86" s="207"/>
      <c r="K86" s="207"/>
      <c r="L86" s="122"/>
      <c r="M86" s="207"/>
      <c r="N86" s="207"/>
      <c r="O86" s="122"/>
      <c r="P86" s="205"/>
      <c r="Q86" s="205"/>
      <c r="R86" s="205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</row>
    <row r="87">
      <c r="A87" s="122"/>
      <c r="B87" s="204"/>
      <c r="C87" s="204"/>
      <c r="D87" s="204"/>
      <c r="E87" s="205"/>
      <c r="F87" s="205"/>
      <c r="G87" s="205"/>
      <c r="H87" s="206"/>
      <c r="I87" s="207"/>
      <c r="J87" s="207"/>
      <c r="K87" s="207"/>
      <c r="L87" s="122"/>
      <c r="M87" s="207"/>
      <c r="N87" s="207"/>
      <c r="O87" s="122"/>
      <c r="P87" s="205"/>
      <c r="Q87" s="205"/>
      <c r="R87" s="205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</row>
    <row r="88">
      <c r="A88" s="122"/>
      <c r="B88" s="204"/>
      <c r="C88" s="204"/>
      <c r="D88" s="204"/>
      <c r="E88" s="205"/>
      <c r="F88" s="205"/>
      <c r="G88" s="205"/>
      <c r="H88" s="206"/>
      <c r="I88" s="207"/>
      <c r="J88" s="207"/>
      <c r="K88" s="207"/>
      <c r="L88" s="122"/>
      <c r="M88" s="207"/>
      <c r="N88" s="207"/>
      <c r="O88" s="122"/>
      <c r="P88" s="205"/>
      <c r="Q88" s="205"/>
      <c r="R88" s="205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</row>
    <row r="89">
      <c r="A89" s="122"/>
      <c r="B89" s="204"/>
      <c r="C89" s="204"/>
      <c r="D89" s="204"/>
      <c r="E89" s="205"/>
      <c r="F89" s="205"/>
      <c r="G89" s="205"/>
      <c r="H89" s="206"/>
      <c r="I89" s="207"/>
      <c r="J89" s="207"/>
      <c r="K89" s="207"/>
      <c r="L89" s="122"/>
      <c r="M89" s="207"/>
      <c r="N89" s="207"/>
      <c r="O89" s="122"/>
      <c r="P89" s="205"/>
      <c r="Q89" s="205"/>
      <c r="R89" s="205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</row>
    <row r="90">
      <c r="A90" s="122"/>
      <c r="B90" s="204"/>
      <c r="C90" s="204"/>
      <c r="D90" s="204"/>
      <c r="E90" s="205"/>
      <c r="F90" s="205"/>
      <c r="G90" s="205"/>
      <c r="H90" s="206"/>
      <c r="I90" s="207"/>
      <c r="J90" s="207"/>
      <c r="K90" s="207"/>
      <c r="L90" s="122"/>
      <c r="M90" s="207"/>
      <c r="N90" s="207"/>
      <c r="O90" s="122"/>
      <c r="P90" s="205"/>
      <c r="Q90" s="205"/>
      <c r="R90" s="205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</row>
    <row r="91">
      <c r="A91" s="122"/>
      <c r="B91" s="204"/>
      <c r="C91" s="204"/>
      <c r="D91" s="204"/>
      <c r="E91" s="205"/>
      <c r="F91" s="205"/>
      <c r="G91" s="205"/>
      <c r="H91" s="206"/>
      <c r="I91" s="207"/>
      <c r="J91" s="207"/>
      <c r="K91" s="207"/>
      <c r="L91" s="122"/>
      <c r="M91" s="207"/>
      <c r="N91" s="207"/>
      <c r="O91" s="122"/>
      <c r="P91" s="205"/>
      <c r="Q91" s="205"/>
      <c r="R91" s="205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</row>
    <row r="92">
      <c r="A92" s="122"/>
      <c r="B92" s="204"/>
      <c r="C92" s="204"/>
      <c r="D92" s="204"/>
      <c r="E92" s="205"/>
      <c r="F92" s="205"/>
      <c r="G92" s="205"/>
      <c r="H92" s="206"/>
      <c r="I92" s="207"/>
      <c r="J92" s="207"/>
      <c r="K92" s="207"/>
      <c r="L92" s="122"/>
      <c r="M92" s="207"/>
      <c r="N92" s="207"/>
      <c r="O92" s="122"/>
      <c r="P92" s="205"/>
      <c r="Q92" s="205"/>
      <c r="R92" s="205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</row>
    <row r="93">
      <c r="A93" s="122"/>
      <c r="B93" s="204"/>
      <c r="C93" s="204"/>
      <c r="D93" s="204"/>
      <c r="E93" s="205"/>
      <c r="F93" s="205"/>
      <c r="G93" s="205"/>
      <c r="H93" s="206"/>
      <c r="I93" s="207"/>
      <c r="J93" s="207"/>
      <c r="K93" s="207"/>
      <c r="L93" s="122"/>
      <c r="M93" s="207"/>
      <c r="N93" s="207"/>
      <c r="O93" s="122"/>
      <c r="P93" s="205"/>
      <c r="Q93" s="205"/>
      <c r="R93" s="205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</row>
    <row r="94">
      <c r="A94" s="122"/>
      <c r="B94" s="204"/>
      <c r="C94" s="204"/>
      <c r="D94" s="204"/>
      <c r="E94" s="205"/>
      <c r="F94" s="205"/>
      <c r="G94" s="205"/>
      <c r="H94" s="206"/>
      <c r="I94" s="207"/>
      <c r="J94" s="207"/>
      <c r="K94" s="207"/>
      <c r="L94" s="122"/>
      <c r="M94" s="207"/>
      <c r="N94" s="207"/>
      <c r="O94" s="122"/>
      <c r="P94" s="205"/>
      <c r="Q94" s="205"/>
      <c r="R94" s="205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</row>
    <row r="95">
      <c r="A95" s="122"/>
      <c r="B95" s="204"/>
      <c r="C95" s="204"/>
      <c r="D95" s="204"/>
      <c r="E95" s="205"/>
      <c r="F95" s="205"/>
      <c r="G95" s="205"/>
      <c r="H95" s="206"/>
      <c r="I95" s="207"/>
      <c r="J95" s="207"/>
      <c r="K95" s="207"/>
      <c r="L95" s="122"/>
      <c r="M95" s="207"/>
      <c r="N95" s="207"/>
      <c r="O95" s="122"/>
      <c r="P95" s="205"/>
      <c r="Q95" s="205"/>
      <c r="R95" s="205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</row>
    <row r="96">
      <c r="A96" s="122"/>
      <c r="B96" s="204"/>
      <c r="C96" s="204"/>
      <c r="D96" s="204"/>
      <c r="E96" s="205"/>
      <c r="F96" s="205"/>
      <c r="G96" s="205"/>
      <c r="H96" s="206"/>
      <c r="I96" s="207"/>
      <c r="J96" s="207"/>
      <c r="K96" s="207"/>
      <c r="L96" s="122"/>
      <c r="M96" s="207"/>
      <c r="N96" s="207"/>
      <c r="O96" s="122"/>
      <c r="P96" s="205"/>
      <c r="Q96" s="205"/>
      <c r="R96" s="205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</row>
    <row r="97">
      <c r="A97" s="122"/>
      <c r="B97" s="204"/>
      <c r="C97" s="204"/>
      <c r="D97" s="204"/>
      <c r="E97" s="205"/>
      <c r="F97" s="205"/>
      <c r="G97" s="205"/>
      <c r="H97" s="206"/>
      <c r="I97" s="207"/>
      <c r="J97" s="207"/>
      <c r="K97" s="207"/>
      <c r="L97" s="122"/>
      <c r="M97" s="207"/>
      <c r="N97" s="207"/>
      <c r="O97" s="122"/>
      <c r="P97" s="205"/>
      <c r="Q97" s="205"/>
      <c r="R97" s="205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</row>
    <row r="98">
      <c r="A98" s="122"/>
      <c r="B98" s="204"/>
      <c r="C98" s="204"/>
      <c r="D98" s="204"/>
      <c r="E98" s="205"/>
      <c r="F98" s="205"/>
      <c r="G98" s="205"/>
      <c r="H98" s="206"/>
      <c r="I98" s="207"/>
      <c r="J98" s="207"/>
      <c r="K98" s="207"/>
      <c r="L98" s="122"/>
      <c r="M98" s="207"/>
      <c r="N98" s="207"/>
      <c r="O98" s="122"/>
      <c r="P98" s="205"/>
      <c r="Q98" s="205"/>
      <c r="R98" s="205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</row>
    <row r="99">
      <c r="A99" s="122"/>
      <c r="B99" s="204"/>
      <c r="C99" s="204"/>
      <c r="D99" s="204"/>
      <c r="E99" s="205"/>
      <c r="F99" s="205"/>
      <c r="G99" s="205"/>
      <c r="H99" s="206"/>
      <c r="I99" s="207"/>
      <c r="J99" s="207"/>
      <c r="K99" s="207"/>
      <c r="L99" s="122"/>
      <c r="M99" s="207"/>
      <c r="N99" s="207"/>
      <c r="O99" s="122"/>
      <c r="P99" s="205"/>
      <c r="Q99" s="205"/>
      <c r="R99" s="205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</row>
    <row r="100">
      <c r="A100" s="122"/>
      <c r="B100" s="204"/>
      <c r="C100" s="204"/>
      <c r="D100" s="204"/>
      <c r="E100" s="205"/>
      <c r="F100" s="205"/>
      <c r="G100" s="205"/>
      <c r="H100" s="206"/>
      <c r="I100" s="207"/>
      <c r="J100" s="207"/>
      <c r="K100" s="207"/>
      <c r="L100" s="122"/>
      <c r="M100" s="207"/>
      <c r="N100" s="207"/>
      <c r="O100" s="122"/>
      <c r="P100" s="205"/>
      <c r="Q100" s="205"/>
      <c r="R100" s="205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</row>
    <row r="101">
      <c r="A101" s="122"/>
      <c r="B101" s="204"/>
      <c r="C101" s="204"/>
      <c r="D101" s="204"/>
      <c r="E101" s="205"/>
      <c r="F101" s="205"/>
      <c r="G101" s="205"/>
      <c r="H101" s="206"/>
      <c r="I101" s="207"/>
      <c r="J101" s="207"/>
      <c r="K101" s="207"/>
      <c r="L101" s="122"/>
      <c r="M101" s="207"/>
      <c r="N101" s="207"/>
      <c r="O101" s="122"/>
      <c r="P101" s="205"/>
      <c r="Q101" s="205"/>
      <c r="R101" s="205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</row>
    <row r="102">
      <c r="A102" s="122"/>
      <c r="B102" s="204"/>
      <c r="C102" s="204"/>
      <c r="D102" s="204"/>
      <c r="E102" s="205"/>
      <c r="F102" s="205"/>
      <c r="G102" s="205"/>
      <c r="H102" s="206"/>
      <c r="I102" s="207"/>
      <c r="J102" s="207"/>
      <c r="K102" s="207"/>
      <c r="L102" s="122"/>
      <c r="M102" s="207"/>
      <c r="N102" s="207"/>
      <c r="O102" s="122"/>
      <c r="P102" s="205"/>
      <c r="Q102" s="205"/>
      <c r="R102" s="205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</row>
    <row r="103">
      <c r="A103" s="122"/>
      <c r="B103" s="204"/>
      <c r="C103" s="204"/>
      <c r="D103" s="204"/>
      <c r="E103" s="205"/>
      <c r="F103" s="205"/>
      <c r="G103" s="205"/>
      <c r="H103" s="206"/>
      <c r="I103" s="207"/>
      <c r="J103" s="207"/>
      <c r="K103" s="207"/>
      <c r="L103" s="122"/>
      <c r="M103" s="207"/>
      <c r="N103" s="207"/>
      <c r="O103" s="122"/>
      <c r="P103" s="205"/>
      <c r="Q103" s="205"/>
      <c r="R103" s="205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</row>
    <row r="104">
      <c r="A104" s="122"/>
      <c r="B104" s="204"/>
      <c r="C104" s="204"/>
      <c r="D104" s="204"/>
      <c r="E104" s="205"/>
      <c r="F104" s="205"/>
      <c r="G104" s="205"/>
      <c r="H104" s="206"/>
      <c r="I104" s="207"/>
      <c r="J104" s="207"/>
      <c r="K104" s="207"/>
      <c r="L104" s="122"/>
      <c r="M104" s="207"/>
      <c r="N104" s="207"/>
      <c r="O104" s="122"/>
      <c r="P104" s="205"/>
      <c r="Q104" s="205"/>
      <c r="R104" s="205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</row>
    <row r="105">
      <c r="A105" s="122"/>
      <c r="B105" s="204"/>
      <c r="C105" s="204"/>
      <c r="D105" s="204"/>
      <c r="E105" s="205"/>
      <c r="F105" s="205"/>
      <c r="G105" s="205"/>
      <c r="H105" s="206"/>
      <c r="I105" s="207"/>
      <c r="J105" s="207"/>
      <c r="K105" s="207"/>
      <c r="L105" s="122"/>
      <c r="M105" s="207"/>
      <c r="N105" s="207"/>
      <c r="O105" s="122"/>
      <c r="P105" s="205"/>
      <c r="Q105" s="205"/>
      <c r="R105" s="205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</row>
    <row r="106">
      <c r="A106" s="122"/>
      <c r="B106" s="204"/>
      <c r="C106" s="204"/>
      <c r="D106" s="204"/>
      <c r="E106" s="205"/>
      <c r="F106" s="205"/>
      <c r="G106" s="205"/>
      <c r="H106" s="206"/>
      <c r="I106" s="207"/>
      <c r="J106" s="207"/>
      <c r="K106" s="207"/>
      <c r="L106" s="122"/>
      <c r="M106" s="207"/>
      <c r="N106" s="207"/>
      <c r="O106" s="122"/>
      <c r="P106" s="205"/>
      <c r="Q106" s="205"/>
      <c r="R106" s="205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</row>
    <row r="107">
      <c r="A107" s="122"/>
      <c r="B107" s="204"/>
      <c r="C107" s="204"/>
      <c r="D107" s="204"/>
      <c r="E107" s="205"/>
      <c r="F107" s="205"/>
      <c r="G107" s="205"/>
      <c r="H107" s="206"/>
      <c r="I107" s="207"/>
      <c r="J107" s="207"/>
      <c r="K107" s="207"/>
      <c r="L107" s="122"/>
      <c r="M107" s="207"/>
      <c r="N107" s="207"/>
      <c r="O107" s="122"/>
      <c r="P107" s="205"/>
      <c r="Q107" s="205"/>
      <c r="R107" s="205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</row>
    <row r="108">
      <c r="A108" s="122"/>
      <c r="B108" s="204"/>
      <c r="C108" s="204"/>
      <c r="D108" s="204"/>
      <c r="E108" s="205"/>
      <c r="F108" s="205"/>
      <c r="G108" s="205"/>
      <c r="H108" s="206"/>
      <c r="I108" s="207"/>
      <c r="J108" s="207"/>
      <c r="K108" s="207"/>
      <c r="L108" s="122"/>
      <c r="M108" s="207"/>
      <c r="N108" s="207"/>
      <c r="O108" s="122"/>
      <c r="P108" s="205"/>
      <c r="Q108" s="205"/>
      <c r="R108" s="205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</row>
    <row r="109">
      <c r="A109" s="122"/>
      <c r="B109" s="204"/>
      <c r="C109" s="204"/>
      <c r="D109" s="204"/>
      <c r="E109" s="205"/>
      <c r="F109" s="205"/>
      <c r="G109" s="205"/>
      <c r="H109" s="206"/>
      <c r="I109" s="207"/>
      <c r="J109" s="207"/>
      <c r="K109" s="207"/>
      <c r="L109" s="122"/>
      <c r="M109" s="207"/>
      <c r="N109" s="207"/>
      <c r="O109" s="122"/>
      <c r="P109" s="205"/>
      <c r="Q109" s="205"/>
      <c r="R109" s="205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</row>
    <row r="110">
      <c r="A110" s="122"/>
      <c r="B110" s="204"/>
      <c r="C110" s="204"/>
      <c r="D110" s="204"/>
      <c r="E110" s="205"/>
      <c r="F110" s="205"/>
      <c r="G110" s="205"/>
      <c r="H110" s="206"/>
      <c r="I110" s="207"/>
      <c r="J110" s="207"/>
      <c r="K110" s="207"/>
      <c r="L110" s="122"/>
      <c r="M110" s="207"/>
      <c r="N110" s="207"/>
      <c r="O110" s="122"/>
      <c r="P110" s="205"/>
      <c r="Q110" s="205"/>
      <c r="R110" s="205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</row>
    <row r="111">
      <c r="A111" s="122"/>
      <c r="B111" s="204"/>
      <c r="C111" s="204"/>
      <c r="D111" s="204"/>
      <c r="E111" s="205"/>
      <c r="F111" s="205"/>
      <c r="G111" s="205"/>
      <c r="H111" s="206"/>
      <c r="I111" s="207"/>
      <c r="J111" s="207"/>
      <c r="K111" s="207"/>
      <c r="L111" s="122"/>
      <c r="M111" s="207"/>
      <c r="N111" s="207"/>
      <c r="O111" s="122"/>
      <c r="P111" s="205"/>
      <c r="Q111" s="205"/>
      <c r="R111" s="205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</row>
    <row r="112">
      <c r="A112" s="122"/>
      <c r="B112" s="204"/>
      <c r="C112" s="204"/>
      <c r="D112" s="204"/>
      <c r="E112" s="205"/>
      <c r="F112" s="205"/>
      <c r="G112" s="205"/>
      <c r="H112" s="206"/>
      <c r="I112" s="207"/>
      <c r="J112" s="207"/>
      <c r="K112" s="207"/>
      <c r="L112" s="122"/>
      <c r="M112" s="207"/>
      <c r="N112" s="207"/>
      <c r="O112" s="122"/>
      <c r="P112" s="205"/>
      <c r="Q112" s="205"/>
      <c r="R112" s="205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</row>
    <row r="113">
      <c r="A113" s="122"/>
      <c r="B113" s="204"/>
      <c r="C113" s="204"/>
      <c r="D113" s="204"/>
      <c r="E113" s="205"/>
      <c r="F113" s="205"/>
      <c r="G113" s="205"/>
      <c r="H113" s="206"/>
      <c r="I113" s="207"/>
      <c r="J113" s="207"/>
      <c r="K113" s="207"/>
      <c r="L113" s="122"/>
      <c r="M113" s="207"/>
      <c r="N113" s="207"/>
      <c r="O113" s="122"/>
      <c r="P113" s="205"/>
      <c r="Q113" s="205"/>
      <c r="R113" s="205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</row>
    <row r="114">
      <c r="A114" s="122"/>
      <c r="B114" s="204"/>
      <c r="C114" s="204"/>
      <c r="D114" s="204"/>
      <c r="E114" s="205"/>
      <c r="F114" s="205"/>
      <c r="G114" s="205"/>
      <c r="H114" s="206"/>
      <c r="I114" s="207"/>
      <c r="J114" s="207"/>
      <c r="K114" s="207"/>
      <c r="L114" s="122"/>
      <c r="M114" s="207"/>
      <c r="N114" s="207"/>
      <c r="O114" s="122"/>
      <c r="P114" s="205"/>
      <c r="Q114" s="205"/>
      <c r="R114" s="205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</row>
    <row r="115">
      <c r="A115" s="122"/>
      <c r="B115" s="204"/>
      <c r="C115" s="204"/>
      <c r="D115" s="204"/>
      <c r="E115" s="205"/>
      <c r="F115" s="205"/>
      <c r="G115" s="205"/>
      <c r="H115" s="206"/>
      <c r="I115" s="207"/>
      <c r="J115" s="207"/>
      <c r="K115" s="207"/>
      <c r="L115" s="122"/>
      <c r="M115" s="207"/>
      <c r="N115" s="207"/>
      <c r="O115" s="122"/>
      <c r="P115" s="205"/>
      <c r="Q115" s="205"/>
      <c r="R115" s="205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</row>
    <row r="116">
      <c r="A116" s="122"/>
      <c r="B116" s="204"/>
      <c r="C116" s="204"/>
      <c r="D116" s="204"/>
      <c r="E116" s="205"/>
      <c r="F116" s="205"/>
      <c r="G116" s="205"/>
      <c r="H116" s="206"/>
      <c r="I116" s="207"/>
      <c r="J116" s="207"/>
      <c r="K116" s="207"/>
      <c r="L116" s="122"/>
      <c r="M116" s="207"/>
      <c r="N116" s="207"/>
      <c r="O116" s="122"/>
      <c r="P116" s="205"/>
      <c r="Q116" s="205"/>
      <c r="R116" s="205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</row>
    <row r="117">
      <c r="A117" s="122"/>
      <c r="B117" s="204"/>
      <c r="C117" s="204"/>
      <c r="D117" s="204"/>
      <c r="E117" s="205"/>
      <c r="F117" s="205"/>
      <c r="G117" s="205"/>
      <c r="H117" s="206"/>
      <c r="I117" s="207"/>
      <c r="J117" s="207"/>
      <c r="K117" s="207"/>
      <c r="L117" s="122"/>
      <c r="M117" s="207"/>
      <c r="N117" s="207"/>
      <c r="O117" s="122"/>
      <c r="P117" s="205"/>
      <c r="Q117" s="205"/>
      <c r="R117" s="205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</row>
    <row r="118">
      <c r="A118" s="122"/>
      <c r="B118" s="204"/>
      <c r="C118" s="204"/>
      <c r="D118" s="204"/>
      <c r="E118" s="205"/>
      <c r="F118" s="205"/>
      <c r="G118" s="205"/>
      <c r="H118" s="206"/>
      <c r="I118" s="207"/>
      <c r="J118" s="207"/>
      <c r="K118" s="207"/>
      <c r="L118" s="122"/>
      <c r="M118" s="207"/>
      <c r="N118" s="207"/>
      <c r="O118" s="122"/>
      <c r="P118" s="205"/>
      <c r="Q118" s="205"/>
      <c r="R118" s="205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</row>
    <row r="119">
      <c r="A119" s="122"/>
      <c r="B119" s="204"/>
      <c r="C119" s="204"/>
      <c r="D119" s="204"/>
      <c r="E119" s="205"/>
      <c r="F119" s="205"/>
      <c r="G119" s="205"/>
      <c r="H119" s="206"/>
      <c r="I119" s="207"/>
      <c r="J119" s="207"/>
      <c r="K119" s="207"/>
      <c r="L119" s="122"/>
      <c r="M119" s="207"/>
      <c r="N119" s="207"/>
      <c r="O119" s="122"/>
      <c r="P119" s="205"/>
      <c r="Q119" s="205"/>
      <c r="R119" s="205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</row>
    <row r="120">
      <c r="A120" s="122"/>
      <c r="B120" s="204"/>
      <c r="C120" s="204"/>
      <c r="D120" s="204"/>
      <c r="E120" s="205"/>
      <c r="F120" s="205"/>
      <c r="G120" s="205"/>
      <c r="H120" s="206"/>
      <c r="I120" s="207"/>
      <c r="J120" s="207"/>
      <c r="K120" s="207"/>
      <c r="L120" s="122"/>
      <c r="M120" s="207"/>
      <c r="N120" s="207"/>
      <c r="O120" s="122"/>
      <c r="P120" s="205"/>
      <c r="Q120" s="205"/>
      <c r="R120" s="205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</row>
    <row r="121">
      <c r="A121" s="122"/>
      <c r="B121" s="204"/>
      <c r="C121" s="204"/>
      <c r="D121" s="204"/>
      <c r="E121" s="205"/>
      <c r="F121" s="205"/>
      <c r="G121" s="205"/>
      <c r="H121" s="206"/>
      <c r="I121" s="207"/>
      <c r="J121" s="207"/>
      <c r="K121" s="207"/>
      <c r="L121" s="122"/>
      <c r="M121" s="207"/>
      <c r="N121" s="207"/>
      <c r="O121" s="122"/>
      <c r="P121" s="205"/>
      <c r="Q121" s="205"/>
      <c r="R121" s="205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</row>
    <row r="122">
      <c r="A122" s="122"/>
      <c r="B122" s="204"/>
      <c r="C122" s="204"/>
      <c r="D122" s="204"/>
      <c r="E122" s="205"/>
      <c r="F122" s="205"/>
      <c r="G122" s="205"/>
      <c r="H122" s="206"/>
      <c r="I122" s="207"/>
      <c r="J122" s="207"/>
      <c r="K122" s="207"/>
      <c r="L122" s="122"/>
      <c r="M122" s="207"/>
      <c r="N122" s="207"/>
      <c r="O122" s="122"/>
      <c r="P122" s="205"/>
      <c r="Q122" s="205"/>
      <c r="R122" s="205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</row>
    <row r="123">
      <c r="A123" s="122"/>
      <c r="B123" s="204"/>
      <c r="C123" s="204"/>
      <c r="D123" s="204"/>
      <c r="E123" s="205"/>
      <c r="F123" s="205"/>
      <c r="G123" s="205"/>
      <c r="H123" s="206"/>
      <c r="I123" s="207"/>
      <c r="J123" s="207"/>
      <c r="K123" s="207"/>
      <c r="L123" s="122"/>
      <c r="M123" s="207"/>
      <c r="N123" s="207"/>
      <c r="O123" s="122"/>
      <c r="P123" s="205"/>
      <c r="Q123" s="205"/>
      <c r="R123" s="205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</row>
    <row r="124">
      <c r="A124" s="122"/>
      <c r="B124" s="204"/>
      <c r="C124" s="204"/>
      <c r="D124" s="204"/>
      <c r="E124" s="205"/>
      <c r="F124" s="205"/>
      <c r="G124" s="205"/>
      <c r="H124" s="206"/>
      <c r="I124" s="207"/>
      <c r="J124" s="207"/>
      <c r="K124" s="207"/>
      <c r="L124" s="122"/>
      <c r="M124" s="207"/>
      <c r="N124" s="207"/>
      <c r="O124" s="122"/>
      <c r="P124" s="205"/>
      <c r="Q124" s="205"/>
      <c r="R124" s="205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</row>
    <row r="125">
      <c r="A125" s="122"/>
      <c r="B125" s="204"/>
      <c r="C125" s="204"/>
      <c r="D125" s="204"/>
      <c r="E125" s="205"/>
      <c r="F125" s="205"/>
      <c r="G125" s="205"/>
      <c r="H125" s="206"/>
      <c r="I125" s="207"/>
      <c r="J125" s="207"/>
      <c r="K125" s="207"/>
      <c r="L125" s="122"/>
      <c r="M125" s="207"/>
      <c r="N125" s="207"/>
      <c r="O125" s="122"/>
      <c r="P125" s="205"/>
      <c r="Q125" s="205"/>
      <c r="R125" s="205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</row>
    <row r="126">
      <c r="A126" s="122"/>
      <c r="B126" s="204"/>
      <c r="C126" s="204"/>
      <c r="D126" s="204"/>
      <c r="E126" s="205"/>
      <c r="F126" s="205"/>
      <c r="G126" s="205"/>
      <c r="H126" s="206"/>
      <c r="I126" s="207"/>
      <c r="J126" s="207"/>
      <c r="K126" s="207"/>
      <c r="L126" s="122"/>
      <c r="M126" s="207"/>
      <c r="N126" s="207"/>
      <c r="O126" s="122"/>
      <c r="P126" s="205"/>
      <c r="Q126" s="205"/>
      <c r="R126" s="205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</row>
    <row r="127">
      <c r="A127" s="122"/>
      <c r="B127" s="204"/>
      <c r="C127" s="204"/>
      <c r="D127" s="204"/>
      <c r="E127" s="205"/>
      <c r="F127" s="205"/>
      <c r="G127" s="205"/>
      <c r="H127" s="206"/>
      <c r="I127" s="207"/>
      <c r="J127" s="207"/>
      <c r="K127" s="207"/>
      <c r="L127" s="122"/>
      <c r="M127" s="207"/>
      <c r="N127" s="207"/>
      <c r="O127" s="122"/>
      <c r="P127" s="205"/>
      <c r="Q127" s="205"/>
      <c r="R127" s="205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</row>
    <row r="128">
      <c r="A128" s="122"/>
      <c r="B128" s="204"/>
      <c r="C128" s="204"/>
      <c r="D128" s="204"/>
      <c r="E128" s="205"/>
      <c r="F128" s="205"/>
      <c r="G128" s="205"/>
      <c r="H128" s="206"/>
      <c r="I128" s="207"/>
      <c r="J128" s="207"/>
      <c r="K128" s="207"/>
      <c r="L128" s="122"/>
      <c r="M128" s="207"/>
      <c r="N128" s="207"/>
      <c r="O128" s="122"/>
      <c r="P128" s="205"/>
      <c r="Q128" s="205"/>
      <c r="R128" s="205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</row>
    <row r="129">
      <c r="A129" s="122"/>
      <c r="B129" s="204"/>
      <c r="C129" s="204"/>
      <c r="D129" s="204"/>
      <c r="E129" s="205"/>
      <c r="F129" s="205"/>
      <c r="G129" s="205"/>
      <c r="H129" s="206"/>
      <c r="I129" s="207"/>
      <c r="J129" s="207"/>
      <c r="K129" s="207"/>
      <c r="L129" s="122"/>
      <c r="M129" s="207"/>
      <c r="N129" s="207"/>
      <c r="O129" s="122"/>
      <c r="P129" s="205"/>
      <c r="Q129" s="205"/>
      <c r="R129" s="205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</row>
    <row r="130">
      <c r="A130" s="122"/>
      <c r="B130" s="204"/>
      <c r="C130" s="204"/>
      <c r="D130" s="204"/>
      <c r="E130" s="205"/>
      <c r="F130" s="205"/>
      <c r="G130" s="205"/>
      <c r="H130" s="206"/>
      <c r="I130" s="207"/>
      <c r="J130" s="207"/>
      <c r="K130" s="207"/>
      <c r="L130" s="122"/>
      <c r="M130" s="207"/>
      <c r="N130" s="207"/>
      <c r="O130" s="122"/>
      <c r="P130" s="205"/>
      <c r="Q130" s="205"/>
      <c r="R130" s="205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</row>
    <row r="131">
      <c r="A131" s="122"/>
      <c r="B131" s="204"/>
      <c r="C131" s="204"/>
      <c r="D131" s="204"/>
      <c r="E131" s="205"/>
      <c r="F131" s="205"/>
      <c r="G131" s="205"/>
      <c r="H131" s="206"/>
      <c r="I131" s="207"/>
      <c r="J131" s="207"/>
      <c r="K131" s="207"/>
      <c r="L131" s="122"/>
      <c r="M131" s="207"/>
      <c r="N131" s="207"/>
      <c r="O131" s="122"/>
      <c r="P131" s="205"/>
      <c r="Q131" s="205"/>
      <c r="R131" s="205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</row>
    <row r="132">
      <c r="A132" s="122"/>
      <c r="B132" s="204"/>
      <c r="C132" s="204"/>
      <c r="D132" s="204"/>
      <c r="E132" s="205"/>
      <c r="F132" s="205"/>
      <c r="G132" s="205"/>
      <c r="H132" s="206"/>
      <c r="I132" s="207"/>
      <c r="J132" s="207"/>
      <c r="K132" s="207"/>
      <c r="L132" s="122"/>
      <c r="M132" s="207"/>
      <c r="N132" s="207"/>
      <c r="O132" s="122"/>
      <c r="P132" s="205"/>
      <c r="Q132" s="205"/>
      <c r="R132" s="205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</row>
    <row r="133">
      <c r="A133" s="122"/>
      <c r="B133" s="204"/>
      <c r="C133" s="204"/>
      <c r="D133" s="204"/>
      <c r="E133" s="205"/>
      <c r="F133" s="205"/>
      <c r="G133" s="205"/>
      <c r="H133" s="206"/>
      <c r="I133" s="207"/>
      <c r="J133" s="207"/>
      <c r="K133" s="207"/>
      <c r="L133" s="122"/>
      <c r="M133" s="207"/>
      <c r="N133" s="207"/>
      <c r="O133" s="122"/>
      <c r="P133" s="205"/>
      <c r="Q133" s="205"/>
      <c r="R133" s="205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</row>
    <row r="134">
      <c r="A134" s="122"/>
      <c r="B134" s="204"/>
      <c r="C134" s="204"/>
      <c r="D134" s="204"/>
      <c r="E134" s="205"/>
      <c r="F134" s="205"/>
      <c r="G134" s="205"/>
      <c r="H134" s="206"/>
      <c r="I134" s="207"/>
      <c r="J134" s="207"/>
      <c r="K134" s="207"/>
      <c r="L134" s="122"/>
      <c r="M134" s="207"/>
      <c r="N134" s="207"/>
      <c r="O134" s="122"/>
      <c r="P134" s="205"/>
      <c r="Q134" s="205"/>
      <c r="R134" s="205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</row>
    <row r="135">
      <c r="A135" s="122"/>
      <c r="B135" s="204"/>
      <c r="C135" s="204"/>
      <c r="D135" s="204"/>
      <c r="E135" s="205"/>
      <c r="F135" s="205"/>
      <c r="G135" s="205"/>
      <c r="H135" s="206"/>
      <c r="I135" s="207"/>
      <c r="J135" s="207"/>
      <c r="K135" s="207"/>
      <c r="L135" s="122"/>
      <c r="M135" s="207"/>
      <c r="N135" s="207"/>
      <c r="O135" s="122"/>
      <c r="P135" s="205"/>
      <c r="Q135" s="205"/>
      <c r="R135" s="205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</row>
    <row r="136">
      <c r="A136" s="122"/>
      <c r="B136" s="204"/>
      <c r="C136" s="204"/>
      <c r="D136" s="204"/>
      <c r="E136" s="205"/>
      <c r="F136" s="205"/>
      <c r="G136" s="205"/>
      <c r="H136" s="206"/>
      <c r="I136" s="207"/>
      <c r="J136" s="207"/>
      <c r="K136" s="207"/>
      <c r="L136" s="122"/>
      <c r="M136" s="207"/>
      <c r="N136" s="207"/>
      <c r="O136" s="122"/>
      <c r="P136" s="205"/>
      <c r="Q136" s="205"/>
      <c r="R136" s="205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</row>
    <row r="137">
      <c r="A137" s="122"/>
      <c r="B137" s="204"/>
      <c r="C137" s="204"/>
      <c r="D137" s="204"/>
      <c r="E137" s="205"/>
      <c r="F137" s="205"/>
      <c r="G137" s="205"/>
      <c r="H137" s="206"/>
      <c r="I137" s="207"/>
      <c r="J137" s="207"/>
      <c r="K137" s="207"/>
      <c r="L137" s="122"/>
      <c r="M137" s="207"/>
      <c r="N137" s="207"/>
      <c r="O137" s="122"/>
      <c r="P137" s="205"/>
      <c r="Q137" s="205"/>
      <c r="R137" s="205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</row>
    <row r="138">
      <c r="A138" s="122"/>
      <c r="B138" s="204"/>
      <c r="C138" s="204"/>
      <c r="D138" s="204"/>
      <c r="E138" s="205"/>
      <c r="F138" s="205"/>
      <c r="G138" s="205"/>
      <c r="H138" s="206"/>
      <c r="I138" s="207"/>
      <c r="J138" s="207"/>
      <c r="K138" s="207"/>
      <c r="L138" s="122"/>
      <c r="M138" s="207"/>
      <c r="N138" s="207"/>
      <c r="O138" s="122"/>
      <c r="P138" s="205"/>
      <c r="Q138" s="205"/>
      <c r="R138" s="205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</row>
    <row r="139">
      <c r="A139" s="122"/>
      <c r="B139" s="204"/>
      <c r="C139" s="204"/>
      <c r="D139" s="204"/>
      <c r="E139" s="205"/>
      <c r="F139" s="205"/>
      <c r="G139" s="205"/>
      <c r="H139" s="206"/>
      <c r="I139" s="207"/>
      <c r="J139" s="207"/>
      <c r="K139" s="207"/>
      <c r="L139" s="122"/>
      <c r="M139" s="207"/>
      <c r="N139" s="207"/>
      <c r="O139" s="122"/>
      <c r="P139" s="205"/>
      <c r="Q139" s="205"/>
      <c r="R139" s="205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</row>
    <row r="140">
      <c r="A140" s="122"/>
      <c r="B140" s="204"/>
      <c r="C140" s="204"/>
      <c r="D140" s="204"/>
      <c r="E140" s="205"/>
      <c r="F140" s="205"/>
      <c r="G140" s="205"/>
      <c r="H140" s="206"/>
      <c r="I140" s="207"/>
      <c r="J140" s="207"/>
      <c r="K140" s="207"/>
      <c r="L140" s="122"/>
      <c r="M140" s="207"/>
      <c r="N140" s="207"/>
      <c r="O140" s="122"/>
      <c r="P140" s="205"/>
      <c r="Q140" s="205"/>
      <c r="R140" s="205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</row>
    <row r="141">
      <c r="A141" s="122"/>
      <c r="B141" s="204"/>
      <c r="C141" s="204"/>
      <c r="D141" s="204"/>
      <c r="E141" s="205"/>
      <c r="F141" s="205"/>
      <c r="G141" s="205"/>
      <c r="H141" s="206"/>
      <c r="I141" s="207"/>
      <c r="J141" s="207"/>
      <c r="K141" s="207"/>
      <c r="L141" s="122"/>
      <c r="M141" s="207"/>
      <c r="N141" s="207"/>
      <c r="O141" s="122"/>
      <c r="P141" s="205"/>
      <c r="Q141" s="205"/>
      <c r="R141" s="205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</row>
    <row r="142">
      <c r="A142" s="122"/>
      <c r="B142" s="204"/>
      <c r="C142" s="204"/>
      <c r="D142" s="204"/>
      <c r="E142" s="205"/>
      <c r="F142" s="205"/>
      <c r="G142" s="205"/>
      <c r="H142" s="206"/>
      <c r="I142" s="207"/>
      <c r="J142" s="207"/>
      <c r="K142" s="207"/>
      <c r="L142" s="122"/>
      <c r="M142" s="207"/>
      <c r="N142" s="207"/>
      <c r="O142" s="122"/>
      <c r="P142" s="205"/>
      <c r="Q142" s="205"/>
      <c r="R142" s="205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</row>
    <row r="143">
      <c r="A143" s="122"/>
      <c r="B143" s="204"/>
      <c r="C143" s="204"/>
      <c r="D143" s="204"/>
      <c r="E143" s="205"/>
      <c r="F143" s="205"/>
      <c r="G143" s="205"/>
      <c r="H143" s="206"/>
      <c r="I143" s="207"/>
      <c r="J143" s="207"/>
      <c r="K143" s="207"/>
      <c r="L143" s="122"/>
      <c r="M143" s="207"/>
      <c r="N143" s="207"/>
      <c r="O143" s="122"/>
      <c r="P143" s="205"/>
      <c r="Q143" s="205"/>
      <c r="R143" s="205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</row>
    <row r="144">
      <c r="A144" s="122"/>
      <c r="B144" s="204"/>
      <c r="C144" s="204"/>
      <c r="D144" s="204"/>
      <c r="E144" s="205"/>
      <c r="F144" s="205"/>
      <c r="G144" s="205"/>
      <c r="H144" s="206"/>
      <c r="I144" s="207"/>
      <c r="J144" s="207"/>
      <c r="K144" s="207"/>
      <c r="L144" s="122"/>
      <c r="M144" s="207"/>
      <c r="N144" s="207"/>
      <c r="O144" s="122"/>
      <c r="P144" s="205"/>
      <c r="Q144" s="205"/>
      <c r="R144" s="205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</row>
    <row r="145">
      <c r="A145" s="122"/>
      <c r="B145" s="204"/>
      <c r="C145" s="204"/>
      <c r="D145" s="204"/>
      <c r="E145" s="205"/>
      <c r="F145" s="205"/>
      <c r="G145" s="205"/>
      <c r="H145" s="206"/>
      <c r="I145" s="207"/>
      <c r="J145" s="207"/>
      <c r="K145" s="207"/>
      <c r="L145" s="122"/>
      <c r="M145" s="207"/>
      <c r="N145" s="207"/>
      <c r="O145" s="122"/>
      <c r="P145" s="205"/>
      <c r="Q145" s="205"/>
      <c r="R145" s="205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</row>
    <row r="146">
      <c r="A146" s="122"/>
      <c r="B146" s="204"/>
      <c r="C146" s="204"/>
      <c r="D146" s="204"/>
      <c r="E146" s="205"/>
      <c r="F146" s="205"/>
      <c r="G146" s="205"/>
      <c r="H146" s="206"/>
      <c r="I146" s="207"/>
      <c r="J146" s="207"/>
      <c r="K146" s="207"/>
      <c r="L146" s="122"/>
      <c r="M146" s="207"/>
      <c r="N146" s="207"/>
      <c r="O146" s="122"/>
      <c r="P146" s="205"/>
      <c r="Q146" s="205"/>
      <c r="R146" s="205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</row>
    <row r="147">
      <c r="A147" s="122"/>
      <c r="B147" s="204"/>
      <c r="C147" s="204"/>
      <c r="D147" s="204"/>
      <c r="E147" s="205"/>
      <c r="F147" s="205"/>
      <c r="G147" s="205"/>
      <c r="H147" s="206"/>
      <c r="I147" s="207"/>
      <c r="J147" s="207"/>
      <c r="K147" s="207"/>
      <c r="L147" s="122"/>
      <c r="M147" s="207"/>
      <c r="N147" s="207"/>
      <c r="O147" s="122"/>
      <c r="P147" s="205"/>
      <c r="Q147" s="205"/>
      <c r="R147" s="205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</row>
    <row r="148">
      <c r="A148" s="122"/>
      <c r="B148" s="204"/>
      <c r="C148" s="204"/>
      <c r="D148" s="204"/>
      <c r="E148" s="205"/>
      <c r="F148" s="205"/>
      <c r="G148" s="205"/>
      <c r="H148" s="206"/>
      <c r="I148" s="207"/>
      <c r="J148" s="207"/>
      <c r="K148" s="207"/>
      <c r="L148" s="122"/>
      <c r="M148" s="207"/>
      <c r="N148" s="207"/>
      <c r="O148" s="122"/>
      <c r="P148" s="205"/>
      <c r="Q148" s="205"/>
      <c r="R148" s="205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</row>
    <row r="149">
      <c r="A149" s="122"/>
      <c r="B149" s="204"/>
      <c r="C149" s="204"/>
      <c r="D149" s="204"/>
      <c r="E149" s="205"/>
      <c r="F149" s="205"/>
      <c r="G149" s="205"/>
      <c r="H149" s="206"/>
      <c r="I149" s="207"/>
      <c r="J149" s="207"/>
      <c r="K149" s="207"/>
      <c r="L149" s="122"/>
      <c r="M149" s="207"/>
      <c r="N149" s="207"/>
      <c r="O149" s="122"/>
      <c r="P149" s="205"/>
      <c r="Q149" s="205"/>
      <c r="R149" s="205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</row>
    <row r="150">
      <c r="A150" s="122"/>
      <c r="B150" s="204"/>
      <c r="C150" s="204"/>
      <c r="D150" s="204"/>
      <c r="E150" s="205"/>
      <c r="F150" s="205"/>
      <c r="G150" s="205"/>
      <c r="H150" s="206"/>
      <c r="I150" s="207"/>
      <c r="J150" s="207"/>
      <c r="K150" s="207"/>
      <c r="L150" s="122"/>
      <c r="M150" s="207"/>
      <c r="N150" s="207"/>
      <c r="O150" s="122"/>
      <c r="P150" s="205"/>
      <c r="Q150" s="205"/>
      <c r="R150" s="205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</row>
    <row r="151">
      <c r="A151" s="122"/>
      <c r="B151" s="204"/>
      <c r="C151" s="204"/>
      <c r="D151" s="204"/>
      <c r="E151" s="205"/>
      <c r="F151" s="205"/>
      <c r="G151" s="205"/>
      <c r="H151" s="206"/>
      <c r="I151" s="207"/>
      <c r="J151" s="207"/>
      <c r="K151" s="207"/>
      <c r="L151" s="122"/>
      <c r="M151" s="207"/>
      <c r="N151" s="207"/>
      <c r="O151" s="122"/>
      <c r="P151" s="205"/>
      <c r="Q151" s="205"/>
      <c r="R151" s="205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</row>
    <row r="152">
      <c r="A152" s="122"/>
      <c r="B152" s="204"/>
      <c r="C152" s="204"/>
      <c r="D152" s="204"/>
      <c r="E152" s="205"/>
      <c r="F152" s="205"/>
      <c r="G152" s="205"/>
      <c r="H152" s="206"/>
      <c r="I152" s="207"/>
      <c r="J152" s="207"/>
      <c r="K152" s="207"/>
      <c r="L152" s="122"/>
      <c r="M152" s="207"/>
      <c r="N152" s="207"/>
      <c r="O152" s="122"/>
      <c r="P152" s="205"/>
      <c r="Q152" s="205"/>
      <c r="R152" s="205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</row>
    <row r="153">
      <c r="A153" s="122"/>
      <c r="B153" s="204"/>
      <c r="C153" s="204"/>
      <c r="D153" s="204"/>
      <c r="E153" s="205"/>
      <c r="F153" s="205"/>
      <c r="G153" s="205"/>
      <c r="H153" s="206"/>
      <c r="I153" s="207"/>
      <c r="J153" s="207"/>
      <c r="K153" s="207"/>
      <c r="L153" s="122"/>
      <c r="M153" s="207"/>
      <c r="N153" s="207"/>
      <c r="O153" s="122"/>
      <c r="P153" s="205"/>
      <c r="Q153" s="205"/>
      <c r="R153" s="205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</row>
    <row r="154">
      <c r="A154" s="122"/>
      <c r="B154" s="204"/>
      <c r="C154" s="204"/>
      <c r="D154" s="204"/>
      <c r="E154" s="205"/>
      <c r="F154" s="205"/>
      <c r="G154" s="205"/>
      <c r="H154" s="206"/>
      <c r="I154" s="207"/>
      <c r="J154" s="207"/>
      <c r="K154" s="207"/>
      <c r="L154" s="122"/>
      <c r="M154" s="207"/>
      <c r="N154" s="207"/>
      <c r="O154" s="122"/>
      <c r="P154" s="205"/>
      <c r="Q154" s="205"/>
      <c r="R154" s="205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</row>
    <row r="155">
      <c r="A155" s="122"/>
      <c r="B155" s="204"/>
      <c r="C155" s="204"/>
      <c r="D155" s="204"/>
      <c r="E155" s="205"/>
      <c r="F155" s="205"/>
      <c r="G155" s="205"/>
      <c r="H155" s="206"/>
      <c r="I155" s="207"/>
      <c r="J155" s="207"/>
      <c r="K155" s="207"/>
      <c r="L155" s="122"/>
      <c r="M155" s="207"/>
      <c r="N155" s="207"/>
      <c r="O155" s="122"/>
      <c r="P155" s="205"/>
      <c r="Q155" s="205"/>
      <c r="R155" s="205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</row>
    <row r="156">
      <c r="A156" s="122"/>
      <c r="B156" s="204"/>
      <c r="C156" s="204"/>
      <c r="D156" s="204"/>
      <c r="E156" s="205"/>
      <c r="F156" s="205"/>
      <c r="G156" s="205"/>
      <c r="H156" s="206"/>
      <c r="I156" s="207"/>
      <c r="J156" s="207"/>
      <c r="K156" s="207"/>
      <c r="L156" s="122"/>
      <c r="M156" s="207"/>
      <c r="N156" s="207"/>
      <c r="O156" s="122"/>
      <c r="P156" s="205"/>
      <c r="Q156" s="205"/>
      <c r="R156" s="205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</row>
    <row r="157">
      <c r="A157" s="122"/>
      <c r="B157" s="204"/>
      <c r="C157" s="204"/>
      <c r="D157" s="204"/>
      <c r="E157" s="205"/>
      <c r="F157" s="205"/>
      <c r="G157" s="205"/>
      <c r="H157" s="206"/>
      <c r="I157" s="207"/>
      <c r="J157" s="207"/>
      <c r="K157" s="207"/>
      <c r="L157" s="122"/>
      <c r="M157" s="207"/>
      <c r="N157" s="207"/>
      <c r="O157" s="122"/>
      <c r="P157" s="205"/>
      <c r="Q157" s="205"/>
      <c r="R157" s="205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</row>
    <row r="158">
      <c r="A158" s="122"/>
      <c r="B158" s="204"/>
      <c r="C158" s="204"/>
      <c r="D158" s="204"/>
      <c r="E158" s="205"/>
      <c r="F158" s="205"/>
      <c r="G158" s="205"/>
      <c r="H158" s="206"/>
      <c r="I158" s="207"/>
      <c r="J158" s="207"/>
      <c r="K158" s="207"/>
      <c r="L158" s="122"/>
      <c r="M158" s="207"/>
      <c r="N158" s="207"/>
      <c r="O158" s="122"/>
      <c r="P158" s="205"/>
      <c r="Q158" s="205"/>
      <c r="R158" s="205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</row>
    <row r="159">
      <c r="A159" s="122"/>
      <c r="B159" s="204"/>
      <c r="C159" s="204"/>
      <c r="D159" s="204"/>
      <c r="E159" s="205"/>
      <c r="F159" s="205"/>
      <c r="G159" s="205"/>
      <c r="H159" s="206"/>
      <c r="I159" s="207"/>
      <c r="J159" s="207"/>
      <c r="K159" s="207"/>
      <c r="L159" s="122"/>
      <c r="M159" s="207"/>
      <c r="N159" s="207"/>
      <c r="O159" s="122"/>
      <c r="P159" s="205"/>
      <c r="Q159" s="205"/>
      <c r="R159" s="205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</row>
    <row r="160">
      <c r="A160" s="122"/>
      <c r="B160" s="204"/>
      <c r="C160" s="204"/>
      <c r="D160" s="204"/>
      <c r="E160" s="205"/>
      <c r="F160" s="205"/>
      <c r="G160" s="205"/>
      <c r="H160" s="206"/>
      <c r="I160" s="207"/>
      <c r="J160" s="207"/>
      <c r="K160" s="207"/>
      <c r="L160" s="122"/>
      <c r="M160" s="207"/>
      <c r="N160" s="207"/>
      <c r="O160" s="122"/>
      <c r="P160" s="205"/>
      <c r="Q160" s="205"/>
      <c r="R160" s="205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</row>
    <row r="161">
      <c r="A161" s="122"/>
      <c r="B161" s="204"/>
      <c r="C161" s="204"/>
      <c r="D161" s="204"/>
      <c r="E161" s="205"/>
      <c r="F161" s="205"/>
      <c r="G161" s="205"/>
      <c r="H161" s="206"/>
      <c r="I161" s="207"/>
      <c r="J161" s="207"/>
      <c r="K161" s="207"/>
      <c r="L161" s="122"/>
      <c r="M161" s="207"/>
      <c r="N161" s="207"/>
      <c r="O161" s="122"/>
      <c r="P161" s="205"/>
      <c r="Q161" s="205"/>
      <c r="R161" s="205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</row>
    <row r="162">
      <c r="A162" s="122"/>
      <c r="B162" s="204"/>
      <c r="C162" s="204"/>
      <c r="D162" s="204"/>
      <c r="E162" s="205"/>
      <c r="F162" s="205"/>
      <c r="G162" s="205"/>
      <c r="H162" s="206"/>
      <c r="I162" s="207"/>
      <c r="J162" s="207"/>
      <c r="K162" s="207"/>
      <c r="L162" s="122"/>
      <c r="M162" s="207"/>
      <c r="N162" s="207"/>
      <c r="O162" s="122"/>
      <c r="P162" s="205"/>
      <c r="Q162" s="205"/>
      <c r="R162" s="205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</row>
    <row r="163">
      <c r="A163" s="122"/>
      <c r="B163" s="204"/>
      <c r="C163" s="204"/>
      <c r="D163" s="204"/>
      <c r="E163" s="205"/>
      <c r="F163" s="205"/>
      <c r="G163" s="205"/>
      <c r="H163" s="206"/>
      <c r="I163" s="207"/>
      <c r="J163" s="207"/>
      <c r="K163" s="207"/>
      <c r="L163" s="122"/>
      <c r="M163" s="207"/>
      <c r="N163" s="207"/>
      <c r="O163" s="122"/>
      <c r="P163" s="205"/>
      <c r="Q163" s="205"/>
      <c r="R163" s="205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</row>
    <row r="164">
      <c r="A164" s="122"/>
      <c r="B164" s="204"/>
      <c r="C164" s="204"/>
      <c r="D164" s="204"/>
      <c r="E164" s="205"/>
      <c r="F164" s="205"/>
      <c r="G164" s="205"/>
      <c r="H164" s="206"/>
      <c r="I164" s="207"/>
      <c r="J164" s="207"/>
      <c r="K164" s="207"/>
      <c r="L164" s="122"/>
      <c r="M164" s="207"/>
      <c r="N164" s="207"/>
      <c r="O164" s="122"/>
      <c r="P164" s="205"/>
      <c r="Q164" s="205"/>
      <c r="R164" s="205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</row>
    <row r="165">
      <c r="A165" s="122"/>
      <c r="B165" s="204"/>
      <c r="C165" s="204"/>
      <c r="D165" s="204"/>
      <c r="E165" s="205"/>
      <c r="F165" s="205"/>
      <c r="G165" s="205"/>
      <c r="H165" s="206"/>
      <c r="I165" s="207"/>
      <c r="J165" s="207"/>
      <c r="K165" s="207"/>
      <c r="L165" s="122"/>
      <c r="M165" s="207"/>
      <c r="N165" s="207"/>
      <c r="O165" s="122"/>
      <c r="P165" s="205"/>
      <c r="Q165" s="205"/>
      <c r="R165" s="205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</row>
    <row r="166">
      <c r="A166" s="122"/>
      <c r="B166" s="204"/>
      <c r="C166" s="204"/>
      <c r="D166" s="204"/>
      <c r="E166" s="205"/>
      <c r="F166" s="205"/>
      <c r="G166" s="205"/>
      <c r="H166" s="206"/>
      <c r="I166" s="207"/>
      <c r="J166" s="207"/>
      <c r="K166" s="207"/>
      <c r="L166" s="122"/>
      <c r="M166" s="207"/>
      <c r="N166" s="207"/>
      <c r="O166" s="122"/>
      <c r="P166" s="205"/>
      <c r="Q166" s="205"/>
      <c r="R166" s="205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</row>
    <row r="167">
      <c r="A167" s="122"/>
      <c r="B167" s="204"/>
      <c r="C167" s="204"/>
      <c r="D167" s="204"/>
      <c r="E167" s="205"/>
      <c r="F167" s="205"/>
      <c r="G167" s="205"/>
      <c r="H167" s="206"/>
      <c r="I167" s="207"/>
      <c r="J167" s="207"/>
      <c r="K167" s="207"/>
      <c r="L167" s="122"/>
      <c r="M167" s="207"/>
      <c r="N167" s="207"/>
      <c r="O167" s="122"/>
      <c r="P167" s="205"/>
      <c r="Q167" s="205"/>
      <c r="R167" s="205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</row>
    <row r="168">
      <c r="A168" s="122"/>
      <c r="B168" s="204"/>
      <c r="C168" s="204"/>
      <c r="D168" s="204"/>
      <c r="E168" s="205"/>
      <c r="F168" s="205"/>
      <c r="G168" s="205"/>
      <c r="H168" s="206"/>
      <c r="I168" s="207"/>
      <c r="J168" s="207"/>
      <c r="K168" s="207"/>
      <c r="L168" s="122"/>
      <c r="M168" s="207"/>
      <c r="N168" s="207"/>
      <c r="O168" s="122"/>
      <c r="P168" s="205"/>
      <c r="Q168" s="205"/>
      <c r="R168" s="205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</row>
    <row r="169">
      <c r="A169" s="122"/>
      <c r="B169" s="204"/>
      <c r="C169" s="204"/>
      <c r="D169" s="204"/>
      <c r="E169" s="205"/>
      <c r="F169" s="205"/>
      <c r="G169" s="205"/>
      <c r="H169" s="206"/>
      <c r="I169" s="207"/>
      <c r="J169" s="207"/>
      <c r="K169" s="207"/>
      <c r="L169" s="122"/>
      <c r="M169" s="207"/>
      <c r="N169" s="207"/>
      <c r="O169" s="122"/>
      <c r="P169" s="205"/>
      <c r="Q169" s="205"/>
      <c r="R169" s="205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</row>
    <row r="170">
      <c r="A170" s="122"/>
      <c r="B170" s="204"/>
      <c r="C170" s="204"/>
      <c r="D170" s="204"/>
      <c r="E170" s="205"/>
      <c r="F170" s="205"/>
      <c r="G170" s="205"/>
      <c r="H170" s="206"/>
      <c r="I170" s="207"/>
      <c r="J170" s="207"/>
      <c r="K170" s="207"/>
      <c r="L170" s="122"/>
      <c r="M170" s="207"/>
      <c r="N170" s="207"/>
      <c r="O170" s="122"/>
      <c r="P170" s="205"/>
      <c r="Q170" s="205"/>
      <c r="R170" s="205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</row>
    <row r="171">
      <c r="A171" s="122"/>
      <c r="B171" s="204"/>
      <c r="C171" s="204"/>
      <c r="D171" s="204"/>
      <c r="E171" s="205"/>
      <c r="F171" s="205"/>
      <c r="G171" s="205"/>
      <c r="H171" s="206"/>
      <c r="I171" s="207"/>
      <c r="J171" s="207"/>
      <c r="K171" s="207"/>
      <c r="L171" s="122"/>
      <c r="M171" s="207"/>
      <c r="N171" s="207"/>
      <c r="O171" s="122"/>
      <c r="P171" s="205"/>
      <c r="Q171" s="205"/>
      <c r="R171" s="205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</row>
    <row r="172">
      <c r="A172" s="122"/>
      <c r="B172" s="204"/>
      <c r="C172" s="204"/>
      <c r="D172" s="204"/>
      <c r="E172" s="205"/>
      <c r="F172" s="205"/>
      <c r="G172" s="205"/>
      <c r="H172" s="206"/>
      <c r="I172" s="207"/>
      <c r="J172" s="207"/>
      <c r="K172" s="207"/>
      <c r="L172" s="122"/>
      <c r="M172" s="207"/>
      <c r="N172" s="207"/>
      <c r="O172" s="122"/>
      <c r="P172" s="205"/>
      <c r="Q172" s="205"/>
      <c r="R172" s="205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</row>
    <row r="173">
      <c r="A173" s="122"/>
      <c r="B173" s="204"/>
      <c r="C173" s="204"/>
      <c r="D173" s="204"/>
      <c r="E173" s="205"/>
      <c r="F173" s="205"/>
      <c r="G173" s="205"/>
      <c r="H173" s="206"/>
      <c r="I173" s="207"/>
      <c r="J173" s="207"/>
      <c r="K173" s="207"/>
      <c r="L173" s="122"/>
      <c r="M173" s="207"/>
      <c r="N173" s="207"/>
      <c r="O173" s="122"/>
      <c r="P173" s="205"/>
      <c r="Q173" s="205"/>
      <c r="R173" s="205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</row>
    <row r="174">
      <c r="A174" s="122"/>
      <c r="B174" s="204"/>
      <c r="C174" s="204"/>
      <c r="D174" s="204"/>
      <c r="E174" s="205"/>
      <c r="F174" s="205"/>
      <c r="G174" s="205"/>
      <c r="H174" s="206"/>
      <c r="I174" s="207"/>
      <c r="J174" s="207"/>
      <c r="K174" s="207"/>
      <c r="L174" s="122"/>
      <c r="M174" s="207"/>
      <c r="N174" s="207"/>
      <c r="O174" s="122"/>
      <c r="P174" s="205"/>
      <c r="Q174" s="205"/>
      <c r="R174" s="205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</row>
    <row r="175">
      <c r="A175" s="122"/>
      <c r="B175" s="204"/>
      <c r="C175" s="204"/>
      <c r="D175" s="204"/>
      <c r="E175" s="205"/>
      <c r="F175" s="205"/>
      <c r="G175" s="205"/>
      <c r="H175" s="206"/>
      <c r="I175" s="207"/>
      <c r="J175" s="207"/>
      <c r="K175" s="207"/>
      <c r="L175" s="122"/>
      <c r="M175" s="207"/>
      <c r="N175" s="207"/>
      <c r="O175" s="122"/>
      <c r="P175" s="205"/>
      <c r="Q175" s="205"/>
      <c r="R175" s="205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</row>
    <row r="176">
      <c r="A176" s="122"/>
      <c r="B176" s="204"/>
      <c r="C176" s="204"/>
      <c r="D176" s="204"/>
      <c r="E176" s="205"/>
      <c r="F176" s="205"/>
      <c r="G176" s="205"/>
      <c r="H176" s="206"/>
      <c r="I176" s="207"/>
      <c r="J176" s="207"/>
      <c r="K176" s="207"/>
      <c r="L176" s="122"/>
      <c r="M176" s="207"/>
      <c r="N176" s="207"/>
      <c r="O176" s="122"/>
      <c r="P176" s="205"/>
      <c r="Q176" s="205"/>
      <c r="R176" s="205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</row>
    <row r="177">
      <c r="A177" s="122"/>
      <c r="B177" s="204"/>
      <c r="C177" s="204"/>
      <c r="D177" s="204"/>
      <c r="E177" s="205"/>
      <c r="F177" s="205"/>
      <c r="G177" s="205"/>
      <c r="H177" s="206"/>
      <c r="I177" s="207"/>
      <c r="J177" s="207"/>
      <c r="K177" s="207"/>
      <c r="L177" s="122"/>
      <c r="M177" s="207"/>
      <c r="N177" s="207"/>
      <c r="O177" s="122"/>
      <c r="P177" s="205"/>
      <c r="Q177" s="205"/>
      <c r="R177" s="205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</row>
    <row r="178">
      <c r="A178" s="122"/>
      <c r="B178" s="204"/>
      <c r="C178" s="204"/>
      <c r="D178" s="204"/>
      <c r="E178" s="205"/>
      <c r="F178" s="205"/>
      <c r="G178" s="205"/>
      <c r="H178" s="206"/>
      <c r="I178" s="207"/>
      <c r="J178" s="207"/>
      <c r="K178" s="207"/>
      <c r="L178" s="122"/>
      <c r="M178" s="207"/>
      <c r="N178" s="207"/>
      <c r="O178" s="122"/>
      <c r="P178" s="205"/>
      <c r="Q178" s="205"/>
      <c r="R178" s="205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</row>
    <row r="179">
      <c r="A179" s="122"/>
      <c r="B179" s="204"/>
      <c r="C179" s="204"/>
      <c r="D179" s="204"/>
      <c r="E179" s="205"/>
      <c r="F179" s="205"/>
      <c r="G179" s="205"/>
      <c r="H179" s="206"/>
      <c r="I179" s="207"/>
      <c r="J179" s="207"/>
      <c r="K179" s="207"/>
      <c r="L179" s="122"/>
      <c r="M179" s="207"/>
      <c r="N179" s="207"/>
      <c r="O179" s="122"/>
      <c r="P179" s="205"/>
      <c r="Q179" s="205"/>
      <c r="R179" s="205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</row>
    <row r="180">
      <c r="A180" s="122"/>
      <c r="B180" s="204"/>
      <c r="C180" s="204"/>
      <c r="D180" s="204"/>
      <c r="E180" s="205"/>
      <c r="F180" s="205"/>
      <c r="G180" s="205"/>
      <c r="H180" s="206"/>
      <c r="I180" s="207"/>
      <c r="J180" s="207"/>
      <c r="K180" s="207"/>
      <c r="L180" s="122"/>
      <c r="M180" s="207"/>
      <c r="N180" s="207"/>
      <c r="O180" s="122"/>
      <c r="P180" s="205"/>
      <c r="Q180" s="205"/>
      <c r="R180" s="205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</row>
    <row r="181">
      <c r="A181" s="122"/>
      <c r="B181" s="204"/>
      <c r="C181" s="204"/>
      <c r="D181" s="204"/>
      <c r="E181" s="205"/>
      <c r="F181" s="205"/>
      <c r="G181" s="205"/>
      <c r="H181" s="206"/>
      <c r="I181" s="207"/>
      <c r="J181" s="207"/>
      <c r="K181" s="207"/>
      <c r="L181" s="122"/>
      <c r="M181" s="207"/>
      <c r="N181" s="207"/>
      <c r="O181" s="122"/>
      <c r="P181" s="205"/>
      <c r="Q181" s="205"/>
      <c r="R181" s="205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</row>
    <row r="182">
      <c r="A182" s="122"/>
      <c r="B182" s="204"/>
      <c r="C182" s="204"/>
      <c r="D182" s="204"/>
      <c r="E182" s="205"/>
      <c r="F182" s="205"/>
      <c r="G182" s="205"/>
      <c r="H182" s="206"/>
      <c r="I182" s="207"/>
      <c r="J182" s="207"/>
      <c r="K182" s="207"/>
      <c r="L182" s="122"/>
      <c r="M182" s="207"/>
      <c r="N182" s="207"/>
      <c r="O182" s="122"/>
      <c r="P182" s="205"/>
      <c r="Q182" s="205"/>
      <c r="R182" s="205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</row>
    <row r="183">
      <c r="A183" s="122"/>
      <c r="B183" s="204"/>
      <c r="C183" s="204"/>
      <c r="D183" s="204"/>
      <c r="E183" s="205"/>
      <c r="F183" s="205"/>
      <c r="G183" s="205"/>
      <c r="H183" s="206"/>
      <c r="I183" s="207"/>
      <c r="J183" s="207"/>
      <c r="K183" s="207"/>
      <c r="L183" s="122"/>
      <c r="M183" s="207"/>
      <c r="N183" s="207"/>
      <c r="O183" s="122"/>
      <c r="P183" s="205"/>
      <c r="Q183" s="205"/>
      <c r="R183" s="205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</row>
    <row r="184">
      <c r="A184" s="122"/>
      <c r="B184" s="204"/>
      <c r="C184" s="204"/>
      <c r="D184" s="204"/>
      <c r="E184" s="205"/>
      <c r="F184" s="205"/>
      <c r="G184" s="205"/>
      <c r="H184" s="206"/>
      <c r="I184" s="207"/>
      <c r="J184" s="207"/>
      <c r="K184" s="207"/>
      <c r="L184" s="122"/>
      <c r="M184" s="207"/>
      <c r="N184" s="207"/>
      <c r="O184" s="122"/>
      <c r="P184" s="205"/>
      <c r="Q184" s="205"/>
      <c r="R184" s="205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</row>
    <row r="185">
      <c r="A185" s="122"/>
      <c r="B185" s="204"/>
      <c r="C185" s="204"/>
      <c r="D185" s="204"/>
      <c r="E185" s="205"/>
      <c r="F185" s="205"/>
      <c r="G185" s="205"/>
      <c r="H185" s="206"/>
      <c r="I185" s="207"/>
      <c r="J185" s="207"/>
      <c r="K185" s="207"/>
      <c r="L185" s="122"/>
      <c r="M185" s="207"/>
      <c r="N185" s="207"/>
      <c r="O185" s="122"/>
      <c r="P185" s="205"/>
      <c r="Q185" s="205"/>
      <c r="R185" s="205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</row>
    <row r="186">
      <c r="A186" s="122"/>
      <c r="B186" s="204"/>
      <c r="C186" s="204"/>
      <c r="D186" s="204"/>
      <c r="E186" s="205"/>
      <c r="F186" s="205"/>
      <c r="G186" s="205"/>
      <c r="H186" s="206"/>
      <c r="I186" s="207"/>
      <c r="J186" s="207"/>
      <c r="K186" s="207"/>
      <c r="L186" s="122"/>
      <c r="M186" s="207"/>
      <c r="N186" s="207"/>
      <c r="O186" s="122"/>
      <c r="P186" s="205"/>
      <c r="Q186" s="205"/>
      <c r="R186" s="205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</row>
    <row r="187">
      <c r="A187" s="122"/>
      <c r="B187" s="204"/>
      <c r="C187" s="204"/>
      <c r="D187" s="204"/>
      <c r="E187" s="205"/>
      <c r="F187" s="205"/>
      <c r="G187" s="205"/>
      <c r="H187" s="206"/>
      <c r="I187" s="207"/>
      <c r="J187" s="207"/>
      <c r="K187" s="207"/>
      <c r="L187" s="122"/>
      <c r="M187" s="207"/>
      <c r="N187" s="207"/>
      <c r="O187" s="122"/>
      <c r="P187" s="205"/>
      <c r="Q187" s="205"/>
      <c r="R187" s="205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</row>
    <row r="188">
      <c r="A188" s="122"/>
      <c r="B188" s="204"/>
      <c r="C188" s="204"/>
      <c r="D188" s="204"/>
      <c r="E188" s="205"/>
      <c r="F188" s="205"/>
      <c r="G188" s="205"/>
      <c r="H188" s="206"/>
      <c r="I188" s="207"/>
      <c r="J188" s="207"/>
      <c r="K188" s="207"/>
      <c r="L188" s="122"/>
      <c r="M188" s="207"/>
      <c r="N188" s="207"/>
      <c r="O188" s="122"/>
      <c r="P188" s="205"/>
      <c r="Q188" s="205"/>
      <c r="R188" s="205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</row>
    <row r="189">
      <c r="A189" s="122"/>
      <c r="B189" s="204"/>
      <c r="C189" s="204"/>
      <c r="D189" s="204"/>
      <c r="E189" s="205"/>
      <c r="F189" s="205"/>
      <c r="G189" s="205"/>
      <c r="H189" s="206"/>
      <c r="I189" s="207"/>
      <c r="J189" s="207"/>
      <c r="K189" s="207"/>
      <c r="L189" s="122"/>
      <c r="M189" s="207"/>
      <c r="N189" s="207"/>
      <c r="O189" s="122"/>
      <c r="P189" s="205"/>
      <c r="Q189" s="205"/>
      <c r="R189" s="205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</row>
    <row r="190">
      <c r="A190" s="122"/>
      <c r="B190" s="204"/>
      <c r="C190" s="204"/>
      <c r="D190" s="204"/>
      <c r="E190" s="205"/>
      <c r="F190" s="205"/>
      <c r="G190" s="205"/>
      <c r="H190" s="206"/>
      <c r="I190" s="207"/>
      <c r="J190" s="207"/>
      <c r="K190" s="207"/>
      <c r="L190" s="122"/>
      <c r="M190" s="207"/>
      <c r="N190" s="207"/>
      <c r="O190" s="122"/>
      <c r="P190" s="205"/>
      <c r="Q190" s="205"/>
      <c r="R190" s="205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</row>
    <row r="191">
      <c r="A191" s="122"/>
      <c r="B191" s="204"/>
      <c r="C191" s="204"/>
      <c r="D191" s="204"/>
      <c r="E191" s="205"/>
      <c r="F191" s="205"/>
      <c r="G191" s="205"/>
      <c r="H191" s="206"/>
      <c r="I191" s="207"/>
      <c r="J191" s="207"/>
      <c r="K191" s="207"/>
      <c r="L191" s="122"/>
      <c r="M191" s="207"/>
      <c r="N191" s="207"/>
      <c r="O191" s="122"/>
      <c r="P191" s="205"/>
      <c r="Q191" s="205"/>
      <c r="R191" s="205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</row>
    <row r="192">
      <c r="A192" s="122"/>
      <c r="B192" s="204"/>
      <c r="C192" s="204"/>
      <c r="D192" s="204"/>
      <c r="E192" s="205"/>
      <c r="F192" s="205"/>
      <c r="G192" s="205"/>
      <c r="H192" s="206"/>
      <c r="I192" s="207"/>
      <c r="J192" s="207"/>
      <c r="K192" s="207"/>
      <c r="L192" s="122"/>
      <c r="M192" s="207"/>
      <c r="N192" s="207"/>
      <c r="O192" s="122"/>
      <c r="P192" s="205"/>
      <c r="Q192" s="205"/>
      <c r="R192" s="205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</row>
    <row r="193">
      <c r="A193" s="122"/>
      <c r="B193" s="204"/>
      <c r="C193" s="204"/>
      <c r="D193" s="204"/>
      <c r="E193" s="205"/>
      <c r="F193" s="205"/>
      <c r="G193" s="205"/>
      <c r="H193" s="206"/>
      <c r="I193" s="207"/>
      <c r="J193" s="207"/>
      <c r="K193" s="207"/>
      <c r="L193" s="122"/>
      <c r="M193" s="207"/>
      <c r="N193" s="207"/>
      <c r="O193" s="122"/>
      <c r="P193" s="205"/>
      <c r="Q193" s="205"/>
      <c r="R193" s="205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</row>
    <row r="194">
      <c r="A194" s="122"/>
      <c r="B194" s="204"/>
      <c r="C194" s="204"/>
      <c r="D194" s="204"/>
      <c r="E194" s="205"/>
      <c r="F194" s="205"/>
      <c r="G194" s="205"/>
      <c r="H194" s="206"/>
      <c r="I194" s="207"/>
      <c r="J194" s="207"/>
      <c r="K194" s="207"/>
      <c r="L194" s="122"/>
      <c r="M194" s="207"/>
      <c r="N194" s="207"/>
      <c r="O194" s="122"/>
      <c r="P194" s="205"/>
      <c r="Q194" s="205"/>
      <c r="R194" s="205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</row>
    <row r="195">
      <c r="A195" s="122"/>
      <c r="B195" s="204"/>
      <c r="C195" s="204"/>
      <c r="D195" s="204"/>
      <c r="E195" s="205"/>
      <c r="F195" s="205"/>
      <c r="G195" s="205"/>
      <c r="H195" s="206"/>
      <c r="I195" s="207"/>
      <c r="J195" s="207"/>
      <c r="K195" s="207"/>
      <c r="L195" s="122"/>
      <c r="M195" s="207"/>
      <c r="N195" s="207"/>
      <c r="O195" s="122"/>
      <c r="P195" s="205"/>
      <c r="Q195" s="205"/>
      <c r="R195" s="205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</row>
    <row r="196">
      <c r="A196" s="122"/>
      <c r="B196" s="204"/>
      <c r="C196" s="204"/>
      <c r="D196" s="204"/>
      <c r="E196" s="205"/>
      <c r="F196" s="205"/>
      <c r="G196" s="205"/>
      <c r="H196" s="206"/>
      <c r="I196" s="207"/>
      <c r="J196" s="207"/>
      <c r="K196" s="207"/>
      <c r="L196" s="122"/>
      <c r="M196" s="207"/>
      <c r="N196" s="207"/>
      <c r="O196" s="122"/>
      <c r="P196" s="205"/>
      <c r="Q196" s="205"/>
      <c r="R196" s="205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</row>
    <row r="197">
      <c r="A197" s="122"/>
      <c r="B197" s="204"/>
      <c r="C197" s="204"/>
      <c r="D197" s="204"/>
      <c r="E197" s="205"/>
      <c r="F197" s="205"/>
      <c r="G197" s="205"/>
      <c r="H197" s="206"/>
      <c r="I197" s="207"/>
      <c r="J197" s="207"/>
      <c r="K197" s="207"/>
      <c r="L197" s="122"/>
      <c r="M197" s="207"/>
      <c r="N197" s="207"/>
      <c r="O197" s="122"/>
      <c r="P197" s="205"/>
      <c r="Q197" s="205"/>
      <c r="R197" s="205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</row>
    <row r="198">
      <c r="A198" s="122"/>
      <c r="B198" s="204"/>
      <c r="C198" s="204"/>
      <c r="D198" s="204"/>
      <c r="E198" s="205"/>
      <c r="F198" s="205"/>
      <c r="G198" s="205"/>
      <c r="H198" s="206"/>
      <c r="I198" s="207"/>
      <c r="J198" s="207"/>
      <c r="K198" s="207"/>
      <c r="L198" s="122"/>
      <c r="M198" s="207"/>
      <c r="N198" s="207"/>
      <c r="O198" s="122"/>
      <c r="P198" s="205"/>
      <c r="Q198" s="205"/>
      <c r="R198" s="205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</row>
    <row r="199">
      <c r="A199" s="122"/>
      <c r="B199" s="204"/>
      <c r="C199" s="204"/>
      <c r="D199" s="204"/>
      <c r="E199" s="205"/>
      <c r="F199" s="205"/>
      <c r="G199" s="205"/>
      <c r="H199" s="206"/>
      <c r="I199" s="207"/>
      <c r="J199" s="207"/>
      <c r="K199" s="207"/>
      <c r="L199" s="122"/>
      <c r="M199" s="207"/>
      <c r="N199" s="207"/>
      <c r="O199" s="122"/>
      <c r="P199" s="205"/>
      <c r="Q199" s="205"/>
      <c r="R199" s="205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</row>
    <row r="200">
      <c r="A200" s="122"/>
      <c r="B200" s="204"/>
      <c r="C200" s="204"/>
      <c r="D200" s="204"/>
      <c r="E200" s="205"/>
      <c r="F200" s="205"/>
      <c r="G200" s="205"/>
      <c r="H200" s="206"/>
      <c r="I200" s="207"/>
      <c r="J200" s="207"/>
      <c r="K200" s="207"/>
      <c r="L200" s="122"/>
      <c r="M200" s="207"/>
      <c r="N200" s="207"/>
      <c r="O200" s="122"/>
      <c r="P200" s="205"/>
      <c r="Q200" s="205"/>
      <c r="R200" s="205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</row>
    <row r="201">
      <c r="A201" s="122"/>
      <c r="B201" s="204"/>
      <c r="C201" s="204"/>
      <c r="D201" s="204"/>
      <c r="E201" s="205"/>
      <c r="F201" s="205"/>
      <c r="G201" s="205"/>
      <c r="H201" s="206"/>
      <c r="I201" s="207"/>
      <c r="J201" s="207"/>
      <c r="K201" s="207"/>
      <c r="L201" s="122"/>
      <c r="M201" s="207"/>
      <c r="N201" s="207"/>
      <c r="O201" s="122"/>
      <c r="P201" s="205"/>
      <c r="Q201" s="205"/>
      <c r="R201" s="205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</row>
    <row r="202">
      <c r="A202" s="122"/>
      <c r="B202" s="204"/>
      <c r="C202" s="204"/>
      <c r="D202" s="204"/>
      <c r="E202" s="205"/>
      <c r="F202" s="205"/>
      <c r="G202" s="205"/>
      <c r="H202" s="206"/>
      <c r="I202" s="207"/>
      <c r="J202" s="207"/>
      <c r="K202" s="207"/>
      <c r="L202" s="122"/>
      <c r="M202" s="207"/>
      <c r="N202" s="207"/>
      <c r="O202" s="122"/>
      <c r="P202" s="205"/>
      <c r="Q202" s="205"/>
      <c r="R202" s="205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</row>
    <row r="203">
      <c r="A203" s="122"/>
      <c r="B203" s="204"/>
      <c r="C203" s="204"/>
      <c r="D203" s="204"/>
      <c r="E203" s="205"/>
      <c r="F203" s="205"/>
      <c r="G203" s="205"/>
      <c r="H203" s="206"/>
      <c r="I203" s="207"/>
      <c r="J203" s="207"/>
      <c r="K203" s="207"/>
      <c r="L203" s="122"/>
      <c r="M203" s="207"/>
      <c r="N203" s="207"/>
      <c r="O203" s="122"/>
      <c r="P203" s="205"/>
      <c r="Q203" s="205"/>
      <c r="R203" s="205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</row>
    <row r="204">
      <c r="A204" s="122"/>
      <c r="B204" s="204"/>
      <c r="C204" s="204"/>
      <c r="D204" s="204"/>
      <c r="E204" s="205"/>
      <c r="F204" s="205"/>
      <c r="G204" s="205"/>
      <c r="H204" s="206"/>
      <c r="I204" s="207"/>
      <c r="J204" s="207"/>
      <c r="K204" s="207"/>
      <c r="L204" s="122"/>
      <c r="M204" s="207"/>
      <c r="N204" s="207"/>
      <c r="O204" s="122"/>
      <c r="P204" s="205"/>
      <c r="Q204" s="205"/>
      <c r="R204" s="205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</row>
    <row r="205">
      <c r="A205" s="122"/>
      <c r="B205" s="204"/>
      <c r="C205" s="204"/>
      <c r="D205" s="204"/>
      <c r="E205" s="205"/>
      <c r="F205" s="205"/>
      <c r="G205" s="205"/>
      <c r="H205" s="206"/>
      <c r="I205" s="207"/>
      <c r="J205" s="207"/>
      <c r="K205" s="207"/>
      <c r="L205" s="122"/>
      <c r="M205" s="207"/>
      <c r="N205" s="207"/>
      <c r="O205" s="122"/>
      <c r="P205" s="205"/>
      <c r="Q205" s="205"/>
      <c r="R205" s="205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</row>
    <row r="206">
      <c r="A206" s="122"/>
      <c r="B206" s="204"/>
      <c r="C206" s="204"/>
      <c r="D206" s="204"/>
      <c r="E206" s="205"/>
      <c r="F206" s="205"/>
      <c r="G206" s="205"/>
      <c r="H206" s="206"/>
      <c r="I206" s="207"/>
      <c r="J206" s="207"/>
      <c r="K206" s="207"/>
      <c r="L206" s="122"/>
      <c r="M206" s="207"/>
      <c r="N206" s="207"/>
      <c r="O206" s="122"/>
      <c r="P206" s="205"/>
      <c r="Q206" s="205"/>
      <c r="R206" s="205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</row>
    <row r="207">
      <c r="A207" s="122"/>
      <c r="B207" s="204"/>
      <c r="C207" s="204"/>
      <c r="D207" s="204"/>
      <c r="E207" s="205"/>
      <c r="F207" s="205"/>
      <c r="G207" s="205"/>
      <c r="H207" s="206"/>
      <c r="I207" s="207"/>
      <c r="J207" s="207"/>
      <c r="K207" s="207"/>
      <c r="L207" s="122"/>
      <c r="M207" s="207"/>
      <c r="N207" s="207"/>
      <c r="O207" s="122"/>
      <c r="P207" s="205"/>
      <c r="Q207" s="205"/>
      <c r="R207" s="205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</row>
    <row r="208">
      <c r="A208" s="122"/>
      <c r="B208" s="204"/>
      <c r="C208" s="204"/>
      <c r="D208" s="204"/>
      <c r="E208" s="205"/>
      <c r="F208" s="205"/>
      <c r="G208" s="205"/>
      <c r="H208" s="206"/>
      <c r="I208" s="207"/>
      <c r="J208" s="207"/>
      <c r="K208" s="207"/>
      <c r="L208" s="122"/>
      <c r="M208" s="207"/>
      <c r="N208" s="207"/>
      <c r="O208" s="122"/>
      <c r="P208" s="205"/>
      <c r="Q208" s="205"/>
      <c r="R208" s="205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</row>
    <row r="209">
      <c r="A209" s="122"/>
      <c r="B209" s="204"/>
      <c r="C209" s="204"/>
      <c r="D209" s="204"/>
      <c r="E209" s="205"/>
      <c r="F209" s="205"/>
      <c r="G209" s="205"/>
      <c r="H209" s="206"/>
      <c r="I209" s="207"/>
      <c r="J209" s="207"/>
      <c r="K209" s="207"/>
      <c r="L209" s="122"/>
      <c r="M209" s="207"/>
      <c r="N209" s="207"/>
      <c r="O209" s="122"/>
      <c r="P209" s="205"/>
      <c r="Q209" s="205"/>
      <c r="R209" s="205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</row>
    <row r="210">
      <c r="A210" s="122"/>
      <c r="B210" s="204"/>
      <c r="C210" s="204"/>
      <c r="D210" s="204"/>
      <c r="E210" s="205"/>
      <c r="F210" s="205"/>
      <c r="G210" s="205"/>
      <c r="H210" s="206"/>
      <c r="I210" s="207"/>
      <c r="J210" s="207"/>
      <c r="K210" s="207"/>
      <c r="L210" s="122"/>
      <c r="M210" s="207"/>
      <c r="N210" s="207"/>
      <c r="O210" s="122"/>
      <c r="P210" s="205"/>
      <c r="Q210" s="205"/>
      <c r="R210" s="205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</row>
    <row r="211">
      <c r="A211" s="122"/>
      <c r="B211" s="204"/>
      <c r="C211" s="204"/>
      <c r="D211" s="204"/>
      <c r="E211" s="205"/>
      <c r="F211" s="205"/>
      <c r="G211" s="205"/>
      <c r="H211" s="206"/>
      <c r="I211" s="207"/>
      <c r="J211" s="207"/>
      <c r="K211" s="207"/>
      <c r="L211" s="122"/>
      <c r="M211" s="207"/>
      <c r="N211" s="207"/>
      <c r="O211" s="122"/>
      <c r="P211" s="205"/>
      <c r="Q211" s="205"/>
      <c r="R211" s="205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</row>
    <row r="212">
      <c r="A212" s="122"/>
      <c r="B212" s="204"/>
      <c r="C212" s="204"/>
      <c r="D212" s="204"/>
      <c r="E212" s="205"/>
      <c r="F212" s="205"/>
      <c r="G212" s="205"/>
      <c r="H212" s="206"/>
      <c r="I212" s="207"/>
      <c r="J212" s="207"/>
      <c r="K212" s="207"/>
      <c r="L212" s="122"/>
      <c r="M212" s="207"/>
      <c r="N212" s="207"/>
      <c r="O212" s="122"/>
      <c r="P212" s="205"/>
      <c r="Q212" s="205"/>
      <c r="R212" s="205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</row>
    <row r="213">
      <c r="A213" s="122"/>
      <c r="B213" s="204"/>
      <c r="C213" s="204"/>
      <c r="D213" s="204"/>
      <c r="E213" s="205"/>
      <c r="F213" s="205"/>
      <c r="G213" s="205"/>
      <c r="H213" s="206"/>
      <c r="I213" s="207"/>
      <c r="J213" s="207"/>
      <c r="K213" s="207"/>
      <c r="L213" s="122"/>
      <c r="M213" s="207"/>
      <c r="N213" s="207"/>
      <c r="O213" s="122"/>
      <c r="P213" s="205"/>
      <c r="Q213" s="205"/>
      <c r="R213" s="205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</row>
    <row r="214">
      <c r="A214" s="122"/>
      <c r="B214" s="204"/>
      <c r="C214" s="204"/>
      <c r="D214" s="204"/>
      <c r="E214" s="205"/>
      <c r="F214" s="205"/>
      <c r="G214" s="205"/>
      <c r="H214" s="206"/>
      <c r="I214" s="207"/>
      <c r="J214" s="207"/>
      <c r="K214" s="207"/>
      <c r="L214" s="122"/>
      <c r="M214" s="207"/>
      <c r="N214" s="207"/>
      <c r="O214" s="122"/>
      <c r="P214" s="205"/>
      <c r="Q214" s="205"/>
      <c r="R214" s="205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</row>
    <row r="215">
      <c r="A215" s="122"/>
      <c r="B215" s="204"/>
      <c r="C215" s="204"/>
      <c r="D215" s="204"/>
      <c r="E215" s="205"/>
      <c r="F215" s="205"/>
      <c r="G215" s="205"/>
      <c r="H215" s="206"/>
      <c r="I215" s="207"/>
      <c r="J215" s="207"/>
      <c r="K215" s="207"/>
      <c r="L215" s="122"/>
      <c r="M215" s="207"/>
      <c r="N215" s="207"/>
      <c r="O215" s="122"/>
      <c r="P215" s="205"/>
      <c r="Q215" s="205"/>
      <c r="R215" s="205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</row>
    <row r="216">
      <c r="A216" s="122"/>
      <c r="B216" s="204"/>
      <c r="C216" s="204"/>
      <c r="D216" s="204"/>
      <c r="E216" s="205"/>
      <c r="F216" s="205"/>
      <c r="G216" s="205"/>
      <c r="H216" s="206"/>
      <c r="I216" s="207"/>
      <c r="J216" s="207"/>
      <c r="K216" s="207"/>
      <c r="L216" s="122"/>
      <c r="M216" s="207"/>
      <c r="N216" s="207"/>
      <c r="O216" s="122"/>
      <c r="P216" s="205"/>
      <c r="Q216" s="205"/>
      <c r="R216" s="205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</row>
    <row r="217">
      <c r="A217" s="122"/>
      <c r="B217" s="204"/>
      <c r="C217" s="204"/>
      <c r="D217" s="204"/>
      <c r="E217" s="205"/>
      <c r="F217" s="205"/>
      <c r="G217" s="205"/>
      <c r="H217" s="206"/>
      <c r="I217" s="207"/>
      <c r="J217" s="207"/>
      <c r="K217" s="207"/>
      <c r="L217" s="122"/>
      <c r="M217" s="207"/>
      <c r="N217" s="207"/>
      <c r="O217" s="122"/>
      <c r="P217" s="205"/>
      <c r="Q217" s="205"/>
      <c r="R217" s="205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</row>
    <row r="218">
      <c r="A218" s="122"/>
      <c r="B218" s="204"/>
      <c r="C218" s="204"/>
      <c r="D218" s="204"/>
      <c r="E218" s="205"/>
      <c r="F218" s="205"/>
      <c r="G218" s="205"/>
      <c r="H218" s="206"/>
      <c r="I218" s="207"/>
      <c r="J218" s="207"/>
      <c r="K218" s="207"/>
      <c r="L218" s="122"/>
      <c r="M218" s="207"/>
      <c r="N218" s="207"/>
      <c r="O218" s="122"/>
      <c r="P218" s="205"/>
      <c r="Q218" s="205"/>
      <c r="R218" s="205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</row>
    <row r="219">
      <c r="A219" s="122"/>
      <c r="B219" s="204"/>
      <c r="C219" s="204"/>
      <c r="D219" s="204"/>
      <c r="E219" s="205"/>
      <c r="F219" s="205"/>
      <c r="G219" s="205"/>
      <c r="H219" s="206"/>
      <c r="I219" s="207"/>
      <c r="J219" s="207"/>
      <c r="K219" s="207"/>
      <c r="L219" s="122"/>
      <c r="M219" s="207"/>
      <c r="N219" s="207"/>
      <c r="O219" s="122"/>
      <c r="P219" s="205"/>
      <c r="Q219" s="205"/>
      <c r="R219" s="205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</row>
    <row r="220">
      <c r="A220" s="122"/>
      <c r="B220" s="204"/>
      <c r="C220" s="204"/>
      <c r="D220" s="204"/>
      <c r="E220" s="205"/>
      <c r="F220" s="205"/>
      <c r="G220" s="205"/>
      <c r="H220" s="206"/>
      <c r="I220" s="207"/>
      <c r="J220" s="207"/>
      <c r="K220" s="207"/>
      <c r="L220" s="122"/>
      <c r="M220" s="207"/>
      <c r="N220" s="207"/>
      <c r="O220" s="122"/>
      <c r="P220" s="205"/>
      <c r="Q220" s="205"/>
      <c r="R220" s="205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</row>
    <row r="221">
      <c r="A221" s="122"/>
      <c r="B221" s="204"/>
      <c r="C221" s="204"/>
      <c r="D221" s="204"/>
      <c r="E221" s="205"/>
      <c r="F221" s="205"/>
      <c r="G221" s="205"/>
      <c r="H221" s="206"/>
      <c r="I221" s="207"/>
      <c r="J221" s="207"/>
      <c r="K221" s="207"/>
      <c r="L221" s="122"/>
      <c r="M221" s="207"/>
      <c r="N221" s="207"/>
      <c r="O221" s="122"/>
      <c r="P221" s="205"/>
      <c r="Q221" s="205"/>
      <c r="R221" s="205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</row>
    <row r="222">
      <c r="A222" s="122"/>
      <c r="B222" s="204"/>
      <c r="C222" s="204"/>
      <c r="D222" s="204"/>
      <c r="E222" s="205"/>
      <c r="F222" s="205"/>
      <c r="G222" s="205"/>
      <c r="H222" s="206"/>
      <c r="I222" s="207"/>
      <c r="J222" s="207"/>
      <c r="K222" s="207"/>
      <c r="L222" s="122"/>
      <c r="M222" s="207"/>
      <c r="N222" s="207"/>
      <c r="O222" s="122"/>
      <c r="P222" s="205"/>
      <c r="Q222" s="205"/>
      <c r="R222" s="205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</row>
    <row r="223">
      <c r="A223" s="122"/>
      <c r="B223" s="204"/>
      <c r="C223" s="204"/>
      <c r="D223" s="204"/>
      <c r="E223" s="205"/>
      <c r="F223" s="205"/>
      <c r="G223" s="205"/>
      <c r="H223" s="206"/>
      <c r="I223" s="207"/>
      <c r="J223" s="207"/>
      <c r="K223" s="207"/>
      <c r="L223" s="122"/>
      <c r="M223" s="207"/>
      <c r="N223" s="207"/>
      <c r="O223" s="122"/>
      <c r="P223" s="205"/>
      <c r="Q223" s="205"/>
      <c r="R223" s="205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</row>
    <row r="224">
      <c r="A224" s="122"/>
      <c r="B224" s="204"/>
      <c r="C224" s="204"/>
      <c r="D224" s="204"/>
      <c r="E224" s="205"/>
      <c r="F224" s="205"/>
      <c r="G224" s="205"/>
      <c r="H224" s="206"/>
      <c r="I224" s="207"/>
      <c r="J224" s="207"/>
      <c r="K224" s="207"/>
      <c r="L224" s="122"/>
      <c r="M224" s="207"/>
      <c r="N224" s="207"/>
      <c r="O224" s="122"/>
      <c r="P224" s="205"/>
      <c r="Q224" s="205"/>
      <c r="R224" s="205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</row>
    <row r="225">
      <c r="A225" s="122"/>
      <c r="B225" s="204"/>
      <c r="C225" s="204"/>
      <c r="D225" s="204"/>
      <c r="E225" s="205"/>
      <c r="F225" s="205"/>
      <c r="G225" s="205"/>
      <c r="H225" s="206"/>
      <c r="I225" s="207"/>
      <c r="J225" s="207"/>
      <c r="K225" s="207"/>
      <c r="L225" s="122"/>
      <c r="M225" s="207"/>
      <c r="N225" s="207"/>
      <c r="O225" s="122"/>
      <c r="P225" s="205"/>
      <c r="Q225" s="205"/>
      <c r="R225" s="205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</row>
    <row r="226">
      <c r="A226" s="122"/>
      <c r="B226" s="204"/>
      <c r="C226" s="204"/>
      <c r="D226" s="204"/>
      <c r="E226" s="205"/>
      <c r="F226" s="205"/>
      <c r="G226" s="205"/>
      <c r="H226" s="206"/>
      <c r="I226" s="207"/>
      <c r="J226" s="207"/>
      <c r="K226" s="207"/>
      <c r="L226" s="122"/>
      <c r="M226" s="207"/>
      <c r="N226" s="207"/>
      <c r="O226" s="122"/>
      <c r="P226" s="205"/>
      <c r="Q226" s="205"/>
      <c r="R226" s="205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</row>
    <row r="227">
      <c r="A227" s="122"/>
      <c r="B227" s="204"/>
      <c r="C227" s="204"/>
      <c r="D227" s="204"/>
      <c r="E227" s="205"/>
      <c r="F227" s="205"/>
      <c r="G227" s="205"/>
      <c r="H227" s="206"/>
      <c r="I227" s="207"/>
      <c r="J227" s="207"/>
      <c r="K227" s="207"/>
      <c r="L227" s="122"/>
      <c r="M227" s="207"/>
      <c r="N227" s="207"/>
      <c r="O227" s="122"/>
      <c r="P227" s="205"/>
      <c r="Q227" s="205"/>
      <c r="R227" s="205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</row>
    <row r="228">
      <c r="A228" s="122"/>
      <c r="B228" s="204"/>
      <c r="C228" s="204"/>
      <c r="D228" s="204"/>
      <c r="E228" s="205"/>
      <c r="F228" s="205"/>
      <c r="G228" s="205"/>
      <c r="H228" s="206"/>
      <c r="I228" s="207"/>
      <c r="J228" s="207"/>
      <c r="K228" s="207"/>
      <c r="L228" s="122"/>
      <c r="M228" s="207"/>
      <c r="N228" s="207"/>
      <c r="O228" s="122"/>
      <c r="P228" s="205"/>
      <c r="Q228" s="205"/>
      <c r="R228" s="205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</row>
    <row r="229">
      <c r="A229" s="122"/>
      <c r="B229" s="204"/>
      <c r="C229" s="204"/>
      <c r="D229" s="204"/>
      <c r="E229" s="205"/>
      <c r="F229" s="205"/>
      <c r="G229" s="205"/>
      <c r="H229" s="206"/>
      <c r="I229" s="207"/>
      <c r="J229" s="207"/>
      <c r="K229" s="207"/>
      <c r="L229" s="122"/>
      <c r="M229" s="207"/>
      <c r="N229" s="207"/>
      <c r="O229" s="122"/>
      <c r="P229" s="205"/>
      <c r="Q229" s="205"/>
      <c r="R229" s="205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</row>
    <row r="230">
      <c r="A230" s="122"/>
      <c r="B230" s="204"/>
      <c r="C230" s="204"/>
      <c r="D230" s="204"/>
      <c r="E230" s="205"/>
      <c r="F230" s="205"/>
      <c r="G230" s="205"/>
      <c r="H230" s="206"/>
      <c r="I230" s="207"/>
      <c r="J230" s="207"/>
      <c r="K230" s="207"/>
      <c r="L230" s="122"/>
      <c r="M230" s="207"/>
      <c r="N230" s="207"/>
      <c r="O230" s="122"/>
      <c r="P230" s="205"/>
      <c r="Q230" s="205"/>
      <c r="R230" s="205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</row>
    <row r="231">
      <c r="A231" s="122"/>
      <c r="B231" s="204"/>
      <c r="C231" s="204"/>
      <c r="D231" s="204"/>
      <c r="E231" s="205"/>
      <c r="F231" s="205"/>
      <c r="G231" s="205"/>
      <c r="H231" s="206"/>
      <c r="I231" s="207"/>
      <c r="J231" s="207"/>
      <c r="K231" s="207"/>
      <c r="L231" s="122"/>
      <c r="M231" s="207"/>
      <c r="N231" s="207"/>
      <c r="O231" s="122"/>
      <c r="P231" s="205"/>
      <c r="Q231" s="205"/>
      <c r="R231" s="205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</row>
    <row r="232">
      <c r="A232" s="122"/>
      <c r="B232" s="204"/>
      <c r="C232" s="204"/>
      <c r="D232" s="204"/>
      <c r="E232" s="205"/>
      <c r="F232" s="205"/>
      <c r="G232" s="205"/>
      <c r="H232" s="206"/>
      <c r="I232" s="207"/>
      <c r="J232" s="207"/>
      <c r="K232" s="207"/>
      <c r="L232" s="122"/>
      <c r="M232" s="207"/>
      <c r="N232" s="207"/>
      <c r="O232" s="122"/>
      <c r="P232" s="205"/>
      <c r="Q232" s="205"/>
      <c r="R232" s="205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</row>
    <row r="233">
      <c r="A233" s="122"/>
      <c r="B233" s="204"/>
      <c r="C233" s="204"/>
      <c r="D233" s="204"/>
      <c r="E233" s="205"/>
      <c r="F233" s="205"/>
      <c r="G233" s="205"/>
      <c r="H233" s="206"/>
      <c r="I233" s="207"/>
      <c r="J233" s="207"/>
      <c r="K233" s="207"/>
      <c r="L233" s="122"/>
      <c r="M233" s="207"/>
      <c r="N233" s="207"/>
      <c r="O233" s="122"/>
      <c r="P233" s="205"/>
      <c r="Q233" s="205"/>
      <c r="R233" s="205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</row>
    <row r="234">
      <c r="A234" s="122"/>
      <c r="B234" s="204"/>
      <c r="C234" s="204"/>
      <c r="D234" s="204"/>
      <c r="E234" s="205"/>
      <c r="F234" s="205"/>
      <c r="G234" s="205"/>
      <c r="H234" s="206"/>
      <c r="I234" s="207"/>
      <c r="J234" s="207"/>
      <c r="K234" s="207"/>
      <c r="L234" s="122"/>
      <c r="M234" s="207"/>
      <c r="N234" s="207"/>
      <c r="O234" s="122"/>
      <c r="P234" s="205"/>
      <c r="Q234" s="205"/>
      <c r="R234" s="205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</row>
    <row r="235">
      <c r="A235" s="122"/>
      <c r="B235" s="204"/>
      <c r="C235" s="204"/>
      <c r="D235" s="204"/>
      <c r="E235" s="205"/>
      <c r="F235" s="205"/>
      <c r="G235" s="205"/>
      <c r="H235" s="206"/>
      <c r="I235" s="207"/>
      <c r="J235" s="207"/>
      <c r="K235" s="207"/>
      <c r="L235" s="122"/>
      <c r="M235" s="207"/>
      <c r="N235" s="207"/>
      <c r="O235" s="122"/>
      <c r="P235" s="205"/>
      <c r="Q235" s="205"/>
      <c r="R235" s="205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</row>
    <row r="236">
      <c r="A236" s="122"/>
      <c r="B236" s="204"/>
      <c r="C236" s="204"/>
      <c r="D236" s="204"/>
      <c r="E236" s="205"/>
      <c r="F236" s="205"/>
      <c r="G236" s="205"/>
      <c r="H236" s="206"/>
      <c r="I236" s="207"/>
      <c r="J236" s="207"/>
      <c r="K236" s="207"/>
      <c r="L236" s="122"/>
      <c r="M236" s="207"/>
      <c r="N236" s="207"/>
      <c r="O236" s="122"/>
      <c r="P236" s="205"/>
      <c r="Q236" s="205"/>
      <c r="R236" s="205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</row>
    <row r="237">
      <c r="A237" s="122"/>
      <c r="B237" s="204"/>
      <c r="C237" s="204"/>
      <c r="D237" s="204"/>
      <c r="E237" s="205"/>
      <c r="F237" s="205"/>
      <c r="G237" s="205"/>
      <c r="H237" s="206"/>
      <c r="I237" s="207"/>
      <c r="J237" s="207"/>
      <c r="K237" s="207"/>
      <c r="L237" s="122"/>
      <c r="M237" s="207"/>
      <c r="N237" s="207"/>
      <c r="O237" s="122"/>
      <c r="P237" s="205"/>
      <c r="Q237" s="205"/>
      <c r="R237" s="205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</row>
    <row r="238">
      <c r="A238" s="122"/>
      <c r="B238" s="204"/>
      <c r="C238" s="204"/>
      <c r="D238" s="204"/>
      <c r="E238" s="205"/>
      <c r="F238" s="205"/>
      <c r="G238" s="205"/>
      <c r="H238" s="206"/>
      <c r="I238" s="207"/>
      <c r="J238" s="207"/>
      <c r="K238" s="207"/>
      <c r="L238" s="122"/>
      <c r="M238" s="207"/>
      <c r="N238" s="207"/>
      <c r="O238" s="122"/>
      <c r="P238" s="205"/>
      <c r="Q238" s="205"/>
      <c r="R238" s="205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</row>
    <row r="239">
      <c r="A239" s="122"/>
      <c r="B239" s="204"/>
      <c r="C239" s="204"/>
      <c r="D239" s="204"/>
      <c r="E239" s="205"/>
      <c r="F239" s="205"/>
      <c r="G239" s="205"/>
      <c r="H239" s="206"/>
      <c r="I239" s="207"/>
      <c r="J239" s="207"/>
      <c r="K239" s="207"/>
      <c r="L239" s="122"/>
      <c r="M239" s="207"/>
      <c r="N239" s="207"/>
      <c r="O239" s="122"/>
      <c r="P239" s="205"/>
      <c r="Q239" s="205"/>
      <c r="R239" s="205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</row>
    <row r="240">
      <c r="A240" s="122"/>
      <c r="B240" s="204"/>
      <c r="C240" s="204"/>
      <c r="D240" s="204"/>
      <c r="E240" s="205"/>
      <c r="F240" s="205"/>
      <c r="G240" s="205"/>
      <c r="H240" s="206"/>
      <c r="I240" s="207"/>
      <c r="J240" s="207"/>
      <c r="K240" s="207"/>
      <c r="L240" s="122"/>
      <c r="M240" s="207"/>
      <c r="N240" s="207"/>
      <c r="O240" s="122"/>
      <c r="P240" s="205"/>
      <c r="Q240" s="205"/>
      <c r="R240" s="205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</row>
    <row r="241">
      <c r="A241" s="122"/>
      <c r="B241" s="204"/>
      <c r="C241" s="204"/>
      <c r="D241" s="204"/>
      <c r="E241" s="205"/>
      <c r="F241" s="205"/>
      <c r="G241" s="205"/>
      <c r="H241" s="206"/>
      <c r="I241" s="207"/>
      <c r="J241" s="207"/>
      <c r="K241" s="207"/>
      <c r="L241" s="122"/>
      <c r="M241" s="207"/>
      <c r="N241" s="207"/>
      <c r="O241" s="122"/>
      <c r="P241" s="205"/>
      <c r="Q241" s="205"/>
      <c r="R241" s="205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</row>
    <row r="242">
      <c r="A242" s="122"/>
      <c r="B242" s="204"/>
      <c r="C242" s="204"/>
      <c r="D242" s="204"/>
      <c r="E242" s="205"/>
      <c r="F242" s="205"/>
      <c r="G242" s="205"/>
      <c r="H242" s="206"/>
      <c r="I242" s="207"/>
      <c r="J242" s="207"/>
      <c r="K242" s="207"/>
      <c r="L242" s="122"/>
      <c r="M242" s="207"/>
      <c r="N242" s="207"/>
      <c r="O242" s="122"/>
      <c r="P242" s="205"/>
      <c r="Q242" s="205"/>
      <c r="R242" s="205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</row>
    <row r="243">
      <c r="A243" s="122"/>
      <c r="B243" s="204"/>
      <c r="C243" s="204"/>
      <c r="D243" s="204"/>
      <c r="E243" s="205"/>
      <c r="F243" s="205"/>
      <c r="G243" s="205"/>
      <c r="H243" s="206"/>
      <c r="I243" s="207"/>
      <c r="J243" s="207"/>
      <c r="K243" s="207"/>
      <c r="L243" s="122"/>
      <c r="M243" s="207"/>
      <c r="N243" s="207"/>
      <c r="O243" s="122"/>
      <c r="P243" s="205"/>
      <c r="Q243" s="205"/>
      <c r="R243" s="205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</row>
    <row r="244">
      <c r="A244" s="122"/>
      <c r="B244" s="204"/>
      <c r="C244" s="204"/>
      <c r="D244" s="204"/>
      <c r="E244" s="205"/>
      <c r="F244" s="205"/>
      <c r="G244" s="205"/>
      <c r="H244" s="206"/>
      <c r="I244" s="207"/>
      <c r="J244" s="207"/>
      <c r="K244" s="207"/>
      <c r="L244" s="122"/>
      <c r="M244" s="207"/>
      <c r="N244" s="207"/>
      <c r="O244" s="122"/>
      <c r="P244" s="205"/>
      <c r="Q244" s="205"/>
      <c r="R244" s="205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</row>
    <row r="245">
      <c r="A245" s="122"/>
      <c r="B245" s="204"/>
      <c r="C245" s="204"/>
      <c r="D245" s="204"/>
      <c r="E245" s="205"/>
      <c r="F245" s="205"/>
      <c r="G245" s="205"/>
      <c r="H245" s="206"/>
      <c r="I245" s="207"/>
      <c r="J245" s="207"/>
      <c r="K245" s="207"/>
      <c r="L245" s="122"/>
      <c r="M245" s="207"/>
      <c r="N245" s="207"/>
      <c r="O245" s="122"/>
      <c r="P245" s="205"/>
      <c r="Q245" s="205"/>
      <c r="R245" s="205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</row>
    <row r="246">
      <c r="A246" s="122"/>
      <c r="B246" s="204"/>
      <c r="C246" s="204"/>
      <c r="D246" s="204"/>
      <c r="E246" s="205"/>
      <c r="F246" s="205"/>
      <c r="G246" s="205"/>
      <c r="H246" s="206"/>
      <c r="I246" s="207"/>
      <c r="J246" s="207"/>
      <c r="K246" s="207"/>
      <c r="L246" s="122"/>
      <c r="M246" s="207"/>
      <c r="N246" s="207"/>
      <c r="O246" s="122"/>
      <c r="P246" s="205"/>
      <c r="Q246" s="205"/>
      <c r="R246" s="205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</row>
    <row r="247">
      <c r="A247" s="122"/>
      <c r="B247" s="204"/>
      <c r="C247" s="204"/>
      <c r="D247" s="204"/>
      <c r="E247" s="205"/>
      <c r="F247" s="205"/>
      <c r="G247" s="205"/>
      <c r="H247" s="206"/>
      <c r="I247" s="207"/>
      <c r="J247" s="207"/>
      <c r="K247" s="207"/>
      <c r="L247" s="122"/>
      <c r="M247" s="207"/>
      <c r="N247" s="207"/>
      <c r="O247" s="122"/>
      <c r="P247" s="205"/>
      <c r="Q247" s="205"/>
      <c r="R247" s="205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</row>
    <row r="248">
      <c r="A248" s="122"/>
      <c r="B248" s="204"/>
      <c r="C248" s="204"/>
      <c r="D248" s="204"/>
      <c r="E248" s="205"/>
      <c r="F248" s="205"/>
      <c r="G248" s="205"/>
      <c r="H248" s="206"/>
      <c r="I248" s="207"/>
      <c r="J248" s="207"/>
      <c r="K248" s="207"/>
      <c r="L248" s="122"/>
      <c r="M248" s="207"/>
      <c r="N248" s="207"/>
      <c r="O248" s="122"/>
      <c r="P248" s="205"/>
      <c r="Q248" s="205"/>
      <c r="R248" s="205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</row>
    <row r="249">
      <c r="A249" s="122"/>
      <c r="B249" s="204"/>
      <c r="C249" s="204"/>
      <c r="D249" s="204"/>
      <c r="E249" s="205"/>
      <c r="F249" s="205"/>
      <c r="G249" s="205"/>
      <c r="H249" s="206"/>
      <c r="I249" s="207"/>
      <c r="J249" s="207"/>
      <c r="K249" s="207"/>
      <c r="L249" s="122"/>
      <c r="M249" s="207"/>
      <c r="N249" s="207"/>
      <c r="O249" s="122"/>
      <c r="P249" s="205"/>
      <c r="Q249" s="205"/>
      <c r="R249" s="205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</row>
    <row r="250">
      <c r="A250" s="122"/>
      <c r="B250" s="204"/>
      <c r="C250" s="204"/>
      <c r="D250" s="204"/>
      <c r="E250" s="205"/>
      <c r="F250" s="205"/>
      <c r="G250" s="205"/>
      <c r="H250" s="206"/>
      <c r="I250" s="207"/>
      <c r="J250" s="207"/>
      <c r="K250" s="207"/>
      <c r="L250" s="122"/>
      <c r="M250" s="207"/>
      <c r="N250" s="207"/>
      <c r="O250" s="122"/>
      <c r="P250" s="205"/>
      <c r="Q250" s="205"/>
      <c r="R250" s="205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</row>
    <row r="251">
      <c r="A251" s="122"/>
      <c r="B251" s="204"/>
      <c r="C251" s="204"/>
      <c r="D251" s="204"/>
      <c r="E251" s="205"/>
      <c r="F251" s="205"/>
      <c r="G251" s="205"/>
      <c r="H251" s="206"/>
      <c r="I251" s="207"/>
      <c r="J251" s="207"/>
      <c r="K251" s="207"/>
      <c r="L251" s="122"/>
      <c r="M251" s="207"/>
      <c r="N251" s="207"/>
      <c r="O251" s="122"/>
      <c r="P251" s="205"/>
      <c r="Q251" s="205"/>
      <c r="R251" s="205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</row>
    <row r="252">
      <c r="A252" s="122"/>
      <c r="B252" s="204"/>
      <c r="C252" s="204"/>
      <c r="D252" s="204"/>
      <c r="E252" s="205"/>
      <c r="F252" s="205"/>
      <c r="G252" s="205"/>
      <c r="H252" s="206"/>
      <c r="I252" s="207"/>
      <c r="J252" s="207"/>
      <c r="K252" s="207"/>
      <c r="L252" s="122"/>
      <c r="M252" s="207"/>
      <c r="N252" s="207"/>
      <c r="O252" s="122"/>
      <c r="P252" s="205"/>
      <c r="Q252" s="205"/>
      <c r="R252" s="205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</row>
    <row r="253">
      <c r="A253" s="122"/>
      <c r="B253" s="204"/>
      <c r="C253" s="204"/>
      <c r="D253" s="204"/>
      <c r="E253" s="205"/>
      <c r="F253" s="205"/>
      <c r="G253" s="205"/>
      <c r="H253" s="206"/>
      <c r="I253" s="207"/>
      <c r="J253" s="207"/>
      <c r="K253" s="207"/>
      <c r="L253" s="122"/>
      <c r="M253" s="207"/>
      <c r="N253" s="207"/>
      <c r="O253" s="122"/>
      <c r="P253" s="205"/>
      <c r="Q253" s="205"/>
      <c r="R253" s="205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</row>
    <row r="254">
      <c r="A254" s="122"/>
      <c r="B254" s="204"/>
      <c r="C254" s="204"/>
      <c r="D254" s="204"/>
      <c r="E254" s="205"/>
      <c r="F254" s="205"/>
      <c r="G254" s="205"/>
      <c r="H254" s="206"/>
      <c r="I254" s="207"/>
      <c r="J254" s="207"/>
      <c r="K254" s="207"/>
      <c r="L254" s="122"/>
      <c r="M254" s="207"/>
      <c r="N254" s="207"/>
      <c r="O254" s="122"/>
      <c r="P254" s="205"/>
      <c r="Q254" s="205"/>
      <c r="R254" s="205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</row>
    <row r="255">
      <c r="A255" s="122"/>
      <c r="B255" s="204"/>
      <c r="C255" s="204"/>
      <c r="D255" s="204"/>
      <c r="E255" s="205"/>
      <c r="F255" s="205"/>
      <c r="G255" s="205"/>
      <c r="H255" s="206"/>
      <c r="I255" s="207"/>
      <c r="J255" s="207"/>
      <c r="K255" s="207"/>
      <c r="L255" s="122"/>
      <c r="M255" s="207"/>
      <c r="N255" s="207"/>
      <c r="O255" s="122"/>
      <c r="P255" s="205"/>
      <c r="Q255" s="205"/>
      <c r="R255" s="205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</row>
    <row r="256">
      <c r="A256" s="122"/>
      <c r="B256" s="204"/>
      <c r="C256" s="204"/>
      <c r="D256" s="204"/>
      <c r="E256" s="205"/>
      <c r="F256" s="205"/>
      <c r="G256" s="205"/>
      <c r="H256" s="206"/>
      <c r="I256" s="207"/>
      <c r="J256" s="207"/>
      <c r="K256" s="207"/>
      <c r="L256" s="122"/>
      <c r="M256" s="207"/>
      <c r="N256" s="207"/>
      <c r="O256" s="122"/>
      <c r="P256" s="205"/>
      <c r="Q256" s="205"/>
      <c r="R256" s="205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</row>
    <row r="257">
      <c r="A257" s="122"/>
      <c r="B257" s="204"/>
      <c r="C257" s="204"/>
      <c r="D257" s="204"/>
      <c r="E257" s="205"/>
      <c r="F257" s="205"/>
      <c r="G257" s="205"/>
      <c r="H257" s="206"/>
      <c r="I257" s="207"/>
      <c r="J257" s="207"/>
      <c r="K257" s="207"/>
      <c r="L257" s="122"/>
      <c r="M257" s="207"/>
      <c r="N257" s="207"/>
      <c r="O257" s="122"/>
      <c r="P257" s="205"/>
      <c r="Q257" s="205"/>
      <c r="R257" s="205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</row>
    <row r="258">
      <c r="A258" s="122"/>
      <c r="B258" s="204"/>
      <c r="C258" s="204"/>
      <c r="D258" s="204"/>
      <c r="E258" s="205"/>
      <c r="F258" s="205"/>
      <c r="G258" s="205"/>
      <c r="H258" s="206"/>
      <c r="I258" s="207"/>
      <c r="J258" s="207"/>
      <c r="K258" s="207"/>
      <c r="L258" s="122"/>
      <c r="M258" s="207"/>
      <c r="N258" s="207"/>
      <c r="O258" s="122"/>
      <c r="P258" s="205"/>
      <c r="Q258" s="205"/>
      <c r="R258" s="205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</row>
    <row r="259">
      <c r="A259" s="122"/>
      <c r="B259" s="204"/>
      <c r="C259" s="204"/>
      <c r="D259" s="204"/>
      <c r="E259" s="205"/>
      <c r="F259" s="205"/>
      <c r="G259" s="205"/>
      <c r="H259" s="206"/>
      <c r="I259" s="207"/>
      <c r="J259" s="207"/>
      <c r="K259" s="207"/>
      <c r="L259" s="122"/>
      <c r="M259" s="207"/>
      <c r="N259" s="207"/>
      <c r="O259" s="122"/>
      <c r="P259" s="205"/>
      <c r="Q259" s="205"/>
      <c r="R259" s="205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</row>
    <row r="260">
      <c r="A260" s="122"/>
      <c r="B260" s="204"/>
      <c r="C260" s="204"/>
      <c r="D260" s="204"/>
      <c r="E260" s="205"/>
      <c r="F260" s="205"/>
      <c r="G260" s="205"/>
      <c r="H260" s="206"/>
      <c r="I260" s="207"/>
      <c r="J260" s="207"/>
      <c r="K260" s="207"/>
      <c r="L260" s="122"/>
      <c r="M260" s="207"/>
      <c r="N260" s="207"/>
      <c r="O260" s="122"/>
      <c r="P260" s="205"/>
      <c r="Q260" s="205"/>
      <c r="R260" s="205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</row>
    <row r="261">
      <c r="A261" s="122"/>
      <c r="B261" s="204"/>
      <c r="C261" s="204"/>
      <c r="D261" s="204"/>
      <c r="E261" s="205"/>
      <c r="F261" s="205"/>
      <c r="G261" s="205"/>
      <c r="H261" s="206"/>
      <c r="I261" s="207"/>
      <c r="J261" s="207"/>
      <c r="K261" s="207"/>
      <c r="L261" s="122"/>
      <c r="M261" s="207"/>
      <c r="N261" s="207"/>
      <c r="O261" s="122"/>
      <c r="P261" s="205"/>
      <c r="Q261" s="205"/>
      <c r="R261" s="205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</row>
    <row r="262">
      <c r="A262" s="122"/>
      <c r="B262" s="204"/>
      <c r="C262" s="204"/>
      <c r="D262" s="204"/>
      <c r="E262" s="205"/>
      <c r="F262" s="205"/>
      <c r="G262" s="205"/>
      <c r="H262" s="206"/>
      <c r="I262" s="207"/>
      <c r="J262" s="207"/>
      <c r="K262" s="207"/>
      <c r="L262" s="122"/>
      <c r="M262" s="207"/>
      <c r="N262" s="207"/>
      <c r="O262" s="122"/>
      <c r="P262" s="205"/>
      <c r="Q262" s="205"/>
      <c r="R262" s="205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</row>
    <row r="263">
      <c r="A263" s="122"/>
      <c r="B263" s="204"/>
      <c r="C263" s="204"/>
      <c r="D263" s="204"/>
      <c r="E263" s="205"/>
      <c r="F263" s="205"/>
      <c r="G263" s="205"/>
      <c r="H263" s="206"/>
      <c r="I263" s="207"/>
      <c r="J263" s="207"/>
      <c r="K263" s="207"/>
      <c r="L263" s="122"/>
      <c r="M263" s="207"/>
      <c r="N263" s="207"/>
      <c r="O263" s="122"/>
      <c r="P263" s="205"/>
      <c r="Q263" s="205"/>
      <c r="R263" s="205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</row>
    <row r="264">
      <c r="A264" s="122"/>
      <c r="B264" s="204"/>
      <c r="C264" s="204"/>
      <c r="D264" s="204"/>
      <c r="E264" s="205"/>
      <c r="F264" s="205"/>
      <c r="G264" s="205"/>
      <c r="H264" s="206"/>
      <c r="I264" s="207"/>
      <c r="J264" s="207"/>
      <c r="K264" s="207"/>
      <c r="L264" s="122"/>
      <c r="M264" s="207"/>
      <c r="N264" s="207"/>
      <c r="O264" s="122"/>
      <c r="P264" s="205"/>
      <c r="Q264" s="205"/>
      <c r="R264" s="205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</row>
    <row r="265">
      <c r="A265" s="122"/>
      <c r="B265" s="204"/>
      <c r="C265" s="204"/>
      <c r="D265" s="204"/>
      <c r="E265" s="205"/>
      <c r="F265" s="205"/>
      <c r="G265" s="205"/>
      <c r="H265" s="206"/>
      <c r="I265" s="207"/>
      <c r="J265" s="207"/>
      <c r="K265" s="207"/>
      <c r="L265" s="122"/>
      <c r="M265" s="207"/>
      <c r="N265" s="207"/>
      <c r="O265" s="122"/>
      <c r="P265" s="205"/>
      <c r="Q265" s="205"/>
      <c r="R265" s="205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</row>
    <row r="266">
      <c r="A266" s="122"/>
      <c r="B266" s="204"/>
      <c r="C266" s="204"/>
      <c r="D266" s="204"/>
      <c r="E266" s="205"/>
      <c r="F266" s="205"/>
      <c r="G266" s="205"/>
      <c r="H266" s="206"/>
      <c r="I266" s="207"/>
      <c r="J266" s="207"/>
      <c r="K266" s="207"/>
      <c r="L266" s="122"/>
      <c r="M266" s="207"/>
      <c r="N266" s="207"/>
      <c r="O266" s="122"/>
      <c r="P266" s="205"/>
      <c r="Q266" s="205"/>
      <c r="R266" s="205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</row>
    <row r="267">
      <c r="A267" s="122"/>
      <c r="B267" s="204"/>
      <c r="C267" s="204"/>
      <c r="D267" s="204"/>
      <c r="E267" s="205"/>
      <c r="F267" s="205"/>
      <c r="G267" s="205"/>
      <c r="H267" s="206"/>
      <c r="I267" s="207"/>
      <c r="J267" s="207"/>
      <c r="K267" s="207"/>
      <c r="L267" s="122"/>
      <c r="M267" s="207"/>
      <c r="N267" s="207"/>
      <c r="O267" s="122"/>
      <c r="P267" s="205"/>
      <c r="Q267" s="205"/>
      <c r="R267" s="205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</row>
    <row r="268">
      <c r="A268" s="122"/>
      <c r="B268" s="204"/>
      <c r="C268" s="204"/>
      <c r="D268" s="204"/>
      <c r="E268" s="205"/>
      <c r="F268" s="205"/>
      <c r="G268" s="205"/>
      <c r="H268" s="206"/>
      <c r="I268" s="207"/>
      <c r="J268" s="207"/>
      <c r="K268" s="207"/>
      <c r="L268" s="122"/>
      <c r="M268" s="207"/>
      <c r="N268" s="207"/>
      <c r="O268" s="122"/>
      <c r="P268" s="205"/>
      <c r="Q268" s="205"/>
      <c r="R268" s="205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</row>
    <row r="269">
      <c r="A269" s="122"/>
      <c r="B269" s="204"/>
      <c r="C269" s="204"/>
      <c r="D269" s="204"/>
      <c r="E269" s="205"/>
      <c r="F269" s="205"/>
      <c r="G269" s="205"/>
      <c r="H269" s="206"/>
      <c r="I269" s="207"/>
      <c r="J269" s="207"/>
      <c r="K269" s="207"/>
      <c r="L269" s="122"/>
      <c r="M269" s="207"/>
      <c r="N269" s="207"/>
      <c r="O269" s="122"/>
      <c r="P269" s="205"/>
      <c r="Q269" s="205"/>
      <c r="R269" s="205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</row>
    <row r="270">
      <c r="A270" s="122"/>
      <c r="B270" s="204"/>
      <c r="C270" s="204"/>
      <c r="D270" s="204"/>
      <c r="E270" s="205"/>
      <c r="F270" s="205"/>
      <c r="G270" s="205"/>
      <c r="H270" s="206"/>
      <c r="I270" s="207"/>
      <c r="J270" s="207"/>
      <c r="K270" s="207"/>
      <c r="L270" s="122"/>
      <c r="M270" s="207"/>
      <c r="N270" s="207"/>
      <c r="O270" s="122"/>
      <c r="P270" s="205"/>
      <c r="Q270" s="205"/>
      <c r="R270" s="205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</row>
    <row r="271">
      <c r="A271" s="122"/>
      <c r="B271" s="204"/>
      <c r="C271" s="204"/>
      <c r="D271" s="204"/>
      <c r="E271" s="205"/>
      <c r="F271" s="205"/>
      <c r="G271" s="205"/>
      <c r="H271" s="206"/>
      <c r="I271" s="207"/>
      <c r="J271" s="207"/>
      <c r="K271" s="207"/>
      <c r="L271" s="122"/>
      <c r="M271" s="207"/>
      <c r="N271" s="207"/>
      <c r="O271" s="122"/>
      <c r="P271" s="205"/>
      <c r="Q271" s="205"/>
      <c r="R271" s="205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</row>
    <row r="272">
      <c r="A272" s="122"/>
      <c r="B272" s="204"/>
      <c r="C272" s="204"/>
      <c r="D272" s="204"/>
      <c r="E272" s="205"/>
      <c r="F272" s="205"/>
      <c r="G272" s="205"/>
      <c r="H272" s="206"/>
      <c r="I272" s="207"/>
      <c r="J272" s="207"/>
      <c r="K272" s="207"/>
      <c r="L272" s="122"/>
      <c r="M272" s="207"/>
      <c r="N272" s="207"/>
      <c r="O272" s="122"/>
      <c r="P272" s="205"/>
      <c r="Q272" s="205"/>
      <c r="R272" s="205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</row>
    <row r="273">
      <c r="A273" s="122"/>
      <c r="B273" s="204"/>
      <c r="C273" s="204"/>
      <c r="D273" s="204"/>
      <c r="E273" s="205"/>
      <c r="F273" s="205"/>
      <c r="G273" s="205"/>
      <c r="H273" s="206"/>
      <c r="I273" s="207"/>
      <c r="J273" s="207"/>
      <c r="K273" s="207"/>
      <c r="L273" s="122"/>
      <c r="M273" s="207"/>
      <c r="N273" s="207"/>
      <c r="O273" s="122"/>
      <c r="P273" s="205"/>
      <c r="Q273" s="205"/>
      <c r="R273" s="205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</row>
    <row r="274">
      <c r="A274" s="122"/>
      <c r="B274" s="204"/>
      <c r="C274" s="204"/>
      <c r="D274" s="204"/>
      <c r="E274" s="205"/>
      <c r="F274" s="205"/>
      <c r="G274" s="205"/>
      <c r="H274" s="206"/>
      <c r="I274" s="207"/>
      <c r="J274" s="207"/>
      <c r="K274" s="207"/>
      <c r="L274" s="122"/>
      <c r="M274" s="207"/>
      <c r="N274" s="207"/>
      <c r="O274" s="122"/>
      <c r="P274" s="205"/>
      <c r="Q274" s="205"/>
      <c r="R274" s="205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</row>
    <row r="275">
      <c r="A275" s="122"/>
      <c r="B275" s="204"/>
      <c r="C275" s="204"/>
      <c r="D275" s="204"/>
      <c r="E275" s="205"/>
      <c r="F275" s="205"/>
      <c r="G275" s="205"/>
      <c r="H275" s="206"/>
      <c r="I275" s="207"/>
      <c r="J275" s="207"/>
      <c r="K275" s="207"/>
      <c r="L275" s="122"/>
      <c r="M275" s="207"/>
      <c r="N275" s="207"/>
      <c r="O275" s="122"/>
      <c r="P275" s="205"/>
      <c r="Q275" s="205"/>
      <c r="R275" s="205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</row>
    <row r="276">
      <c r="A276" s="122"/>
      <c r="B276" s="204"/>
      <c r="C276" s="204"/>
      <c r="D276" s="204"/>
      <c r="E276" s="205"/>
      <c r="F276" s="205"/>
      <c r="G276" s="205"/>
      <c r="H276" s="206"/>
      <c r="I276" s="207"/>
      <c r="J276" s="207"/>
      <c r="K276" s="207"/>
      <c r="L276" s="122"/>
      <c r="M276" s="207"/>
      <c r="N276" s="207"/>
      <c r="O276" s="122"/>
      <c r="P276" s="205"/>
      <c r="Q276" s="205"/>
      <c r="R276" s="205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</row>
    <row r="277">
      <c r="A277" s="122"/>
      <c r="B277" s="204"/>
      <c r="C277" s="204"/>
      <c r="D277" s="204"/>
      <c r="E277" s="205"/>
      <c r="F277" s="205"/>
      <c r="G277" s="205"/>
      <c r="H277" s="206"/>
      <c r="I277" s="207"/>
      <c r="J277" s="207"/>
      <c r="K277" s="207"/>
      <c r="L277" s="122"/>
      <c r="M277" s="207"/>
      <c r="N277" s="207"/>
      <c r="O277" s="122"/>
      <c r="P277" s="205"/>
      <c r="Q277" s="205"/>
      <c r="R277" s="205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</row>
    <row r="278">
      <c r="A278" s="122"/>
      <c r="B278" s="204"/>
      <c r="C278" s="204"/>
      <c r="D278" s="204"/>
      <c r="E278" s="205"/>
      <c r="F278" s="205"/>
      <c r="G278" s="205"/>
      <c r="H278" s="206"/>
      <c r="I278" s="207"/>
      <c r="J278" s="207"/>
      <c r="K278" s="207"/>
      <c r="L278" s="122"/>
      <c r="M278" s="207"/>
      <c r="N278" s="207"/>
      <c r="O278" s="122"/>
      <c r="P278" s="205"/>
      <c r="Q278" s="205"/>
      <c r="R278" s="205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</row>
    <row r="279">
      <c r="A279" s="122"/>
      <c r="B279" s="204"/>
      <c r="C279" s="204"/>
      <c r="D279" s="204"/>
      <c r="E279" s="205"/>
      <c r="F279" s="205"/>
      <c r="G279" s="205"/>
      <c r="H279" s="206"/>
      <c r="I279" s="207"/>
      <c r="J279" s="207"/>
      <c r="K279" s="207"/>
      <c r="L279" s="122"/>
      <c r="M279" s="207"/>
      <c r="N279" s="207"/>
      <c r="O279" s="122"/>
      <c r="P279" s="205"/>
      <c r="Q279" s="205"/>
      <c r="R279" s="205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</row>
    <row r="280">
      <c r="A280" s="122"/>
      <c r="B280" s="204"/>
      <c r="C280" s="204"/>
      <c r="D280" s="204"/>
      <c r="E280" s="205"/>
      <c r="F280" s="205"/>
      <c r="G280" s="205"/>
      <c r="H280" s="206"/>
      <c r="I280" s="207"/>
      <c r="J280" s="207"/>
      <c r="K280" s="207"/>
      <c r="L280" s="122"/>
      <c r="M280" s="207"/>
      <c r="N280" s="207"/>
      <c r="O280" s="122"/>
      <c r="P280" s="205"/>
      <c r="Q280" s="205"/>
      <c r="R280" s="205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</row>
    <row r="281">
      <c r="A281" s="122"/>
      <c r="B281" s="204"/>
      <c r="C281" s="204"/>
      <c r="D281" s="204"/>
      <c r="E281" s="205"/>
      <c r="F281" s="205"/>
      <c r="G281" s="205"/>
      <c r="H281" s="206"/>
      <c r="I281" s="207"/>
      <c r="J281" s="207"/>
      <c r="K281" s="207"/>
      <c r="L281" s="122"/>
      <c r="M281" s="207"/>
      <c r="N281" s="207"/>
      <c r="O281" s="122"/>
      <c r="P281" s="205"/>
      <c r="Q281" s="205"/>
      <c r="R281" s="205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</row>
    <row r="282">
      <c r="A282" s="122"/>
      <c r="B282" s="204"/>
      <c r="C282" s="204"/>
      <c r="D282" s="204"/>
      <c r="E282" s="205"/>
      <c r="F282" s="205"/>
      <c r="G282" s="205"/>
      <c r="H282" s="206"/>
      <c r="I282" s="207"/>
      <c r="J282" s="207"/>
      <c r="K282" s="207"/>
      <c r="L282" s="122"/>
      <c r="M282" s="207"/>
      <c r="N282" s="207"/>
      <c r="O282" s="122"/>
      <c r="P282" s="205"/>
      <c r="Q282" s="205"/>
      <c r="R282" s="205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</row>
    <row r="283">
      <c r="A283" s="122"/>
      <c r="B283" s="204"/>
      <c r="C283" s="204"/>
      <c r="D283" s="204"/>
      <c r="E283" s="205"/>
      <c r="F283" s="205"/>
      <c r="G283" s="205"/>
      <c r="H283" s="206"/>
      <c r="I283" s="207"/>
      <c r="J283" s="207"/>
      <c r="K283" s="207"/>
      <c r="L283" s="122"/>
      <c r="M283" s="207"/>
      <c r="N283" s="207"/>
      <c r="O283" s="122"/>
      <c r="P283" s="205"/>
      <c r="Q283" s="205"/>
      <c r="R283" s="205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</row>
    <row r="284">
      <c r="A284" s="122"/>
      <c r="B284" s="204"/>
      <c r="C284" s="204"/>
      <c r="D284" s="204"/>
      <c r="E284" s="205"/>
      <c r="F284" s="205"/>
      <c r="G284" s="205"/>
      <c r="H284" s="206"/>
      <c r="I284" s="207"/>
      <c r="J284" s="207"/>
      <c r="K284" s="207"/>
      <c r="L284" s="122"/>
      <c r="M284" s="207"/>
      <c r="N284" s="207"/>
      <c r="O284" s="122"/>
      <c r="P284" s="205"/>
      <c r="Q284" s="205"/>
      <c r="R284" s="205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</row>
    <row r="285">
      <c r="A285" s="122"/>
      <c r="B285" s="204"/>
      <c r="C285" s="204"/>
      <c r="D285" s="204"/>
      <c r="E285" s="205"/>
      <c r="F285" s="205"/>
      <c r="G285" s="205"/>
      <c r="H285" s="206"/>
      <c r="I285" s="207"/>
      <c r="J285" s="207"/>
      <c r="K285" s="207"/>
      <c r="L285" s="122"/>
      <c r="M285" s="207"/>
      <c r="N285" s="207"/>
      <c r="O285" s="122"/>
      <c r="P285" s="205"/>
      <c r="Q285" s="205"/>
      <c r="R285" s="205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</row>
    <row r="286">
      <c r="A286" s="122"/>
      <c r="B286" s="204"/>
      <c r="C286" s="204"/>
      <c r="D286" s="204"/>
      <c r="E286" s="205"/>
      <c r="F286" s="205"/>
      <c r="G286" s="205"/>
      <c r="H286" s="206"/>
      <c r="I286" s="207"/>
      <c r="J286" s="207"/>
      <c r="K286" s="207"/>
      <c r="L286" s="122"/>
      <c r="M286" s="207"/>
      <c r="N286" s="207"/>
      <c r="O286" s="122"/>
      <c r="P286" s="205"/>
      <c r="Q286" s="205"/>
      <c r="R286" s="205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</row>
    <row r="287">
      <c r="A287" s="122"/>
      <c r="B287" s="204"/>
      <c r="C287" s="204"/>
      <c r="D287" s="204"/>
      <c r="E287" s="205"/>
      <c r="F287" s="205"/>
      <c r="G287" s="205"/>
      <c r="H287" s="206"/>
      <c r="I287" s="207"/>
      <c r="J287" s="207"/>
      <c r="K287" s="207"/>
      <c r="L287" s="122"/>
      <c r="M287" s="207"/>
      <c r="N287" s="207"/>
      <c r="O287" s="122"/>
      <c r="P287" s="205"/>
      <c r="Q287" s="205"/>
      <c r="R287" s="205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</row>
    <row r="288">
      <c r="A288" s="122"/>
      <c r="B288" s="204"/>
      <c r="C288" s="204"/>
      <c r="D288" s="204"/>
      <c r="E288" s="205"/>
      <c r="F288" s="205"/>
      <c r="G288" s="205"/>
      <c r="H288" s="206"/>
      <c r="I288" s="207"/>
      <c r="J288" s="207"/>
      <c r="K288" s="207"/>
      <c r="L288" s="122"/>
      <c r="M288" s="207"/>
      <c r="N288" s="207"/>
      <c r="O288" s="122"/>
      <c r="P288" s="205"/>
      <c r="Q288" s="205"/>
      <c r="R288" s="205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</row>
    <row r="289">
      <c r="A289" s="122"/>
      <c r="B289" s="204"/>
      <c r="C289" s="204"/>
      <c r="D289" s="204"/>
      <c r="E289" s="205"/>
      <c r="F289" s="205"/>
      <c r="G289" s="205"/>
      <c r="H289" s="206"/>
      <c r="I289" s="207"/>
      <c r="J289" s="207"/>
      <c r="K289" s="207"/>
      <c r="L289" s="122"/>
      <c r="M289" s="207"/>
      <c r="N289" s="207"/>
      <c r="O289" s="122"/>
      <c r="P289" s="205"/>
      <c r="Q289" s="205"/>
      <c r="R289" s="205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</row>
    <row r="290">
      <c r="A290" s="122"/>
      <c r="B290" s="204"/>
      <c r="C290" s="204"/>
      <c r="D290" s="204"/>
      <c r="E290" s="205"/>
      <c r="F290" s="205"/>
      <c r="G290" s="205"/>
      <c r="H290" s="206"/>
      <c r="I290" s="207"/>
      <c r="J290" s="207"/>
      <c r="K290" s="207"/>
      <c r="L290" s="122"/>
      <c r="M290" s="207"/>
      <c r="N290" s="207"/>
      <c r="O290" s="122"/>
      <c r="P290" s="205"/>
      <c r="Q290" s="205"/>
      <c r="R290" s="205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</row>
    <row r="291">
      <c r="A291" s="122"/>
      <c r="B291" s="204"/>
      <c r="C291" s="204"/>
      <c r="D291" s="204"/>
      <c r="E291" s="205"/>
      <c r="F291" s="205"/>
      <c r="G291" s="205"/>
      <c r="H291" s="206"/>
      <c r="I291" s="207"/>
      <c r="J291" s="207"/>
      <c r="K291" s="207"/>
      <c r="L291" s="122"/>
      <c r="M291" s="207"/>
      <c r="N291" s="207"/>
      <c r="O291" s="122"/>
      <c r="P291" s="205"/>
      <c r="Q291" s="205"/>
      <c r="R291" s="205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</row>
    <row r="292">
      <c r="A292" s="122"/>
      <c r="B292" s="204"/>
      <c r="C292" s="204"/>
      <c r="D292" s="204"/>
      <c r="E292" s="205"/>
      <c r="F292" s="205"/>
      <c r="G292" s="205"/>
      <c r="H292" s="206"/>
      <c r="I292" s="207"/>
      <c r="J292" s="207"/>
      <c r="K292" s="207"/>
      <c r="L292" s="122"/>
      <c r="M292" s="207"/>
      <c r="N292" s="207"/>
      <c r="O292" s="122"/>
      <c r="P292" s="205"/>
      <c r="Q292" s="205"/>
      <c r="R292" s="205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</row>
    <row r="293">
      <c r="A293" s="122"/>
      <c r="B293" s="204"/>
      <c r="C293" s="204"/>
      <c r="D293" s="204"/>
      <c r="E293" s="205"/>
      <c r="F293" s="205"/>
      <c r="G293" s="205"/>
      <c r="H293" s="206"/>
      <c r="I293" s="207"/>
      <c r="J293" s="207"/>
      <c r="K293" s="207"/>
      <c r="L293" s="122"/>
      <c r="M293" s="207"/>
      <c r="N293" s="207"/>
      <c r="O293" s="122"/>
      <c r="P293" s="205"/>
      <c r="Q293" s="205"/>
      <c r="R293" s="205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</row>
    <row r="294">
      <c r="A294" s="122"/>
      <c r="B294" s="204"/>
      <c r="C294" s="204"/>
      <c r="D294" s="204"/>
      <c r="E294" s="205"/>
      <c r="F294" s="205"/>
      <c r="G294" s="205"/>
      <c r="H294" s="206"/>
      <c r="I294" s="207"/>
      <c r="J294" s="207"/>
      <c r="K294" s="207"/>
      <c r="L294" s="122"/>
      <c r="M294" s="207"/>
      <c r="N294" s="207"/>
      <c r="O294" s="122"/>
      <c r="P294" s="205"/>
      <c r="Q294" s="205"/>
      <c r="R294" s="205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</row>
    <row r="295">
      <c r="A295" s="122"/>
      <c r="B295" s="204"/>
      <c r="C295" s="204"/>
      <c r="D295" s="204"/>
      <c r="E295" s="205"/>
      <c r="F295" s="205"/>
      <c r="G295" s="205"/>
      <c r="H295" s="206"/>
      <c r="I295" s="207"/>
      <c r="J295" s="207"/>
      <c r="K295" s="207"/>
      <c r="L295" s="122"/>
      <c r="M295" s="207"/>
      <c r="N295" s="207"/>
      <c r="O295" s="122"/>
      <c r="P295" s="205"/>
      <c r="Q295" s="205"/>
      <c r="R295" s="205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</row>
    <row r="296">
      <c r="A296" s="122"/>
      <c r="B296" s="204"/>
      <c r="C296" s="204"/>
      <c r="D296" s="204"/>
      <c r="E296" s="205"/>
      <c r="F296" s="205"/>
      <c r="G296" s="205"/>
      <c r="H296" s="206"/>
      <c r="I296" s="207"/>
      <c r="J296" s="207"/>
      <c r="K296" s="207"/>
      <c r="L296" s="122"/>
      <c r="M296" s="207"/>
      <c r="N296" s="207"/>
      <c r="O296" s="122"/>
      <c r="P296" s="205"/>
      <c r="Q296" s="205"/>
      <c r="R296" s="205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</row>
    <row r="297">
      <c r="A297" s="122"/>
      <c r="B297" s="204"/>
      <c r="C297" s="204"/>
      <c r="D297" s="204"/>
      <c r="E297" s="205"/>
      <c r="F297" s="205"/>
      <c r="G297" s="205"/>
      <c r="H297" s="206"/>
      <c r="I297" s="207"/>
      <c r="J297" s="207"/>
      <c r="K297" s="207"/>
      <c r="L297" s="122"/>
      <c r="M297" s="207"/>
      <c r="N297" s="207"/>
      <c r="O297" s="122"/>
      <c r="P297" s="205"/>
      <c r="Q297" s="205"/>
      <c r="R297" s="205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</row>
    <row r="298">
      <c r="A298" s="122"/>
      <c r="B298" s="204"/>
      <c r="C298" s="204"/>
      <c r="D298" s="204"/>
      <c r="E298" s="205"/>
      <c r="F298" s="205"/>
      <c r="G298" s="205"/>
      <c r="H298" s="206"/>
      <c r="I298" s="207"/>
      <c r="J298" s="207"/>
      <c r="K298" s="207"/>
      <c r="L298" s="122"/>
      <c r="M298" s="207"/>
      <c r="N298" s="207"/>
      <c r="O298" s="122"/>
      <c r="P298" s="205"/>
      <c r="Q298" s="205"/>
      <c r="R298" s="205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</row>
    <row r="299">
      <c r="A299" s="122"/>
      <c r="B299" s="204"/>
      <c r="C299" s="204"/>
      <c r="D299" s="204"/>
      <c r="E299" s="205"/>
      <c r="F299" s="205"/>
      <c r="G299" s="205"/>
      <c r="H299" s="206"/>
      <c r="I299" s="207"/>
      <c r="J299" s="207"/>
      <c r="K299" s="207"/>
      <c r="L299" s="122"/>
      <c r="M299" s="207"/>
      <c r="N299" s="207"/>
      <c r="O299" s="122"/>
      <c r="P299" s="205"/>
      <c r="Q299" s="205"/>
      <c r="R299" s="205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</row>
    <row r="300">
      <c r="A300" s="122"/>
      <c r="B300" s="204"/>
      <c r="C300" s="204"/>
      <c r="D300" s="204"/>
      <c r="E300" s="205"/>
      <c r="F300" s="205"/>
      <c r="G300" s="205"/>
      <c r="H300" s="206"/>
      <c r="I300" s="207"/>
      <c r="J300" s="207"/>
      <c r="K300" s="207"/>
      <c r="L300" s="122"/>
      <c r="M300" s="207"/>
      <c r="N300" s="207"/>
      <c r="O300" s="122"/>
      <c r="P300" s="205"/>
      <c r="Q300" s="205"/>
      <c r="R300" s="205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</row>
    <row r="301">
      <c r="A301" s="122"/>
      <c r="B301" s="204"/>
      <c r="C301" s="204"/>
      <c r="D301" s="204"/>
      <c r="E301" s="205"/>
      <c r="F301" s="205"/>
      <c r="G301" s="205"/>
      <c r="H301" s="206"/>
      <c r="I301" s="207"/>
      <c r="J301" s="207"/>
      <c r="K301" s="207"/>
      <c r="L301" s="122"/>
      <c r="M301" s="207"/>
      <c r="N301" s="207"/>
      <c r="O301" s="122"/>
      <c r="P301" s="205"/>
      <c r="Q301" s="205"/>
      <c r="R301" s="205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</row>
    <row r="302">
      <c r="A302" s="122"/>
      <c r="B302" s="204"/>
      <c r="C302" s="204"/>
      <c r="D302" s="204"/>
      <c r="E302" s="205"/>
      <c r="F302" s="205"/>
      <c r="G302" s="205"/>
      <c r="H302" s="206"/>
      <c r="I302" s="207"/>
      <c r="J302" s="207"/>
      <c r="K302" s="207"/>
      <c r="L302" s="122"/>
      <c r="M302" s="207"/>
      <c r="N302" s="207"/>
      <c r="O302" s="122"/>
      <c r="P302" s="205"/>
      <c r="Q302" s="205"/>
      <c r="R302" s="205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</row>
    <row r="303">
      <c r="A303" s="122"/>
      <c r="B303" s="204"/>
      <c r="C303" s="204"/>
      <c r="D303" s="204"/>
      <c r="E303" s="205"/>
      <c r="F303" s="205"/>
      <c r="G303" s="205"/>
      <c r="H303" s="206"/>
      <c r="I303" s="207"/>
      <c r="J303" s="207"/>
      <c r="K303" s="207"/>
      <c r="L303" s="122"/>
      <c r="M303" s="207"/>
      <c r="N303" s="207"/>
      <c r="O303" s="122"/>
      <c r="P303" s="205"/>
      <c r="Q303" s="205"/>
      <c r="R303" s="205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</row>
    <row r="304">
      <c r="A304" s="122"/>
      <c r="B304" s="204"/>
      <c r="C304" s="204"/>
      <c r="D304" s="204"/>
      <c r="E304" s="205"/>
      <c r="F304" s="205"/>
      <c r="G304" s="205"/>
      <c r="H304" s="206"/>
      <c r="I304" s="207"/>
      <c r="J304" s="207"/>
      <c r="K304" s="207"/>
      <c r="L304" s="122"/>
      <c r="M304" s="207"/>
      <c r="N304" s="207"/>
      <c r="O304" s="122"/>
      <c r="P304" s="205"/>
      <c r="Q304" s="205"/>
      <c r="R304" s="205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</row>
    <row r="305">
      <c r="A305" s="122"/>
      <c r="B305" s="204"/>
      <c r="C305" s="204"/>
      <c r="D305" s="204"/>
      <c r="E305" s="205"/>
      <c r="F305" s="205"/>
      <c r="G305" s="205"/>
      <c r="H305" s="206"/>
      <c r="I305" s="207"/>
      <c r="J305" s="207"/>
      <c r="K305" s="207"/>
      <c r="L305" s="122"/>
      <c r="M305" s="207"/>
      <c r="N305" s="207"/>
      <c r="O305" s="122"/>
      <c r="P305" s="205"/>
      <c r="Q305" s="205"/>
      <c r="R305" s="205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</row>
    <row r="306">
      <c r="A306" s="122"/>
      <c r="B306" s="204"/>
      <c r="C306" s="204"/>
      <c r="D306" s="204"/>
      <c r="E306" s="205"/>
      <c r="F306" s="205"/>
      <c r="G306" s="205"/>
      <c r="H306" s="206"/>
      <c r="I306" s="207"/>
      <c r="J306" s="207"/>
      <c r="K306" s="207"/>
      <c r="L306" s="122"/>
      <c r="M306" s="207"/>
      <c r="N306" s="207"/>
      <c r="O306" s="122"/>
      <c r="P306" s="205"/>
      <c r="Q306" s="205"/>
      <c r="R306" s="205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</row>
    <row r="307">
      <c r="A307" s="122"/>
      <c r="B307" s="204"/>
      <c r="C307" s="204"/>
      <c r="D307" s="204"/>
      <c r="E307" s="205"/>
      <c r="F307" s="205"/>
      <c r="G307" s="205"/>
      <c r="H307" s="206"/>
      <c r="I307" s="207"/>
      <c r="J307" s="207"/>
      <c r="K307" s="207"/>
      <c r="L307" s="122"/>
      <c r="M307" s="207"/>
      <c r="N307" s="207"/>
      <c r="O307" s="122"/>
      <c r="P307" s="205"/>
      <c r="Q307" s="205"/>
      <c r="R307" s="205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</row>
    <row r="308">
      <c r="A308" s="122"/>
      <c r="B308" s="204"/>
      <c r="C308" s="204"/>
      <c r="D308" s="204"/>
      <c r="E308" s="205"/>
      <c r="F308" s="205"/>
      <c r="G308" s="205"/>
      <c r="H308" s="206"/>
      <c r="I308" s="207"/>
      <c r="J308" s="207"/>
      <c r="K308" s="207"/>
      <c r="L308" s="122"/>
      <c r="M308" s="207"/>
      <c r="N308" s="207"/>
      <c r="O308" s="122"/>
      <c r="P308" s="205"/>
      <c r="Q308" s="205"/>
      <c r="R308" s="205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</row>
    <row r="309">
      <c r="A309" s="122"/>
      <c r="B309" s="204"/>
      <c r="C309" s="204"/>
      <c r="D309" s="204"/>
      <c r="E309" s="205"/>
      <c r="F309" s="205"/>
      <c r="G309" s="205"/>
      <c r="H309" s="206"/>
      <c r="I309" s="207"/>
      <c r="J309" s="207"/>
      <c r="K309" s="207"/>
      <c r="L309" s="122"/>
      <c r="M309" s="207"/>
      <c r="N309" s="207"/>
      <c r="O309" s="122"/>
      <c r="P309" s="205"/>
      <c r="Q309" s="205"/>
      <c r="R309" s="205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</row>
    <row r="310">
      <c r="A310" s="122"/>
      <c r="B310" s="204"/>
      <c r="C310" s="204"/>
      <c r="D310" s="204"/>
      <c r="E310" s="205"/>
      <c r="F310" s="205"/>
      <c r="G310" s="205"/>
      <c r="H310" s="206"/>
      <c r="I310" s="207"/>
      <c r="J310" s="207"/>
      <c r="K310" s="207"/>
      <c r="L310" s="122"/>
      <c r="M310" s="207"/>
      <c r="N310" s="207"/>
      <c r="O310" s="122"/>
      <c r="P310" s="205"/>
      <c r="Q310" s="205"/>
      <c r="R310" s="205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</row>
    <row r="311">
      <c r="A311" s="122"/>
      <c r="B311" s="204"/>
      <c r="C311" s="204"/>
      <c r="D311" s="204"/>
      <c r="E311" s="205"/>
      <c r="F311" s="205"/>
      <c r="G311" s="205"/>
      <c r="H311" s="206"/>
      <c r="I311" s="207"/>
      <c r="J311" s="207"/>
      <c r="K311" s="207"/>
      <c r="L311" s="122"/>
      <c r="M311" s="207"/>
      <c r="N311" s="207"/>
      <c r="O311" s="122"/>
      <c r="P311" s="205"/>
      <c r="Q311" s="205"/>
      <c r="R311" s="205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</row>
    <row r="312">
      <c r="A312" s="122"/>
      <c r="B312" s="204"/>
      <c r="C312" s="204"/>
      <c r="D312" s="204"/>
      <c r="E312" s="205"/>
      <c r="F312" s="205"/>
      <c r="G312" s="205"/>
      <c r="H312" s="206"/>
      <c r="I312" s="207"/>
      <c r="J312" s="207"/>
      <c r="K312" s="207"/>
      <c r="L312" s="122"/>
      <c r="M312" s="207"/>
      <c r="N312" s="207"/>
      <c r="O312" s="122"/>
      <c r="P312" s="205"/>
      <c r="Q312" s="205"/>
      <c r="R312" s="205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</row>
    <row r="313">
      <c r="A313" s="122"/>
      <c r="B313" s="204"/>
      <c r="C313" s="204"/>
      <c r="D313" s="204"/>
      <c r="E313" s="205"/>
      <c r="F313" s="205"/>
      <c r="G313" s="205"/>
      <c r="H313" s="206"/>
      <c r="I313" s="207"/>
      <c r="J313" s="207"/>
      <c r="K313" s="207"/>
      <c r="L313" s="122"/>
      <c r="M313" s="207"/>
      <c r="N313" s="207"/>
      <c r="O313" s="122"/>
      <c r="P313" s="205"/>
      <c r="Q313" s="205"/>
      <c r="R313" s="205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</row>
    <row r="314">
      <c r="A314" s="122"/>
      <c r="B314" s="204"/>
      <c r="C314" s="204"/>
      <c r="D314" s="204"/>
      <c r="E314" s="205"/>
      <c r="F314" s="205"/>
      <c r="G314" s="205"/>
      <c r="H314" s="206"/>
      <c r="I314" s="207"/>
      <c r="J314" s="207"/>
      <c r="K314" s="207"/>
      <c r="L314" s="122"/>
      <c r="M314" s="207"/>
      <c r="N314" s="207"/>
      <c r="O314" s="122"/>
      <c r="P314" s="205"/>
      <c r="Q314" s="205"/>
      <c r="R314" s="205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</row>
    <row r="315">
      <c r="A315" s="122"/>
      <c r="B315" s="204"/>
      <c r="C315" s="204"/>
      <c r="D315" s="204"/>
      <c r="E315" s="205"/>
      <c r="F315" s="205"/>
      <c r="G315" s="205"/>
      <c r="H315" s="206"/>
      <c r="I315" s="207"/>
      <c r="J315" s="207"/>
      <c r="K315" s="207"/>
      <c r="L315" s="122"/>
      <c r="M315" s="207"/>
      <c r="N315" s="207"/>
      <c r="O315" s="122"/>
      <c r="P315" s="205"/>
      <c r="Q315" s="205"/>
      <c r="R315" s="205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</row>
    <row r="316">
      <c r="A316" s="122"/>
      <c r="B316" s="204"/>
      <c r="C316" s="204"/>
      <c r="D316" s="204"/>
      <c r="E316" s="205"/>
      <c r="F316" s="205"/>
      <c r="G316" s="205"/>
      <c r="H316" s="206"/>
      <c r="I316" s="207"/>
      <c r="J316" s="207"/>
      <c r="K316" s="207"/>
      <c r="L316" s="122"/>
      <c r="M316" s="207"/>
      <c r="N316" s="207"/>
      <c r="O316" s="122"/>
      <c r="P316" s="205"/>
      <c r="Q316" s="205"/>
      <c r="R316" s="205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</row>
    <row r="317">
      <c r="A317" s="122"/>
      <c r="B317" s="204"/>
      <c r="C317" s="204"/>
      <c r="D317" s="204"/>
      <c r="E317" s="205"/>
      <c r="F317" s="205"/>
      <c r="G317" s="205"/>
      <c r="H317" s="206"/>
      <c r="I317" s="207"/>
      <c r="J317" s="207"/>
      <c r="K317" s="207"/>
      <c r="L317" s="122"/>
      <c r="M317" s="207"/>
      <c r="N317" s="207"/>
      <c r="O317" s="122"/>
      <c r="P317" s="205"/>
      <c r="Q317" s="205"/>
      <c r="R317" s="205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</row>
    <row r="318">
      <c r="A318" s="122"/>
      <c r="B318" s="204"/>
      <c r="C318" s="204"/>
      <c r="D318" s="204"/>
      <c r="E318" s="205"/>
      <c r="F318" s="205"/>
      <c r="G318" s="205"/>
      <c r="H318" s="206"/>
      <c r="I318" s="207"/>
      <c r="J318" s="207"/>
      <c r="K318" s="207"/>
      <c r="L318" s="122"/>
      <c r="M318" s="207"/>
      <c r="N318" s="207"/>
      <c r="O318" s="122"/>
      <c r="P318" s="205"/>
      <c r="Q318" s="205"/>
      <c r="R318" s="205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</row>
    <row r="319">
      <c r="A319" s="122"/>
      <c r="B319" s="204"/>
      <c r="C319" s="204"/>
      <c r="D319" s="204"/>
      <c r="E319" s="205"/>
      <c r="F319" s="205"/>
      <c r="G319" s="205"/>
      <c r="H319" s="206"/>
      <c r="I319" s="207"/>
      <c r="J319" s="207"/>
      <c r="K319" s="207"/>
      <c r="L319" s="122"/>
      <c r="M319" s="207"/>
      <c r="N319" s="207"/>
      <c r="O319" s="122"/>
      <c r="P319" s="205"/>
      <c r="Q319" s="205"/>
      <c r="R319" s="205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</row>
    <row r="320">
      <c r="A320" s="122"/>
      <c r="B320" s="204"/>
      <c r="C320" s="204"/>
      <c r="D320" s="204"/>
      <c r="E320" s="205"/>
      <c r="F320" s="205"/>
      <c r="G320" s="205"/>
      <c r="H320" s="206"/>
      <c r="I320" s="207"/>
      <c r="J320" s="207"/>
      <c r="K320" s="207"/>
      <c r="L320" s="122"/>
      <c r="M320" s="207"/>
      <c r="N320" s="207"/>
      <c r="O320" s="122"/>
      <c r="P320" s="205"/>
      <c r="Q320" s="205"/>
      <c r="R320" s="205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</row>
    <row r="321">
      <c r="A321" s="122"/>
      <c r="B321" s="204"/>
      <c r="C321" s="204"/>
      <c r="D321" s="204"/>
      <c r="E321" s="205"/>
      <c r="F321" s="205"/>
      <c r="G321" s="205"/>
      <c r="H321" s="206"/>
      <c r="I321" s="207"/>
      <c r="J321" s="207"/>
      <c r="K321" s="207"/>
      <c r="L321" s="122"/>
      <c r="M321" s="207"/>
      <c r="N321" s="207"/>
      <c r="O321" s="122"/>
      <c r="P321" s="205"/>
      <c r="Q321" s="205"/>
      <c r="R321" s="205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</row>
    <row r="322">
      <c r="A322" s="122"/>
      <c r="B322" s="204"/>
      <c r="C322" s="204"/>
      <c r="D322" s="204"/>
      <c r="E322" s="205"/>
      <c r="F322" s="205"/>
      <c r="G322" s="205"/>
      <c r="H322" s="206"/>
      <c r="I322" s="207"/>
      <c r="J322" s="207"/>
      <c r="K322" s="207"/>
      <c r="L322" s="122"/>
      <c r="M322" s="207"/>
      <c r="N322" s="207"/>
      <c r="O322" s="122"/>
      <c r="P322" s="205"/>
      <c r="Q322" s="205"/>
      <c r="R322" s="205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</row>
    <row r="323">
      <c r="A323" s="122"/>
      <c r="B323" s="204"/>
      <c r="C323" s="204"/>
      <c r="D323" s="204"/>
      <c r="E323" s="205"/>
      <c r="F323" s="205"/>
      <c r="G323" s="205"/>
      <c r="H323" s="206"/>
      <c r="I323" s="207"/>
      <c r="J323" s="207"/>
      <c r="K323" s="207"/>
      <c r="L323" s="122"/>
      <c r="M323" s="207"/>
      <c r="N323" s="207"/>
      <c r="O323" s="122"/>
      <c r="P323" s="205"/>
      <c r="Q323" s="205"/>
      <c r="R323" s="205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</row>
    <row r="324">
      <c r="A324" s="122"/>
      <c r="B324" s="204"/>
      <c r="C324" s="204"/>
      <c r="D324" s="204"/>
      <c r="E324" s="205"/>
      <c r="F324" s="205"/>
      <c r="G324" s="205"/>
      <c r="H324" s="206"/>
      <c r="I324" s="207"/>
      <c r="J324" s="207"/>
      <c r="K324" s="207"/>
      <c r="L324" s="122"/>
      <c r="M324" s="207"/>
      <c r="N324" s="207"/>
      <c r="O324" s="122"/>
      <c r="P324" s="205"/>
      <c r="Q324" s="205"/>
      <c r="R324" s="205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</row>
    <row r="325">
      <c r="A325" s="122"/>
      <c r="B325" s="204"/>
      <c r="C325" s="204"/>
      <c r="D325" s="204"/>
      <c r="E325" s="205"/>
      <c r="F325" s="205"/>
      <c r="G325" s="205"/>
      <c r="H325" s="206"/>
      <c r="I325" s="207"/>
      <c r="J325" s="207"/>
      <c r="K325" s="207"/>
      <c r="L325" s="122"/>
      <c r="M325" s="207"/>
      <c r="N325" s="207"/>
      <c r="O325" s="122"/>
      <c r="P325" s="205"/>
      <c r="Q325" s="205"/>
      <c r="R325" s="205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</row>
    <row r="326">
      <c r="A326" s="122"/>
      <c r="B326" s="204"/>
      <c r="C326" s="204"/>
      <c r="D326" s="204"/>
      <c r="E326" s="205"/>
      <c r="F326" s="205"/>
      <c r="G326" s="205"/>
      <c r="H326" s="206"/>
      <c r="I326" s="207"/>
      <c r="J326" s="207"/>
      <c r="K326" s="207"/>
      <c r="L326" s="122"/>
      <c r="M326" s="207"/>
      <c r="N326" s="207"/>
      <c r="O326" s="122"/>
      <c r="P326" s="205"/>
      <c r="Q326" s="205"/>
      <c r="R326" s="205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</row>
    <row r="327">
      <c r="A327" s="122"/>
      <c r="B327" s="204"/>
      <c r="C327" s="204"/>
      <c r="D327" s="204"/>
      <c r="E327" s="205"/>
      <c r="F327" s="205"/>
      <c r="G327" s="205"/>
      <c r="H327" s="206"/>
      <c r="I327" s="207"/>
      <c r="J327" s="207"/>
      <c r="K327" s="207"/>
      <c r="L327" s="122"/>
      <c r="M327" s="207"/>
      <c r="N327" s="207"/>
      <c r="O327" s="122"/>
      <c r="P327" s="205"/>
      <c r="Q327" s="205"/>
      <c r="R327" s="205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</row>
    <row r="328">
      <c r="A328" s="122"/>
      <c r="B328" s="204"/>
      <c r="C328" s="204"/>
      <c r="D328" s="204"/>
      <c r="E328" s="205"/>
      <c r="F328" s="205"/>
      <c r="G328" s="205"/>
      <c r="H328" s="206"/>
      <c r="I328" s="207"/>
      <c r="J328" s="207"/>
      <c r="K328" s="207"/>
      <c r="L328" s="122"/>
      <c r="M328" s="207"/>
      <c r="N328" s="207"/>
      <c r="O328" s="122"/>
      <c r="P328" s="205"/>
      <c r="Q328" s="205"/>
      <c r="R328" s="205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</row>
    <row r="329">
      <c r="A329" s="122"/>
      <c r="B329" s="204"/>
      <c r="C329" s="204"/>
      <c r="D329" s="204"/>
      <c r="E329" s="205"/>
      <c r="F329" s="205"/>
      <c r="G329" s="205"/>
      <c r="H329" s="206"/>
      <c r="I329" s="207"/>
      <c r="J329" s="207"/>
      <c r="K329" s="207"/>
      <c r="L329" s="122"/>
      <c r="M329" s="207"/>
      <c r="N329" s="207"/>
      <c r="O329" s="122"/>
      <c r="P329" s="205"/>
      <c r="Q329" s="205"/>
      <c r="R329" s="205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</row>
    <row r="330">
      <c r="A330" s="122"/>
      <c r="B330" s="204"/>
      <c r="C330" s="204"/>
      <c r="D330" s="204"/>
      <c r="E330" s="205"/>
      <c r="F330" s="205"/>
      <c r="G330" s="205"/>
      <c r="H330" s="206"/>
      <c r="I330" s="207"/>
      <c r="J330" s="207"/>
      <c r="K330" s="207"/>
      <c r="L330" s="122"/>
      <c r="M330" s="207"/>
      <c r="N330" s="207"/>
      <c r="O330" s="122"/>
      <c r="P330" s="205"/>
      <c r="Q330" s="205"/>
      <c r="R330" s="205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</row>
    <row r="331">
      <c r="A331" s="122"/>
      <c r="B331" s="204"/>
      <c r="C331" s="204"/>
      <c r="D331" s="204"/>
      <c r="E331" s="205"/>
      <c r="F331" s="205"/>
      <c r="G331" s="205"/>
      <c r="H331" s="206"/>
      <c r="I331" s="207"/>
      <c r="J331" s="207"/>
      <c r="K331" s="207"/>
      <c r="L331" s="122"/>
      <c r="M331" s="207"/>
      <c r="N331" s="207"/>
      <c r="O331" s="122"/>
      <c r="P331" s="205"/>
      <c r="Q331" s="205"/>
      <c r="R331" s="205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</row>
    <row r="332">
      <c r="A332" s="122"/>
      <c r="B332" s="204"/>
      <c r="C332" s="204"/>
      <c r="D332" s="204"/>
      <c r="E332" s="205"/>
      <c r="F332" s="205"/>
      <c r="G332" s="205"/>
      <c r="H332" s="206"/>
      <c r="I332" s="207"/>
      <c r="J332" s="207"/>
      <c r="K332" s="207"/>
      <c r="L332" s="122"/>
      <c r="M332" s="207"/>
      <c r="N332" s="207"/>
      <c r="O332" s="122"/>
      <c r="P332" s="205"/>
      <c r="Q332" s="205"/>
      <c r="R332" s="205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</row>
    <row r="333">
      <c r="A333" s="122"/>
      <c r="B333" s="204"/>
      <c r="C333" s="204"/>
      <c r="D333" s="204"/>
      <c r="E333" s="205"/>
      <c r="F333" s="205"/>
      <c r="G333" s="205"/>
      <c r="H333" s="206"/>
      <c r="I333" s="207"/>
      <c r="J333" s="207"/>
      <c r="K333" s="207"/>
      <c r="L333" s="122"/>
      <c r="M333" s="207"/>
      <c r="N333" s="207"/>
      <c r="O333" s="122"/>
      <c r="P333" s="205"/>
      <c r="Q333" s="205"/>
      <c r="R333" s="205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</row>
    <row r="334">
      <c r="A334" s="122"/>
      <c r="B334" s="204"/>
      <c r="C334" s="204"/>
      <c r="D334" s="204"/>
      <c r="E334" s="205"/>
      <c r="F334" s="205"/>
      <c r="G334" s="205"/>
      <c r="H334" s="206"/>
      <c r="I334" s="207"/>
      <c r="J334" s="207"/>
      <c r="K334" s="207"/>
      <c r="L334" s="122"/>
      <c r="M334" s="207"/>
      <c r="N334" s="207"/>
      <c r="O334" s="122"/>
      <c r="P334" s="205"/>
      <c r="Q334" s="205"/>
      <c r="R334" s="205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</row>
    <row r="335">
      <c r="A335" s="122"/>
      <c r="B335" s="204"/>
      <c r="C335" s="204"/>
      <c r="D335" s="204"/>
      <c r="E335" s="205"/>
      <c r="F335" s="205"/>
      <c r="G335" s="205"/>
      <c r="H335" s="206"/>
      <c r="I335" s="207"/>
      <c r="J335" s="207"/>
      <c r="K335" s="207"/>
      <c r="L335" s="122"/>
      <c r="M335" s="207"/>
      <c r="N335" s="207"/>
      <c r="O335" s="122"/>
      <c r="P335" s="205"/>
      <c r="Q335" s="205"/>
      <c r="R335" s="205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</row>
    <row r="336">
      <c r="A336" s="122"/>
      <c r="B336" s="204"/>
      <c r="C336" s="204"/>
      <c r="D336" s="204"/>
      <c r="E336" s="205"/>
      <c r="F336" s="205"/>
      <c r="G336" s="205"/>
      <c r="H336" s="206"/>
      <c r="I336" s="207"/>
      <c r="J336" s="207"/>
      <c r="K336" s="207"/>
      <c r="L336" s="122"/>
      <c r="M336" s="207"/>
      <c r="N336" s="207"/>
      <c r="O336" s="122"/>
      <c r="P336" s="205"/>
      <c r="Q336" s="205"/>
      <c r="R336" s="205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</row>
    <row r="337">
      <c r="A337" s="122"/>
      <c r="B337" s="204"/>
      <c r="C337" s="204"/>
      <c r="D337" s="204"/>
      <c r="E337" s="205"/>
      <c r="F337" s="205"/>
      <c r="G337" s="205"/>
      <c r="H337" s="206"/>
      <c r="I337" s="207"/>
      <c r="J337" s="207"/>
      <c r="K337" s="207"/>
      <c r="L337" s="122"/>
      <c r="M337" s="207"/>
      <c r="N337" s="207"/>
      <c r="O337" s="122"/>
      <c r="P337" s="205"/>
      <c r="Q337" s="205"/>
      <c r="R337" s="205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</row>
    <row r="338">
      <c r="A338" s="122"/>
      <c r="B338" s="204"/>
      <c r="C338" s="204"/>
      <c r="D338" s="204"/>
      <c r="E338" s="205"/>
      <c r="F338" s="205"/>
      <c r="G338" s="205"/>
      <c r="H338" s="206"/>
      <c r="I338" s="207"/>
      <c r="J338" s="207"/>
      <c r="K338" s="207"/>
      <c r="L338" s="122"/>
      <c r="M338" s="207"/>
      <c r="N338" s="207"/>
      <c r="O338" s="122"/>
      <c r="P338" s="205"/>
      <c r="Q338" s="205"/>
      <c r="R338" s="205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</row>
    <row r="339">
      <c r="A339" s="122"/>
      <c r="B339" s="204"/>
      <c r="C339" s="204"/>
      <c r="D339" s="204"/>
      <c r="E339" s="205"/>
      <c r="F339" s="205"/>
      <c r="G339" s="205"/>
      <c r="H339" s="206"/>
      <c r="I339" s="207"/>
      <c r="J339" s="207"/>
      <c r="K339" s="207"/>
      <c r="L339" s="122"/>
      <c r="M339" s="207"/>
      <c r="N339" s="207"/>
      <c r="O339" s="122"/>
      <c r="P339" s="205"/>
      <c r="Q339" s="205"/>
      <c r="R339" s="205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</row>
    <row r="340">
      <c r="A340" s="122"/>
      <c r="B340" s="204"/>
      <c r="C340" s="204"/>
      <c r="D340" s="204"/>
      <c r="E340" s="205"/>
      <c r="F340" s="205"/>
      <c r="G340" s="205"/>
      <c r="H340" s="206"/>
      <c r="I340" s="207"/>
      <c r="J340" s="207"/>
      <c r="K340" s="207"/>
      <c r="L340" s="122"/>
      <c r="M340" s="207"/>
      <c r="N340" s="207"/>
      <c r="O340" s="122"/>
      <c r="P340" s="205"/>
      <c r="Q340" s="205"/>
      <c r="R340" s="205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</row>
    <row r="341">
      <c r="A341" s="122"/>
      <c r="B341" s="204"/>
      <c r="C341" s="204"/>
      <c r="D341" s="204"/>
      <c r="E341" s="205"/>
      <c r="F341" s="205"/>
      <c r="G341" s="205"/>
      <c r="H341" s="206"/>
      <c r="I341" s="207"/>
      <c r="J341" s="207"/>
      <c r="K341" s="207"/>
      <c r="L341" s="122"/>
      <c r="M341" s="207"/>
      <c r="N341" s="207"/>
      <c r="O341" s="122"/>
      <c r="P341" s="205"/>
      <c r="Q341" s="205"/>
      <c r="R341" s="205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</row>
    <row r="342">
      <c r="A342" s="122"/>
      <c r="B342" s="204"/>
      <c r="C342" s="204"/>
      <c r="D342" s="204"/>
      <c r="E342" s="205"/>
      <c r="F342" s="205"/>
      <c r="G342" s="205"/>
      <c r="H342" s="206"/>
      <c r="I342" s="207"/>
      <c r="J342" s="207"/>
      <c r="K342" s="207"/>
      <c r="L342" s="122"/>
      <c r="M342" s="207"/>
      <c r="N342" s="207"/>
      <c r="O342" s="122"/>
      <c r="P342" s="205"/>
      <c r="Q342" s="205"/>
      <c r="R342" s="205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</row>
    <row r="343">
      <c r="A343" s="122"/>
      <c r="B343" s="204"/>
      <c r="C343" s="204"/>
      <c r="D343" s="204"/>
      <c r="E343" s="205"/>
      <c r="F343" s="205"/>
      <c r="G343" s="205"/>
      <c r="H343" s="206"/>
      <c r="I343" s="207"/>
      <c r="J343" s="207"/>
      <c r="K343" s="207"/>
      <c r="L343" s="122"/>
      <c r="M343" s="207"/>
      <c r="N343" s="207"/>
      <c r="O343" s="122"/>
      <c r="P343" s="205"/>
      <c r="Q343" s="205"/>
      <c r="R343" s="205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</row>
    <row r="344">
      <c r="A344" s="122"/>
      <c r="B344" s="204"/>
      <c r="C344" s="204"/>
      <c r="D344" s="204"/>
      <c r="E344" s="205"/>
      <c r="F344" s="205"/>
      <c r="G344" s="205"/>
      <c r="H344" s="206"/>
      <c r="I344" s="207"/>
      <c r="J344" s="207"/>
      <c r="K344" s="207"/>
      <c r="L344" s="122"/>
      <c r="M344" s="207"/>
      <c r="N344" s="207"/>
      <c r="O344" s="122"/>
      <c r="P344" s="205"/>
      <c r="Q344" s="205"/>
      <c r="R344" s="205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</row>
    <row r="345">
      <c r="A345" s="122"/>
      <c r="B345" s="204"/>
      <c r="C345" s="204"/>
      <c r="D345" s="204"/>
      <c r="E345" s="205"/>
      <c r="F345" s="205"/>
      <c r="G345" s="205"/>
      <c r="H345" s="206"/>
      <c r="I345" s="207"/>
      <c r="J345" s="207"/>
      <c r="K345" s="207"/>
      <c r="L345" s="122"/>
      <c r="M345" s="207"/>
      <c r="N345" s="207"/>
      <c r="O345" s="122"/>
      <c r="P345" s="205"/>
      <c r="Q345" s="205"/>
      <c r="R345" s="205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</row>
    <row r="346">
      <c r="A346" s="122"/>
      <c r="B346" s="204"/>
      <c r="C346" s="204"/>
      <c r="D346" s="204"/>
      <c r="E346" s="205"/>
      <c r="F346" s="205"/>
      <c r="G346" s="205"/>
      <c r="H346" s="206"/>
      <c r="I346" s="207"/>
      <c r="J346" s="207"/>
      <c r="K346" s="207"/>
      <c r="L346" s="122"/>
      <c r="M346" s="207"/>
      <c r="N346" s="207"/>
      <c r="O346" s="122"/>
      <c r="P346" s="205"/>
      <c r="Q346" s="205"/>
      <c r="R346" s="205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</row>
    <row r="347">
      <c r="A347" s="122"/>
      <c r="B347" s="204"/>
      <c r="C347" s="204"/>
      <c r="D347" s="204"/>
      <c r="E347" s="205"/>
      <c r="F347" s="205"/>
      <c r="G347" s="205"/>
      <c r="H347" s="206"/>
      <c r="I347" s="207"/>
      <c r="J347" s="207"/>
      <c r="K347" s="207"/>
      <c r="L347" s="122"/>
      <c r="M347" s="207"/>
      <c r="N347" s="207"/>
      <c r="O347" s="122"/>
      <c r="P347" s="205"/>
      <c r="Q347" s="205"/>
      <c r="R347" s="205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</row>
    <row r="348">
      <c r="A348" s="122"/>
      <c r="B348" s="204"/>
      <c r="C348" s="204"/>
      <c r="D348" s="204"/>
      <c r="E348" s="205"/>
      <c r="F348" s="205"/>
      <c r="G348" s="205"/>
      <c r="H348" s="206"/>
      <c r="I348" s="207"/>
      <c r="J348" s="207"/>
      <c r="K348" s="207"/>
      <c r="L348" s="122"/>
      <c r="M348" s="207"/>
      <c r="N348" s="207"/>
      <c r="O348" s="122"/>
      <c r="P348" s="205"/>
      <c r="Q348" s="205"/>
      <c r="R348" s="205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</row>
    <row r="349">
      <c r="A349" s="122"/>
      <c r="B349" s="204"/>
      <c r="C349" s="204"/>
      <c r="D349" s="204"/>
      <c r="E349" s="205"/>
      <c r="F349" s="205"/>
      <c r="G349" s="205"/>
      <c r="H349" s="206"/>
      <c r="I349" s="207"/>
      <c r="J349" s="207"/>
      <c r="K349" s="207"/>
      <c r="L349" s="122"/>
      <c r="M349" s="207"/>
      <c r="N349" s="207"/>
      <c r="O349" s="122"/>
      <c r="P349" s="205"/>
      <c r="Q349" s="205"/>
      <c r="R349" s="205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</row>
    <row r="350">
      <c r="A350" s="122"/>
      <c r="B350" s="204"/>
      <c r="C350" s="204"/>
      <c r="D350" s="204"/>
      <c r="E350" s="205"/>
      <c r="F350" s="205"/>
      <c r="G350" s="205"/>
      <c r="H350" s="206"/>
      <c r="I350" s="207"/>
      <c r="J350" s="207"/>
      <c r="K350" s="207"/>
      <c r="L350" s="122"/>
      <c r="M350" s="207"/>
      <c r="N350" s="207"/>
      <c r="O350" s="122"/>
      <c r="P350" s="205"/>
      <c r="Q350" s="205"/>
      <c r="R350" s="205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</row>
    <row r="351">
      <c r="A351" s="122"/>
      <c r="B351" s="204"/>
      <c r="C351" s="204"/>
      <c r="D351" s="204"/>
      <c r="E351" s="205"/>
      <c r="F351" s="205"/>
      <c r="G351" s="205"/>
      <c r="H351" s="206"/>
      <c r="I351" s="207"/>
      <c r="J351" s="207"/>
      <c r="K351" s="207"/>
      <c r="L351" s="122"/>
      <c r="M351" s="207"/>
      <c r="N351" s="207"/>
      <c r="O351" s="122"/>
      <c r="P351" s="205"/>
      <c r="Q351" s="205"/>
      <c r="R351" s="205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</row>
    <row r="352">
      <c r="A352" s="122"/>
      <c r="B352" s="204"/>
      <c r="C352" s="204"/>
      <c r="D352" s="204"/>
      <c r="E352" s="205"/>
      <c r="F352" s="205"/>
      <c r="G352" s="205"/>
      <c r="H352" s="206"/>
      <c r="I352" s="207"/>
      <c r="J352" s="207"/>
      <c r="K352" s="207"/>
      <c r="L352" s="122"/>
      <c r="M352" s="207"/>
      <c r="N352" s="207"/>
      <c r="O352" s="122"/>
      <c r="P352" s="205"/>
      <c r="Q352" s="205"/>
      <c r="R352" s="205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</row>
    <row r="353">
      <c r="A353" s="122"/>
      <c r="B353" s="204"/>
      <c r="C353" s="204"/>
      <c r="D353" s="204"/>
      <c r="E353" s="205"/>
      <c r="F353" s="205"/>
      <c r="G353" s="205"/>
      <c r="H353" s="206"/>
      <c r="I353" s="207"/>
      <c r="J353" s="207"/>
      <c r="K353" s="207"/>
      <c r="L353" s="122"/>
      <c r="M353" s="207"/>
      <c r="N353" s="207"/>
      <c r="O353" s="122"/>
      <c r="P353" s="205"/>
      <c r="Q353" s="205"/>
      <c r="R353" s="205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</row>
    <row r="354">
      <c r="A354" s="122"/>
      <c r="B354" s="204"/>
      <c r="C354" s="204"/>
      <c r="D354" s="204"/>
      <c r="E354" s="205"/>
      <c r="F354" s="205"/>
      <c r="G354" s="205"/>
      <c r="H354" s="206"/>
      <c r="I354" s="207"/>
      <c r="J354" s="207"/>
      <c r="K354" s="207"/>
      <c r="L354" s="122"/>
      <c r="M354" s="207"/>
      <c r="N354" s="207"/>
      <c r="O354" s="122"/>
      <c r="P354" s="205"/>
      <c r="Q354" s="205"/>
      <c r="R354" s="205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</row>
    <row r="355">
      <c r="A355" s="122"/>
      <c r="B355" s="204"/>
      <c r="C355" s="204"/>
      <c r="D355" s="204"/>
      <c r="E355" s="205"/>
      <c r="F355" s="205"/>
      <c r="G355" s="205"/>
      <c r="H355" s="206"/>
      <c r="I355" s="207"/>
      <c r="J355" s="207"/>
      <c r="K355" s="207"/>
      <c r="L355" s="122"/>
      <c r="M355" s="207"/>
      <c r="N355" s="207"/>
      <c r="O355" s="122"/>
      <c r="P355" s="205"/>
      <c r="Q355" s="205"/>
      <c r="R355" s="205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</row>
    <row r="356">
      <c r="A356" s="122"/>
      <c r="B356" s="204"/>
      <c r="C356" s="204"/>
      <c r="D356" s="204"/>
      <c r="E356" s="205"/>
      <c r="F356" s="205"/>
      <c r="G356" s="205"/>
      <c r="H356" s="206"/>
      <c r="I356" s="207"/>
      <c r="J356" s="207"/>
      <c r="K356" s="207"/>
      <c r="L356" s="122"/>
      <c r="M356" s="207"/>
      <c r="N356" s="207"/>
      <c r="O356" s="122"/>
      <c r="P356" s="205"/>
      <c r="Q356" s="205"/>
      <c r="R356" s="205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</row>
    <row r="357">
      <c r="A357" s="122"/>
      <c r="B357" s="204"/>
      <c r="C357" s="204"/>
      <c r="D357" s="204"/>
      <c r="E357" s="205"/>
      <c r="F357" s="205"/>
      <c r="G357" s="205"/>
      <c r="H357" s="206"/>
      <c r="I357" s="207"/>
      <c r="J357" s="207"/>
      <c r="K357" s="207"/>
      <c r="L357" s="122"/>
      <c r="M357" s="207"/>
      <c r="N357" s="207"/>
      <c r="O357" s="122"/>
      <c r="P357" s="205"/>
      <c r="Q357" s="205"/>
      <c r="R357" s="205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</row>
    <row r="358">
      <c r="A358" s="122"/>
      <c r="B358" s="204"/>
      <c r="C358" s="204"/>
      <c r="D358" s="204"/>
      <c r="E358" s="205"/>
      <c r="F358" s="205"/>
      <c r="G358" s="205"/>
      <c r="H358" s="206"/>
      <c r="I358" s="207"/>
      <c r="J358" s="207"/>
      <c r="K358" s="207"/>
      <c r="L358" s="122"/>
      <c r="M358" s="207"/>
      <c r="N358" s="207"/>
      <c r="O358" s="122"/>
      <c r="P358" s="205"/>
      <c r="Q358" s="205"/>
      <c r="R358" s="205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</row>
    <row r="359">
      <c r="A359" s="122"/>
      <c r="B359" s="204"/>
      <c r="C359" s="204"/>
      <c r="D359" s="204"/>
      <c r="E359" s="205"/>
      <c r="F359" s="205"/>
      <c r="G359" s="205"/>
      <c r="H359" s="206"/>
      <c r="I359" s="207"/>
      <c r="J359" s="207"/>
      <c r="K359" s="207"/>
      <c r="L359" s="122"/>
      <c r="M359" s="207"/>
      <c r="N359" s="207"/>
      <c r="O359" s="122"/>
      <c r="P359" s="205"/>
      <c r="Q359" s="205"/>
      <c r="R359" s="205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</row>
    <row r="360">
      <c r="A360" s="122"/>
      <c r="B360" s="204"/>
      <c r="C360" s="204"/>
      <c r="D360" s="204"/>
      <c r="E360" s="205"/>
      <c r="F360" s="205"/>
      <c r="G360" s="205"/>
      <c r="H360" s="206"/>
      <c r="I360" s="207"/>
      <c r="J360" s="207"/>
      <c r="K360" s="207"/>
      <c r="L360" s="122"/>
      <c r="M360" s="207"/>
      <c r="N360" s="207"/>
      <c r="O360" s="122"/>
      <c r="P360" s="205"/>
      <c r="Q360" s="205"/>
      <c r="R360" s="205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</row>
    <row r="361">
      <c r="A361" s="122"/>
      <c r="B361" s="204"/>
      <c r="C361" s="204"/>
      <c r="D361" s="204"/>
      <c r="E361" s="205"/>
      <c r="F361" s="205"/>
      <c r="G361" s="205"/>
      <c r="H361" s="206"/>
      <c r="I361" s="207"/>
      <c r="J361" s="207"/>
      <c r="K361" s="207"/>
      <c r="L361" s="122"/>
      <c r="M361" s="207"/>
      <c r="N361" s="207"/>
      <c r="O361" s="122"/>
      <c r="P361" s="205"/>
      <c r="Q361" s="205"/>
      <c r="R361" s="205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</row>
    <row r="362">
      <c r="A362" s="122"/>
      <c r="B362" s="204"/>
      <c r="C362" s="204"/>
      <c r="D362" s="204"/>
      <c r="E362" s="205"/>
      <c r="F362" s="205"/>
      <c r="G362" s="205"/>
      <c r="H362" s="206"/>
      <c r="I362" s="207"/>
      <c r="J362" s="207"/>
      <c r="K362" s="207"/>
      <c r="L362" s="122"/>
      <c r="M362" s="207"/>
      <c r="N362" s="207"/>
      <c r="O362" s="122"/>
      <c r="P362" s="205"/>
      <c r="Q362" s="205"/>
      <c r="R362" s="205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</row>
    <row r="363">
      <c r="A363" s="122"/>
      <c r="B363" s="204"/>
      <c r="C363" s="204"/>
      <c r="D363" s="204"/>
      <c r="E363" s="205"/>
      <c r="F363" s="205"/>
      <c r="G363" s="205"/>
      <c r="H363" s="206"/>
      <c r="I363" s="207"/>
      <c r="J363" s="207"/>
      <c r="K363" s="207"/>
      <c r="L363" s="122"/>
      <c r="M363" s="207"/>
      <c r="N363" s="207"/>
      <c r="O363" s="122"/>
      <c r="P363" s="205"/>
      <c r="Q363" s="205"/>
      <c r="R363" s="205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</row>
    <row r="364">
      <c r="A364" s="122"/>
      <c r="B364" s="204"/>
      <c r="C364" s="204"/>
      <c r="D364" s="204"/>
      <c r="E364" s="205"/>
      <c r="F364" s="205"/>
      <c r="G364" s="205"/>
      <c r="H364" s="206"/>
      <c r="I364" s="207"/>
      <c r="J364" s="207"/>
      <c r="K364" s="207"/>
      <c r="L364" s="122"/>
      <c r="M364" s="207"/>
      <c r="N364" s="207"/>
      <c r="O364" s="122"/>
      <c r="P364" s="205"/>
      <c r="Q364" s="205"/>
      <c r="R364" s="205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</row>
    <row r="365">
      <c r="A365" s="122"/>
      <c r="B365" s="204"/>
      <c r="C365" s="204"/>
      <c r="D365" s="204"/>
      <c r="E365" s="205"/>
      <c r="F365" s="205"/>
      <c r="G365" s="205"/>
      <c r="H365" s="206"/>
      <c r="I365" s="207"/>
      <c r="J365" s="207"/>
      <c r="K365" s="207"/>
      <c r="L365" s="122"/>
      <c r="M365" s="207"/>
      <c r="N365" s="207"/>
      <c r="O365" s="122"/>
      <c r="P365" s="205"/>
      <c r="Q365" s="205"/>
      <c r="R365" s="205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</row>
    <row r="366">
      <c r="A366" s="122"/>
      <c r="B366" s="204"/>
      <c r="C366" s="204"/>
      <c r="D366" s="204"/>
      <c r="E366" s="205"/>
      <c r="F366" s="205"/>
      <c r="G366" s="205"/>
      <c r="H366" s="206"/>
      <c r="I366" s="207"/>
      <c r="J366" s="207"/>
      <c r="K366" s="207"/>
      <c r="L366" s="122"/>
      <c r="M366" s="207"/>
      <c r="N366" s="207"/>
      <c r="O366" s="122"/>
      <c r="P366" s="205"/>
      <c r="Q366" s="205"/>
      <c r="R366" s="205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</row>
    <row r="367">
      <c r="A367" s="122"/>
      <c r="B367" s="204"/>
      <c r="C367" s="204"/>
      <c r="D367" s="204"/>
      <c r="E367" s="205"/>
      <c r="F367" s="205"/>
      <c r="G367" s="205"/>
      <c r="H367" s="206"/>
      <c r="I367" s="207"/>
      <c r="J367" s="207"/>
      <c r="K367" s="207"/>
      <c r="L367" s="122"/>
      <c r="M367" s="207"/>
      <c r="N367" s="207"/>
      <c r="O367" s="122"/>
      <c r="P367" s="205"/>
      <c r="Q367" s="205"/>
      <c r="R367" s="205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</row>
    <row r="368">
      <c r="A368" s="122"/>
      <c r="B368" s="204"/>
      <c r="C368" s="204"/>
      <c r="D368" s="204"/>
      <c r="E368" s="205"/>
      <c r="F368" s="205"/>
      <c r="G368" s="205"/>
      <c r="H368" s="206"/>
      <c r="I368" s="207"/>
      <c r="J368" s="207"/>
      <c r="K368" s="207"/>
      <c r="L368" s="122"/>
      <c r="M368" s="207"/>
      <c r="N368" s="207"/>
      <c r="O368" s="122"/>
      <c r="P368" s="205"/>
      <c r="Q368" s="205"/>
      <c r="R368" s="205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</row>
    <row r="369">
      <c r="A369" s="122"/>
      <c r="B369" s="204"/>
      <c r="C369" s="204"/>
      <c r="D369" s="204"/>
      <c r="E369" s="205"/>
      <c r="F369" s="205"/>
      <c r="G369" s="205"/>
      <c r="H369" s="206"/>
      <c r="I369" s="207"/>
      <c r="J369" s="207"/>
      <c r="K369" s="207"/>
      <c r="L369" s="122"/>
      <c r="M369" s="207"/>
      <c r="N369" s="207"/>
      <c r="O369" s="122"/>
      <c r="P369" s="205"/>
      <c r="Q369" s="205"/>
      <c r="R369" s="205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</row>
    <row r="370">
      <c r="A370" s="122"/>
      <c r="B370" s="204"/>
      <c r="C370" s="204"/>
      <c r="D370" s="204"/>
      <c r="E370" s="205"/>
      <c r="F370" s="205"/>
      <c r="G370" s="205"/>
      <c r="H370" s="206"/>
      <c r="I370" s="207"/>
      <c r="J370" s="207"/>
      <c r="K370" s="207"/>
      <c r="L370" s="122"/>
      <c r="M370" s="207"/>
      <c r="N370" s="207"/>
      <c r="O370" s="122"/>
      <c r="P370" s="205"/>
      <c r="Q370" s="205"/>
      <c r="R370" s="205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</row>
    <row r="371">
      <c r="A371" s="122"/>
      <c r="B371" s="204"/>
      <c r="C371" s="204"/>
      <c r="D371" s="204"/>
      <c r="E371" s="205"/>
      <c r="F371" s="205"/>
      <c r="G371" s="205"/>
      <c r="H371" s="206"/>
      <c r="I371" s="207"/>
      <c r="J371" s="207"/>
      <c r="K371" s="207"/>
      <c r="L371" s="122"/>
      <c r="M371" s="207"/>
      <c r="N371" s="207"/>
      <c r="O371" s="122"/>
      <c r="P371" s="205"/>
      <c r="Q371" s="205"/>
      <c r="R371" s="205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</row>
    <row r="372">
      <c r="A372" s="122"/>
      <c r="B372" s="204"/>
      <c r="C372" s="204"/>
      <c r="D372" s="204"/>
      <c r="E372" s="205"/>
      <c r="F372" s="205"/>
      <c r="G372" s="205"/>
      <c r="H372" s="206"/>
      <c r="I372" s="207"/>
      <c r="J372" s="207"/>
      <c r="K372" s="207"/>
      <c r="L372" s="122"/>
      <c r="M372" s="207"/>
      <c r="N372" s="207"/>
      <c r="O372" s="122"/>
      <c r="P372" s="205"/>
      <c r="Q372" s="205"/>
      <c r="R372" s="205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</row>
    <row r="373">
      <c r="A373" s="122"/>
      <c r="B373" s="204"/>
      <c r="C373" s="204"/>
      <c r="D373" s="204"/>
      <c r="E373" s="205"/>
      <c r="F373" s="205"/>
      <c r="G373" s="205"/>
      <c r="H373" s="206"/>
      <c r="I373" s="207"/>
      <c r="J373" s="207"/>
      <c r="K373" s="207"/>
      <c r="L373" s="122"/>
      <c r="M373" s="207"/>
      <c r="N373" s="207"/>
      <c r="O373" s="122"/>
      <c r="P373" s="205"/>
      <c r="Q373" s="205"/>
      <c r="R373" s="205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</row>
    <row r="374">
      <c r="A374" s="122"/>
      <c r="B374" s="204"/>
      <c r="C374" s="204"/>
      <c r="D374" s="204"/>
      <c r="E374" s="205"/>
      <c r="F374" s="205"/>
      <c r="G374" s="205"/>
      <c r="H374" s="206"/>
      <c r="I374" s="207"/>
      <c r="J374" s="207"/>
      <c r="K374" s="207"/>
      <c r="L374" s="122"/>
      <c r="M374" s="207"/>
      <c r="N374" s="207"/>
      <c r="O374" s="122"/>
      <c r="P374" s="205"/>
      <c r="Q374" s="205"/>
      <c r="R374" s="205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</row>
    <row r="375">
      <c r="A375" s="122"/>
      <c r="B375" s="204"/>
      <c r="C375" s="204"/>
      <c r="D375" s="204"/>
      <c r="E375" s="205"/>
      <c r="F375" s="205"/>
      <c r="G375" s="205"/>
      <c r="H375" s="206"/>
      <c r="I375" s="207"/>
      <c r="J375" s="207"/>
      <c r="K375" s="207"/>
      <c r="L375" s="122"/>
      <c r="M375" s="207"/>
      <c r="N375" s="207"/>
      <c r="O375" s="122"/>
      <c r="P375" s="205"/>
      <c r="Q375" s="205"/>
      <c r="R375" s="205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</row>
    <row r="376">
      <c r="A376" s="122"/>
      <c r="B376" s="204"/>
      <c r="C376" s="204"/>
      <c r="D376" s="204"/>
      <c r="E376" s="205"/>
      <c r="F376" s="205"/>
      <c r="G376" s="205"/>
      <c r="H376" s="206"/>
      <c r="I376" s="207"/>
      <c r="J376" s="207"/>
      <c r="K376" s="207"/>
      <c r="L376" s="122"/>
      <c r="M376" s="207"/>
      <c r="N376" s="207"/>
      <c r="O376" s="122"/>
      <c r="P376" s="205"/>
      <c r="Q376" s="205"/>
      <c r="R376" s="205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</row>
    <row r="377">
      <c r="A377" s="122"/>
      <c r="B377" s="204"/>
      <c r="C377" s="204"/>
      <c r="D377" s="204"/>
      <c r="E377" s="205"/>
      <c r="F377" s="205"/>
      <c r="G377" s="205"/>
      <c r="H377" s="206"/>
      <c r="I377" s="207"/>
      <c r="J377" s="207"/>
      <c r="K377" s="207"/>
      <c r="L377" s="122"/>
      <c r="M377" s="207"/>
      <c r="N377" s="207"/>
      <c r="O377" s="122"/>
      <c r="P377" s="205"/>
      <c r="Q377" s="205"/>
      <c r="R377" s="205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</row>
    <row r="378">
      <c r="A378" s="122"/>
      <c r="B378" s="204"/>
      <c r="C378" s="204"/>
      <c r="D378" s="204"/>
      <c r="E378" s="205"/>
      <c r="F378" s="205"/>
      <c r="G378" s="205"/>
      <c r="H378" s="206"/>
      <c r="I378" s="207"/>
      <c r="J378" s="207"/>
      <c r="K378" s="207"/>
      <c r="L378" s="122"/>
      <c r="M378" s="207"/>
      <c r="N378" s="207"/>
      <c r="O378" s="122"/>
      <c r="P378" s="205"/>
      <c r="Q378" s="205"/>
      <c r="R378" s="205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</row>
    <row r="379">
      <c r="A379" s="122"/>
      <c r="B379" s="204"/>
      <c r="C379" s="204"/>
      <c r="D379" s="204"/>
      <c r="E379" s="205"/>
      <c r="F379" s="205"/>
      <c r="G379" s="205"/>
      <c r="H379" s="206"/>
      <c r="I379" s="207"/>
      <c r="J379" s="207"/>
      <c r="K379" s="207"/>
      <c r="L379" s="122"/>
      <c r="M379" s="207"/>
      <c r="N379" s="207"/>
      <c r="O379" s="122"/>
      <c r="P379" s="205"/>
      <c r="Q379" s="205"/>
      <c r="R379" s="205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</row>
    <row r="380">
      <c r="A380" s="122"/>
      <c r="B380" s="204"/>
      <c r="C380" s="204"/>
      <c r="D380" s="204"/>
      <c r="E380" s="205"/>
      <c r="F380" s="205"/>
      <c r="G380" s="205"/>
      <c r="H380" s="206"/>
      <c r="I380" s="207"/>
      <c r="J380" s="207"/>
      <c r="K380" s="207"/>
      <c r="L380" s="122"/>
      <c r="M380" s="207"/>
      <c r="N380" s="207"/>
      <c r="O380" s="122"/>
      <c r="P380" s="205"/>
      <c r="Q380" s="205"/>
      <c r="R380" s="205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</row>
    <row r="381">
      <c r="A381" s="122"/>
      <c r="B381" s="204"/>
      <c r="C381" s="204"/>
      <c r="D381" s="204"/>
      <c r="E381" s="205"/>
      <c r="F381" s="205"/>
      <c r="G381" s="205"/>
      <c r="H381" s="206"/>
      <c r="I381" s="207"/>
      <c r="J381" s="207"/>
      <c r="K381" s="207"/>
      <c r="L381" s="122"/>
      <c r="M381" s="207"/>
      <c r="N381" s="207"/>
      <c r="O381" s="122"/>
      <c r="P381" s="205"/>
      <c r="Q381" s="205"/>
      <c r="R381" s="205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</row>
    <row r="382">
      <c r="A382" s="122"/>
      <c r="B382" s="204"/>
      <c r="C382" s="204"/>
      <c r="D382" s="204"/>
      <c r="E382" s="205"/>
      <c r="F382" s="205"/>
      <c r="G382" s="205"/>
      <c r="H382" s="206"/>
      <c r="I382" s="207"/>
      <c r="J382" s="207"/>
      <c r="K382" s="207"/>
      <c r="L382" s="122"/>
      <c r="M382" s="207"/>
      <c r="N382" s="207"/>
      <c r="O382" s="122"/>
      <c r="P382" s="205"/>
      <c r="Q382" s="205"/>
      <c r="R382" s="205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</row>
    <row r="383">
      <c r="A383" s="122"/>
      <c r="B383" s="204"/>
      <c r="C383" s="204"/>
      <c r="D383" s="204"/>
      <c r="E383" s="205"/>
      <c r="F383" s="205"/>
      <c r="G383" s="205"/>
      <c r="H383" s="206"/>
      <c r="I383" s="207"/>
      <c r="J383" s="207"/>
      <c r="K383" s="207"/>
      <c r="L383" s="122"/>
      <c r="M383" s="207"/>
      <c r="N383" s="207"/>
      <c r="O383" s="122"/>
      <c r="P383" s="205"/>
      <c r="Q383" s="205"/>
      <c r="R383" s="205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</row>
    <row r="384">
      <c r="A384" s="122"/>
      <c r="B384" s="204"/>
      <c r="C384" s="204"/>
      <c r="D384" s="204"/>
      <c r="E384" s="205"/>
      <c r="F384" s="205"/>
      <c r="G384" s="205"/>
      <c r="H384" s="206"/>
      <c r="I384" s="207"/>
      <c r="J384" s="207"/>
      <c r="K384" s="207"/>
      <c r="L384" s="122"/>
      <c r="M384" s="207"/>
      <c r="N384" s="207"/>
      <c r="O384" s="122"/>
      <c r="P384" s="205"/>
      <c r="Q384" s="205"/>
      <c r="R384" s="205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</row>
    <row r="385">
      <c r="A385" s="122"/>
      <c r="B385" s="204"/>
      <c r="C385" s="204"/>
      <c r="D385" s="204"/>
      <c r="E385" s="205"/>
      <c r="F385" s="205"/>
      <c r="G385" s="205"/>
      <c r="H385" s="206"/>
      <c r="I385" s="207"/>
      <c r="J385" s="207"/>
      <c r="K385" s="207"/>
      <c r="L385" s="122"/>
      <c r="M385" s="207"/>
      <c r="N385" s="207"/>
      <c r="O385" s="122"/>
      <c r="P385" s="205"/>
      <c r="Q385" s="205"/>
      <c r="R385" s="205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</row>
    <row r="386">
      <c r="A386" s="122"/>
      <c r="B386" s="204"/>
      <c r="C386" s="204"/>
      <c r="D386" s="204"/>
      <c r="E386" s="205"/>
      <c r="F386" s="205"/>
      <c r="G386" s="205"/>
      <c r="H386" s="206"/>
      <c r="I386" s="207"/>
      <c r="J386" s="207"/>
      <c r="K386" s="207"/>
      <c r="L386" s="122"/>
      <c r="M386" s="207"/>
      <c r="N386" s="207"/>
      <c r="O386" s="122"/>
      <c r="P386" s="205"/>
      <c r="Q386" s="205"/>
      <c r="R386" s="205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</row>
    <row r="387">
      <c r="A387" s="122"/>
      <c r="B387" s="204"/>
      <c r="C387" s="204"/>
      <c r="D387" s="204"/>
      <c r="E387" s="205"/>
      <c r="F387" s="205"/>
      <c r="G387" s="205"/>
      <c r="H387" s="206"/>
      <c r="I387" s="207"/>
      <c r="J387" s="207"/>
      <c r="K387" s="207"/>
      <c r="L387" s="122"/>
      <c r="M387" s="207"/>
      <c r="N387" s="207"/>
      <c r="O387" s="122"/>
      <c r="P387" s="205"/>
      <c r="Q387" s="205"/>
      <c r="R387" s="205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</row>
    <row r="388">
      <c r="A388" s="122"/>
      <c r="B388" s="204"/>
      <c r="C388" s="204"/>
      <c r="D388" s="204"/>
      <c r="E388" s="205"/>
      <c r="F388" s="205"/>
      <c r="G388" s="205"/>
      <c r="H388" s="206"/>
      <c r="I388" s="207"/>
      <c r="J388" s="207"/>
      <c r="K388" s="207"/>
      <c r="L388" s="122"/>
      <c r="M388" s="207"/>
      <c r="N388" s="207"/>
      <c r="O388" s="122"/>
      <c r="P388" s="205"/>
      <c r="Q388" s="205"/>
      <c r="R388" s="205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</row>
    <row r="389">
      <c r="A389" s="122"/>
      <c r="B389" s="204"/>
      <c r="C389" s="204"/>
      <c r="D389" s="204"/>
      <c r="E389" s="205"/>
      <c r="F389" s="205"/>
      <c r="G389" s="205"/>
      <c r="H389" s="206"/>
      <c r="I389" s="207"/>
      <c r="J389" s="207"/>
      <c r="K389" s="207"/>
      <c r="L389" s="122"/>
      <c r="M389" s="207"/>
      <c r="N389" s="207"/>
      <c r="O389" s="122"/>
      <c r="P389" s="205"/>
      <c r="Q389" s="205"/>
      <c r="R389" s="205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</row>
    <row r="390">
      <c r="A390" s="122"/>
      <c r="B390" s="204"/>
      <c r="C390" s="204"/>
      <c r="D390" s="204"/>
      <c r="E390" s="205"/>
      <c r="F390" s="205"/>
      <c r="G390" s="205"/>
      <c r="H390" s="206"/>
      <c r="I390" s="207"/>
      <c r="J390" s="207"/>
      <c r="K390" s="207"/>
      <c r="L390" s="122"/>
      <c r="M390" s="207"/>
      <c r="N390" s="207"/>
      <c r="O390" s="122"/>
      <c r="P390" s="205"/>
      <c r="Q390" s="205"/>
      <c r="R390" s="205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</row>
    <row r="391">
      <c r="A391" s="122"/>
      <c r="B391" s="204"/>
      <c r="C391" s="204"/>
      <c r="D391" s="204"/>
      <c r="E391" s="205"/>
      <c r="F391" s="205"/>
      <c r="G391" s="205"/>
      <c r="H391" s="206"/>
      <c r="I391" s="207"/>
      <c r="J391" s="207"/>
      <c r="K391" s="207"/>
      <c r="L391" s="122"/>
      <c r="M391" s="207"/>
      <c r="N391" s="207"/>
      <c r="O391" s="122"/>
      <c r="P391" s="205"/>
      <c r="Q391" s="205"/>
      <c r="R391" s="205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</row>
    <row r="392">
      <c r="A392" s="122"/>
      <c r="B392" s="204"/>
      <c r="C392" s="204"/>
      <c r="D392" s="204"/>
      <c r="E392" s="205"/>
      <c r="F392" s="205"/>
      <c r="G392" s="205"/>
      <c r="H392" s="206"/>
      <c r="I392" s="207"/>
      <c r="J392" s="207"/>
      <c r="K392" s="207"/>
      <c r="L392" s="122"/>
      <c r="M392" s="207"/>
      <c r="N392" s="207"/>
      <c r="O392" s="122"/>
      <c r="P392" s="205"/>
      <c r="Q392" s="205"/>
      <c r="R392" s="205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</row>
    <row r="393">
      <c r="A393" s="122"/>
      <c r="B393" s="204"/>
      <c r="C393" s="204"/>
      <c r="D393" s="204"/>
      <c r="E393" s="205"/>
      <c r="F393" s="205"/>
      <c r="G393" s="205"/>
      <c r="H393" s="206"/>
      <c r="I393" s="207"/>
      <c r="J393" s="207"/>
      <c r="K393" s="207"/>
      <c r="L393" s="122"/>
      <c r="M393" s="207"/>
      <c r="N393" s="207"/>
      <c r="O393" s="122"/>
      <c r="P393" s="205"/>
      <c r="Q393" s="205"/>
      <c r="R393" s="205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</row>
    <row r="394">
      <c r="A394" s="122"/>
      <c r="B394" s="204"/>
      <c r="C394" s="204"/>
      <c r="D394" s="204"/>
      <c r="E394" s="205"/>
      <c r="F394" s="205"/>
      <c r="G394" s="205"/>
      <c r="H394" s="206"/>
      <c r="I394" s="207"/>
      <c r="J394" s="207"/>
      <c r="K394" s="207"/>
      <c r="L394" s="122"/>
      <c r="M394" s="207"/>
      <c r="N394" s="207"/>
      <c r="O394" s="122"/>
      <c r="P394" s="205"/>
      <c r="Q394" s="205"/>
      <c r="R394" s="205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</row>
    <row r="395">
      <c r="A395" s="122"/>
      <c r="B395" s="204"/>
      <c r="C395" s="204"/>
      <c r="D395" s="204"/>
      <c r="E395" s="205"/>
      <c r="F395" s="205"/>
      <c r="G395" s="205"/>
      <c r="H395" s="206"/>
      <c r="I395" s="207"/>
      <c r="J395" s="207"/>
      <c r="K395" s="207"/>
      <c r="L395" s="122"/>
      <c r="M395" s="207"/>
      <c r="N395" s="207"/>
      <c r="O395" s="122"/>
      <c r="P395" s="205"/>
      <c r="Q395" s="205"/>
      <c r="R395" s="205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</row>
    <row r="396">
      <c r="A396" s="122"/>
      <c r="B396" s="204"/>
      <c r="C396" s="204"/>
      <c r="D396" s="204"/>
      <c r="E396" s="205"/>
      <c r="F396" s="205"/>
      <c r="G396" s="205"/>
      <c r="H396" s="206"/>
      <c r="I396" s="207"/>
      <c r="J396" s="207"/>
      <c r="K396" s="207"/>
      <c r="L396" s="122"/>
      <c r="M396" s="207"/>
      <c r="N396" s="207"/>
      <c r="O396" s="122"/>
      <c r="P396" s="205"/>
      <c r="Q396" s="205"/>
      <c r="R396" s="205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</row>
    <row r="397">
      <c r="A397" s="122"/>
      <c r="B397" s="204"/>
      <c r="C397" s="204"/>
      <c r="D397" s="204"/>
      <c r="E397" s="205"/>
      <c r="F397" s="205"/>
      <c r="G397" s="205"/>
      <c r="H397" s="206"/>
      <c r="I397" s="207"/>
      <c r="J397" s="207"/>
      <c r="K397" s="207"/>
      <c r="L397" s="122"/>
      <c r="M397" s="207"/>
      <c r="N397" s="207"/>
      <c r="O397" s="122"/>
      <c r="P397" s="205"/>
      <c r="Q397" s="205"/>
      <c r="R397" s="205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</row>
    <row r="398">
      <c r="A398" s="122"/>
      <c r="B398" s="204"/>
      <c r="C398" s="204"/>
      <c r="D398" s="204"/>
      <c r="E398" s="205"/>
      <c r="F398" s="205"/>
      <c r="G398" s="205"/>
      <c r="H398" s="206"/>
      <c r="I398" s="207"/>
      <c r="J398" s="207"/>
      <c r="K398" s="207"/>
      <c r="L398" s="122"/>
      <c r="M398" s="207"/>
      <c r="N398" s="207"/>
      <c r="O398" s="122"/>
      <c r="P398" s="205"/>
      <c r="Q398" s="205"/>
      <c r="R398" s="205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</row>
    <row r="399">
      <c r="A399" s="122"/>
      <c r="B399" s="204"/>
      <c r="C399" s="204"/>
      <c r="D399" s="204"/>
      <c r="E399" s="205"/>
      <c r="F399" s="205"/>
      <c r="G399" s="205"/>
      <c r="H399" s="206"/>
      <c r="I399" s="207"/>
      <c r="J399" s="207"/>
      <c r="K399" s="207"/>
      <c r="L399" s="122"/>
      <c r="M399" s="207"/>
      <c r="N399" s="207"/>
      <c r="O399" s="122"/>
      <c r="P399" s="205"/>
      <c r="Q399" s="205"/>
      <c r="R399" s="205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</row>
    <row r="400">
      <c r="A400" s="122"/>
      <c r="B400" s="204"/>
      <c r="C400" s="204"/>
      <c r="D400" s="204"/>
      <c r="E400" s="205"/>
      <c r="F400" s="205"/>
      <c r="G400" s="205"/>
      <c r="H400" s="206"/>
      <c r="I400" s="207"/>
      <c r="J400" s="207"/>
      <c r="K400" s="207"/>
      <c r="L400" s="122"/>
      <c r="M400" s="207"/>
      <c r="N400" s="207"/>
      <c r="O400" s="122"/>
      <c r="P400" s="205"/>
      <c r="Q400" s="205"/>
      <c r="R400" s="205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</row>
    <row r="401">
      <c r="A401" s="122"/>
      <c r="B401" s="204"/>
      <c r="C401" s="204"/>
      <c r="D401" s="204"/>
      <c r="E401" s="205"/>
      <c r="F401" s="205"/>
      <c r="G401" s="205"/>
      <c r="H401" s="206"/>
      <c r="I401" s="207"/>
      <c r="J401" s="207"/>
      <c r="K401" s="207"/>
      <c r="L401" s="122"/>
      <c r="M401" s="207"/>
      <c r="N401" s="207"/>
      <c r="O401" s="122"/>
      <c r="P401" s="205"/>
      <c r="Q401" s="205"/>
      <c r="R401" s="205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</row>
    <row r="402">
      <c r="A402" s="122"/>
      <c r="B402" s="204"/>
      <c r="C402" s="204"/>
      <c r="D402" s="204"/>
      <c r="E402" s="205"/>
      <c r="F402" s="205"/>
      <c r="G402" s="205"/>
      <c r="H402" s="206"/>
      <c r="I402" s="207"/>
      <c r="J402" s="207"/>
      <c r="K402" s="207"/>
      <c r="L402" s="122"/>
      <c r="M402" s="207"/>
      <c r="N402" s="207"/>
      <c r="O402" s="122"/>
      <c r="P402" s="205"/>
      <c r="Q402" s="205"/>
      <c r="R402" s="205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</row>
    <row r="403">
      <c r="A403" s="122"/>
      <c r="B403" s="204"/>
      <c r="C403" s="204"/>
      <c r="D403" s="204"/>
      <c r="E403" s="205"/>
      <c r="F403" s="205"/>
      <c r="G403" s="205"/>
      <c r="H403" s="206"/>
      <c r="I403" s="207"/>
      <c r="J403" s="207"/>
      <c r="K403" s="207"/>
      <c r="L403" s="122"/>
      <c r="M403" s="207"/>
      <c r="N403" s="207"/>
      <c r="O403" s="122"/>
      <c r="P403" s="205"/>
      <c r="Q403" s="205"/>
      <c r="R403" s="205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</row>
    <row r="404">
      <c r="A404" s="122"/>
      <c r="B404" s="204"/>
      <c r="C404" s="204"/>
      <c r="D404" s="204"/>
      <c r="E404" s="205"/>
      <c r="F404" s="205"/>
      <c r="G404" s="205"/>
      <c r="H404" s="206"/>
      <c r="I404" s="207"/>
      <c r="J404" s="207"/>
      <c r="K404" s="207"/>
      <c r="L404" s="122"/>
      <c r="M404" s="207"/>
      <c r="N404" s="207"/>
      <c r="O404" s="122"/>
      <c r="P404" s="205"/>
      <c r="Q404" s="205"/>
      <c r="R404" s="205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</row>
    <row r="405">
      <c r="A405" s="122"/>
      <c r="B405" s="204"/>
      <c r="C405" s="204"/>
      <c r="D405" s="204"/>
      <c r="E405" s="205"/>
      <c r="F405" s="205"/>
      <c r="G405" s="205"/>
      <c r="H405" s="206"/>
      <c r="I405" s="207"/>
      <c r="J405" s="207"/>
      <c r="K405" s="207"/>
      <c r="L405" s="122"/>
      <c r="M405" s="207"/>
      <c r="N405" s="207"/>
      <c r="O405" s="122"/>
      <c r="P405" s="205"/>
      <c r="Q405" s="205"/>
      <c r="R405" s="205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</row>
    <row r="406">
      <c r="A406" s="122"/>
      <c r="B406" s="204"/>
      <c r="C406" s="204"/>
      <c r="D406" s="204"/>
      <c r="E406" s="205"/>
      <c r="F406" s="205"/>
      <c r="G406" s="205"/>
      <c r="H406" s="206"/>
      <c r="I406" s="207"/>
      <c r="J406" s="207"/>
      <c r="K406" s="207"/>
      <c r="L406" s="122"/>
      <c r="M406" s="207"/>
      <c r="N406" s="207"/>
      <c r="O406" s="122"/>
      <c r="P406" s="205"/>
      <c r="Q406" s="205"/>
      <c r="R406" s="205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</row>
    <row r="407">
      <c r="A407" s="122"/>
      <c r="B407" s="204"/>
      <c r="C407" s="204"/>
      <c r="D407" s="204"/>
      <c r="E407" s="205"/>
      <c r="F407" s="205"/>
      <c r="G407" s="205"/>
      <c r="H407" s="206"/>
      <c r="I407" s="207"/>
      <c r="J407" s="207"/>
      <c r="K407" s="207"/>
      <c r="L407" s="122"/>
      <c r="M407" s="207"/>
      <c r="N407" s="207"/>
      <c r="O407" s="122"/>
      <c r="P407" s="205"/>
      <c r="Q407" s="205"/>
      <c r="R407" s="205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</row>
    <row r="408">
      <c r="A408" s="122"/>
      <c r="B408" s="204"/>
      <c r="C408" s="204"/>
      <c r="D408" s="204"/>
      <c r="E408" s="205"/>
      <c r="F408" s="205"/>
      <c r="G408" s="205"/>
      <c r="H408" s="206"/>
      <c r="I408" s="207"/>
      <c r="J408" s="207"/>
      <c r="K408" s="207"/>
      <c r="L408" s="122"/>
      <c r="M408" s="207"/>
      <c r="N408" s="207"/>
      <c r="O408" s="122"/>
      <c r="P408" s="205"/>
      <c r="Q408" s="205"/>
      <c r="R408" s="205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</row>
    <row r="409">
      <c r="A409" s="122"/>
      <c r="B409" s="204"/>
      <c r="C409" s="204"/>
      <c r="D409" s="204"/>
      <c r="E409" s="205"/>
      <c r="F409" s="205"/>
      <c r="G409" s="205"/>
      <c r="H409" s="206"/>
      <c r="I409" s="207"/>
      <c r="J409" s="207"/>
      <c r="K409" s="207"/>
      <c r="L409" s="122"/>
      <c r="M409" s="207"/>
      <c r="N409" s="207"/>
      <c r="O409" s="122"/>
      <c r="P409" s="205"/>
      <c r="Q409" s="205"/>
      <c r="R409" s="205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</row>
    <row r="410">
      <c r="A410" s="122"/>
      <c r="B410" s="204"/>
      <c r="C410" s="204"/>
      <c r="D410" s="204"/>
      <c r="E410" s="205"/>
      <c r="F410" s="205"/>
      <c r="G410" s="205"/>
      <c r="H410" s="206"/>
      <c r="I410" s="207"/>
      <c r="J410" s="207"/>
      <c r="K410" s="207"/>
      <c r="L410" s="122"/>
      <c r="M410" s="207"/>
      <c r="N410" s="207"/>
      <c r="O410" s="122"/>
      <c r="P410" s="205"/>
      <c r="Q410" s="205"/>
      <c r="R410" s="205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</row>
    <row r="411">
      <c r="A411" s="122"/>
      <c r="B411" s="204"/>
      <c r="C411" s="204"/>
      <c r="D411" s="204"/>
      <c r="E411" s="205"/>
      <c r="F411" s="205"/>
      <c r="G411" s="205"/>
      <c r="H411" s="206"/>
      <c r="I411" s="207"/>
      <c r="J411" s="207"/>
      <c r="K411" s="207"/>
      <c r="L411" s="122"/>
      <c r="M411" s="207"/>
      <c r="N411" s="207"/>
      <c r="O411" s="122"/>
      <c r="P411" s="205"/>
      <c r="Q411" s="205"/>
      <c r="R411" s="205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</row>
    <row r="412">
      <c r="A412" s="122"/>
      <c r="B412" s="204"/>
      <c r="C412" s="204"/>
      <c r="D412" s="204"/>
      <c r="E412" s="205"/>
      <c r="F412" s="205"/>
      <c r="G412" s="205"/>
      <c r="H412" s="206"/>
      <c r="I412" s="207"/>
      <c r="J412" s="207"/>
      <c r="K412" s="207"/>
      <c r="L412" s="122"/>
      <c r="M412" s="207"/>
      <c r="N412" s="207"/>
      <c r="O412" s="122"/>
      <c r="P412" s="205"/>
      <c r="Q412" s="205"/>
      <c r="R412" s="205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</row>
    <row r="413">
      <c r="A413" s="122"/>
      <c r="B413" s="204"/>
      <c r="C413" s="204"/>
      <c r="D413" s="204"/>
      <c r="E413" s="205"/>
      <c r="F413" s="205"/>
      <c r="G413" s="205"/>
      <c r="H413" s="206"/>
      <c r="I413" s="207"/>
      <c r="J413" s="207"/>
      <c r="K413" s="207"/>
      <c r="L413" s="122"/>
      <c r="M413" s="207"/>
      <c r="N413" s="207"/>
      <c r="O413" s="122"/>
      <c r="P413" s="205"/>
      <c r="Q413" s="205"/>
      <c r="R413" s="205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</row>
    <row r="414">
      <c r="A414" s="122"/>
      <c r="B414" s="204"/>
      <c r="C414" s="204"/>
      <c r="D414" s="204"/>
      <c r="E414" s="205"/>
      <c r="F414" s="205"/>
      <c r="G414" s="205"/>
      <c r="H414" s="206"/>
      <c r="I414" s="207"/>
      <c r="J414" s="207"/>
      <c r="K414" s="207"/>
      <c r="L414" s="122"/>
      <c r="M414" s="207"/>
      <c r="N414" s="207"/>
      <c r="O414" s="122"/>
      <c r="P414" s="205"/>
      <c r="Q414" s="205"/>
      <c r="R414" s="205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</row>
    <row r="415">
      <c r="A415" s="122"/>
      <c r="B415" s="204"/>
      <c r="C415" s="204"/>
      <c r="D415" s="204"/>
      <c r="E415" s="205"/>
      <c r="F415" s="205"/>
      <c r="G415" s="205"/>
      <c r="H415" s="206"/>
      <c r="I415" s="207"/>
      <c r="J415" s="207"/>
      <c r="K415" s="207"/>
      <c r="L415" s="122"/>
      <c r="M415" s="207"/>
      <c r="N415" s="207"/>
      <c r="O415" s="122"/>
      <c r="P415" s="205"/>
      <c r="Q415" s="205"/>
      <c r="R415" s="205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</row>
    <row r="416">
      <c r="A416" s="122"/>
      <c r="B416" s="204"/>
      <c r="C416" s="204"/>
      <c r="D416" s="204"/>
      <c r="E416" s="205"/>
      <c r="F416" s="205"/>
      <c r="G416" s="205"/>
      <c r="H416" s="206"/>
      <c r="I416" s="207"/>
      <c r="J416" s="207"/>
      <c r="K416" s="207"/>
      <c r="L416" s="122"/>
      <c r="M416" s="207"/>
      <c r="N416" s="207"/>
      <c r="O416" s="122"/>
      <c r="P416" s="205"/>
      <c r="Q416" s="205"/>
      <c r="R416" s="205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</row>
    <row r="417">
      <c r="A417" s="122"/>
      <c r="B417" s="204"/>
      <c r="C417" s="204"/>
      <c r="D417" s="204"/>
      <c r="E417" s="205"/>
      <c r="F417" s="205"/>
      <c r="G417" s="205"/>
      <c r="H417" s="206"/>
      <c r="I417" s="207"/>
      <c r="J417" s="207"/>
      <c r="K417" s="207"/>
      <c r="L417" s="122"/>
      <c r="M417" s="207"/>
      <c r="N417" s="207"/>
      <c r="O417" s="122"/>
      <c r="P417" s="205"/>
      <c r="Q417" s="205"/>
      <c r="R417" s="205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</row>
    <row r="418">
      <c r="A418" s="122"/>
      <c r="B418" s="204"/>
      <c r="C418" s="204"/>
      <c r="D418" s="204"/>
      <c r="E418" s="205"/>
      <c r="F418" s="205"/>
      <c r="G418" s="205"/>
      <c r="H418" s="206"/>
      <c r="I418" s="207"/>
      <c r="J418" s="207"/>
      <c r="K418" s="207"/>
      <c r="L418" s="122"/>
      <c r="M418" s="207"/>
      <c r="N418" s="207"/>
      <c r="O418" s="122"/>
      <c r="P418" s="205"/>
      <c r="Q418" s="205"/>
      <c r="R418" s="205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</row>
    <row r="419">
      <c r="A419" s="122"/>
      <c r="B419" s="204"/>
      <c r="C419" s="204"/>
      <c r="D419" s="204"/>
      <c r="E419" s="205"/>
      <c r="F419" s="205"/>
      <c r="G419" s="205"/>
      <c r="H419" s="206"/>
      <c r="I419" s="207"/>
      <c r="J419" s="207"/>
      <c r="K419" s="207"/>
      <c r="L419" s="122"/>
      <c r="M419" s="207"/>
      <c r="N419" s="207"/>
      <c r="O419" s="122"/>
      <c r="P419" s="205"/>
      <c r="Q419" s="205"/>
      <c r="R419" s="205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</row>
    <row r="420">
      <c r="A420" s="122"/>
      <c r="B420" s="204"/>
      <c r="C420" s="204"/>
      <c r="D420" s="204"/>
      <c r="E420" s="205"/>
      <c r="F420" s="205"/>
      <c r="G420" s="205"/>
      <c r="H420" s="206"/>
      <c r="I420" s="207"/>
      <c r="J420" s="207"/>
      <c r="K420" s="207"/>
      <c r="L420" s="122"/>
      <c r="M420" s="207"/>
      <c r="N420" s="207"/>
      <c r="O420" s="122"/>
      <c r="P420" s="205"/>
      <c r="Q420" s="205"/>
      <c r="R420" s="205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</row>
    <row r="421">
      <c r="A421" s="122"/>
      <c r="B421" s="204"/>
      <c r="C421" s="204"/>
      <c r="D421" s="204"/>
      <c r="E421" s="205"/>
      <c r="F421" s="205"/>
      <c r="G421" s="205"/>
      <c r="H421" s="206"/>
      <c r="I421" s="207"/>
      <c r="J421" s="207"/>
      <c r="K421" s="207"/>
      <c r="L421" s="122"/>
      <c r="M421" s="207"/>
      <c r="N421" s="207"/>
      <c r="O421" s="122"/>
      <c r="P421" s="205"/>
      <c r="Q421" s="205"/>
      <c r="R421" s="205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</row>
    <row r="422">
      <c r="A422" s="122"/>
      <c r="B422" s="204"/>
      <c r="C422" s="204"/>
      <c r="D422" s="204"/>
      <c r="E422" s="205"/>
      <c r="F422" s="205"/>
      <c r="G422" s="205"/>
      <c r="H422" s="206"/>
      <c r="I422" s="207"/>
      <c r="J422" s="207"/>
      <c r="K422" s="207"/>
      <c r="L422" s="122"/>
      <c r="M422" s="207"/>
      <c r="N422" s="207"/>
      <c r="O422" s="122"/>
      <c r="P422" s="205"/>
      <c r="Q422" s="205"/>
      <c r="R422" s="205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</row>
    <row r="423">
      <c r="A423" s="122"/>
      <c r="B423" s="204"/>
      <c r="C423" s="204"/>
      <c r="D423" s="204"/>
      <c r="E423" s="205"/>
      <c r="F423" s="205"/>
      <c r="G423" s="205"/>
      <c r="H423" s="206"/>
      <c r="I423" s="207"/>
      <c r="J423" s="207"/>
      <c r="K423" s="207"/>
      <c r="L423" s="122"/>
      <c r="M423" s="207"/>
      <c r="N423" s="207"/>
      <c r="O423" s="122"/>
      <c r="P423" s="205"/>
      <c r="Q423" s="205"/>
      <c r="R423" s="205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</row>
    <row r="424">
      <c r="A424" s="122"/>
      <c r="B424" s="204"/>
      <c r="C424" s="204"/>
      <c r="D424" s="204"/>
      <c r="E424" s="205"/>
      <c r="F424" s="205"/>
      <c r="G424" s="205"/>
      <c r="H424" s="206"/>
      <c r="I424" s="207"/>
      <c r="J424" s="207"/>
      <c r="K424" s="207"/>
      <c r="L424" s="122"/>
      <c r="M424" s="207"/>
      <c r="N424" s="207"/>
      <c r="O424" s="122"/>
      <c r="P424" s="205"/>
      <c r="Q424" s="205"/>
      <c r="R424" s="205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</row>
    <row r="425">
      <c r="A425" s="122"/>
      <c r="B425" s="204"/>
      <c r="C425" s="204"/>
      <c r="D425" s="204"/>
      <c r="E425" s="205"/>
      <c r="F425" s="205"/>
      <c r="G425" s="205"/>
      <c r="H425" s="206"/>
      <c r="I425" s="207"/>
      <c r="J425" s="207"/>
      <c r="K425" s="207"/>
      <c r="L425" s="122"/>
      <c r="M425" s="207"/>
      <c r="N425" s="207"/>
      <c r="O425" s="122"/>
      <c r="P425" s="205"/>
      <c r="Q425" s="205"/>
      <c r="R425" s="205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</row>
    <row r="426">
      <c r="A426" s="122"/>
      <c r="B426" s="204"/>
      <c r="C426" s="204"/>
      <c r="D426" s="204"/>
      <c r="E426" s="205"/>
      <c r="F426" s="205"/>
      <c r="G426" s="205"/>
      <c r="H426" s="206"/>
      <c r="I426" s="207"/>
      <c r="J426" s="207"/>
      <c r="K426" s="207"/>
      <c r="L426" s="122"/>
      <c r="M426" s="207"/>
      <c r="N426" s="207"/>
      <c r="O426" s="122"/>
      <c r="P426" s="205"/>
      <c r="Q426" s="205"/>
      <c r="R426" s="205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</row>
    <row r="427">
      <c r="A427" s="122"/>
      <c r="B427" s="204"/>
      <c r="C427" s="204"/>
      <c r="D427" s="204"/>
      <c r="E427" s="205"/>
      <c r="F427" s="205"/>
      <c r="G427" s="205"/>
      <c r="H427" s="206"/>
      <c r="I427" s="207"/>
      <c r="J427" s="207"/>
      <c r="K427" s="207"/>
      <c r="L427" s="122"/>
      <c r="M427" s="207"/>
      <c r="N427" s="207"/>
      <c r="O427" s="122"/>
      <c r="P427" s="205"/>
      <c r="Q427" s="205"/>
      <c r="R427" s="205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</row>
    <row r="428">
      <c r="A428" s="122"/>
      <c r="B428" s="204"/>
      <c r="C428" s="204"/>
      <c r="D428" s="204"/>
      <c r="E428" s="205"/>
      <c r="F428" s="205"/>
      <c r="G428" s="205"/>
      <c r="H428" s="206"/>
      <c r="I428" s="207"/>
      <c r="J428" s="207"/>
      <c r="K428" s="207"/>
      <c r="L428" s="122"/>
      <c r="M428" s="207"/>
      <c r="N428" s="207"/>
      <c r="O428" s="122"/>
      <c r="P428" s="205"/>
      <c r="Q428" s="205"/>
      <c r="R428" s="205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</row>
    <row r="429">
      <c r="A429" s="122"/>
      <c r="B429" s="204"/>
      <c r="C429" s="204"/>
      <c r="D429" s="204"/>
      <c r="E429" s="205"/>
      <c r="F429" s="205"/>
      <c r="G429" s="205"/>
      <c r="H429" s="206"/>
      <c r="I429" s="207"/>
      <c r="J429" s="207"/>
      <c r="K429" s="207"/>
      <c r="L429" s="122"/>
      <c r="M429" s="207"/>
      <c r="N429" s="207"/>
      <c r="O429" s="122"/>
      <c r="P429" s="205"/>
      <c r="Q429" s="205"/>
      <c r="R429" s="205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</row>
    <row r="430">
      <c r="A430" s="122"/>
      <c r="B430" s="204"/>
      <c r="C430" s="204"/>
      <c r="D430" s="204"/>
      <c r="E430" s="205"/>
      <c r="F430" s="205"/>
      <c r="G430" s="205"/>
      <c r="H430" s="206"/>
      <c r="I430" s="207"/>
      <c r="J430" s="207"/>
      <c r="K430" s="207"/>
      <c r="L430" s="122"/>
      <c r="M430" s="207"/>
      <c r="N430" s="207"/>
      <c r="O430" s="122"/>
      <c r="P430" s="205"/>
      <c r="Q430" s="205"/>
      <c r="R430" s="205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</row>
    <row r="431">
      <c r="A431" s="122"/>
      <c r="B431" s="204"/>
      <c r="C431" s="204"/>
      <c r="D431" s="204"/>
      <c r="E431" s="205"/>
      <c r="F431" s="205"/>
      <c r="G431" s="205"/>
      <c r="H431" s="206"/>
      <c r="I431" s="207"/>
      <c r="J431" s="207"/>
      <c r="K431" s="207"/>
      <c r="L431" s="122"/>
      <c r="M431" s="207"/>
      <c r="N431" s="207"/>
      <c r="O431" s="122"/>
      <c r="P431" s="205"/>
      <c r="Q431" s="205"/>
      <c r="R431" s="205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</row>
    <row r="432">
      <c r="A432" s="122"/>
      <c r="B432" s="204"/>
      <c r="C432" s="204"/>
      <c r="D432" s="204"/>
      <c r="E432" s="205"/>
      <c r="F432" s="205"/>
      <c r="G432" s="205"/>
      <c r="H432" s="206"/>
      <c r="I432" s="207"/>
      <c r="J432" s="207"/>
      <c r="K432" s="207"/>
      <c r="L432" s="122"/>
      <c r="M432" s="207"/>
      <c r="N432" s="207"/>
      <c r="O432" s="122"/>
      <c r="P432" s="205"/>
      <c r="Q432" s="205"/>
      <c r="R432" s="205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</row>
    <row r="433">
      <c r="A433" s="122"/>
      <c r="B433" s="204"/>
      <c r="C433" s="204"/>
      <c r="D433" s="204"/>
      <c r="E433" s="205"/>
      <c r="F433" s="205"/>
      <c r="G433" s="205"/>
      <c r="H433" s="206"/>
      <c r="I433" s="207"/>
      <c r="J433" s="207"/>
      <c r="K433" s="207"/>
      <c r="L433" s="122"/>
      <c r="M433" s="207"/>
      <c r="N433" s="207"/>
      <c r="O433" s="122"/>
      <c r="P433" s="205"/>
      <c r="Q433" s="205"/>
      <c r="R433" s="205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</row>
    <row r="434">
      <c r="A434" s="122"/>
      <c r="B434" s="204"/>
      <c r="C434" s="204"/>
      <c r="D434" s="204"/>
      <c r="E434" s="205"/>
      <c r="F434" s="205"/>
      <c r="G434" s="205"/>
      <c r="H434" s="206"/>
      <c r="I434" s="207"/>
      <c r="J434" s="207"/>
      <c r="K434" s="207"/>
      <c r="L434" s="122"/>
      <c r="M434" s="207"/>
      <c r="N434" s="207"/>
      <c r="O434" s="122"/>
      <c r="P434" s="205"/>
      <c r="Q434" s="205"/>
      <c r="R434" s="205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</row>
    <row r="435">
      <c r="A435" s="122"/>
      <c r="B435" s="204"/>
      <c r="C435" s="204"/>
      <c r="D435" s="204"/>
      <c r="E435" s="205"/>
      <c r="F435" s="205"/>
      <c r="G435" s="205"/>
      <c r="H435" s="206"/>
      <c r="I435" s="207"/>
      <c r="J435" s="207"/>
      <c r="K435" s="207"/>
      <c r="L435" s="122"/>
      <c r="M435" s="207"/>
      <c r="N435" s="207"/>
      <c r="O435" s="122"/>
      <c r="P435" s="205"/>
      <c r="Q435" s="205"/>
      <c r="R435" s="205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</row>
    <row r="436">
      <c r="A436" s="122"/>
      <c r="B436" s="204"/>
      <c r="C436" s="204"/>
      <c r="D436" s="204"/>
      <c r="E436" s="205"/>
      <c r="F436" s="205"/>
      <c r="G436" s="205"/>
      <c r="H436" s="206"/>
      <c r="I436" s="207"/>
      <c r="J436" s="207"/>
      <c r="K436" s="207"/>
      <c r="L436" s="122"/>
      <c r="M436" s="207"/>
      <c r="N436" s="207"/>
      <c r="O436" s="122"/>
      <c r="P436" s="205"/>
      <c r="Q436" s="205"/>
      <c r="R436" s="205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</row>
    <row r="437">
      <c r="A437" s="122"/>
      <c r="B437" s="204"/>
      <c r="C437" s="204"/>
      <c r="D437" s="204"/>
      <c r="E437" s="205"/>
      <c r="F437" s="205"/>
      <c r="G437" s="205"/>
      <c r="H437" s="206"/>
      <c r="I437" s="207"/>
      <c r="J437" s="207"/>
      <c r="K437" s="207"/>
      <c r="L437" s="122"/>
      <c r="M437" s="207"/>
      <c r="N437" s="207"/>
      <c r="O437" s="122"/>
      <c r="P437" s="205"/>
      <c r="Q437" s="205"/>
      <c r="R437" s="205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</row>
    <row r="438">
      <c r="A438" s="122"/>
      <c r="B438" s="204"/>
      <c r="C438" s="204"/>
      <c r="D438" s="204"/>
      <c r="E438" s="205"/>
      <c r="F438" s="205"/>
      <c r="G438" s="205"/>
      <c r="H438" s="206"/>
      <c r="I438" s="207"/>
      <c r="J438" s="207"/>
      <c r="K438" s="207"/>
      <c r="L438" s="122"/>
      <c r="M438" s="207"/>
      <c r="N438" s="207"/>
      <c r="O438" s="122"/>
      <c r="P438" s="205"/>
      <c r="Q438" s="205"/>
      <c r="R438" s="205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</row>
    <row r="439">
      <c r="A439" s="122"/>
      <c r="B439" s="204"/>
      <c r="C439" s="204"/>
      <c r="D439" s="204"/>
      <c r="E439" s="205"/>
      <c r="F439" s="205"/>
      <c r="G439" s="205"/>
      <c r="H439" s="206"/>
      <c r="I439" s="207"/>
      <c r="J439" s="207"/>
      <c r="K439" s="207"/>
      <c r="L439" s="122"/>
      <c r="M439" s="207"/>
      <c r="N439" s="207"/>
      <c r="O439" s="122"/>
      <c r="P439" s="205"/>
      <c r="Q439" s="205"/>
      <c r="R439" s="205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</row>
    <row r="440">
      <c r="A440" s="122"/>
      <c r="B440" s="204"/>
      <c r="C440" s="204"/>
      <c r="D440" s="204"/>
      <c r="E440" s="205"/>
      <c r="F440" s="205"/>
      <c r="G440" s="205"/>
      <c r="H440" s="206"/>
      <c r="I440" s="207"/>
      <c r="J440" s="207"/>
      <c r="K440" s="207"/>
      <c r="L440" s="122"/>
      <c r="M440" s="207"/>
      <c r="N440" s="207"/>
      <c r="O440" s="122"/>
      <c r="P440" s="205"/>
      <c r="Q440" s="205"/>
      <c r="R440" s="205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</row>
    <row r="441">
      <c r="A441" s="122"/>
      <c r="B441" s="204"/>
      <c r="C441" s="204"/>
      <c r="D441" s="204"/>
      <c r="E441" s="205"/>
      <c r="F441" s="205"/>
      <c r="G441" s="205"/>
      <c r="H441" s="206"/>
      <c r="I441" s="207"/>
      <c r="J441" s="207"/>
      <c r="K441" s="207"/>
      <c r="L441" s="122"/>
      <c r="M441" s="207"/>
      <c r="N441" s="207"/>
      <c r="O441" s="122"/>
      <c r="P441" s="205"/>
      <c r="Q441" s="205"/>
      <c r="R441" s="205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</row>
    <row r="442">
      <c r="A442" s="122"/>
      <c r="B442" s="204"/>
      <c r="C442" s="204"/>
      <c r="D442" s="204"/>
      <c r="E442" s="205"/>
      <c r="F442" s="205"/>
      <c r="G442" s="205"/>
      <c r="H442" s="206"/>
      <c r="I442" s="207"/>
      <c r="J442" s="207"/>
      <c r="K442" s="207"/>
      <c r="L442" s="122"/>
      <c r="M442" s="207"/>
      <c r="N442" s="207"/>
      <c r="O442" s="122"/>
      <c r="P442" s="205"/>
      <c r="Q442" s="205"/>
      <c r="R442" s="205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</row>
    <row r="443">
      <c r="A443" s="122"/>
      <c r="B443" s="204"/>
      <c r="C443" s="204"/>
      <c r="D443" s="204"/>
      <c r="E443" s="205"/>
      <c r="F443" s="205"/>
      <c r="G443" s="205"/>
      <c r="H443" s="206"/>
      <c r="I443" s="207"/>
      <c r="J443" s="207"/>
      <c r="K443" s="207"/>
      <c r="L443" s="122"/>
      <c r="M443" s="207"/>
      <c r="N443" s="207"/>
      <c r="O443" s="122"/>
      <c r="P443" s="205"/>
      <c r="Q443" s="205"/>
      <c r="R443" s="205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</row>
    <row r="444">
      <c r="A444" s="122"/>
      <c r="B444" s="204"/>
      <c r="C444" s="204"/>
      <c r="D444" s="204"/>
      <c r="E444" s="205"/>
      <c r="F444" s="205"/>
      <c r="G444" s="205"/>
      <c r="H444" s="206"/>
      <c r="I444" s="207"/>
      <c r="J444" s="207"/>
      <c r="K444" s="207"/>
      <c r="L444" s="122"/>
      <c r="M444" s="207"/>
      <c r="N444" s="207"/>
      <c r="O444" s="122"/>
      <c r="P444" s="205"/>
      <c r="Q444" s="205"/>
      <c r="R444" s="205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</row>
    <row r="445">
      <c r="A445" s="122"/>
      <c r="B445" s="204"/>
      <c r="C445" s="204"/>
      <c r="D445" s="204"/>
      <c r="E445" s="205"/>
      <c r="F445" s="205"/>
      <c r="G445" s="205"/>
      <c r="H445" s="206"/>
      <c r="I445" s="207"/>
      <c r="J445" s="207"/>
      <c r="K445" s="207"/>
      <c r="L445" s="122"/>
      <c r="M445" s="207"/>
      <c r="N445" s="207"/>
      <c r="O445" s="122"/>
      <c r="P445" s="205"/>
      <c r="Q445" s="205"/>
      <c r="R445" s="205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</row>
    <row r="446">
      <c r="A446" s="122"/>
      <c r="B446" s="204"/>
      <c r="C446" s="204"/>
      <c r="D446" s="204"/>
      <c r="E446" s="205"/>
      <c r="F446" s="205"/>
      <c r="G446" s="205"/>
      <c r="H446" s="206"/>
      <c r="I446" s="207"/>
      <c r="J446" s="207"/>
      <c r="K446" s="207"/>
      <c r="L446" s="122"/>
      <c r="M446" s="207"/>
      <c r="N446" s="207"/>
      <c r="O446" s="122"/>
      <c r="P446" s="205"/>
      <c r="Q446" s="205"/>
      <c r="R446" s="205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</row>
    <row r="447">
      <c r="A447" s="122"/>
      <c r="B447" s="204"/>
      <c r="C447" s="204"/>
      <c r="D447" s="204"/>
      <c r="E447" s="205"/>
      <c r="F447" s="205"/>
      <c r="G447" s="205"/>
      <c r="H447" s="206"/>
      <c r="I447" s="207"/>
      <c r="J447" s="207"/>
      <c r="K447" s="207"/>
      <c r="L447" s="122"/>
      <c r="M447" s="207"/>
      <c r="N447" s="207"/>
      <c r="O447" s="122"/>
      <c r="P447" s="205"/>
      <c r="Q447" s="205"/>
      <c r="R447" s="205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</row>
    <row r="448">
      <c r="A448" s="122"/>
      <c r="B448" s="204"/>
      <c r="C448" s="204"/>
      <c r="D448" s="204"/>
      <c r="E448" s="205"/>
      <c r="F448" s="205"/>
      <c r="G448" s="205"/>
      <c r="H448" s="206"/>
      <c r="I448" s="207"/>
      <c r="J448" s="207"/>
      <c r="K448" s="207"/>
      <c r="L448" s="122"/>
      <c r="M448" s="207"/>
      <c r="N448" s="207"/>
      <c r="O448" s="122"/>
      <c r="P448" s="205"/>
      <c r="Q448" s="205"/>
      <c r="R448" s="205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</row>
    <row r="449">
      <c r="A449" s="122"/>
      <c r="B449" s="204"/>
      <c r="C449" s="204"/>
      <c r="D449" s="204"/>
      <c r="E449" s="205"/>
      <c r="F449" s="205"/>
      <c r="G449" s="205"/>
      <c r="H449" s="206"/>
      <c r="I449" s="207"/>
      <c r="J449" s="207"/>
      <c r="K449" s="207"/>
      <c r="L449" s="122"/>
      <c r="M449" s="207"/>
      <c r="N449" s="207"/>
      <c r="O449" s="122"/>
      <c r="P449" s="205"/>
      <c r="Q449" s="205"/>
      <c r="R449" s="205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</row>
    <row r="450">
      <c r="A450" s="122"/>
      <c r="B450" s="204"/>
      <c r="C450" s="204"/>
      <c r="D450" s="204"/>
      <c r="E450" s="205"/>
      <c r="F450" s="205"/>
      <c r="G450" s="205"/>
      <c r="H450" s="206"/>
      <c r="I450" s="207"/>
      <c r="J450" s="207"/>
      <c r="K450" s="207"/>
      <c r="L450" s="122"/>
      <c r="M450" s="207"/>
      <c r="N450" s="207"/>
      <c r="O450" s="122"/>
      <c r="P450" s="205"/>
      <c r="Q450" s="205"/>
      <c r="R450" s="205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</row>
    <row r="451">
      <c r="A451" s="122"/>
      <c r="B451" s="204"/>
      <c r="C451" s="204"/>
      <c r="D451" s="204"/>
      <c r="E451" s="205"/>
      <c r="F451" s="205"/>
      <c r="G451" s="205"/>
      <c r="H451" s="206"/>
      <c r="I451" s="207"/>
      <c r="J451" s="207"/>
      <c r="K451" s="207"/>
      <c r="L451" s="122"/>
      <c r="M451" s="207"/>
      <c r="N451" s="207"/>
      <c r="O451" s="122"/>
      <c r="P451" s="205"/>
      <c r="Q451" s="205"/>
      <c r="R451" s="205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</row>
    <row r="452">
      <c r="A452" s="122"/>
      <c r="B452" s="204"/>
      <c r="C452" s="204"/>
      <c r="D452" s="204"/>
      <c r="E452" s="205"/>
      <c r="F452" s="205"/>
      <c r="G452" s="205"/>
      <c r="H452" s="206"/>
      <c r="I452" s="207"/>
      <c r="J452" s="207"/>
      <c r="K452" s="207"/>
      <c r="L452" s="122"/>
      <c r="M452" s="207"/>
      <c r="N452" s="207"/>
      <c r="O452" s="122"/>
      <c r="P452" s="205"/>
      <c r="Q452" s="205"/>
      <c r="R452" s="205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</row>
    <row r="453">
      <c r="A453" s="122"/>
      <c r="B453" s="204"/>
      <c r="C453" s="204"/>
      <c r="D453" s="204"/>
      <c r="E453" s="205"/>
      <c r="F453" s="205"/>
      <c r="G453" s="205"/>
      <c r="H453" s="206"/>
      <c r="I453" s="207"/>
      <c r="J453" s="207"/>
      <c r="K453" s="207"/>
      <c r="L453" s="122"/>
      <c r="M453" s="207"/>
      <c r="N453" s="207"/>
      <c r="O453" s="122"/>
      <c r="P453" s="205"/>
      <c r="Q453" s="205"/>
      <c r="R453" s="205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</row>
    <row r="454">
      <c r="A454" s="122"/>
      <c r="B454" s="204"/>
      <c r="C454" s="204"/>
      <c r="D454" s="204"/>
      <c r="E454" s="205"/>
      <c r="F454" s="205"/>
      <c r="G454" s="205"/>
      <c r="H454" s="206"/>
      <c r="I454" s="207"/>
      <c r="J454" s="207"/>
      <c r="K454" s="207"/>
      <c r="L454" s="122"/>
      <c r="M454" s="207"/>
      <c r="N454" s="207"/>
      <c r="O454" s="122"/>
      <c r="P454" s="205"/>
      <c r="Q454" s="205"/>
      <c r="R454" s="205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</row>
    <row r="455">
      <c r="A455" s="122"/>
      <c r="B455" s="204"/>
      <c r="C455" s="204"/>
      <c r="D455" s="204"/>
      <c r="E455" s="205"/>
      <c r="F455" s="205"/>
      <c r="G455" s="205"/>
      <c r="H455" s="206"/>
      <c r="I455" s="207"/>
      <c r="J455" s="207"/>
      <c r="K455" s="207"/>
      <c r="L455" s="122"/>
      <c r="M455" s="207"/>
      <c r="N455" s="207"/>
      <c r="O455" s="122"/>
      <c r="P455" s="205"/>
      <c r="Q455" s="205"/>
      <c r="R455" s="205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</row>
    <row r="456">
      <c r="A456" s="122"/>
      <c r="B456" s="204"/>
      <c r="C456" s="204"/>
      <c r="D456" s="204"/>
      <c r="E456" s="205"/>
      <c r="F456" s="205"/>
      <c r="G456" s="205"/>
      <c r="H456" s="206"/>
      <c r="I456" s="207"/>
      <c r="J456" s="207"/>
      <c r="K456" s="207"/>
      <c r="L456" s="122"/>
      <c r="M456" s="207"/>
      <c r="N456" s="207"/>
      <c r="O456" s="122"/>
      <c r="P456" s="205"/>
      <c r="Q456" s="205"/>
      <c r="R456" s="205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</row>
    <row r="457">
      <c r="A457" s="122"/>
      <c r="B457" s="204"/>
      <c r="C457" s="204"/>
      <c r="D457" s="204"/>
      <c r="E457" s="205"/>
      <c r="F457" s="205"/>
      <c r="G457" s="205"/>
      <c r="H457" s="206"/>
      <c r="I457" s="207"/>
      <c r="J457" s="207"/>
      <c r="K457" s="207"/>
      <c r="L457" s="122"/>
      <c r="M457" s="207"/>
      <c r="N457" s="207"/>
      <c r="O457" s="122"/>
      <c r="P457" s="205"/>
      <c r="Q457" s="205"/>
      <c r="R457" s="205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</row>
    <row r="458">
      <c r="A458" s="122"/>
      <c r="B458" s="204"/>
      <c r="C458" s="204"/>
      <c r="D458" s="204"/>
      <c r="E458" s="205"/>
      <c r="F458" s="205"/>
      <c r="G458" s="205"/>
      <c r="H458" s="206"/>
      <c r="I458" s="207"/>
      <c r="J458" s="207"/>
      <c r="K458" s="207"/>
      <c r="L458" s="122"/>
      <c r="M458" s="207"/>
      <c r="N458" s="207"/>
      <c r="O458" s="122"/>
      <c r="P458" s="205"/>
      <c r="Q458" s="205"/>
      <c r="R458" s="205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</row>
    <row r="459">
      <c r="A459" s="122"/>
      <c r="B459" s="204"/>
      <c r="C459" s="204"/>
      <c r="D459" s="204"/>
      <c r="E459" s="205"/>
      <c r="F459" s="205"/>
      <c r="G459" s="205"/>
      <c r="H459" s="206"/>
      <c r="I459" s="207"/>
      <c r="J459" s="207"/>
      <c r="K459" s="207"/>
      <c r="L459" s="122"/>
      <c r="M459" s="207"/>
      <c r="N459" s="207"/>
      <c r="O459" s="122"/>
      <c r="P459" s="205"/>
      <c r="Q459" s="205"/>
      <c r="R459" s="205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</row>
    <row r="460">
      <c r="A460" s="122"/>
      <c r="B460" s="204"/>
      <c r="C460" s="204"/>
      <c r="D460" s="204"/>
      <c r="E460" s="205"/>
      <c r="F460" s="205"/>
      <c r="G460" s="205"/>
      <c r="H460" s="206"/>
      <c r="I460" s="207"/>
      <c r="J460" s="207"/>
      <c r="K460" s="207"/>
      <c r="L460" s="122"/>
      <c r="M460" s="207"/>
      <c r="N460" s="207"/>
      <c r="O460" s="122"/>
      <c r="P460" s="205"/>
      <c r="Q460" s="205"/>
      <c r="R460" s="205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</row>
    <row r="461">
      <c r="A461" s="122"/>
      <c r="B461" s="204"/>
      <c r="C461" s="204"/>
      <c r="D461" s="204"/>
      <c r="E461" s="205"/>
      <c r="F461" s="205"/>
      <c r="G461" s="205"/>
      <c r="H461" s="206"/>
      <c r="I461" s="207"/>
      <c r="J461" s="207"/>
      <c r="K461" s="207"/>
      <c r="L461" s="122"/>
      <c r="M461" s="207"/>
      <c r="N461" s="207"/>
      <c r="O461" s="122"/>
      <c r="P461" s="205"/>
      <c r="Q461" s="205"/>
      <c r="R461" s="205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</row>
    <row r="462">
      <c r="A462" s="122"/>
      <c r="B462" s="204"/>
      <c r="C462" s="204"/>
      <c r="D462" s="204"/>
      <c r="E462" s="205"/>
      <c r="F462" s="205"/>
      <c r="G462" s="205"/>
      <c r="H462" s="206"/>
      <c r="I462" s="207"/>
      <c r="J462" s="207"/>
      <c r="K462" s="207"/>
      <c r="L462" s="122"/>
      <c r="M462" s="207"/>
      <c r="N462" s="207"/>
      <c r="O462" s="122"/>
      <c r="P462" s="205"/>
      <c r="Q462" s="205"/>
      <c r="R462" s="205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</row>
    <row r="463">
      <c r="A463" s="122"/>
      <c r="B463" s="204"/>
      <c r="C463" s="204"/>
      <c r="D463" s="204"/>
      <c r="E463" s="205"/>
      <c r="F463" s="205"/>
      <c r="G463" s="205"/>
      <c r="H463" s="206"/>
      <c r="I463" s="207"/>
      <c r="J463" s="207"/>
      <c r="K463" s="207"/>
      <c r="L463" s="122"/>
      <c r="M463" s="207"/>
      <c r="N463" s="207"/>
      <c r="O463" s="122"/>
      <c r="P463" s="205"/>
      <c r="Q463" s="205"/>
      <c r="R463" s="205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</row>
    <row r="464">
      <c r="A464" s="122"/>
      <c r="B464" s="204"/>
      <c r="C464" s="204"/>
      <c r="D464" s="204"/>
      <c r="E464" s="205"/>
      <c r="F464" s="205"/>
      <c r="G464" s="205"/>
      <c r="H464" s="206"/>
      <c r="I464" s="207"/>
      <c r="J464" s="207"/>
      <c r="K464" s="207"/>
      <c r="L464" s="122"/>
      <c r="M464" s="207"/>
      <c r="N464" s="207"/>
      <c r="O464" s="122"/>
      <c r="P464" s="205"/>
      <c r="Q464" s="205"/>
      <c r="R464" s="205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</row>
    <row r="465">
      <c r="A465" s="122"/>
      <c r="B465" s="204"/>
      <c r="C465" s="204"/>
      <c r="D465" s="204"/>
      <c r="E465" s="205"/>
      <c r="F465" s="205"/>
      <c r="G465" s="205"/>
      <c r="H465" s="206"/>
      <c r="I465" s="207"/>
      <c r="J465" s="207"/>
      <c r="K465" s="207"/>
      <c r="L465" s="122"/>
      <c r="M465" s="207"/>
      <c r="N465" s="207"/>
      <c r="O465" s="122"/>
      <c r="P465" s="205"/>
      <c r="Q465" s="205"/>
      <c r="R465" s="205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</row>
    <row r="466">
      <c r="A466" s="122"/>
      <c r="B466" s="204"/>
      <c r="C466" s="204"/>
      <c r="D466" s="204"/>
      <c r="E466" s="205"/>
      <c r="F466" s="205"/>
      <c r="G466" s="205"/>
      <c r="H466" s="206"/>
      <c r="I466" s="207"/>
      <c r="J466" s="207"/>
      <c r="K466" s="207"/>
      <c r="L466" s="122"/>
      <c r="M466" s="207"/>
      <c r="N466" s="207"/>
      <c r="O466" s="122"/>
      <c r="P466" s="205"/>
      <c r="Q466" s="205"/>
      <c r="R466" s="205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</row>
    <row r="467">
      <c r="A467" s="122"/>
      <c r="B467" s="204"/>
      <c r="C467" s="204"/>
      <c r="D467" s="204"/>
      <c r="E467" s="205"/>
      <c r="F467" s="205"/>
      <c r="G467" s="205"/>
      <c r="H467" s="206"/>
      <c r="I467" s="207"/>
      <c r="J467" s="207"/>
      <c r="K467" s="207"/>
      <c r="L467" s="122"/>
      <c r="M467" s="207"/>
      <c r="N467" s="207"/>
      <c r="O467" s="122"/>
      <c r="P467" s="205"/>
      <c r="Q467" s="205"/>
      <c r="R467" s="205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</row>
    <row r="468">
      <c r="A468" s="122"/>
      <c r="B468" s="204"/>
      <c r="C468" s="204"/>
      <c r="D468" s="204"/>
      <c r="E468" s="205"/>
      <c r="F468" s="205"/>
      <c r="G468" s="205"/>
      <c r="H468" s="206"/>
      <c r="I468" s="207"/>
      <c r="J468" s="207"/>
      <c r="K468" s="207"/>
      <c r="L468" s="122"/>
      <c r="M468" s="207"/>
      <c r="N468" s="207"/>
      <c r="O468" s="122"/>
      <c r="P468" s="205"/>
      <c r="Q468" s="205"/>
      <c r="R468" s="205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</row>
    <row r="469">
      <c r="A469" s="122"/>
      <c r="B469" s="204"/>
      <c r="C469" s="204"/>
      <c r="D469" s="204"/>
      <c r="E469" s="205"/>
      <c r="F469" s="205"/>
      <c r="G469" s="205"/>
      <c r="H469" s="206"/>
      <c r="I469" s="207"/>
      <c r="J469" s="207"/>
      <c r="K469" s="207"/>
      <c r="L469" s="122"/>
      <c r="M469" s="207"/>
      <c r="N469" s="207"/>
      <c r="O469" s="122"/>
      <c r="P469" s="205"/>
      <c r="Q469" s="205"/>
      <c r="R469" s="205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</row>
    <row r="470">
      <c r="A470" s="122"/>
      <c r="B470" s="204"/>
      <c r="C470" s="204"/>
      <c r="D470" s="204"/>
      <c r="E470" s="205"/>
      <c r="F470" s="205"/>
      <c r="G470" s="205"/>
      <c r="H470" s="206"/>
      <c r="I470" s="207"/>
      <c r="J470" s="207"/>
      <c r="K470" s="207"/>
      <c r="L470" s="122"/>
      <c r="M470" s="207"/>
      <c r="N470" s="207"/>
      <c r="O470" s="122"/>
      <c r="P470" s="205"/>
      <c r="Q470" s="205"/>
      <c r="R470" s="205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</row>
    <row r="471">
      <c r="A471" s="122"/>
      <c r="B471" s="204"/>
      <c r="C471" s="204"/>
      <c r="D471" s="204"/>
      <c r="E471" s="205"/>
      <c r="F471" s="205"/>
      <c r="G471" s="205"/>
      <c r="H471" s="206"/>
      <c r="I471" s="207"/>
      <c r="J471" s="207"/>
      <c r="K471" s="207"/>
      <c r="L471" s="122"/>
      <c r="M471" s="207"/>
      <c r="N471" s="207"/>
      <c r="O471" s="122"/>
      <c r="P471" s="205"/>
      <c r="Q471" s="205"/>
      <c r="R471" s="205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</row>
    <row r="472">
      <c r="A472" s="122"/>
      <c r="B472" s="204"/>
      <c r="C472" s="204"/>
      <c r="D472" s="204"/>
      <c r="E472" s="205"/>
      <c r="F472" s="205"/>
      <c r="G472" s="205"/>
      <c r="H472" s="206"/>
      <c r="I472" s="207"/>
      <c r="J472" s="207"/>
      <c r="K472" s="207"/>
      <c r="L472" s="122"/>
      <c r="M472" s="207"/>
      <c r="N472" s="207"/>
      <c r="O472" s="122"/>
      <c r="P472" s="205"/>
      <c r="Q472" s="205"/>
      <c r="R472" s="205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</row>
    <row r="473">
      <c r="A473" s="122"/>
      <c r="B473" s="204"/>
      <c r="C473" s="204"/>
      <c r="D473" s="204"/>
      <c r="E473" s="205"/>
      <c r="F473" s="205"/>
      <c r="G473" s="205"/>
      <c r="H473" s="206"/>
      <c r="I473" s="207"/>
      <c r="J473" s="207"/>
      <c r="K473" s="207"/>
      <c r="L473" s="122"/>
      <c r="M473" s="207"/>
      <c r="N473" s="207"/>
      <c r="O473" s="122"/>
      <c r="P473" s="205"/>
      <c r="Q473" s="205"/>
      <c r="R473" s="205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</row>
    <row r="474">
      <c r="A474" s="122"/>
      <c r="B474" s="204"/>
      <c r="C474" s="204"/>
      <c r="D474" s="204"/>
      <c r="E474" s="205"/>
      <c r="F474" s="205"/>
      <c r="G474" s="205"/>
      <c r="H474" s="206"/>
      <c r="I474" s="207"/>
      <c r="J474" s="207"/>
      <c r="K474" s="207"/>
      <c r="L474" s="122"/>
      <c r="M474" s="207"/>
      <c r="N474" s="207"/>
      <c r="O474" s="122"/>
      <c r="P474" s="205"/>
      <c r="Q474" s="205"/>
      <c r="R474" s="205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</row>
    <row r="475">
      <c r="A475" s="122"/>
      <c r="B475" s="204"/>
      <c r="C475" s="204"/>
      <c r="D475" s="204"/>
      <c r="E475" s="205"/>
      <c r="F475" s="205"/>
      <c r="G475" s="205"/>
      <c r="H475" s="206"/>
      <c r="I475" s="207"/>
      <c r="J475" s="207"/>
      <c r="K475" s="207"/>
      <c r="L475" s="122"/>
      <c r="M475" s="207"/>
      <c r="N475" s="207"/>
      <c r="O475" s="122"/>
      <c r="P475" s="205"/>
      <c r="Q475" s="205"/>
      <c r="R475" s="205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</row>
    <row r="476">
      <c r="A476" s="122"/>
      <c r="B476" s="204"/>
      <c r="C476" s="204"/>
      <c r="D476" s="204"/>
      <c r="E476" s="205"/>
      <c r="F476" s="205"/>
      <c r="G476" s="205"/>
      <c r="H476" s="206"/>
      <c r="I476" s="207"/>
      <c r="J476" s="207"/>
      <c r="K476" s="207"/>
      <c r="L476" s="122"/>
      <c r="M476" s="207"/>
      <c r="N476" s="207"/>
      <c r="O476" s="122"/>
      <c r="P476" s="205"/>
      <c r="Q476" s="205"/>
      <c r="R476" s="205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</row>
    <row r="477">
      <c r="A477" s="122"/>
      <c r="B477" s="204"/>
      <c r="C477" s="204"/>
      <c r="D477" s="204"/>
      <c r="E477" s="205"/>
      <c r="F477" s="205"/>
      <c r="G477" s="205"/>
      <c r="H477" s="206"/>
      <c r="I477" s="207"/>
      <c r="J477" s="207"/>
      <c r="K477" s="207"/>
      <c r="L477" s="122"/>
      <c r="M477" s="207"/>
      <c r="N477" s="207"/>
      <c r="O477" s="122"/>
      <c r="P477" s="205"/>
      <c r="Q477" s="205"/>
      <c r="R477" s="205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</row>
    <row r="478">
      <c r="A478" s="122"/>
      <c r="B478" s="204"/>
      <c r="C478" s="204"/>
      <c r="D478" s="204"/>
      <c r="E478" s="205"/>
      <c r="F478" s="205"/>
      <c r="G478" s="205"/>
      <c r="H478" s="206"/>
      <c r="I478" s="207"/>
      <c r="J478" s="207"/>
      <c r="K478" s="207"/>
      <c r="L478" s="122"/>
      <c r="M478" s="207"/>
      <c r="N478" s="207"/>
      <c r="O478" s="122"/>
      <c r="P478" s="205"/>
      <c r="Q478" s="205"/>
      <c r="R478" s="205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</row>
    <row r="479">
      <c r="A479" s="122"/>
      <c r="B479" s="204"/>
      <c r="C479" s="204"/>
      <c r="D479" s="204"/>
      <c r="E479" s="205"/>
      <c r="F479" s="205"/>
      <c r="G479" s="205"/>
      <c r="H479" s="206"/>
      <c r="I479" s="207"/>
      <c r="J479" s="207"/>
      <c r="K479" s="207"/>
      <c r="L479" s="122"/>
      <c r="M479" s="207"/>
      <c r="N479" s="207"/>
      <c r="O479" s="122"/>
      <c r="P479" s="205"/>
      <c r="Q479" s="205"/>
      <c r="R479" s="205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</row>
    <row r="480">
      <c r="A480" s="122"/>
      <c r="B480" s="204"/>
      <c r="C480" s="204"/>
      <c r="D480" s="204"/>
      <c r="E480" s="205"/>
      <c r="F480" s="205"/>
      <c r="G480" s="205"/>
      <c r="H480" s="206"/>
      <c r="I480" s="207"/>
      <c r="J480" s="207"/>
      <c r="K480" s="207"/>
      <c r="L480" s="122"/>
      <c r="M480" s="207"/>
      <c r="N480" s="207"/>
      <c r="O480" s="122"/>
      <c r="P480" s="205"/>
      <c r="Q480" s="205"/>
      <c r="R480" s="205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</row>
    <row r="481">
      <c r="A481" s="122"/>
      <c r="B481" s="204"/>
      <c r="C481" s="204"/>
      <c r="D481" s="204"/>
      <c r="E481" s="205"/>
      <c r="F481" s="205"/>
      <c r="G481" s="205"/>
      <c r="H481" s="206"/>
      <c r="I481" s="207"/>
      <c r="J481" s="207"/>
      <c r="K481" s="207"/>
      <c r="L481" s="122"/>
      <c r="M481" s="207"/>
      <c r="N481" s="207"/>
      <c r="O481" s="122"/>
      <c r="P481" s="205"/>
      <c r="Q481" s="205"/>
      <c r="R481" s="205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</row>
    <row r="482">
      <c r="A482" s="122"/>
      <c r="B482" s="204"/>
      <c r="C482" s="204"/>
      <c r="D482" s="204"/>
      <c r="E482" s="205"/>
      <c r="F482" s="205"/>
      <c r="G482" s="205"/>
      <c r="H482" s="206"/>
      <c r="I482" s="207"/>
      <c r="J482" s="207"/>
      <c r="K482" s="207"/>
      <c r="L482" s="122"/>
      <c r="M482" s="207"/>
      <c r="N482" s="207"/>
      <c r="O482" s="122"/>
      <c r="P482" s="205"/>
      <c r="Q482" s="205"/>
      <c r="R482" s="205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</row>
    <row r="483">
      <c r="A483" s="122"/>
      <c r="B483" s="204"/>
      <c r="C483" s="204"/>
      <c r="D483" s="204"/>
      <c r="E483" s="205"/>
      <c r="F483" s="205"/>
      <c r="G483" s="205"/>
      <c r="H483" s="206"/>
      <c r="I483" s="207"/>
      <c r="J483" s="207"/>
      <c r="K483" s="207"/>
      <c r="L483" s="122"/>
      <c r="M483" s="207"/>
      <c r="N483" s="207"/>
      <c r="O483" s="122"/>
      <c r="P483" s="205"/>
      <c r="Q483" s="205"/>
      <c r="R483" s="205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</row>
    <row r="484">
      <c r="A484" s="122"/>
      <c r="B484" s="204"/>
      <c r="C484" s="204"/>
      <c r="D484" s="204"/>
      <c r="E484" s="205"/>
      <c r="F484" s="205"/>
      <c r="G484" s="205"/>
      <c r="H484" s="206"/>
      <c r="I484" s="207"/>
      <c r="J484" s="207"/>
      <c r="K484" s="207"/>
      <c r="L484" s="122"/>
      <c r="M484" s="207"/>
      <c r="N484" s="207"/>
      <c r="O484" s="122"/>
      <c r="P484" s="205"/>
      <c r="Q484" s="205"/>
      <c r="R484" s="205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</row>
    <row r="485">
      <c r="A485" s="122"/>
      <c r="B485" s="204"/>
      <c r="C485" s="204"/>
      <c r="D485" s="204"/>
      <c r="E485" s="205"/>
      <c r="F485" s="205"/>
      <c r="G485" s="205"/>
      <c r="H485" s="206"/>
      <c r="I485" s="207"/>
      <c r="J485" s="207"/>
      <c r="K485" s="207"/>
      <c r="L485" s="122"/>
      <c r="M485" s="207"/>
      <c r="N485" s="207"/>
      <c r="O485" s="122"/>
      <c r="P485" s="205"/>
      <c r="Q485" s="205"/>
      <c r="R485" s="205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</row>
    <row r="486">
      <c r="A486" s="122"/>
      <c r="B486" s="204"/>
      <c r="C486" s="204"/>
      <c r="D486" s="204"/>
      <c r="E486" s="205"/>
      <c r="F486" s="205"/>
      <c r="G486" s="205"/>
      <c r="H486" s="206"/>
      <c r="I486" s="207"/>
      <c r="J486" s="207"/>
      <c r="K486" s="207"/>
      <c r="L486" s="122"/>
      <c r="M486" s="207"/>
      <c r="N486" s="207"/>
      <c r="O486" s="122"/>
      <c r="P486" s="205"/>
      <c r="Q486" s="205"/>
      <c r="R486" s="205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</row>
    <row r="487">
      <c r="A487" s="122"/>
      <c r="B487" s="204"/>
      <c r="C487" s="204"/>
      <c r="D487" s="204"/>
      <c r="E487" s="205"/>
      <c r="F487" s="205"/>
      <c r="G487" s="205"/>
      <c r="H487" s="206"/>
      <c r="I487" s="207"/>
      <c r="J487" s="207"/>
      <c r="K487" s="207"/>
      <c r="L487" s="122"/>
      <c r="M487" s="207"/>
      <c r="N487" s="207"/>
      <c r="O487" s="122"/>
      <c r="P487" s="205"/>
      <c r="Q487" s="205"/>
      <c r="R487" s="205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</row>
    <row r="488">
      <c r="A488" s="122"/>
      <c r="B488" s="204"/>
      <c r="C488" s="204"/>
      <c r="D488" s="204"/>
      <c r="E488" s="205"/>
      <c r="F488" s="205"/>
      <c r="G488" s="205"/>
      <c r="H488" s="206"/>
      <c r="I488" s="207"/>
      <c r="J488" s="207"/>
      <c r="K488" s="207"/>
      <c r="L488" s="122"/>
      <c r="M488" s="207"/>
      <c r="N488" s="207"/>
      <c r="O488" s="122"/>
      <c r="P488" s="205"/>
      <c r="Q488" s="205"/>
      <c r="R488" s="205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</row>
    <row r="489">
      <c r="A489" s="122"/>
      <c r="B489" s="204"/>
      <c r="C489" s="204"/>
      <c r="D489" s="204"/>
      <c r="E489" s="205"/>
      <c r="F489" s="205"/>
      <c r="G489" s="205"/>
      <c r="H489" s="206"/>
      <c r="I489" s="207"/>
      <c r="J489" s="207"/>
      <c r="K489" s="207"/>
      <c r="L489" s="122"/>
      <c r="M489" s="207"/>
      <c r="N489" s="207"/>
      <c r="O489" s="122"/>
      <c r="P489" s="205"/>
      <c r="Q489" s="205"/>
      <c r="R489" s="205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</row>
    <row r="490">
      <c r="A490" s="122"/>
      <c r="B490" s="204"/>
      <c r="C490" s="204"/>
      <c r="D490" s="204"/>
      <c r="E490" s="205"/>
      <c r="F490" s="205"/>
      <c r="G490" s="205"/>
      <c r="H490" s="206"/>
      <c r="I490" s="207"/>
      <c r="J490" s="207"/>
      <c r="K490" s="207"/>
      <c r="L490" s="122"/>
      <c r="M490" s="207"/>
      <c r="N490" s="207"/>
      <c r="O490" s="122"/>
      <c r="P490" s="205"/>
      <c r="Q490" s="205"/>
      <c r="R490" s="205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</row>
    <row r="491">
      <c r="A491" s="122"/>
      <c r="B491" s="204"/>
      <c r="C491" s="204"/>
      <c r="D491" s="204"/>
      <c r="E491" s="205"/>
      <c r="F491" s="205"/>
      <c r="G491" s="205"/>
      <c r="H491" s="206"/>
      <c r="I491" s="207"/>
      <c r="J491" s="207"/>
      <c r="K491" s="207"/>
      <c r="L491" s="122"/>
      <c r="M491" s="207"/>
      <c r="N491" s="207"/>
      <c r="O491" s="122"/>
      <c r="P491" s="205"/>
      <c r="Q491" s="205"/>
      <c r="R491" s="205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</row>
    <row r="492">
      <c r="A492" s="122"/>
      <c r="B492" s="204"/>
      <c r="C492" s="204"/>
      <c r="D492" s="204"/>
      <c r="E492" s="205"/>
      <c r="F492" s="205"/>
      <c r="G492" s="205"/>
      <c r="H492" s="206"/>
      <c r="I492" s="207"/>
      <c r="J492" s="207"/>
      <c r="K492" s="207"/>
      <c r="L492" s="122"/>
      <c r="M492" s="207"/>
      <c r="N492" s="207"/>
      <c r="O492" s="122"/>
      <c r="P492" s="205"/>
      <c r="Q492" s="205"/>
      <c r="R492" s="205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</row>
    <row r="493">
      <c r="A493" s="122"/>
      <c r="B493" s="204"/>
      <c r="C493" s="204"/>
      <c r="D493" s="204"/>
      <c r="E493" s="205"/>
      <c r="F493" s="205"/>
      <c r="G493" s="205"/>
      <c r="H493" s="206"/>
      <c r="I493" s="207"/>
      <c r="J493" s="207"/>
      <c r="K493" s="207"/>
      <c r="L493" s="122"/>
      <c r="M493" s="207"/>
      <c r="N493" s="207"/>
      <c r="O493" s="122"/>
      <c r="P493" s="205"/>
      <c r="Q493" s="205"/>
      <c r="R493" s="205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</row>
    <row r="494">
      <c r="A494" s="122"/>
      <c r="B494" s="204"/>
      <c r="C494" s="204"/>
      <c r="D494" s="204"/>
      <c r="E494" s="205"/>
      <c r="F494" s="205"/>
      <c r="G494" s="205"/>
      <c r="H494" s="206"/>
      <c r="I494" s="207"/>
      <c r="J494" s="207"/>
      <c r="K494" s="207"/>
      <c r="L494" s="122"/>
      <c r="M494" s="207"/>
      <c r="N494" s="207"/>
      <c r="O494" s="122"/>
      <c r="P494" s="205"/>
      <c r="Q494" s="205"/>
      <c r="R494" s="205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</row>
    <row r="495">
      <c r="A495" s="122"/>
      <c r="B495" s="204"/>
      <c r="C495" s="204"/>
      <c r="D495" s="204"/>
      <c r="E495" s="205"/>
      <c r="F495" s="205"/>
      <c r="G495" s="205"/>
      <c r="H495" s="206"/>
      <c r="I495" s="207"/>
      <c r="J495" s="207"/>
      <c r="K495" s="207"/>
      <c r="L495" s="122"/>
      <c r="M495" s="207"/>
      <c r="N495" s="207"/>
      <c r="O495" s="122"/>
      <c r="P495" s="205"/>
      <c r="Q495" s="205"/>
      <c r="R495" s="205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</row>
    <row r="496">
      <c r="A496" s="122"/>
      <c r="B496" s="204"/>
      <c r="C496" s="204"/>
      <c r="D496" s="204"/>
      <c r="E496" s="205"/>
      <c r="F496" s="205"/>
      <c r="G496" s="205"/>
      <c r="H496" s="206"/>
      <c r="I496" s="207"/>
      <c r="J496" s="207"/>
      <c r="K496" s="207"/>
      <c r="L496" s="122"/>
      <c r="M496" s="207"/>
      <c r="N496" s="207"/>
      <c r="O496" s="122"/>
      <c r="P496" s="205"/>
      <c r="Q496" s="205"/>
      <c r="R496" s="205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</row>
    <row r="497">
      <c r="A497" s="122"/>
      <c r="B497" s="204"/>
      <c r="C497" s="204"/>
      <c r="D497" s="204"/>
      <c r="E497" s="205"/>
      <c r="F497" s="205"/>
      <c r="G497" s="205"/>
      <c r="H497" s="206"/>
      <c r="I497" s="207"/>
      <c r="J497" s="207"/>
      <c r="K497" s="207"/>
      <c r="L497" s="122"/>
      <c r="M497" s="207"/>
      <c r="N497" s="207"/>
      <c r="O497" s="122"/>
      <c r="P497" s="205"/>
      <c r="Q497" s="205"/>
      <c r="R497" s="205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</row>
    <row r="498">
      <c r="A498" s="122"/>
      <c r="B498" s="204"/>
      <c r="C498" s="204"/>
      <c r="D498" s="204"/>
      <c r="E498" s="205"/>
      <c r="F498" s="205"/>
      <c r="G498" s="205"/>
      <c r="H498" s="206"/>
      <c r="I498" s="207"/>
      <c r="J498" s="207"/>
      <c r="K498" s="207"/>
      <c r="L498" s="122"/>
      <c r="M498" s="207"/>
      <c r="N498" s="207"/>
      <c r="O498" s="122"/>
      <c r="P498" s="205"/>
      <c r="Q498" s="205"/>
      <c r="R498" s="205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</row>
    <row r="499">
      <c r="A499" s="122"/>
      <c r="B499" s="204"/>
      <c r="C499" s="204"/>
      <c r="D499" s="204"/>
      <c r="E499" s="205"/>
      <c r="F499" s="205"/>
      <c r="G499" s="205"/>
      <c r="H499" s="206"/>
      <c r="I499" s="207"/>
      <c r="J499" s="207"/>
      <c r="K499" s="207"/>
      <c r="L499" s="122"/>
      <c r="M499" s="207"/>
      <c r="N499" s="207"/>
      <c r="O499" s="122"/>
      <c r="P499" s="205"/>
      <c r="Q499" s="205"/>
      <c r="R499" s="205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</row>
    <row r="500">
      <c r="A500" s="122"/>
      <c r="B500" s="204"/>
      <c r="C500" s="204"/>
      <c r="D500" s="204"/>
      <c r="E500" s="205"/>
      <c r="F500" s="205"/>
      <c r="G500" s="205"/>
      <c r="H500" s="206"/>
      <c r="I500" s="207"/>
      <c r="J500" s="207"/>
      <c r="K500" s="207"/>
      <c r="L500" s="122"/>
      <c r="M500" s="207"/>
      <c r="N500" s="207"/>
      <c r="O500" s="122"/>
      <c r="P500" s="205"/>
      <c r="Q500" s="205"/>
      <c r="R500" s="205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</row>
    <row r="501">
      <c r="A501" s="122"/>
      <c r="B501" s="204"/>
      <c r="C501" s="204"/>
      <c r="D501" s="204"/>
      <c r="E501" s="205"/>
      <c r="F501" s="205"/>
      <c r="G501" s="205"/>
      <c r="H501" s="206"/>
      <c r="I501" s="207"/>
      <c r="J501" s="207"/>
      <c r="K501" s="207"/>
      <c r="L501" s="122"/>
      <c r="M501" s="207"/>
      <c r="N501" s="207"/>
      <c r="O501" s="122"/>
      <c r="P501" s="205"/>
      <c r="Q501" s="205"/>
      <c r="R501" s="205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</row>
    <row r="502">
      <c r="A502" s="122"/>
      <c r="B502" s="204"/>
      <c r="C502" s="204"/>
      <c r="D502" s="204"/>
      <c r="E502" s="205"/>
      <c r="F502" s="205"/>
      <c r="G502" s="205"/>
      <c r="H502" s="206"/>
      <c r="I502" s="207"/>
      <c r="J502" s="207"/>
      <c r="K502" s="207"/>
      <c r="L502" s="122"/>
      <c r="M502" s="207"/>
      <c r="N502" s="207"/>
      <c r="O502" s="122"/>
      <c r="P502" s="205"/>
      <c r="Q502" s="205"/>
      <c r="R502" s="205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</row>
    <row r="503">
      <c r="A503" s="122"/>
      <c r="B503" s="204"/>
      <c r="C503" s="204"/>
      <c r="D503" s="204"/>
      <c r="E503" s="205"/>
      <c r="F503" s="205"/>
      <c r="G503" s="205"/>
      <c r="H503" s="206"/>
      <c r="I503" s="207"/>
      <c r="J503" s="207"/>
      <c r="K503" s="207"/>
      <c r="L503" s="122"/>
      <c r="M503" s="207"/>
      <c r="N503" s="207"/>
      <c r="O503" s="122"/>
      <c r="P503" s="205"/>
      <c r="Q503" s="205"/>
      <c r="R503" s="205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</row>
    <row r="504">
      <c r="A504" s="122"/>
      <c r="B504" s="204"/>
      <c r="C504" s="204"/>
      <c r="D504" s="204"/>
      <c r="E504" s="205"/>
      <c r="F504" s="205"/>
      <c r="G504" s="205"/>
      <c r="H504" s="206"/>
      <c r="I504" s="207"/>
      <c r="J504" s="207"/>
      <c r="K504" s="207"/>
      <c r="L504" s="122"/>
      <c r="M504" s="207"/>
      <c r="N504" s="207"/>
      <c r="O504" s="122"/>
      <c r="P504" s="205"/>
      <c r="Q504" s="205"/>
      <c r="R504" s="205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</row>
    <row r="505">
      <c r="A505" s="122"/>
      <c r="B505" s="204"/>
      <c r="C505" s="204"/>
      <c r="D505" s="204"/>
      <c r="E505" s="205"/>
      <c r="F505" s="205"/>
      <c r="G505" s="205"/>
      <c r="H505" s="206"/>
      <c r="I505" s="207"/>
      <c r="J505" s="207"/>
      <c r="K505" s="207"/>
      <c r="L505" s="122"/>
      <c r="M505" s="207"/>
      <c r="N505" s="207"/>
      <c r="O505" s="122"/>
      <c r="P505" s="205"/>
      <c r="Q505" s="205"/>
      <c r="R505" s="205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</row>
    <row r="506">
      <c r="A506" s="122"/>
      <c r="B506" s="204"/>
      <c r="C506" s="204"/>
      <c r="D506" s="204"/>
      <c r="E506" s="205"/>
      <c r="F506" s="205"/>
      <c r="G506" s="205"/>
      <c r="H506" s="206"/>
      <c r="I506" s="207"/>
      <c r="J506" s="207"/>
      <c r="K506" s="207"/>
      <c r="L506" s="122"/>
      <c r="M506" s="207"/>
      <c r="N506" s="207"/>
      <c r="O506" s="122"/>
      <c r="P506" s="205"/>
      <c r="Q506" s="205"/>
      <c r="R506" s="205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</row>
    <row r="507">
      <c r="A507" s="122"/>
      <c r="B507" s="204"/>
      <c r="C507" s="204"/>
      <c r="D507" s="204"/>
      <c r="E507" s="205"/>
      <c r="F507" s="205"/>
      <c r="G507" s="205"/>
      <c r="H507" s="206"/>
      <c r="I507" s="207"/>
      <c r="J507" s="207"/>
      <c r="K507" s="207"/>
      <c r="L507" s="122"/>
      <c r="M507" s="207"/>
      <c r="N507" s="207"/>
      <c r="O507" s="122"/>
      <c r="P507" s="205"/>
      <c r="Q507" s="205"/>
      <c r="R507" s="205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</row>
    <row r="508">
      <c r="A508" s="122"/>
      <c r="B508" s="204"/>
      <c r="C508" s="204"/>
      <c r="D508" s="204"/>
      <c r="E508" s="205"/>
      <c r="F508" s="205"/>
      <c r="G508" s="205"/>
      <c r="H508" s="206"/>
      <c r="I508" s="207"/>
      <c r="J508" s="207"/>
      <c r="K508" s="207"/>
      <c r="L508" s="122"/>
      <c r="M508" s="207"/>
      <c r="N508" s="207"/>
      <c r="O508" s="122"/>
      <c r="P508" s="205"/>
      <c r="Q508" s="205"/>
      <c r="R508" s="205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</row>
    <row r="509">
      <c r="A509" s="122"/>
      <c r="B509" s="204"/>
      <c r="C509" s="204"/>
      <c r="D509" s="204"/>
      <c r="E509" s="205"/>
      <c r="F509" s="205"/>
      <c r="G509" s="205"/>
      <c r="H509" s="206"/>
      <c r="I509" s="207"/>
      <c r="J509" s="207"/>
      <c r="K509" s="207"/>
      <c r="L509" s="122"/>
      <c r="M509" s="207"/>
      <c r="N509" s="207"/>
      <c r="O509" s="122"/>
      <c r="P509" s="205"/>
      <c r="Q509" s="205"/>
      <c r="R509" s="205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</row>
    <row r="510">
      <c r="A510" s="122"/>
      <c r="B510" s="204"/>
      <c r="C510" s="204"/>
      <c r="D510" s="204"/>
      <c r="E510" s="205"/>
      <c r="F510" s="205"/>
      <c r="G510" s="205"/>
      <c r="H510" s="206"/>
      <c r="I510" s="207"/>
      <c r="J510" s="207"/>
      <c r="K510" s="207"/>
      <c r="L510" s="122"/>
      <c r="M510" s="207"/>
      <c r="N510" s="207"/>
      <c r="O510" s="122"/>
      <c r="P510" s="205"/>
      <c r="Q510" s="205"/>
      <c r="R510" s="205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</row>
    <row r="511">
      <c r="A511" s="122"/>
      <c r="B511" s="204"/>
      <c r="C511" s="204"/>
      <c r="D511" s="204"/>
      <c r="E511" s="205"/>
      <c r="F511" s="205"/>
      <c r="G511" s="205"/>
      <c r="H511" s="206"/>
      <c r="I511" s="207"/>
      <c r="J511" s="207"/>
      <c r="K511" s="207"/>
      <c r="L511" s="122"/>
      <c r="M511" s="207"/>
      <c r="N511" s="207"/>
      <c r="O511" s="122"/>
      <c r="P511" s="205"/>
      <c r="Q511" s="205"/>
      <c r="R511" s="205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</row>
    <row r="512">
      <c r="A512" s="122"/>
      <c r="B512" s="204"/>
      <c r="C512" s="204"/>
      <c r="D512" s="204"/>
      <c r="E512" s="205"/>
      <c r="F512" s="205"/>
      <c r="G512" s="205"/>
      <c r="H512" s="206"/>
      <c r="I512" s="207"/>
      <c r="J512" s="207"/>
      <c r="K512" s="207"/>
      <c r="L512" s="122"/>
      <c r="M512" s="207"/>
      <c r="N512" s="207"/>
      <c r="O512" s="122"/>
      <c r="P512" s="205"/>
      <c r="Q512" s="205"/>
      <c r="R512" s="205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</row>
    <row r="513">
      <c r="A513" s="122"/>
      <c r="B513" s="204"/>
      <c r="C513" s="204"/>
      <c r="D513" s="204"/>
      <c r="E513" s="205"/>
      <c r="F513" s="205"/>
      <c r="G513" s="205"/>
      <c r="H513" s="206"/>
      <c r="I513" s="207"/>
      <c r="J513" s="207"/>
      <c r="K513" s="207"/>
      <c r="L513" s="122"/>
      <c r="M513" s="207"/>
      <c r="N513" s="207"/>
      <c r="O513" s="122"/>
      <c r="P513" s="205"/>
      <c r="Q513" s="205"/>
      <c r="R513" s="205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</row>
    <row r="514">
      <c r="A514" s="122"/>
      <c r="B514" s="204"/>
      <c r="C514" s="204"/>
      <c r="D514" s="204"/>
      <c r="E514" s="205"/>
      <c r="F514" s="205"/>
      <c r="G514" s="205"/>
      <c r="H514" s="206"/>
      <c r="I514" s="207"/>
      <c r="J514" s="207"/>
      <c r="K514" s="207"/>
      <c r="L514" s="122"/>
      <c r="M514" s="207"/>
      <c r="N514" s="207"/>
      <c r="O514" s="122"/>
      <c r="P514" s="205"/>
      <c r="Q514" s="205"/>
      <c r="R514" s="205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</row>
    <row r="515">
      <c r="A515" s="122"/>
      <c r="B515" s="204"/>
      <c r="C515" s="204"/>
      <c r="D515" s="204"/>
      <c r="E515" s="205"/>
      <c r="F515" s="205"/>
      <c r="G515" s="205"/>
      <c r="H515" s="206"/>
      <c r="I515" s="207"/>
      <c r="J515" s="207"/>
      <c r="K515" s="207"/>
      <c r="L515" s="122"/>
      <c r="M515" s="207"/>
      <c r="N515" s="207"/>
      <c r="O515" s="122"/>
      <c r="P515" s="205"/>
      <c r="Q515" s="205"/>
      <c r="R515" s="205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</row>
    <row r="516">
      <c r="A516" s="122"/>
      <c r="B516" s="204"/>
      <c r="C516" s="204"/>
      <c r="D516" s="204"/>
      <c r="E516" s="205"/>
      <c r="F516" s="205"/>
      <c r="G516" s="205"/>
      <c r="H516" s="206"/>
      <c r="I516" s="207"/>
      <c r="J516" s="207"/>
      <c r="K516" s="207"/>
      <c r="L516" s="122"/>
      <c r="M516" s="207"/>
      <c r="N516" s="207"/>
      <c r="O516" s="122"/>
      <c r="P516" s="205"/>
      <c r="Q516" s="205"/>
      <c r="R516" s="205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</row>
    <row r="517">
      <c r="A517" s="122"/>
      <c r="B517" s="204"/>
      <c r="C517" s="204"/>
      <c r="D517" s="204"/>
      <c r="E517" s="205"/>
      <c r="F517" s="205"/>
      <c r="G517" s="205"/>
      <c r="H517" s="206"/>
      <c r="I517" s="207"/>
      <c r="J517" s="207"/>
      <c r="K517" s="207"/>
      <c r="L517" s="122"/>
      <c r="M517" s="207"/>
      <c r="N517" s="207"/>
      <c r="O517" s="122"/>
      <c r="P517" s="205"/>
      <c r="Q517" s="205"/>
      <c r="R517" s="205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</row>
    <row r="518">
      <c r="A518" s="122"/>
      <c r="B518" s="204"/>
      <c r="C518" s="204"/>
      <c r="D518" s="204"/>
      <c r="E518" s="205"/>
      <c r="F518" s="205"/>
      <c r="G518" s="205"/>
      <c r="H518" s="206"/>
      <c r="I518" s="207"/>
      <c r="J518" s="207"/>
      <c r="K518" s="207"/>
      <c r="L518" s="122"/>
      <c r="M518" s="207"/>
      <c r="N518" s="207"/>
      <c r="O518" s="122"/>
      <c r="P518" s="205"/>
      <c r="Q518" s="205"/>
      <c r="R518" s="205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</row>
    <row r="519">
      <c r="A519" s="122"/>
      <c r="B519" s="204"/>
      <c r="C519" s="204"/>
      <c r="D519" s="204"/>
      <c r="E519" s="205"/>
      <c r="F519" s="205"/>
      <c r="G519" s="205"/>
      <c r="H519" s="206"/>
      <c r="I519" s="207"/>
      <c r="J519" s="207"/>
      <c r="K519" s="207"/>
      <c r="L519" s="122"/>
      <c r="M519" s="207"/>
      <c r="N519" s="207"/>
      <c r="O519" s="122"/>
      <c r="P519" s="205"/>
      <c r="Q519" s="205"/>
      <c r="R519" s="205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</row>
    <row r="520">
      <c r="A520" s="122"/>
      <c r="B520" s="204"/>
      <c r="C520" s="204"/>
      <c r="D520" s="204"/>
      <c r="E520" s="205"/>
      <c r="F520" s="205"/>
      <c r="G520" s="205"/>
      <c r="H520" s="206"/>
      <c r="I520" s="207"/>
      <c r="J520" s="207"/>
      <c r="K520" s="207"/>
      <c r="L520" s="122"/>
      <c r="M520" s="207"/>
      <c r="N520" s="207"/>
      <c r="O520" s="122"/>
      <c r="P520" s="205"/>
      <c r="Q520" s="205"/>
      <c r="R520" s="205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</row>
    <row r="521">
      <c r="A521" s="122"/>
      <c r="B521" s="204"/>
      <c r="C521" s="204"/>
      <c r="D521" s="204"/>
      <c r="E521" s="205"/>
      <c r="F521" s="205"/>
      <c r="G521" s="205"/>
      <c r="H521" s="206"/>
      <c r="I521" s="207"/>
      <c r="J521" s="207"/>
      <c r="K521" s="207"/>
      <c r="L521" s="122"/>
      <c r="M521" s="207"/>
      <c r="N521" s="207"/>
      <c r="O521" s="122"/>
      <c r="P521" s="205"/>
      <c r="Q521" s="205"/>
      <c r="R521" s="205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</row>
    <row r="522">
      <c r="A522" s="122"/>
      <c r="B522" s="204"/>
      <c r="C522" s="204"/>
      <c r="D522" s="204"/>
      <c r="E522" s="205"/>
      <c r="F522" s="205"/>
      <c r="G522" s="205"/>
      <c r="H522" s="206"/>
      <c r="I522" s="207"/>
      <c r="J522" s="207"/>
      <c r="K522" s="207"/>
      <c r="L522" s="122"/>
      <c r="M522" s="207"/>
      <c r="N522" s="207"/>
      <c r="O522" s="122"/>
      <c r="P522" s="205"/>
      <c r="Q522" s="205"/>
      <c r="R522" s="205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</row>
    <row r="523">
      <c r="A523" s="122"/>
      <c r="B523" s="204"/>
      <c r="C523" s="204"/>
      <c r="D523" s="204"/>
      <c r="E523" s="205"/>
      <c r="F523" s="205"/>
      <c r="G523" s="205"/>
      <c r="H523" s="206"/>
      <c r="I523" s="207"/>
      <c r="J523" s="207"/>
      <c r="K523" s="207"/>
      <c r="L523" s="122"/>
      <c r="M523" s="207"/>
      <c r="N523" s="207"/>
      <c r="O523" s="122"/>
      <c r="P523" s="205"/>
      <c r="Q523" s="205"/>
      <c r="R523" s="205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</row>
    <row r="524">
      <c r="A524" s="122"/>
      <c r="B524" s="204"/>
      <c r="C524" s="204"/>
      <c r="D524" s="204"/>
      <c r="E524" s="205"/>
      <c r="F524" s="205"/>
      <c r="G524" s="205"/>
      <c r="H524" s="206"/>
      <c r="I524" s="207"/>
      <c r="J524" s="207"/>
      <c r="K524" s="207"/>
      <c r="L524" s="122"/>
      <c r="M524" s="207"/>
      <c r="N524" s="207"/>
      <c r="O524" s="122"/>
      <c r="P524" s="205"/>
      <c r="Q524" s="205"/>
      <c r="R524" s="205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</row>
    <row r="525">
      <c r="A525" s="122"/>
      <c r="B525" s="204"/>
      <c r="C525" s="204"/>
      <c r="D525" s="204"/>
      <c r="E525" s="205"/>
      <c r="F525" s="205"/>
      <c r="G525" s="205"/>
      <c r="H525" s="206"/>
      <c r="I525" s="207"/>
      <c r="J525" s="207"/>
      <c r="K525" s="207"/>
      <c r="L525" s="122"/>
      <c r="M525" s="207"/>
      <c r="N525" s="207"/>
      <c r="O525" s="122"/>
      <c r="P525" s="205"/>
      <c r="Q525" s="205"/>
      <c r="R525" s="205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</row>
    <row r="526">
      <c r="A526" s="122"/>
      <c r="B526" s="204"/>
      <c r="C526" s="204"/>
      <c r="D526" s="204"/>
      <c r="E526" s="205"/>
      <c r="F526" s="205"/>
      <c r="G526" s="205"/>
      <c r="H526" s="206"/>
      <c r="I526" s="207"/>
      <c r="J526" s="207"/>
      <c r="K526" s="207"/>
      <c r="L526" s="122"/>
      <c r="M526" s="207"/>
      <c r="N526" s="207"/>
      <c r="O526" s="122"/>
      <c r="P526" s="205"/>
      <c r="Q526" s="205"/>
      <c r="R526" s="205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</row>
    <row r="527">
      <c r="A527" s="122"/>
      <c r="B527" s="204"/>
      <c r="C527" s="204"/>
      <c r="D527" s="204"/>
      <c r="E527" s="205"/>
      <c r="F527" s="205"/>
      <c r="G527" s="205"/>
      <c r="H527" s="206"/>
      <c r="I527" s="207"/>
      <c r="J527" s="207"/>
      <c r="K527" s="207"/>
      <c r="L527" s="122"/>
      <c r="M527" s="207"/>
      <c r="N527" s="207"/>
      <c r="O527" s="122"/>
      <c r="P527" s="205"/>
      <c r="Q527" s="205"/>
      <c r="R527" s="205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</row>
    <row r="528">
      <c r="A528" s="122"/>
      <c r="B528" s="204"/>
      <c r="C528" s="204"/>
      <c r="D528" s="204"/>
      <c r="E528" s="205"/>
      <c r="F528" s="205"/>
      <c r="G528" s="205"/>
      <c r="H528" s="206"/>
      <c r="I528" s="207"/>
      <c r="J528" s="207"/>
      <c r="K528" s="207"/>
      <c r="L528" s="122"/>
      <c r="M528" s="207"/>
      <c r="N528" s="207"/>
      <c r="O528" s="122"/>
      <c r="P528" s="205"/>
      <c r="Q528" s="205"/>
      <c r="R528" s="205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</row>
    <row r="529">
      <c r="A529" s="122"/>
      <c r="B529" s="204"/>
      <c r="C529" s="204"/>
      <c r="D529" s="204"/>
      <c r="E529" s="205"/>
      <c r="F529" s="205"/>
      <c r="G529" s="205"/>
      <c r="H529" s="206"/>
      <c r="I529" s="207"/>
      <c r="J529" s="207"/>
      <c r="K529" s="207"/>
      <c r="L529" s="122"/>
      <c r="M529" s="207"/>
      <c r="N529" s="207"/>
      <c r="O529" s="122"/>
      <c r="P529" s="205"/>
      <c r="Q529" s="205"/>
      <c r="R529" s="205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</row>
    <row r="530">
      <c r="A530" s="122"/>
      <c r="B530" s="204"/>
      <c r="C530" s="204"/>
      <c r="D530" s="204"/>
      <c r="E530" s="205"/>
      <c r="F530" s="205"/>
      <c r="G530" s="205"/>
      <c r="H530" s="206"/>
      <c r="I530" s="207"/>
      <c r="J530" s="207"/>
      <c r="K530" s="207"/>
      <c r="L530" s="122"/>
      <c r="M530" s="207"/>
      <c r="N530" s="207"/>
      <c r="O530" s="122"/>
      <c r="P530" s="205"/>
      <c r="Q530" s="205"/>
      <c r="R530" s="205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</row>
    <row r="531">
      <c r="A531" s="122"/>
      <c r="B531" s="204"/>
      <c r="C531" s="204"/>
      <c r="D531" s="204"/>
      <c r="E531" s="205"/>
      <c r="F531" s="205"/>
      <c r="G531" s="205"/>
      <c r="H531" s="206"/>
      <c r="I531" s="207"/>
      <c r="J531" s="207"/>
      <c r="K531" s="207"/>
      <c r="L531" s="122"/>
      <c r="M531" s="207"/>
      <c r="N531" s="207"/>
      <c r="O531" s="122"/>
      <c r="P531" s="205"/>
      <c r="Q531" s="205"/>
      <c r="R531" s="205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</row>
    <row r="532">
      <c r="A532" s="122"/>
      <c r="B532" s="204"/>
      <c r="C532" s="204"/>
      <c r="D532" s="204"/>
      <c r="E532" s="205"/>
      <c r="F532" s="205"/>
      <c r="G532" s="205"/>
      <c r="H532" s="206"/>
      <c r="I532" s="207"/>
      <c r="J532" s="207"/>
      <c r="K532" s="207"/>
      <c r="L532" s="122"/>
      <c r="M532" s="207"/>
      <c r="N532" s="207"/>
      <c r="O532" s="122"/>
      <c r="P532" s="205"/>
      <c r="Q532" s="205"/>
      <c r="R532" s="205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</row>
    <row r="533">
      <c r="A533" s="122"/>
      <c r="B533" s="204"/>
      <c r="C533" s="204"/>
      <c r="D533" s="204"/>
      <c r="E533" s="205"/>
      <c r="F533" s="205"/>
      <c r="G533" s="205"/>
      <c r="H533" s="206"/>
      <c r="I533" s="207"/>
      <c r="J533" s="207"/>
      <c r="K533" s="207"/>
      <c r="L533" s="122"/>
      <c r="M533" s="207"/>
      <c r="N533" s="207"/>
      <c r="O533" s="122"/>
      <c r="P533" s="205"/>
      <c r="Q533" s="205"/>
      <c r="R533" s="205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</row>
    <row r="534">
      <c r="A534" s="122"/>
      <c r="B534" s="204"/>
      <c r="C534" s="204"/>
      <c r="D534" s="204"/>
      <c r="E534" s="205"/>
      <c r="F534" s="205"/>
      <c r="G534" s="205"/>
      <c r="H534" s="206"/>
      <c r="I534" s="207"/>
      <c r="J534" s="207"/>
      <c r="K534" s="207"/>
      <c r="L534" s="122"/>
      <c r="M534" s="207"/>
      <c r="N534" s="207"/>
      <c r="O534" s="122"/>
      <c r="P534" s="205"/>
      <c r="Q534" s="205"/>
      <c r="R534" s="205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</row>
    <row r="535">
      <c r="A535" s="122"/>
      <c r="B535" s="204"/>
      <c r="C535" s="204"/>
      <c r="D535" s="204"/>
      <c r="E535" s="205"/>
      <c r="F535" s="205"/>
      <c r="G535" s="205"/>
      <c r="H535" s="206"/>
      <c r="I535" s="207"/>
      <c r="J535" s="207"/>
      <c r="K535" s="207"/>
      <c r="L535" s="122"/>
      <c r="M535" s="207"/>
      <c r="N535" s="207"/>
      <c r="O535" s="122"/>
      <c r="P535" s="205"/>
      <c r="Q535" s="205"/>
      <c r="R535" s="205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</row>
    <row r="536">
      <c r="A536" s="122"/>
      <c r="B536" s="204"/>
      <c r="C536" s="204"/>
      <c r="D536" s="204"/>
      <c r="E536" s="205"/>
      <c r="F536" s="205"/>
      <c r="G536" s="205"/>
      <c r="H536" s="206"/>
      <c r="I536" s="207"/>
      <c r="J536" s="207"/>
      <c r="K536" s="207"/>
      <c r="L536" s="122"/>
      <c r="M536" s="207"/>
      <c r="N536" s="207"/>
      <c r="O536" s="122"/>
      <c r="P536" s="205"/>
      <c r="Q536" s="205"/>
      <c r="R536" s="205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</row>
    <row r="537">
      <c r="A537" s="122"/>
      <c r="B537" s="204"/>
      <c r="C537" s="204"/>
      <c r="D537" s="204"/>
      <c r="E537" s="205"/>
      <c r="F537" s="205"/>
      <c r="G537" s="205"/>
      <c r="H537" s="206"/>
      <c r="I537" s="207"/>
      <c r="J537" s="207"/>
      <c r="K537" s="207"/>
      <c r="L537" s="122"/>
      <c r="M537" s="207"/>
      <c r="N537" s="207"/>
      <c r="O537" s="122"/>
      <c r="P537" s="205"/>
      <c r="Q537" s="205"/>
      <c r="R537" s="205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</row>
    <row r="538">
      <c r="A538" s="122"/>
      <c r="B538" s="204"/>
      <c r="C538" s="204"/>
      <c r="D538" s="204"/>
      <c r="E538" s="205"/>
      <c r="F538" s="205"/>
      <c r="G538" s="205"/>
      <c r="H538" s="206"/>
      <c r="I538" s="207"/>
      <c r="J538" s="207"/>
      <c r="K538" s="207"/>
      <c r="L538" s="122"/>
      <c r="M538" s="207"/>
      <c r="N538" s="207"/>
      <c r="O538" s="122"/>
      <c r="P538" s="205"/>
      <c r="Q538" s="205"/>
      <c r="R538" s="205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</row>
    <row r="539">
      <c r="A539" s="122"/>
      <c r="B539" s="204"/>
      <c r="C539" s="204"/>
      <c r="D539" s="204"/>
      <c r="E539" s="205"/>
      <c r="F539" s="205"/>
      <c r="G539" s="205"/>
      <c r="H539" s="206"/>
      <c r="I539" s="207"/>
      <c r="J539" s="207"/>
      <c r="K539" s="207"/>
      <c r="L539" s="122"/>
      <c r="M539" s="207"/>
      <c r="N539" s="207"/>
      <c r="O539" s="122"/>
      <c r="P539" s="205"/>
      <c r="Q539" s="205"/>
      <c r="R539" s="205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</row>
    <row r="540">
      <c r="A540" s="122"/>
      <c r="B540" s="204"/>
      <c r="C540" s="204"/>
      <c r="D540" s="204"/>
      <c r="E540" s="205"/>
      <c r="F540" s="205"/>
      <c r="G540" s="205"/>
      <c r="H540" s="206"/>
      <c r="I540" s="207"/>
      <c r="J540" s="207"/>
      <c r="K540" s="207"/>
      <c r="L540" s="122"/>
      <c r="M540" s="207"/>
      <c r="N540" s="207"/>
      <c r="O540" s="122"/>
      <c r="P540" s="205"/>
      <c r="Q540" s="205"/>
      <c r="R540" s="205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</row>
    <row r="541">
      <c r="A541" s="122"/>
      <c r="B541" s="204"/>
      <c r="C541" s="204"/>
      <c r="D541" s="204"/>
      <c r="E541" s="205"/>
      <c r="F541" s="205"/>
      <c r="G541" s="205"/>
      <c r="H541" s="206"/>
      <c r="I541" s="207"/>
      <c r="J541" s="207"/>
      <c r="K541" s="207"/>
      <c r="L541" s="122"/>
      <c r="M541" s="207"/>
      <c r="N541" s="207"/>
      <c r="O541" s="122"/>
      <c r="P541" s="205"/>
      <c r="Q541" s="205"/>
      <c r="R541" s="205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</row>
    <row r="542">
      <c r="A542" s="122"/>
      <c r="B542" s="204"/>
      <c r="C542" s="204"/>
      <c r="D542" s="204"/>
      <c r="E542" s="205"/>
      <c r="F542" s="205"/>
      <c r="G542" s="205"/>
      <c r="H542" s="206"/>
      <c r="I542" s="207"/>
      <c r="J542" s="207"/>
      <c r="K542" s="207"/>
      <c r="L542" s="122"/>
      <c r="M542" s="207"/>
      <c r="N542" s="207"/>
      <c r="O542" s="122"/>
      <c r="P542" s="205"/>
      <c r="Q542" s="205"/>
      <c r="R542" s="205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</row>
    <row r="543">
      <c r="A543" s="122"/>
      <c r="B543" s="204"/>
      <c r="C543" s="204"/>
      <c r="D543" s="204"/>
      <c r="E543" s="205"/>
      <c r="F543" s="205"/>
      <c r="G543" s="205"/>
      <c r="H543" s="206"/>
      <c r="I543" s="207"/>
      <c r="J543" s="207"/>
      <c r="K543" s="207"/>
      <c r="L543" s="122"/>
      <c r="M543" s="207"/>
      <c r="N543" s="207"/>
      <c r="O543" s="122"/>
      <c r="P543" s="205"/>
      <c r="Q543" s="205"/>
      <c r="R543" s="205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</row>
    <row r="544">
      <c r="A544" s="122"/>
      <c r="B544" s="204"/>
      <c r="C544" s="204"/>
      <c r="D544" s="204"/>
      <c r="E544" s="205"/>
      <c r="F544" s="205"/>
      <c r="G544" s="205"/>
      <c r="H544" s="206"/>
      <c r="I544" s="207"/>
      <c r="J544" s="207"/>
      <c r="K544" s="207"/>
      <c r="L544" s="122"/>
      <c r="M544" s="207"/>
      <c r="N544" s="207"/>
      <c r="O544" s="122"/>
      <c r="P544" s="205"/>
      <c r="Q544" s="205"/>
      <c r="R544" s="205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</row>
    <row r="545">
      <c r="A545" s="122"/>
      <c r="B545" s="204"/>
      <c r="C545" s="204"/>
      <c r="D545" s="204"/>
      <c r="E545" s="205"/>
      <c r="F545" s="205"/>
      <c r="G545" s="205"/>
      <c r="H545" s="206"/>
      <c r="I545" s="207"/>
      <c r="J545" s="207"/>
      <c r="K545" s="207"/>
      <c r="L545" s="122"/>
      <c r="M545" s="207"/>
      <c r="N545" s="207"/>
      <c r="O545" s="122"/>
      <c r="P545" s="205"/>
      <c r="Q545" s="205"/>
      <c r="R545" s="205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</row>
    <row r="546">
      <c r="A546" s="122"/>
      <c r="B546" s="204"/>
      <c r="C546" s="204"/>
      <c r="D546" s="204"/>
      <c r="E546" s="205"/>
      <c r="F546" s="205"/>
      <c r="G546" s="205"/>
      <c r="H546" s="206"/>
      <c r="I546" s="207"/>
      <c r="J546" s="207"/>
      <c r="K546" s="207"/>
      <c r="L546" s="122"/>
      <c r="M546" s="207"/>
      <c r="N546" s="207"/>
      <c r="O546" s="122"/>
      <c r="P546" s="205"/>
      <c r="Q546" s="205"/>
      <c r="R546" s="205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</row>
    <row r="547">
      <c r="A547" s="122"/>
      <c r="B547" s="204"/>
      <c r="C547" s="204"/>
      <c r="D547" s="204"/>
      <c r="E547" s="205"/>
      <c r="F547" s="205"/>
      <c r="G547" s="205"/>
      <c r="H547" s="206"/>
      <c r="I547" s="207"/>
      <c r="J547" s="207"/>
      <c r="K547" s="207"/>
      <c r="L547" s="122"/>
      <c r="M547" s="207"/>
      <c r="N547" s="207"/>
      <c r="O547" s="122"/>
      <c r="P547" s="205"/>
      <c r="Q547" s="205"/>
      <c r="R547" s="205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</row>
    <row r="548">
      <c r="A548" s="122"/>
      <c r="B548" s="204"/>
      <c r="C548" s="204"/>
      <c r="D548" s="204"/>
      <c r="E548" s="205"/>
      <c r="F548" s="205"/>
      <c r="G548" s="205"/>
      <c r="H548" s="206"/>
      <c r="I548" s="207"/>
      <c r="J548" s="207"/>
      <c r="K548" s="207"/>
      <c r="L548" s="122"/>
      <c r="M548" s="207"/>
      <c r="N548" s="207"/>
      <c r="O548" s="122"/>
      <c r="P548" s="205"/>
      <c r="Q548" s="205"/>
      <c r="R548" s="205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</row>
    <row r="549">
      <c r="A549" s="122"/>
      <c r="B549" s="204"/>
      <c r="C549" s="204"/>
      <c r="D549" s="204"/>
      <c r="E549" s="205"/>
      <c r="F549" s="205"/>
      <c r="G549" s="205"/>
      <c r="H549" s="206"/>
      <c r="I549" s="207"/>
      <c r="J549" s="207"/>
      <c r="K549" s="207"/>
      <c r="L549" s="122"/>
      <c r="M549" s="207"/>
      <c r="N549" s="207"/>
      <c r="O549" s="122"/>
      <c r="P549" s="205"/>
      <c r="Q549" s="205"/>
      <c r="R549" s="205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</row>
    <row r="550">
      <c r="A550" s="122"/>
      <c r="B550" s="204"/>
      <c r="C550" s="204"/>
      <c r="D550" s="204"/>
      <c r="E550" s="205"/>
      <c r="F550" s="205"/>
      <c r="G550" s="205"/>
      <c r="H550" s="206"/>
      <c r="I550" s="207"/>
      <c r="J550" s="207"/>
      <c r="K550" s="207"/>
      <c r="L550" s="122"/>
      <c r="M550" s="207"/>
      <c r="N550" s="207"/>
      <c r="O550" s="122"/>
      <c r="P550" s="205"/>
      <c r="Q550" s="205"/>
      <c r="R550" s="205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</row>
    <row r="551">
      <c r="A551" s="122"/>
      <c r="B551" s="204"/>
      <c r="C551" s="204"/>
      <c r="D551" s="204"/>
      <c r="E551" s="205"/>
      <c r="F551" s="205"/>
      <c r="G551" s="205"/>
      <c r="H551" s="206"/>
      <c r="I551" s="207"/>
      <c r="J551" s="207"/>
      <c r="K551" s="207"/>
      <c r="L551" s="122"/>
      <c r="M551" s="207"/>
      <c r="N551" s="207"/>
      <c r="O551" s="122"/>
      <c r="P551" s="205"/>
      <c r="Q551" s="205"/>
      <c r="R551" s="205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</row>
    <row r="552">
      <c r="A552" s="122"/>
      <c r="B552" s="204"/>
      <c r="C552" s="204"/>
      <c r="D552" s="204"/>
      <c r="E552" s="205"/>
      <c r="F552" s="205"/>
      <c r="G552" s="205"/>
      <c r="H552" s="206"/>
      <c r="I552" s="207"/>
      <c r="J552" s="207"/>
      <c r="K552" s="207"/>
      <c r="L552" s="122"/>
      <c r="M552" s="207"/>
      <c r="N552" s="207"/>
      <c r="O552" s="122"/>
      <c r="P552" s="205"/>
      <c r="Q552" s="205"/>
      <c r="R552" s="205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</row>
    <row r="553">
      <c r="A553" s="122"/>
      <c r="B553" s="204"/>
      <c r="C553" s="204"/>
      <c r="D553" s="204"/>
      <c r="E553" s="205"/>
      <c r="F553" s="205"/>
      <c r="G553" s="205"/>
      <c r="H553" s="206"/>
      <c r="I553" s="207"/>
      <c r="J553" s="207"/>
      <c r="K553" s="207"/>
      <c r="L553" s="122"/>
      <c r="M553" s="207"/>
      <c r="N553" s="207"/>
      <c r="O553" s="122"/>
      <c r="P553" s="205"/>
      <c r="Q553" s="205"/>
      <c r="R553" s="205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</row>
    <row r="554">
      <c r="A554" s="122"/>
      <c r="B554" s="204"/>
      <c r="C554" s="204"/>
      <c r="D554" s="204"/>
      <c r="E554" s="205"/>
      <c r="F554" s="205"/>
      <c r="G554" s="205"/>
      <c r="H554" s="206"/>
      <c r="I554" s="207"/>
      <c r="J554" s="207"/>
      <c r="K554" s="207"/>
      <c r="L554" s="122"/>
      <c r="M554" s="207"/>
      <c r="N554" s="207"/>
      <c r="O554" s="122"/>
      <c r="P554" s="205"/>
      <c r="Q554" s="205"/>
      <c r="R554" s="205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</row>
    <row r="555">
      <c r="A555" s="122"/>
      <c r="B555" s="204"/>
      <c r="C555" s="204"/>
      <c r="D555" s="204"/>
      <c r="E555" s="205"/>
      <c r="F555" s="205"/>
      <c r="G555" s="205"/>
      <c r="H555" s="206"/>
      <c r="I555" s="207"/>
      <c r="J555" s="207"/>
      <c r="K555" s="207"/>
      <c r="L555" s="122"/>
      <c r="M555" s="207"/>
      <c r="N555" s="207"/>
      <c r="O555" s="122"/>
      <c r="P555" s="205"/>
      <c r="Q555" s="205"/>
      <c r="R555" s="205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</row>
    <row r="556">
      <c r="A556" s="122"/>
      <c r="B556" s="204"/>
      <c r="C556" s="204"/>
      <c r="D556" s="204"/>
      <c r="E556" s="205"/>
      <c r="F556" s="205"/>
      <c r="G556" s="205"/>
      <c r="H556" s="206"/>
      <c r="I556" s="207"/>
      <c r="J556" s="207"/>
      <c r="K556" s="207"/>
      <c r="L556" s="122"/>
      <c r="M556" s="207"/>
      <c r="N556" s="207"/>
      <c r="O556" s="122"/>
      <c r="P556" s="205"/>
      <c r="Q556" s="205"/>
      <c r="R556" s="205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</row>
    <row r="557">
      <c r="A557" s="122"/>
      <c r="B557" s="204"/>
      <c r="C557" s="204"/>
      <c r="D557" s="204"/>
      <c r="E557" s="205"/>
      <c r="F557" s="205"/>
      <c r="G557" s="205"/>
      <c r="H557" s="206"/>
      <c r="I557" s="207"/>
      <c r="J557" s="207"/>
      <c r="K557" s="207"/>
      <c r="L557" s="122"/>
      <c r="M557" s="207"/>
      <c r="N557" s="207"/>
      <c r="O557" s="122"/>
      <c r="P557" s="205"/>
      <c r="Q557" s="205"/>
      <c r="R557" s="205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</row>
    <row r="558">
      <c r="A558" s="122"/>
      <c r="B558" s="204"/>
      <c r="C558" s="204"/>
      <c r="D558" s="204"/>
      <c r="E558" s="205"/>
      <c r="F558" s="205"/>
      <c r="G558" s="205"/>
      <c r="H558" s="206"/>
      <c r="I558" s="207"/>
      <c r="J558" s="207"/>
      <c r="K558" s="207"/>
      <c r="L558" s="122"/>
      <c r="M558" s="207"/>
      <c r="N558" s="207"/>
      <c r="O558" s="122"/>
      <c r="P558" s="205"/>
      <c r="Q558" s="205"/>
      <c r="R558" s="205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</row>
    <row r="559">
      <c r="A559" s="122"/>
      <c r="B559" s="204"/>
      <c r="C559" s="204"/>
      <c r="D559" s="204"/>
      <c r="E559" s="205"/>
      <c r="F559" s="205"/>
      <c r="G559" s="205"/>
      <c r="H559" s="206"/>
      <c r="I559" s="207"/>
      <c r="J559" s="207"/>
      <c r="K559" s="207"/>
      <c r="L559" s="122"/>
      <c r="M559" s="207"/>
      <c r="N559" s="207"/>
      <c r="O559" s="122"/>
      <c r="P559" s="205"/>
      <c r="Q559" s="205"/>
      <c r="R559" s="205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</row>
    <row r="560">
      <c r="A560" s="122"/>
      <c r="B560" s="204"/>
      <c r="C560" s="204"/>
      <c r="D560" s="204"/>
      <c r="E560" s="205"/>
      <c r="F560" s="205"/>
      <c r="G560" s="205"/>
      <c r="H560" s="206"/>
      <c r="I560" s="207"/>
      <c r="J560" s="207"/>
      <c r="K560" s="207"/>
      <c r="L560" s="122"/>
      <c r="M560" s="207"/>
      <c r="N560" s="207"/>
      <c r="O560" s="122"/>
      <c r="P560" s="205"/>
      <c r="Q560" s="205"/>
      <c r="R560" s="205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</row>
    <row r="561">
      <c r="A561" s="122"/>
      <c r="B561" s="204"/>
      <c r="C561" s="204"/>
      <c r="D561" s="204"/>
      <c r="E561" s="205"/>
      <c r="F561" s="205"/>
      <c r="G561" s="205"/>
      <c r="H561" s="206"/>
      <c r="I561" s="207"/>
      <c r="J561" s="207"/>
      <c r="K561" s="207"/>
      <c r="L561" s="122"/>
      <c r="M561" s="207"/>
      <c r="N561" s="207"/>
      <c r="O561" s="122"/>
      <c r="P561" s="205"/>
      <c r="Q561" s="205"/>
      <c r="R561" s="205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</row>
    <row r="562">
      <c r="A562" s="122"/>
      <c r="B562" s="204"/>
      <c r="C562" s="204"/>
      <c r="D562" s="204"/>
      <c r="E562" s="205"/>
      <c r="F562" s="205"/>
      <c r="G562" s="205"/>
      <c r="H562" s="206"/>
      <c r="I562" s="207"/>
      <c r="J562" s="207"/>
      <c r="K562" s="207"/>
      <c r="L562" s="122"/>
      <c r="M562" s="207"/>
      <c r="N562" s="207"/>
      <c r="O562" s="122"/>
      <c r="P562" s="205"/>
      <c r="Q562" s="205"/>
      <c r="R562" s="205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</row>
    <row r="563">
      <c r="A563" s="122"/>
      <c r="B563" s="204"/>
      <c r="C563" s="204"/>
      <c r="D563" s="204"/>
      <c r="E563" s="205"/>
      <c r="F563" s="205"/>
      <c r="G563" s="205"/>
      <c r="H563" s="206"/>
      <c r="I563" s="207"/>
      <c r="J563" s="207"/>
      <c r="K563" s="207"/>
      <c r="L563" s="122"/>
      <c r="M563" s="207"/>
      <c r="N563" s="207"/>
      <c r="O563" s="122"/>
      <c r="P563" s="205"/>
      <c r="Q563" s="205"/>
      <c r="R563" s="205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</row>
    <row r="564">
      <c r="A564" s="122"/>
      <c r="B564" s="204"/>
      <c r="C564" s="204"/>
      <c r="D564" s="204"/>
      <c r="E564" s="205"/>
      <c r="F564" s="205"/>
      <c r="G564" s="205"/>
      <c r="H564" s="206"/>
      <c r="I564" s="207"/>
      <c r="J564" s="207"/>
      <c r="K564" s="207"/>
      <c r="L564" s="122"/>
      <c r="M564" s="207"/>
      <c r="N564" s="207"/>
      <c r="O564" s="122"/>
      <c r="P564" s="205"/>
      <c r="Q564" s="205"/>
      <c r="R564" s="205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</row>
    <row r="565">
      <c r="A565" s="122"/>
      <c r="B565" s="204"/>
      <c r="C565" s="204"/>
      <c r="D565" s="204"/>
      <c r="E565" s="205"/>
      <c r="F565" s="205"/>
      <c r="G565" s="205"/>
      <c r="H565" s="206"/>
      <c r="I565" s="207"/>
      <c r="J565" s="207"/>
      <c r="K565" s="207"/>
      <c r="L565" s="122"/>
      <c r="M565" s="207"/>
      <c r="N565" s="207"/>
      <c r="O565" s="122"/>
      <c r="P565" s="205"/>
      <c r="Q565" s="205"/>
      <c r="R565" s="205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</row>
    <row r="566">
      <c r="A566" s="122"/>
      <c r="B566" s="204"/>
      <c r="C566" s="204"/>
      <c r="D566" s="204"/>
      <c r="E566" s="205"/>
      <c r="F566" s="205"/>
      <c r="G566" s="205"/>
      <c r="H566" s="206"/>
      <c r="I566" s="207"/>
      <c r="J566" s="207"/>
      <c r="K566" s="207"/>
      <c r="L566" s="122"/>
      <c r="M566" s="207"/>
      <c r="N566" s="207"/>
      <c r="O566" s="122"/>
      <c r="P566" s="205"/>
      <c r="Q566" s="205"/>
      <c r="R566" s="205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</row>
    <row r="567">
      <c r="A567" s="122"/>
      <c r="B567" s="204"/>
      <c r="C567" s="204"/>
      <c r="D567" s="204"/>
      <c r="E567" s="205"/>
      <c r="F567" s="205"/>
      <c r="G567" s="205"/>
      <c r="H567" s="206"/>
      <c r="I567" s="207"/>
      <c r="J567" s="207"/>
      <c r="K567" s="207"/>
      <c r="L567" s="122"/>
      <c r="M567" s="207"/>
      <c r="N567" s="207"/>
      <c r="O567" s="122"/>
      <c r="P567" s="205"/>
      <c r="Q567" s="205"/>
      <c r="R567" s="205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</row>
    <row r="568">
      <c r="A568" s="122"/>
      <c r="B568" s="204"/>
      <c r="C568" s="204"/>
      <c r="D568" s="204"/>
      <c r="E568" s="205"/>
      <c r="F568" s="205"/>
      <c r="G568" s="205"/>
      <c r="H568" s="206"/>
      <c r="I568" s="207"/>
      <c r="J568" s="207"/>
      <c r="K568" s="207"/>
      <c r="L568" s="122"/>
      <c r="M568" s="207"/>
      <c r="N568" s="207"/>
      <c r="O568" s="122"/>
      <c r="P568" s="205"/>
      <c r="Q568" s="205"/>
      <c r="R568" s="205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</row>
    <row r="569">
      <c r="A569" s="122"/>
      <c r="B569" s="204"/>
      <c r="C569" s="204"/>
      <c r="D569" s="204"/>
      <c r="E569" s="205"/>
      <c r="F569" s="205"/>
      <c r="G569" s="205"/>
      <c r="H569" s="206"/>
      <c r="I569" s="207"/>
      <c r="J569" s="207"/>
      <c r="K569" s="207"/>
      <c r="L569" s="122"/>
      <c r="M569" s="207"/>
      <c r="N569" s="207"/>
      <c r="O569" s="122"/>
      <c r="P569" s="205"/>
      <c r="Q569" s="205"/>
      <c r="R569" s="205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</row>
    <row r="570">
      <c r="A570" s="122"/>
      <c r="B570" s="204"/>
      <c r="C570" s="204"/>
      <c r="D570" s="204"/>
      <c r="E570" s="205"/>
      <c r="F570" s="205"/>
      <c r="G570" s="205"/>
      <c r="H570" s="206"/>
      <c r="I570" s="207"/>
      <c r="J570" s="207"/>
      <c r="K570" s="207"/>
      <c r="L570" s="122"/>
      <c r="M570" s="207"/>
      <c r="N570" s="207"/>
      <c r="O570" s="122"/>
      <c r="P570" s="205"/>
      <c r="Q570" s="205"/>
      <c r="R570" s="205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</row>
    <row r="571">
      <c r="A571" s="122"/>
      <c r="B571" s="204"/>
      <c r="C571" s="204"/>
      <c r="D571" s="204"/>
      <c r="E571" s="205"/>
      <c r="F571" s="205"/>
      <c r="G571" s="205"/>
      <c r="H571" s="206"/>
      <c r="I571" s="207"/>
      <c r="J571" s="207"/>
      <c r="K571" s="207"/>
      <c r="L571" s="122"/>
      <c r="M571" s="207"/>
      <c r="N571" s="207"/>
      <c r="O571" s="122"/>
      <c r="P571" s="205"/>
      <c r="Q571" s="205"/>
      <c r="R571" s="205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</row>
    <row r="572">
      <c r="A572" s="122"/>
      <c r="B572" s="204"/>
      <c r="C572" s="204"/>
      <c r="D572" s="204"/>
      <c r="E572" s="205"/>
      <c r="F572" s="205"/>
      <c r="G572" s="205"/>
      <c r="H572" s="206"/>
      <c r="I572" s="207"/>
      <c r="J572" s="207"/>
      <c r="K572" s="207"/>
      <c r="L572" s="122"/>
      <c r="M572" s="207"/>
      <c r="N572" s="207"/>
      <c r="O572" s="122"/>
      <c r="P572" s="205"/>
      <c r="Q572" s="205"/>
      <c r="R572" s="205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</row>
    <row r="573">
      <c r="A573" s="122"/>
      <c r="B573" s="204"/>
      <c r="C573" s="204"/>
      <c r="D573" s="204"/>
      <c r="E573" s="205"/>
      <c r="F573" s="205"/>
      <c r="G573" s="205"/>
      <c r="H573" s="206"/>
      <c r="I573" s="207"/>
      <c r="J573" s="207"/>
      <c r="K573" s="207"/>
      <c r="L573" s="122"/>
      <c r="M573" s="207"/>
      <c r="N573" s="207"/>
      <c r="O573" s="122"/>
      <c r="P573" s="205"/>
      <c r="Q573" s="205"/>
      <c r="R573" s="205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</row>
    <row r="574">
      <c r="A574" s="122"/>
      <c r="B574" s="204"/>
      <c r="C574" s="204"/>
      <c r="D574" s="204"/>
      <c r="E574" s="205"/>
      <c r="F574" s="205"/>
      <c r="G574" s="205"/>
      <c r="H574" s="206"/>
      <c r="I574" s="207"/>
      <c r="J574" s="207"/>
      <c r="K574" s="207"/>
      <c r="L574" s="122"/>
      <c r="M574" s="207"/>
      <c r="N574" s="207"/>
      <c r="O574" s="122"/>
      <c r="P574" s="205"/>
      <c r="Q574" s="205"/>
      <c r="R574" s="205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</row>
    <row r="575">
      <c r="A575" s="122"/>
      <c r="B575" s="204"/>
      <c r="C575" s="204"/>
      <c r="D575" s="204"/>
      <c r="E575" s="205"/>
      <c r="F575" s="205"/>
      <c r="G575" s="205"/>
      <c r="H575" s="206"/>
      <c r="I575" s="207"/>
      <c r="J575" s="207"/>
      <c r="K575" s="207"/>
      <c r="L575" s="122"/>
      <c r="M575" s="207"/>
      <c r="N575" s="207"/>
      <c r="O575" s="122"/>
      <c r="P575" s="205"/>
      <c r="Q575" s="205"/>
      <c r="R575" s="205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</row>
    <row r="576">
      <c r="A576" s="122"/>
      <c r="B576" s="204"/>
      <c r="C576" s="204"/>
      <c r="D576" s="204"/>
      <c r="E576" s="205"/>
      <c r="F576" s="205"/>
      <c r="G576" s="205"/>
      <c r="H576" s="206"/>
      <c r="I576" s="207"/>
      <c r="J576" s="207"/>
      <c r="K576" s="207"/>
      <c r="L576" s="122"/>
      <c r="M576" s="207"/>
      <c r="N576" s="207"/>
      <c r="O576" s="122"/>
      <c r="P576" s="205"/>
      <c r="Q576" s="205"/>
      <c r="R576" s="205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</row>
    <row r="577">
      <c r="A577" s="122"/>
      <c r="B577" s="204"/>
      <c r="C577" s="204"/>
      <c r="D577" s="204"/>
      <c r="E577" s="205"/>
      <c r="F577" s="205"/>
      <c r="G577" s="205"/>
      <c r="H577" s="206"/>
      <c r="I577" s="207"/>
      <c r="J577" s="207"/>
      <c r="K577" s="207"/>
      <c r="L577" s="122"/>
      <c r="M577" s="207"/>
      <c r="N577" s="207"/>
      <c r="O577" s="122"/>
      <c r="P577" s="205"/>
      <c r="Q577" s="205"/>
      <c r="R577" s="205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</row>
    <row r="578">
      <c r="A578" s="122"/>
      <c r="B578" s="204"/>
      <c r="C578" s="204"/>
      <c r="D578" s="204"/>
      <c r="E578" s="205"/>
      <c r="F578" s="205"/>
      <c r="G578" s="205"/>
      <c r="H578" s="206"/>
      <c r="I578" s="207"/>
      <c r="J578" s="207"/>
      <c r="K578" s="207"/>
      <c r="L578" s="122"/>
      <c r="M578" s="207"/>
      <c r="N578" s="207"/>
      <c r="O578" s="122"/>
      <c r="P578" s="205"/>
      <c r="Q578" s="205"/>
      <c r="R578" s="205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</row>
    <row r="579">
      <c r="A579" s="122"/>
      <c r="B579" s="204"/>
      <c r="C579" s="204"/>
      <c r="D579" s="204"/>
      <c r="E579" s="205"/>
      <c r="F579" s="205"/>
      <c r="G579" s="205"/>
      <c r="H579" s="206"/>
      <c r="I579" s="207"/>
      <c r="J579" s="207"/>
      <c r="K579" s="207"/>
      <c r="L579" s="122"/>
      <c r="M579" s="207"/>
      <c r="N579" s="207"/>
      <c r="O579" s="122"/>
      <c r="P579" s="205"/>
      <c r="Q579" s="205"/>
      <c r="R579" s="205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</row>
    <row r="580">
      <c r="A580" s="122"/>
      <c r="B580" s="204"/>
      <c r="C580" s="204"/>
      <c r="D580" s="204"/>
      <c r="E580" s="205"/>
      <c r="F580" s="205"/>
      <c r="G580" s="205"/>
      <c r="H580" s="206"/>
      <c r="I580" s="207"/>
      <c r="J580" s="207"/>
      <c r="K580" s="207"/>
      <c r="L580" s="122"/>
      <c r="M580" s="207"/>
      <c r="N580" s="207"/>
      <c r="O580" s="122"/>
      <c r="P580" s="205"/>
      <c r="Q580" s="205"/>
      <c r="R580" s="205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</row>
    <row r="581">
      <c r="A581" s="122"/>
      <c r="B581" s="204"/>
      <c r="C581" s="204"/>
      <c r="D581" s="204"/>
      <c r="E581" s="205"/>
      <c r="F581" s="205"/>
      <c r="G581" s="205"/>
      <c r="H581" s="206"/>
      <c r="I581" s="207"/>
      <c r="J581" s="207"/>
      <c r="K581" s="207"/>
      <c r="L581" s="122"/>
      <c r="M581" s="207"/>
      <c r="N581" s="207"/>
      <c r="O581" s="122"/>
      <c r="P581" s="205"/>
      <c r="Q581" s="205"/>
      <c r="R581" s="205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</row>
    <row r="582">
      <c r="A582" s="122"/>
      <c r="B582" s="204"/>
      <c r="C582" s="204"/>
      <c r="D582" s="204"/>
      <c r="E582" s="205"/>
      <c r="F582" s="205"/>
      <c r="G582" s="205"/>
      <c r="H582" s="206"/>
      <c r="I582" s="207"/>
      <c r="J582" s="207"/>
      <c r="K582" s="207"/>
      <c r="L582" s="122"/>
      <c r="M582" s="207"/>
      <c r="N582" s="207"/>
      <c r="O582" s="122"/>
      <c r="P582" s="205"/>
      <c r="Q582" s="205"/>
      <c r="R582" s="205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</row>
    <row r="583">
      <c r="A583" s="122"/>
      <c r="B583" s="204"/>
      <c r="C583" s="204"/>
      <c r="D583" s="204"/>
      <c r="E583" s="205"/>
      <c r="F583" s="205"/>
      <c r="G583" s="205"/>
      <c r="H583" s="206"/>
      <c r="I583" s="207"/>
      <c r="J583" s="207"/>
      <c r="K583" s="207"/>
      <c r="L583" s="122"/>
      <c r="M583" s="207"/>
      <c r="N583" s="207"/>
      <c r="O583" s="122"/>
      <c r="P583" s="205"/>
      <c r="Q583" s="205"/>
      <c r="R583" s="205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</row>
    <row r="584">
      <c r="A584" s="122"/>
      <c r="B584" s="204"/>
      <c r="C584" s="204"/>
      <c r="D584" s="204"/>
      <c r="E584" s="205"/>
      <c r="F584" s="205"/>
      <c r="G584" s="205"/>
      <c r="H584" s="206"/>
      <c r="I584" s="207"/>
      <c r="J584" s="207"/>
      <c r="K584" s="207"/>
      <c r="L584" s="122"/>
      <c r="M584" s="207"/>
      <c r="N584" s="207"/>
      <c r="O584" s="122"/>
      <c r="P584" s="205"/>
      <c r="Q584" s="205"/>
      <c r="R584" s="205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</row>
    <row r="585">
      <c r="A585" s="122"/>
      <c r="B585" s="204"/>
      <c r="C585" s="204"/>
      <c r="D585" s="204"/>
      <c r="E585" s="205"/>
      <c r="F585" s="205"/>
      <c r="G585" s="205"/>
      <c r="H585" s="206"/>
      <c r="I585" s="207"/>
      <c r="J585" s="207"/>
      <c r="K585" s="207"/>
      <c r="L585" s="122"/>
      <c r="M585" s="207"/>
      <c r="N585" s="207"/>
      <c r="O585" s="122"/>
      <c r="P585" s="205"/>
      <c r="Q585" s="205"/>
      <c r="R585" s="205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</row>
    <row r="586">
      <c r="A586" s="122"/>
      <c r="B586" s="204"/>
      <c r="C586" s="204"/>
      <c r="D586" s="204"/>
      <c r="E586" s="205"/>
      <c r="F586" s="205"/>
      <c r="G586" s="205"/>
      <c r="H586" s="206"/>
      <c r="I586" s="207"/>
      <c r="J586" s="207"/>
      <c r="K586" s="207"/>
      <c r="L586" s="122"/>
      <c r="M586" s="207"/>
      <c r="N586" s="207"/>
      <c r="O586" s="122"/>
      <c r="P586" s="205"/>
      <c r="Q586" s="205"/>
      <c r="R586" s="205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</row>
    <row r="587">
      <c r="A587" s="122"/>
      <c r="B587" s="204"/>
      <c r="C587" s="204"/>
      <c r="D587" s="204"/>
      <c r="E587" s="205"/>
      <c r="F587" s="205"/>
      <c r="G587" s="205"/>
      <c r="H587" s="206"/>
      <c r="I587" s="207"/>
      <c r="J587" s="207"/>
      <c r="K587" s="207"/>
      <c r="L587" s="122"/>
      <c r="M587" s="207"/>
      <c r="N587" s="207"/>
      <c r="O587" s="122"/>
      <c r="P587" s="205"/>
      <c r="Q587" s="205"/>
      <c r="R587" s="205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</row>
    <row r="588">
      <c r="A588" s="122"/>
      <c r="B588" s="204"/>
      <c r="C588" s="204"/>
      <c r="D588" s="204"/>
      <c r="E588" s="205"/>
      <c r="F588" s="205"/>
      <c r="G588" s="205"/>
      <c r="H588" s="206"/>
      <c r="I588" s="207"/>
      <c r="J588" s="207"/>
      <c r="K588" s="207"/>
      <c r="L588" s="122"/>
      <c r="M588" s="207"/>
      <c r="N588" s="207"/>
      <c r="O588" s="122"/>
      <c r="P588" s="205"/>
      <c r="Q588" s="205"/>
      <c r="R588" s="205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</row>
    <row r="589">
      <c r="A589" s="122"/>
      <c r="B589" s="204"/>
      <c r="C589" s="204"/>
      <c r="D589" s="204"/>
      <c r="E589" s="205"/>
      <c r="F589" s="205"/>
      <c r="G589" s="205"/>
      <c r="H589" s="206"/>
      <c r="I589" s="207"/>
      <c r="J589" s="207"/>
      <c r="K589" s="207"/>
      <c r="L589" s="122"/>
      <c r="M589" s="207"/>
      <c r="N589" s="207"/>
      <c r="O589" s="122"/>
      <c r="P589" s="205"/>
      <c r="Q589" s="205"/>
      <c r="R589" s="205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</row>
    <row r="590">
      <c r="A590" s="122"/>
      <c r="B590" s="204"/>
      <c r="C590" s="204"/>
      <c r="D590" s="204"/>
      <c r="E590" s="205"/>
      <c r="F590" s="205"/>
      <c r="G590" s="205"/>
      <c r="H590" s="206"/>
      <c r="I590" s="207"/>
      <c r="J590" s="207"/>
      <c r="K590" s="207"/>
      <c r="L590" s="122"/>
      <c r="M590" s="207"/>
      <c r="N590" s="207"/>
      <c r="O590" s="122"/>
      <c r="P590" s="205"/>
      <c r="Q590" s="205"/>
      <c r="R590" s="205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</row>
    <row r="591">
      <c r="A591" s="122"/>
      <c r="B591" s="204"/>
      <c r="C591" s="204"/>
      <c r="D591" s="204"/>
      <c r="E591" s="205"/>
      <c r="F591" s="205"/>
      <c r="G591" s="205"/>
      <c r="H591" s="206"/>
      <c r="I591" s="207"/>
      <c r="J591" s="207"/>
      <c r="K591" s="207"/>
      <c r="L591" s="122"/>
      <c r="M591" s="207"/>
      <c r="N591" s="207"/>
      <c r="O591" s="122"/>
      <c r="P591" s="205"/>
      <c r="Q591" s="205"/>
      <c r="R591" s="205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</row>
    <row r="592">
      <c r="A592" s="122"/>
      <c r="B592" s="204"/>
      <c r="C592" s="204"/>
      <c r="D592" s="204"/>
      <c r="E592" s="205"/>
      <c r="F592" s="205"/>
      <c r="G592" s="205"/>
      <c r="H592" s="206"/>
      <c r="I592" s="207"/>
      <c r="J592" s="207"/>
      <c r="K592" s="207"/>
      <c r="L592" s="122"/>
      <c r="M592" s="207"/>
      <c r="N592" s="207"/>
      <c r="O592" s="122"/>
      <c r="P592" s="205"/>
      <c r="Q592" s="205"/>
      <c r="R592" s="205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</row>
    <row r="593">
      <c r="A593" s="122"/>
      <c r="B593" s="204"/>
      <c r="C593" s="204"/>
      <c r="D593" s="204"/>
      <c r="E593" s="205"/>
      <c r="F593" s="205"/>
      <c r="G593" s="205"/>
      <c r="H593" s="206"/>
      <c r="I593" s="207"/>
      <c r="J593" s="207"/>
      <c r="K593" s="207"/>
      <c r="L593" s="122"/>
      <c r="M593" s="207"/>
      <c r="N593" s="207"/>
      <c r="O593" s="122"/>
      <c r="P593" s="205"/>
      <c r="Q593" s="205"/>
      <c r="R593" s="205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</row>
    <row r="594">
      <c r="A594" s="122"/>
      <c r="B594" s="204"/>
      <c r="C594" s="204"/>
      <c r="D594" s="204"/>
      <c r="E594" s="205"/>
      <c r="F594" s="205"/>
      <c r="G594" s="205"/>
      <c r="H594" s="206"/>
      <c r="I594" s="207"/>
      <c r="J594" s="207"/>
      <c r="K594" s="207"/>
      <c r="L594" s="122"/>
      <c r="M594" s="207"/>
      <c r="N594" s="207"/>
      <c r="O594" s="122"/>
      <c r="P594" s="205"/>
      <c r="Q594" s="205"/>
      <c r="R594" s="205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</row>
    <row r="595">
      <c r="A595" s="122"/>
      <c r="B595" s="204"/>
      <c r="C595" s="204"/>
      <c r="D595" s="204"/>
      <c r="E595" s="205"/>
      <c r="F595" s="205"/>
      <c r="G595" s="205"/>
      <c r="H595" s="206"/>
      <c r="I595" s="207"/>
      <c r="J595" s="207"/>
      <c r="K595" s="207"/>
      <c r="L595" s="122"/>
      <c r="M595" s="207"/>
      <c r="N595" s="207"/>
      <c r="O595" s="122"/>
      <c r="P595" s="205"/>
      <c r="Q595" s="205"/>
      <c r="R595" s="205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</row>
    <row r="596">
      <c r="A596" s="122"/>
      <c r="B596" s="204"/>
      <c r="C596" s="204"/>
      <c r="D596" s="204"/>
      <c r="E596" s="205"/>
      <c r="F596" s="205"/>
      <c r="G596" s="205"/>
      <c r="H596" s="206"/>
      <c r="I596" s="207"/>
      <c r="J596" s="207"/>
      <c r="K596" s="207"/>
      <c r="L596" s="122"/>
      <c r="M596" s="207"/>
      <c r="N596" s="207"/>
      <c r="O596" s="122"/>
      <c r="P596" s="205"/>
      <c r="Q596" s="205"/>
      <c r="R596" s="205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</row>
    <row r="597">
      <c r="A597" s="122"/>
      <c r="B597" s="204"/>
      <c r="C597" s="204"/>
      <c r="D597" s="204"/>
      <c r="E597" s="205"/>
      <c r="F597" s="205"/>
      <c r="G597" s="205"/>
      <c r="H597" s="206"/>
      <c r="I597" s="207"/>
      <c r="J597" s="207"/>
      <c r="K597" s="207"/>
      <c r="L597" s="122"/>
      <c r="M597" s="207"/>
      <c r="N597" s="207"/>
      <c r="O597" s="122"/>
      <c r="P597" s="205"/>
      <c r="Q597" s="205"/>
      <c r="R597" s="205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</row>
    <row r="598">
      <c r="A598" s="122"/>
      <c r="B598" s="204"/>
      <c r="C598" s="204"/>
      <c r="D598" s="204"/>
      <c r="E598" s="205"/>
      <c r="F598" s="205"/>
      <c r="G598" s="205"/>
      <c r="H598" s="206"/>
      <c r="I598" s="207"/>
      <c r="J598" s="207"/>
      <c r="K598" s="207"/>
      <c r="L598" s="122"/>
      <c r="M598" s="207"/>
      <c r="N598" s="207"/>
      <c r="O598" s="122"/>
      <c r="P598" s="205"/>
      <c r="Q598" s="205"/>
      <c r="R598" s="205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</row>
    <row r="599">
      <c r="A599" s="122"/>
      <c r="B599" s="204"/>
      <c r="C599" s="204"/>
      <c r="D599" s="204"/>
      <c r="E599" s="205"/>
      <c r="F599" s="205"/>
      <c r="G599" s="205"/>
      <c r="H599" s="206"/>
      <c r="I599" s="207"/>
      <c r="J599" s="207"/>
      <c r="K599" s="207"/>
      <c r="L599" s="122"/>
      <c r="M599" s="207"/>
      <c r="N599" s="207"/>
      <c r="O599" s="122"/>
      <c r="P599" s="205"/>
      <c r="Q599" s="205"/>
      <c r="R599" s="205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</row>
    <row r="600">
      <c r="A600" s="122"/>
      <c r="B600" s="204"/>
      <c r="C600" s="204"/>
      <c r="D600" s="204"/>
      <c r="E600" s="205"/>
      <c r="F600" s="205"/>
      <c r="G600" s="205"/>
      <c r="H600" s="206"/>
      <c r="I600" s="207"/>
      <c r="J600" s="207"/>
      <c r="K600" s="207"/>
      <c r="L600" s="122"/>
      <c r="M600" s="207"/>
      <c r="N600" s="207"/>
      <c r="O600" s="122"/>
      <c r="P600" s="205"/>
      <c r="Q600" s="205"/>
      <c r="R600" s="205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</row>
    <row r="601">
      <c r="A601" s="122"/>
      <c r="B601" s="204"/>
      <c r="C601" s="204"/>
      <c r="D601" s="204"/>
      <c r="E601" s="205"/>
      <c r="F601" s="205"/>
      <c r="G601" s="205"/>
      <c r="H601" s="206"/>
      <c r="I601" s="207"/>
      <c r="J601" s="207"/>
      <c r="K601" s="207"/>
      <c r="L601" s="122"/>
      <c r="M601" s="207"/>
      <c r="N601" s="207"/>
      <c r="O601" s="122"/>
      <c r="P601" s="205"/>
      <c r="Q601" s="205"/>
      <c r="R601" s="205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</row>
    <row r="602">
      <c r="A602" s="122"/>
      <c r="B602" s="204"/>
      <c r="C602" s="204"/>
      <c r="D602" s="204"/>
      <c r="E602" s="205"/>
      <c r="F602" s="205"/>
      <c r="G602" s="205"/>
      <c r="H602" s="206"/>
      <c r="I602" s="207"/>
      <c r="J602" s="207"/>
      <c r="K602" s="207"/>
      <c r="L602" s="122"/>
      <c r="M602" s="207"/>
      <c r="N602" s="207"/>
      <c r="O602" s="122"/>
      <c r="P602" s="205"/>
      <c r="Q602" s="205"/>
      <c r="R602" s="205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</row>
    <row r="603">
      <c r="A603" s="122"/>
      <c r="B603" s="204"/>
      <c r="C603" s="204"/>
      <c r="D603" s="204"/>
      <c r="E603" s="205"/>
      <c r="F603" s="205"/>
      <c r="G603" s="205"/>
      <c r="H603" s="206"/>
      <c r="I603" s="207"/>
      <c r="J603" s="207"/>
      <c r="K603" s="207"/>
      <c r="L603" s="122"/>
      <c r="M603" s="207"/>
      <c r="N603" s="207"/>
      <c r="O603" s="122"/>
      <c r="P603" s="205"/>
      <c r="Q603" s="205"/>
      <c r="R603" s="205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</row>
    <row r="604">
      <c r="A604" s="122"/>
      <c r="B604" s="204"/>
      <c r="C604" s="204"/>
      <c r="D604" s="204"/>
      <c r="E604" s="205"/>
      <c r="F604" s="205"/>
      <c r="G604" s="205"/>
      <c r="H604" s="206"/>
      <c r="I604" s="207"/>
      <c r="J604" s="207"/>
      <c r="K604" s="207"/>
      <c r="L604" s="122"/>
      <c r="M604" s="207"/>
      <c r="N604" s="207"/>
      <c r="O604" s="122"/>
      <c r="P604" s="205"/>
      <c r="Q604" s="205"/>
      <c r="R604" s="205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</row>
    <row r="605">
      <c r="A605" s="122"/>
      <c r="B605" s="204"/>
      <c r="C605" s="204"/>
      <c r="D605" s="204"/>
      <c r="E605" s="205"/>
      <c r="F605" s="205"/>
      <c r="G605" s="205"/>
      <c r="H605" s="206"/>
      <c r="I605" s="207"/>
      <c r="J605" s="207"/>
      <c r="K605" s="207"/>
      <c r="L605" s="122"/>
      <c r="M605" s="207"/>
      <c r="N605" s="207"/>
      <c r="O605" s="122"/>
      <c r="P605" s="205"/>
      <c r="Q605" s="205"/>
      <c r="R605" s="205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</row>
    <row r="606">
      <c r="A606" s="122"/>
      <c r="B606" s="204"/>
      <c r="C606" s="204"/>
      <c r="D606" s="204"/>
      <c r="E606" s="205"/>
      <c r="F606" s="205"/>
      <c r="G606" s="205"/>
      <c r="H606" s="206"/>
      <c r="I606" s="207"/>
      <c r="J606" s="207"/>
      <c r="K606" s="207"/>
      <c r="L606" s="122"/>
      <c r="M606" s="207"/>
      <c r="N606" s="207"/>
      <c r="O606" s="122"/>
      <c r="P606" s="205"/>
      <c r="Q606" s="205"/>
      <c r="R606" s="205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</row>
    <row r="607">
      <c r="A607" s="122"/>
      <c r="B607" s="204"/>
      <c r="C607" s="204"/>
      <c r="D607" s="204"/>
      <c r="E607" s="205"/>
      <c r="F607" s="205"/>
      <c r="G607" s="205"/>
      <c r="H607" s="206"/>
      <c r="I607" s="207"/>
      <c r="J607" s="207"/>
      <c r="K607" s="207"/>
      <c r="L607" s="122"/>
      <c r="M607" s="207"/>
      <c r="N607" s="207"/>
      <c r="O607" s="122"/>
      <c r="P607" s="205"/>
      <c r="Q607" s="205"/>
      <c r="R607" s="205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</row>
    <row r="608">
      <c r="A608" s="122"/>
      <c r="B608" s="204"/>
      <c r="C608" s="204"/>
      <c r="D608" s="204"/>
      <c r="E608" s="205"/>
      <c r="F608" s="205"/>
      <c r="G608" s="205"/>
      <c r="H608" s="206"/>
      <c r="I608" s="207"/>
      <c r="J608" s="207"/>
      <c r="K608" s="207"/>
      <c r="L608" s="122"/>
      <c r="M608" s="207"/>
      <c r="N608" s="207"/>
      <c r="O608" s="122"/>
      <c r="P608" s="205"/>
      <c r="Q608" s="205"/>
      <c r="R608" s="205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</row>
    <row r="609">
      <c r="A609" s="122"/>
      <c r="B609" s="204"/>
      <c r="C609" s="204"/>
      <c r="D609" s="204"/>
      <c r="E609" s="205"/>
      <c r="F609" s="205"/>
      <c r="G609" s="205"/>
      <c r="H609" s="206"/>
      <c r="I609" s="207"/>
      <c r="J609" s="207"/>
      <c r="K609" s="207"/>
      <c r="L609" s="122"/>
      <c r="M609" s="207"/>
      <c r="N609" s="207"/>
      <c r="O609" s="122"/>
      <c r="P609" s="205"/>
      <c r="Q609" s="205"/>
      <c r="R609" s="205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</row>
    <row r="610">
      <c r="A610" s="122"/>
      <c r="B610" s="204"/>
      <c r="C610" s="204"/>
      <c r="D610" s="204"/>
      <c r="E610" s="205"/>
      <c r="F610" s="205"/>
      <c r="G610" s="205"/>
      <c r="H610" s="206"/>
      <c r="I610" s="207"/>
      <c r="J610" s="207"/>
      <c r="K610" s="207"/>
      <c r="L610" s="122"/>
      <c r="M610" s="207"/>
      <c r="N610" s="207"/>
      <c r="O610" s="122"/>
      <c r="P610" s="205"/>
      <c r="Q610" s="205"/>
      <c r="R610" s="205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</row>
    <row r="611">
      <c r="A611" s="122"/>
      <c r="B611" s="204"/>
      <c r="C611" s="204"/>
      <c r="D611" s="204"/>
      <c r="E611" s="205"/>
      <c r="F611" s="205"/>
      <c r="G611" s="205"/>
      <c r="H611" s="206"/>
      <c r="I611" s="207"/>
      <c r="J611" s="207"/>
      <c r="K611" s="207"/>
      <c r="L611" s="122"/>
      <c r="M611" s="207"/>
      <c r="N611" s="207"/>
      <c r="O611" s="122"/>
      <c r="P611" s="205"/>
      <c r="Q611" s="205"/>
      <c r="R611" s="205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</row>
    <row r="612">
      <c r="A612" s="122"/>
      <c r="B612" s="204"/>
      <c r="C612" s="204"/>
      <c r="D612" s="204"/>
      <c r="E612" s="205"/>
      <c r="F612" s="205"/>
      <c r="G612" s="205"/>
      <c r="H612" s="206"/>
      <c r="I612" s="207"/>
      <c r="J612" s="207"/>
      <c r="K612" s="207"/>
      <c r="L612" s="122"/>
      <c r="M612" s="207"/>
      <c r="N612" s="207"/>
      <c r="O612" s="122"/>
      <c r="P612" s="205"/>
      <c r="Q612" s="205"/>
      <c r="R612" s="205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</row>
    <row r="613">
      <c r="A613" s="122"/>
      <c r="B613" s="204"/>
      <c r="C613" s="204"/>
      <c r="D613" s="204"/>
      <c r="E613" s="205"/>
      <c r="F613" s="205"/>
      <c r="G613" s="205"/>
      <c r="H613" s="206"/>
      <c r="I613" s="207"/>
      <c r="J613" s="207"/>
      <c r="K613" s="207"/>
      <c r="L613" s="122"/>
      <c r="M613" s="207"/>
      <c r="N613" s="207"/>
      <c r="O613" s="122"/>
      <c r="P613" s="205"/>
      <c r="Q613" s="205"/>
      <c r="R613" s="205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</row>
    <row r="614">
      <c r="A614" s="122"/>
      <c r="B614" s="204"/>
      <c r="C614" s="204"/>
      <c r="D614" s="204"/>
      <c r="E614" s="205"/>
      <c r="F614" s="205"/>
      <c r="G614" s="205"/>
      <c r="H614" s="206"/>
      <c r="I614" s="207"/>
      <c r="J614" s="207"/>
      <c r="K614" s="207"/>
      <c r="L614" s="122"/>
      <c r="M614" s="207"/>
      <c r="N614" s="207"/>
      <c r="O614" s="122"/>
      <c r="P614" s="205"/>
      <c r="Q614" s="205"/>
      <c r="R614" s="205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</row>
    <row r="615">
      <c r="A615" s="122"/>
      <c r="B615" s="204"/>
      <c r="C615" s="204"/>
      <c r="D615" s="204"/>
      <c r="E615" s="205"/>
      <c r="F615" s="205"/>
      <c r="G615" s="205"/>
      <c r="H615" s="206"/>
      <c r="I615" s="207"/>
      <c r="J615" s="207"/>
      <c r="K615" s="207"/>
      <c r="L615" s="122"/>
      <c r="M615" s="207"/>
      <c r="N615" s="207"/>
      <c r="O615" s="122"/>
      <c r="P615" s="205"/>
      <c r="Q615" s="205"/>
      <c r="R615" s="205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</row>
    <row r="616">
      <c r="A616" s="122"/>
      <c r="B616" s="204"/>
      <c r="C616" s="204"/>
      <c r="D616" s="204"/>
      <c r="E616" s="205"/>
      <c r="F616" s="205"/>
      <c r="G616" s="205"/>
      <c r="H616" s="206"/>
      <c r="I616" s="207"/>
      <c r="J616" s="207"/>
      <c r="K616" s="207"/>
      <c r="L616" s="122"/>
      <c r="M616" s="207"/>
      <c r="N616" s="207"/>
      <c r="O616" s="122"/>
      <c r="P616" s="205"/>
      <c r="Q616" s="205"/>
      <c r="R616" s="205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</row>
    <row r="617">
      <c r="A617" s="122"/>
      <c r="B617" s="204"/>
      <c r="C617" s="204"/>
      <c r="D617" s="204"/>
      <c r="E617" s="205"/>
      <c r="F617" s="205"/>
      <c r="G617" s="205"/>
      <c r="H617" s="206"/>
      <c r="I617" s="207"/>
      <c r="J617" s="207"/>
      <c r="K617" s="207"/>
      <c r="L617" s="122"/>
      <c r="M617" s="207"/>
      <c r="N617" s="207"/>
      <c r="O617" s="122"/>
      <c r="P617" s="205"/>
      <c r="Q617" s="205"/>
      <c r="R617" s="205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</row>
    <row r="618">
      <c r="A618" s="122"/>
      <c r="B618" s="204"/>
      <c r="C618" s="204"/>
      <c r="D618" s="204"/>
      <c r="E618" s="205"/>
      <c r="F618" s="205"/>
      <c r="G618" s="205"/>
      <c r="H618" s="206"/>
      <c r="I618" s="207"/>
      <c r="J618" s="207"/>
      <c r="K618" s="207"/>
      <c r="L618" s="122"/>
      <c r="M618" s="207"/>
      <c r="N618" s="207"/>
      <c r="O618" s="122"/>
      <c r="P618" s="205"/>
      <c r="Q618" s="205"/>
      <c r="R618" s="205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</row>
    <row r="619">
      <c r="A619" s="122"/>
      <c r="B619" s="204"/>
      <c r="C619" s="204"/>
      <c r="D619" s="204"/>
      <c r="E619" s="205"/>
      <c r="F619" s="205"/>
      <c r="G619" s="205"/>
      <c r="H619" s="206"/>
      <c r="I619" s="207"/>
      <c r="J619" s="207"/>
      <c r="K619" s="207"/>
      <c r="L619" s="122"/>
      <c r="M619" s="207"/>
      <c r="N619" s="207"/>
      <c r="O619" s="122"/>
      <c r="P619" s="205"/>
      <c r="Q619" s="205"/>
      <c r="R619" s="205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</row>
    <row r="620">
      <c r="A620" s="122"/>
      <c r="B620" s="204"/>
      <c r="C620" s="204"/>
      <c r="D620" s="204"/>
      <c r="E620" s="205"/>
      <c r="F620" s="205"/>
      <c r="G620" s="205"/>
      <c r="H620" s="206"/>
      <c r="I620" s="207"/>
      <c r="J620" s="207"/>
      <c r="K620" s="207"/>
      <c r="L620" s="122"/>
      <c r="M620" s="207"/>
      <c r="N620" s="207"/>
      <c r="O620" s="122"/>
      <c r="P620" s="205"/>
      <c r="Q620" s="205"/>
      <c r="R620" s="205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</row>
    <row r="621">
      <c r="A621" s="122"/>
      <c r="B621" s="204"/>
      <c r="C621" s="204"/>
      <c r="D621" s="204"/>
      <c r="E621" s="205"/>
      <c r="F621" s="205"/>
      <c r="G621" s="205"/>
      <c r="H621" s="206"/>
      <c r="I621" s="207"/>
      <c r="J621" s="207"/>
      <c r="K621" s="207"/>
      <c r="L621" s="122"/>
      <c r="M621" s="207"/>
      <c r="N621" s="207"/>
      <c r="O621" s="122"/>
      <c r="P621" s="205"/>
      <c r="Q621" s="205"/>
      <c r="R621" s="205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</row>
    <row r="622">
      <c r="A622" s="122"/>
      <c r="B622" s="204"/>
      <c r="C622" s="204"/>
      <c r="D622" s="204"/>
      <c r="E622" s="205"/>
      <c r="F622" s="205"/>
      <c r="G622" s="205"/>
      <c r="H622" s="206"/>
      <c r="I622" s="207"/>
      <c r="J622" s="207"/>
      <c r="K622" s="207"/>
      <c r="L622" s="122"/>
      <c r="M622" s="207"/>
      <c r="N622" s="207"/>
      <c r="O622" s="122"/>
      <c r="P622" s="205"/>
      <c r="Q622" s="205"/>
      <c r="R622" s="205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</row>
    <row r="623">
      <c r="A623" s="122"/>
      <c r="B623" s="204"/>
      <c r="C623" s="204"/>
      <c r="D623" s="204"/>
      <c r="E623" s="205"/>
      <c r="F623" s="205"/>
      <c r="G623" s="205"/>
      <c r="H623" s="206"/>
      <c r="I623" s="207"/>
      <c r="J623" s="207"/>
      <c r="K623" s="207"/>
      <c r="L623" s="122"/>
      <c r="M623" s="207"/>
      <c r="N623" s="207"/>
      <c r="O623" s="122"/>
      <c r="P623" s="205"/>
      <c r="Q623" s="205"/>
      <c r="R623" s="205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</row>
    <row r="624">
      <c r="A624" s="122"/>
      <c r="B624" s="204"/>
      <c r="C624" s="204"/>
      <c r="D624" s="204"/>
      <c r="E624" s="205"/>
      <c r="F624" s="205"/>
      <c r="G624" s="205"/>
      <c r="H624" s="206"/>
      <c r="I624" s="207"/>
      <c r="J624" s="207"/>
      <c r="K624" s="207"/>
      <c r="L624" s="122"/>
      <c r="M624" s="207"/>
      <c r="N624" s="207"/>
      <c r="O624" s="122"/>
      <c r="P624" s="205"/>
      <c r="Q624" s="205"/>
      <c r="R624" s="205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</row>
    <row r="625">
      <c r="A625" s="122"/>
      <c r="B625" s="204"/>
      <c r="C625" s="204"/>
      <c r="D625" s="204"/>
      <c r="E625" s="205"/>
      <c r="F625" s="205"/>
      <c r="G625" s="205"/>
      <c r="H625" s="206"/>
      <c r="I625" s="207"/>
      <c r="J625" s="207"/>
      <c r="K625" s="207"/>
      <c r="L625" s="122"/>
      <c r="M625" s="207"/>
      <c r="N625" s="207"/>
      <c r="O625" s="122"/>
      <c r="P625" s="205"/>
      <c r="Q625" s="205"/>
      <c r="R625" s="205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</row>
    <row r="626">
      <c r="A626" s="122"/>
      <c r="B626" s="204"/>
      <c r="C626" s="204"/>
      <c r="D626" s="204"/>
      <c r="E626" s="205"/>
      <c r="F626" s="205"/>
      <c r="G626" s="205"/>
      <c r="H626" s="206"/>
      <c r="I626" s="207"/>
      <c r="J626" s="207"/>
      <c r="K626" s="207"/>
      <c r="L626" s="122"/>
      <c r="M626" s="207"/>
      <c r="N626" s="207"/>
      <c r="O626" s="122"/>
      <c r="P626" s="205"/>
      <c r="Q626" s="205"/>
      <c r="R626" s="205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</row>
    <row r="627">
      <c r="A627" s="122"/>
      <c r="B627" s="204"/>
      <c r="C627" s="204"/>
      <c r="D627" s="204"/>
      <c r="E627" s="205"/>
      <c r="F627" s="205"/>
      <c r="G627" s="205"/>
      <c r="H627" s="206"/>
      <c r="I627" s="207"/>
      <c r="J627" s="207"/>
      <c r="K627" s="207"/>
      <c r="L627" s="122"/>
      <c r="M627" s="207"/>
      <c r="N627" s="207"/>
      <c r="O627" s="122"/>
      <c r="P627" s="205"/>
      <c r="Q627" s="205"/>
      <c r="R627" s="205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</row>
    <row r="628">
      <c r="A628" s="122"/>
      <c r="B628" s="204"/>
      <c r="C628" s="204"/>
      <c r="D628" s="204"/>
      <c r="E628" s="205"/>
      <c r="F628" s="205"/>
      <c r="G628" s="205"/>
      <c r="H628" s="206"/>
      <c r="I628" s="207"/>
      <c r="J628" s="207"/>
      <c r="K628" s="207"/>
      <c r="L628" s="122"/>
      <c r="M628" s="207"/>
      <c r="N628" s="207"/>
      <c r="O628" s="122"/>
      <c r="P628" s="205"/>
      <c r="Q628" s="205"/>
      <c r="R628" s="205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</row>
    <row r="629">
      <c r="A629" s="122"/>
      <c r="B629" s="204"/>
      <c r="C629" s="204"/>
      <c r="D629" s="204"/>
      <c r="E629" s="205"/>
      <c r="F629" s="205"/>
      <c r="G629" s="205"/>
      <c r="H629" s="206"/>
      <c r="I629" s="207"/>
      <c r="J629" s="207"/>
      <c r="K629" s="207"/>
      <c r="L629" s="122"/>
      <c r="M629" s="207"/>
      <c r="N629" s="207"/>
      <c r="O629" s="122"/>
      <c r="P629" s="205"/>
      <c r="Q629" s="205"/>
      <c r="R629" s="205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</row>
    <row r="630">
      <c r="A630" s="122"/>
      <c r="B630" s="204"/>
      <c r="C630" s="204"/>
      <c r="D630" s="204"/>
      <c r="E630" s="205"/>
      <c r="F630" s="205"/>
      <c r="G630" s="205"/>
      <c r="H630" s="206"/>
      <c r="I630" s="207"/>
      <c r="J630" s="207"/>
      <c r="K630" s="207"/>
      <c r="L630" s="122"/>
      <c r="M630" s="207"/>
      <c r="N630" s="207"/>
      <c r="O630" s="122"/>
      <c r="P630" s="205"/>
      <c r="Q630" s="205"/>
      <c r="R630" s="205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</row>
    <row r="631">
      <c r="A631" s="122"/>
      <c r="B631" s="204"/>
      <c r="C631" s="204"/>
      <c r="D631" s="204"/>
      <c r="E631" s="205"/>
      <c r="F631" s="205"/>
      <c r="G631" s="205"/>
      <c r="H631" s="206"/>
      <c r="I631" s="207"/>
      <c r="J631" s="207"/>
      <c r="K631" s="207"/>
      <c r="L631" s="122"/>
      <c r="M631" s="207"/>
      <c r="N631" s="207"/>
      <c r="O631" s="122"/>
      <c r="P631" s="205"/>
      <c r="Q631" s="205"/>
      <c r="R631" s="205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</row>
    <row r="632">
      <c r="A632" s="122"/>
      <c r="B632" s="204"/>
      <c r="C632" s="204"/>
      <c r="D632" s="204"/>
      <c r="E632" s="205"/>
      <c r="F632" s="205"/>
      <c r="G632" s="205"/>
      <c r="H632" s="206"/>
      <c r="I632" s="207"/>
      <c r="J632" s="207"/>
      <c r="K632" s="207"/>
      <c r="L632" s="122"/>
      <c r="M632" s="207"/>
      <c r="N632" s="207"/>
      <c r="O632" s="122"/>
      <c r="P632" s="205"/>
      <c r="Q632" s="205"/>
      <c r="R632" s="205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</row>
    <row r="633">
      <c r="A633" s="122"/>
      <c r="B633" s="204"/>
      <c r="C633" s="204"/>
      <c r="D633" s="204"/>
      <c r="E633" s="205"/>
      <c r="F633" s="205"/>
      <c r="G633" s="205"/>
      <c r="H633" s="206"/>
      <c r="I633" s="207"/>
      <c r="J633" s="207"/>
      <c r="K633" s="207"/>
      <c r="L633" s="122"/>
      <c r="M633" s="207"/>
      <c r="N633" s="207"/>
      <c r="O633" s="122"/>
      <c r="P633" s="205"/>
      <c r="Q633" s="205"/>
      <c r="R633" s="205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</row>
    <row r="634">
      <c r="A634" s="122"/>
      <c r="B634" s="204"/>
      <c r="C634" s="204"/>
      <c r="D634" s="204"/>
      <c r="E634" s="205"/>
      <c r="F634" s="205"/>
      <c r="G634" s="205"/>
      <c r="H634" s="206"/>
      <c r="I634" s="207"/>
      <c r="J634" s="207"/>
      <c r="K634" s="207"/>
      <c r="L634" s="122"/>
      <c r="M634" s="207"/>
      <c r="N634" s="207"/>
      <c r="O634" s="122"/>
      <c r="P634" s="205"/>
      <c r="Q634" s="205"/>
      <c r="R634" s="205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</row>
    <row r="635">
      <c r="A635" s="122"/>
      <c r="B635" s="204"/>
      <c r="C635" s="204"/>
      <c r="D635" s="204"/>
      <c r="E635" s="205"/>
      <c r="F635" s="205"/>
      <c r="G635" s="205"/>
      <c r="H635" s="206"/>
      <c r="I635" s="207"/>
      <c r="J635" s="207"/>
      <c r="K635" s="207"/>
      <c r="L635" s="122"/>
      <c r="M635" s="207"/>
      <c r="N635" s="207"/>
      <c r="O635" s="122"/>
      <c r="P635" s="205"/>
      <c r="Q635" s="205"/>
      <c r="R635" s="205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</row>
    <row r="636">
      <c r="A636" s="122"/>
      <c r="B636" s="204"/>
      <c r="C636" s="204"/>
      <c r="D636" s="204"/>
      <c r="E636" s="205"/>
      <c r="F636" s="205"/>
      <c r="G636" s="205"/>
      <c r="H636" s="206"/>
      <c r="I636" s="207"/>
      <c r="J636" s="207"/>
      <c r="K636" s="207"/>
      <c r="L636" s="122"/>
      <c r="M636" s="207"/>
      <c r="N636" s="207"/>
      <c r="O636" s="122"/>
      <c r="P636" s="205"/>
      <c r="Q636" s="205"/>
      <c r="R636" s="205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</row>
    <row r="637">
      <c r="A637" s="122"/>
      <c r="B637" s="204"/>
      <c r="C637" s="204"/>
      <c r="D637" s="204"/>
      <c r="E637" s="205"/>
      <c r="F637" s="205"/>
      <c r="G637" s="205"/>
      <c r="H637" s="206"/>
      <c r="I637" s="207"/>
      <c r="J637" s="207"/>
      <c r="K637" s="207"/>
      <c r="L637" s="122"/>
      <c r="M637" s="207"/>
      <c r="N637" s="207"/>
      <c r="O637" s="122"/>
      <c r="P637" s="205"/>
      <c r="Q637" s="205"/>
      <c r="R637" s="205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</row>
    <row r="638">
      <c r="A638" s="122"/>
      <c r="B638" s="204"/>
      <c r="C638" s="204"/>
      <c r="D638" s="204"/>
      <c r="E638" s="205"/>
      <c r="F638" s="205"/>
      <c r="G638" s="205"/>
      <c r="H638" s="206"/>
      <c r="I638" s="207"/>
      <c r="J638" s="207"/>
      <c r="K638" s="207"/>
      <c r="L638" s="122"/>
      <c r="M638" s="207"/>
      <c r="N638" s="207"/>
      <c r="O638" s="122"/>
      <c r="P638" s="205"/>
      <c r="Q638" s="205"/>
      <c r="R638" s="205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</row>
    <row r="639">
      <c r="A639" s="122"/>
      <c r="B639" s="204"/>
      <c r="C639" s="204"/>
      <c r="D639" s="204"/>
      <c r="E639" s="205"/>
      <c r="F639" s="205"/>
      <c r="G639" s="205"/>
      <c r="H639" s="206"/>
      <c r="I639" s="207"/>
      <c r="J639" s="207"/>
      <c r="K639" s="207"/>
      <c r="L639" s="122"/>
      <c r="M639" s="207"/>
      <c r="N639" s="207"/>
      <c r="O639" s="122"/>
      <c r="P639" s="205"/>
      <c r="Q639" s="205"/>
      <c r="R639" s="205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</row>
    <row r="640">
      <c r="A640" s="122"/>
      <c r="B640" s="204"/>
      <c r="C640" s="204"/>
      <c r="D640" s="204"/>
      <c r="E640" s="205"/>
      <c r="F640" s="205"/>
      <c r="G640" s="205"/>
      <c r="H640" s="206"/>
      <c r="I640" s="207"/>
      <c r="J640" s="207"/>
      <c r="K640" s="207"/>
      <c r="L640" s="122"/>
      <c r="M640" s="207"/>
      <c r="N640" s="207"/>
      <c r="O640" s="122"/>
      <c r="P640" s="205"/>
      <c r="Q640" s="205"/>
      <c r="R640" s="205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</row>
    <row r="641">
      <c r="A641" s="122"/>
      <c r="B641" s="204"/>
      <c r="C641" s="204"/>
      <c r="D641" s="204"/>
      <c r="E641" s="205"/>
      <c r="F641" s="205"/>
      <c r="G641" s="205"/>
      <c r="H641" s="206"/>
      <c r="I641" s="207"/>
      <c r="J641" s="207"/>
      <c r="K641" s="207"/>
      <c r="L641" s="122"/>
      <c r="M641" s="207"/>
      <c r="N641" s="207"/>
      <c r="O641" s="122"/>
      <c r="P641" s="205"/>
      <c r="Q641" s="205"/>
      <c r="R641" s="205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</row>
    <row r="642">
      <c r="A642" s="122"/>
      <c r="B642" s="204"/>
      <c r="C642" s="204"/>
      <c r="D642" s="204"/>
      <c r="E642" s="205"/>
      <c r="F642" s="205"/>
      <c r="G642" s="205"/>
      <c r="H642" s="206"/>
      <c r="I642" s="207"/>
      <c r="J642" s="207"/>
      <c r="K642" s="207"/>
      <c r="L642" s="122"/>
      <c r="M642" s="207"/>
      <c r="N642" s="207"/>
      <c r="O642" s="122"/>
      <c r="P642" s="205"/>
      <c r="Q642" s="205"/>
      <c r="R642" s="205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</row>
    <row r="643">
      <c r="A643" s="122"/>
      <c r="B643" s="204"/>
      <c r="C643" s="204"/>
      <c r="D643" s="204"/>
      <c r="E643" s="205"/>
      <c r="F643" s="205"/>
      <c r="G643" s="205"/>
      <c r="H643" s="206"/>
      <c r="I643" s="207"/>
      <c r="J643" s="207"/>
      <c r="K643" s="207"/>
      <c r="L643" s="122"/>
      <c r="M643" s="207"/>
      <c r="N643" s="207"/>
      <c r="O643" s="122"/>
      <c r="P643" s="205"/>
      <c r="Q643" s="205"/>
      <c r="R643" s="205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</row>
    <row r="644">
      <c r="A644" s="122"/>
      <c r="B644" s="204"/>
      <c r="C644" s="204"/>
      <c r="D644" s="204"/>
      <c r="E644" s="205"/>
      <c r="F644" s="205"/>
      <c r="G644" s="205"/>
      <c r="H644" s="206"/>
      <c r="I644" s="207"/>
      <c r="J644" s="207"/>
      <c r="K644" s="207"/>
      <c r="L644" s="122"/>
      <c r="M644" s="207"/>
      <c r="N644" s="207"/>
      <c r="O644" s="122"/>
      <c r="P644" s="205"/>
      <c r="Q644" s="205"/>
      <c r="R644" s="205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</row>
    <row r="645">
      <c r="A645" s="122"/>
      <c r="B645" s="204"/>
      <c r="C645" s="204"/>
      <c r="D645" s="204"/>
      <c r="E645" s="205"/>
      <c r="F645" s="205"/>
      <c r="G645" s="205"/>
      <c r="H645" s="206"/>
      <c r="I645" s="207"/>
      <c r="J645" s="207"/>
      <c r="K645" s="207"/>
      <c r="L645" s="122"/>
      <c r="M645" s="207"/>
      <c r="N645" s="207"/>
      <c r="O645" s="122"/>
      <c r="P645" s="205"/>
      <c r="Q645" s="205"/>
      <c r="R645" s="205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</row>
    <row r="646">
      <c r="A646" s="122"/>
      <c r="B646" s="204"/>
      <c r="C646" s="204"/>
      <c r="D646" s="204"/>
      <c r="E646" s="205"/>
      <c r="F646" s="205"/>
      <c r="G646" s="205"/>
      <c r="H646" s="206"/>
      <c r="I646" s="207"/>
      <c r="J646" s="207"/>
      <c r="K646" s="207"/>
      <c r="L646" s="122"/>
      <c r="M646" s="207"/>
      <c r="N646" s="207"/>
      <c r="O646" s="122"/>
      <c r="P646" s="205"/>
      <c r="Q646" s="205"/>
      <c r="R646" s="205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</row>
    <row r="647">
      <c r="A647" s="122"/>
      <c r="B647" s="204"/>
      <c r="C647" s="204"/>
      <c r="D647" s="204"/>
      <c r="E647" s="205"/>
      <c r="F647" s="205"/>
      <c r="G647" s="205"/>
      <c r="H647" s="206"/>
      <c r="I647" s="207"/>
      <c r="J647" s="207"/>
      <c r="K647" s="207"/>
      <c r="L647" s="122"/>
      <c r="M647" s="207"/>
      <c r="N647" s="207"/>
      <c r="O647" s="122"/>
      <c r="P647" s="205"/>
      <c r="Q647" s="205"/>
      <c r="R647" s="205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</row>
    <row r="648">
      <c r="A648" s="122"/>
      <c r="B648" s="204"/>
      <c r="C648" s="204"/>
      <c r="D648" s="204"/>
      <c r="E648" s="205"/>
      <c r="F648" s="205"/>
      <c r="G648" s="205"/>
      <c r="H648" s="206"/>
      <c r="I648" s="207"/>
      <c r="J648" s="207"/>
      <c r="K648" s="207"/>
      <c r="L648" s="122"/>
      <c r="M648" s="207"/>
      <c r="N648" s="207"/>
      <c r="O648" s="122"/>
      <c r="P648" s="205"/>
      <c r="Q648" s="205"/>
      <c r="R648" s="205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</row>
    <row r="649">
      <c r="A649" s="122"/>
      <c r="B649" s="204"/>
      <c r="C649" s="204"/>
      <c r="D649" s="204"/>
      <c r="E649" s="205"/>
      <c r="F649" s="205"/>
      <c r="G649" s="205"/>
      <c r="H649" s="206"/>
      <c r="I649" s="207"/>
      <c r="J649" s="207"/>
      <c r="K649" s="207"/>
      <c r="L649" s="122"/>
      <c r="M649" s="207"/>
      <c r="N649" s="207"/>
      <c r="O649" s="122"/>
      <c r="P649" s="205"/>
      <c r="Q649" s="205"/>
      <c r="R649" s="205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</row>
    <row r="650">
      <c r="A650" s="122"/>
      <c r="B650" s="204"/>
      <c r="C650" s="204"/>
      <c r="D650" s="204"/>
      <c r="E650" s="205"/>
      <c r="F650" s="205"/>
      <c r="G650" s="205"/>
      <c r="H650" s="206"/>
      <c r="I650" s="207"/>
      <c r="J650" s="207"/>
      <c r="K650" s="207"/>
      <c r="L650" s="122"/>
      <c r="M650" s="207"/>
      <c r="N650" s="207"/>
      <c r="O650" s="122"/>
      <c r="P650" s="205"/>
      <c r="Q650" s="205"/>
      <c r="R650" s="205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</row>
    <row r="651">
      <c r="A651" s="122"/>
      <c r="B651" s="204"/>
      <c r="C651" s="204"/>
      <c r="D651" s="204"/>
      <c r="E651" s="205"/>
      <c r="F651" s="205"/>
      <c r="G651" s="205"/>
      <c r="H651" s="206"/>
      <c r="I651" s="207"/>
      <c r="J651" s="207"/>
      <c r="K651" s="207"/>
      <c r="L651" s="122"/>
      <c r="M651" s="207"/>
      <c r="N651" s="207"/>
      <c r="O651" s="122"/>
      <c r="P651" s="205"/>
      <c r="Q651" s="205"/>
      <c r="R651" s="205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</row>
    <row r="652">
      <c r="A652" s="122"/>
      <c r="B652" s="204"/>
      <c r="C652" s="204"/>
      <c r="D652" s="204"/>
      <c r="E652" s="205"/>
      <c r="F652" s="205"/>
      <c r="G652" s="205"/>
      <c r="H652" s="206"/>
      <c r="I652" s="207"/>
      <c r="J652" s="207"/>
      <c r="K652" s="207"/>
      <c r="L652" s="122"/>
      <c r="M652" s="207"/>
      <c r="N652" s="207"/>
      <c r="O652" s="122"/>
      <c r="P652" s="205"/>
      <c r="Q652" s="205"/>
      <c r="R652" s="205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</row>
    <row r="653">
      <c r="A653" s="122"/>
      <c r="B653" s="204"/>
      <c r="C653" s="204"/>
      <c r="D653" s="204"/>
      <c r="E653" s="205"/>
      <c r="F653" s="205"/>
      <c r="G653" s="205"/>
      <c r="H653" s="206"/>
      <c r="I653" s="207"/>
      <c r="J653" s="207"/>
      <c r="K653" s="207"/>
      <c r="L653" s="122"/>
      <c r="M653" s="207"/>
      <c r="N653" s="207"/>
      <c r="O653" s="122"/>
      <c r="P653" s="205"/>
      <c r="Q653" s="205"/>
      <c r="R653" s="205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</row>
    <row r="654">
      <c r="A654" s="122"/>
      <c r="B654" s="204"/>
      <c r="C654" s="204"/>
      <c r="D654" s="204"/>
      <c r="E654" s="205"/>
      <c r="F654" s="205"/>
      <c r="G654" s="205"/>
      <c r="H654" s="206"/>
      <c r="I654" s="207"/>
      <c r="J654" s="207"/>
      <c r="K654" s="207"/>
      <c r="L654" s="122"/>
      <c r="M654" s="207"/>
      <c r="N654" s="207"/>
      <c r="O654" s="122"/>
      <c r="P654" s="205"/>
      <c r="Q654" s="205"/>
      <c r="R654" s="205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</row>
    <row r="655">
      <c r="A655" s="122"/>
      <c r="B655" s="204"/>
      <c r="C655" s="204"/>
      <c r="D655" s="204"/>
      <c r="E655" s="205"/>
      <c r="F655" s="205"/>
      <c r="G655" s="205"/>
      <c r="H655" s="206"/>
      <c r="I655" s="207"/>
      <c r="J655" s="207"/>
      <c r="K655" s="207"/>
      <c r="L655" s="122"/>
      <c r="M655" s="207"/>
      <c r="N655" s="207"/>
      <c r="O655" s="122"/>
      <c r="P655" s="205"/>
      <c r="Q655" s="205"/>
      <c r="R655" s="205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</row>
    <row r="656">
      <c r="A656" s="122"/>
      <c r="B656" s="204"/>
      <c r="C656" s="204"/>
      <c r="D656" s="204"/>
      <c r="E656" s="205"/>
      <c r="F656" s="205"/>
      <c r="G656" s="205"/>
      <c r="H656" s="206"/>
      <c r="I656" s="207"/>
      <c r="J656" s="207"/>
      <c r="K656" s="207"/>
      <c r="L656" s="122"/>
      <c r="M656" s="207"/>
      <c r="N656" s="207"/>
      <c r="O656" s="122"/>
      <c r="P656" s="205"/>
      <c r="Q656" s="205"/>
      <c r="R656" s="205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</row>
    <row r="657">
      <c r="A657" s="122"/>
      <c r="B657" s="204"/>
      <c r="C657" s="204"/>
      <c r="D657" s="204"/>
      <c r="E657" s="205"/>
      <c r="F657" s="205"/>
      <c r="G657" s="205"/>
      <c r="H657" s="206"/>
      <c r="I657" s="207"/>
      <c r="J657" s="207"/>
      <c r="K657" s="207"/>
      <c r="L657" s="122"/>
      <c r="M657" s="207"/>
      <c r="N657" s="207"/>
      <c r="O657" s="122"/>
      <c r="P657" s="205"/>
      <c r="Q657" s="205"/>
      <c r="R657" s="205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</row>
    <row r="658">
      <c r="A658" s="122"/>
      <c r="B658" s="204"/>
      <c r="C658" s="204"/>
      <c r="D658" s="204"/>
      <c r="E658" s="205"/>
      <c r="F658" s="205"/>
      <c r="G658" s="205"/>
      <c r="H658" s="206"/>
      <c r="I658" s="207"/>
      <c r="J658" s="207"/>
      <c r="K658" s="207"/>
      <c r="L658" s="122"/>
      <c r="M658" s="207"/>
      <c r="N658" s="207"/>
      <c r="O658" s="122"/>
      <c r="P658" s="205"/>
      <c r="Q658" s="205"/>
      <c r="R658" s="205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</row>
    <row r="659">
      <c r="A659" s="122"/>
      <c r="B659" s="204"/>
      <c r="C659" s="204"/>
      <c r="D659" s="204"/>
      <c r="E659" s="205"/>
      <c r="F659" s="205"/>
      <c r="G659" s="205"/>
      <c r="H659" s="206"/>
      <c r="I659" s="207"/>
      <c r="J659" s="207"/>
      <c r="K659" s="207"/>
      <c r="L659" s="122"/>
      <c r="M659" s="207"/>
      <c r="N659" s="207"/>
      <c r="O659" s="122"/>
      <c r="P659" s="205"/>
      <c r="Q659" s="205"/>
      <c r="R659" s="205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</row>
    <row r="660">
      <c r="A660" s="122"/>
      <c r="B660" s="204"/>
      <c r="C660" s="204"/>
      <c r="D660" s="204"/>
      <c r="E660" s="205"/>
      <c r="F660" s="205"/>
      <c r="G660" s="205"/>
      <c r="H660" s="206"/>
      <c r="I660" s="207"/>
      <c r="J660" s="207"/>
      <c r="K660" s="207"/>
      <c r="L660" s="122"/>
      <c r="M660" s="207"/>
      <c r="N660" s="207"/>
      <c r="O660" s="122"/>
      <c r="P660" s="205"/>
      <c r="Q660" s="205"/>
      <c r="R660" s="205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</row>
    <row r="661">
      <c r="A661" s="122"/>
      <c r="B661" s="204"/>
      <c r="C661" s="204"/>
      <c r="D661" s="204"/>
      <c r="E661" s="205"/>
      <c r="F661" s="205"/>
      <c r="G661" s="205"/>
      <c r="H661" s="206"/>
      <c r="I661" s="207"/>
      <c r="J661" s="207"/>
      <c r="K661" s="207"/>
      <c r="L661" s="122"/>
      <c r="M661" s="207"/>
      <c r="N661" s="207"/>
      <c r="O661" s="122"/>
      <c r="P661" s="205"/>
      <c r="Q661" s="205"/>
      <c r="R661" s="205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</row>
    <row r="662">
      <c r="A662" s="122"/>
      <c r="B662" s="204"/>
      <c r="C662" s="204"/>
      <c r="D662" s="204"/>
      <c r="E662" s="205"/>
      <c r="F662" s="205"/>
      <c r="G662" s="205"/>
      <c r="H662" s="206"/>
      <c r="I662" s="207"/>
      <c r="J662" s="207"/>
      <c r="K662" s="207"/>
      <c r="L662" s="122"/>
      <c r="M662" s="207"/>
      <c r="N662" s="207"/>
      <c r="O662" s="122"/>
      <c r="P662" s="205"/>
      <c r="Q662" s="205"/>
      <c r="R662" s="205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</row>
    <row r="663">
      <c r="A663" s="122"/>
      <c r="B663" s="204"/>
      <c r="C663" s="204"/>
      <c r="D663" s="204"/>
      <c r="E663" s="205"/>
      <c r="F663" s="205"/>
      <c r="G663" s="205"/>
      <c r="H663" s="206"/>
      <c r="I663" s="207"/>
      <c r="J663" s="207"/>
      <c r="K663" s="207"/>
      <c r="L663" s="122"/>
      <c r="M663" s="207"/>
      <c r="N663" s="207"/>
      <c r="O663" s="122"/>
      <c r="P663" s="205"/>
      <c r="Q663" s="205"/>
      <c r="R663" s="205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</row>
    <row r="664">
      <c r="A664" s="122"/>
      <c r="B664" s="204"/>
      <c r="C664" s="204"/>
      <c r="D664" s="204"/>
      <c r="E664" s="205"/>
      <c r="F664" s="205"/>
      <c r="G664" s="205"/>
      <c r="H664" s="206"/>
      <c r="I664" s="207"/>
      <c r="J664" s="207"/>
      <c r="K664" s="207"/>
      <c r="L664" s="122"/>
      <c r="M664" s="207"/>
      <c r="N664" s="207"/>
      <c r="O664" s="122"/>
      <c r="P664" s="205"/>
      <c r="Q664" s="205"/>
      <c r="R664" s="205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</row>
    <row r="665">
      <c r="A665" s="122"/>
      <c r="B665" s="204"/>
      <c r="C665" s="204"/>
      <c r="D665" s="204"/>
      <c r="E665" s="205"/>
      <c r="F665" s="205"/>
      <c r="G665" s="205"/>
      <c r="H665" s="206"/>
      <c r="I665" s="207"/>
      <c r="J665" s="207"/>
      <c r="K665" s="207"/>
      <c r="L665" s="122"/>
      <c r="M665" s="207"/>
      <c r="N665" s="207"/>
      <c r="O665" s="122"/>
      <c r="P665" s="205"/>
      <c r="Q665" s="205"/>
      <c r="R665" s="205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</row>
    <row r="666">
      <c r="A666" s="122"/>
      <c r="B666" s="204"/>
      <c r="C666" s="204"/>
      <c r="D666" s="204"/>
      <c r="E666" s="205"/>
      <c r="F666" s="205"/>
      <c r="G666" s="205"/>
      <c r="H666" s="206"/>
      <c r="I666" s="207"/>
      <c r="J666" s="207"/>
      <c r="K666" s="207"/>
      <c r="L666" s="122"/>
      <c r="M666" s="207"/>
      <c r="N666" s="207"/>
      <c r="O666" s="122"/>
      <c r="P666" s="205"/>
      <c r="Q666" s="205"/>
      <c r="R666" s="205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</row>
    <row r="667">
      <c r="A667" s="122"/>
      <c r="B667" s="204"/>
      <c r="C667" s="204"/>
      <c r="D667" s="204"/>
      <c r="E667" s="205"/>
      <c r="F667" s="205"/>
      <c r="G667" s="205"/>
      <c r="H667" s="206"/>
      <c r="I667" s="207"/>
      <c r="J667" s="207"/>
      <c r="K667" s="207"/>
      <c r="L667" s="122"/>
      <c r="M667" s="207"/>
      <c r="N667" s="207"/>
      <c r="O667" s="122"/>
      <c r="P667" s="205"/>
      <c r="Q667" s="205"/>
      <c r="R667" s="205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</row>
    <row r="668">
      <c r="A668" s="122"/>
      <c r="B668" s="204"/>
      <c r="C668" s="204"/>
      <c r="D668" s="204"/>
      <c r="E668" s="205"/>
      <c r="F668" s="205"/>
      <c r="G668" s="205"/>
      <c r="H668" s="206"/>
      <c r="I668" s="207"/>
      <c r="J668" s="207"/>
      <c r="K668" s="207"/>
      <c r="L668" s="122"/>
      <c r="M668" s="207"/>
      <c r="N668" s="207"/>
      <c r="O668" s="122"/>
      <c r="P668" s="205"/>
      <c r="Q668" s="205"/>
      <c r="R668" s="205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</row>
    <row r="669">
      <c r="A669" s="122"/>
      <c r="B669" s="204"/>
      <c r="C669" s="204"/>
      <c r="D669" s="204"/>
      <c r="E669" s="205"/>
      <c r="F669" s="205"/>
      <c r="G669" s="205"/>
      <c r="H669" s="206"/>
      <c r="I669" s="207"/>
      <c r="J669" s="207"/>
      <c r="K669" s="207"/>
      <c r="L669" s="122"/>
      <c r="M669" s="207"/>
      <c r="N669" s="207"/>
      <c r="O669" s="122"/>
      <c r="P669" s="205"/>
      <c r="Q669" s="205"/>
      <c r="R669" s="205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</row>
    <row r="670">
      <c r="A670" s="122"/>
      <c r="B670" s="204"/>
      <c r="C670" s="204"/>
      <c r="D670" s="204"/>
      <c r="E670" s="205"/>
      <c r="F670" s="205"/>
      <c r="G670" s="205"/>
      <c r="H670" s="206"/>
      <c r="I670" s="207"/>
      <c r="J670" s="207"/>
      <c r="K670" s="207"/>
      <c r="L670" s="122"/>
      <c r="M670" s="207"/>
      <c r="N670" s="207"/>
      <c r="O670" s="122"/>
      <c r="P670" s="205"/>
      <c r="Q670" s="205"/>
      <c r="R670" s="205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</row>
    <row r="671">
      <c r="A671" s="122"/>
      <c r="B671" s="204"/>
      <c r="C671" s="204"/>
      <c r="D671" s="204"/>
      <c r="E671" s="205"/>
      <c r="F671" s="205"/>
      <c r="G671" s="205"/>
      <c r="H671" s="206"/>
      <c r="I671" s="207"/>
      <c r="J671" s="207"/>
      <c r="K671" s="207"/>
      <c r="L671" s="122"/>
      <c r="M671" s="207"/>
      <c r="N671" s="207"/>
      <c r="O671" s="122"/>
      <c r="P671" s="205"/>
      <c r="Q671" s="205"/>
      <c r="R671" s="205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</row>
    <row r="672">
      <c r="A672" s="122"/>
      <c r="B672" s="204"/>
      <c r="C672" s="204"/>
      <c r="D672" s="204"/>
      <c r="E672" s="205"/>
      <c r="F672" s="205"/>
      <c r="G672" s="205"/>
      <c r="H672" s="206"/>
      <c r="I672" s="207"/>
      <c r="J672" s="207"/>
      <c r="K672" s="207"/>
      <c r="L672" s="122"/>
      <c r="M672" s="207"/>
      <c r="N672" s="207"/>
      <c r="O672" s="122"/>
      <c r="P672" s="205"/>
      <c r="Q672" s="205"/>
      <c r="R672" s="205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</row>
    <row r="673">
      <c r="A673" s="122"/>
      <c r="B673" s="204"/>
      <c r="C673" s="204"/>
      <c r="D673" s="204"/>
      <c r="E673" s="205"/>
      <c r="F673" s="205"/>
      <c r="G673" s="205"/>
      <c r="H673" s="206"/>
      <c r="I673" s="207"/>
      <c r="J673" s="207"/>
      <c r="K673" s="207"/>
      <c r="L673" s="122"/>
      <c r="M673" s="207"/>
      <c r="N673" s="207"/>
      <c r="O673" s="122"/>
      <c r="P673" s="205"/>
      <c r="Q673" s="205"/>
      <c r="R673" s="205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</row>
    <row r="674">
      <c r="A674" s="122"/>
      <c r="B674" s="204"/>
      <c r="C674" s="204"/>
      <c r="D674" s="204"/>
      <c r="E674" s="205"/>
      <c r="F674" s="205"/>
      <c r="G674" s="205"/>
      <c r="H674" s="206"/>
      <c r="I674" s="207"/>
      <c r="J674" s="207"/>
      <c r="K674" s="207"/>
      <c r="L674" s="122"/>
      <c r="M674" s="207"/>
      <c r="N674" s="207"/>
      <c r="O674" s="122"/>
      <c r="P674" s="205"/>
      <c r="Q674" s="205"/>
      <c r="R674" s="205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</row>
    <row r="675">
      <c r="A675" s="122"/>
      <c r="B675" s="204"/>
      <c r="C675" s="204"/>
      <c r="D675" s="204"/>
      <c r="E675" s="205"/>
      <c r="F675" s="205"/>
      <c r="G675" s="205"/>
      <c r="H675" s="206"/>
      <c r="I675" s="207"/>
      <c r="J675" s="207"/>
      <c r="K675" s="207"/>
      <c r="L675" s="122"/>
      <c r="M675" s="207"/>
      <c r="N675" s="207"/>
      <c r="O675" s="122"/>
      <c r="P675" s="205"/>
      <c r="Q675" s="205"/>
      <c r="R675" s="205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</row>
    <row r="676">
      <c r="A676" s="122"/>
      <c r="B676" s="204"/>
      <c r="C676" s="204"/>
      <c r="D676" s="204"/>
      <c r="E676" s="205"/>
      <c r="F676" s="205"/>
      <c r="G676" s="205"/>
      <c r="H676" s="206"/>
      <c r="I676" s="207"/>
      <c r="J676" s="207"/>
      <c r="K676" s="207"/>
      <c r="L676" s="122"/>
      <c r="M676" s="207"/>
      <c r="N676" s="207"/>
      <c r="O676" s="122"/>
      <c r="P676" s="205"/>
      <c r="Q676" s="205"/>
      <c r="R676" s="205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</row>
    <row r="677">
      <c r="A677" s="122"/>
      <c r="B677" s="204"/>
      <c r="C677" s="204"/>
      <c r="D677" s="204"/>
      <c r="E677" s="205"/>
      <c r="F677" s="205"/>
      <c r="G677" s="205"/>
      <c r="H677" s="206"/>
      <c r="I677" s="207"/>
      <c r="J677" s="207"/>
      <c r="K677" s="207"/>
      <c r="L677" s="122"/>
      <c r="M677" s="207"/>
      <c r="N677" s="207"/>
      <c r="O677" s="122"/>
      <c r="P677" s="205"/>
      <c r="Q677" s="205"/>
      <c r="R677" s="205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</row>
    <row r="678">
      <c r="A678" s="122"/>
      <c r="B678" s="204"/>
      <c r="C678" s="204"/>
      <c r="D678" s="204"/>
      <c r="E678" s="205"/>
      <c r="F678" s="205"/>
      <c r="G678" s="205"/>
      <c r="H678" s="206"/>
      <c r="I678" s="207"/>
      <c r="J678" s="207"/>
      <c r="K678" s="207"/>
      <c r="L678" s="122"/>
      <c r="M678" s="207"/>
      <c r="N678" s="207"/>
      <c r="O678" s="122"/>
      <c r="P678" s="205"/>
      <c r="Q678" s="205"/>
      <c r="R678" s="205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</row>
    <row r="679">
      <c r="A679" s="122"/>
      <c r="B679" s="204"/>
      <c r="C679" s="204"/>
      <c r="D679" s="204"/>
      <c r="E679" s="205"/>
      <c r="F679" s="205"/>
      <c r="G679" s="205"/>
      <c r="H679" s="206"/>
      <c r="I679" s="207"/>
      <c r="J679" s="207"/>
      <c r="K679" s="207"/>
      <c r="L679" s="122"/>
      <c r="M679" s="207"/>
      <c r="N679" s="207"/>
      <c r="O679" s="122"/>
      <c r="P679" s="205"/>
      <c r="Q679" s="205"/>
      <c r="R679" s="205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</row>
    <row r="680">
      <c r="A680" s="122"/>
      <c r="B680" s="204"/>
      <c r="C680" s="204"/>
      <c r="D680" s="204"/>
      <c r="E680" s="205"/>
      <c r="F680" s="205"/>
      <c r="G680" s="205"/>
      <c r="H680" s="206"/>
      <c r="I680" s="207"/>
      <c r="J680" s="207"/>
      <c r="K680" s="207"/>
      <c r="L680" s="122"/>
      <c r="M680" s="207"/>
      <c r="N680" s="207"/>
      <c r="O680" s="122"/>
      <c r="P680" s="205"/>
      <c r="Q680" s="205"/>
      <c r="R680" s="205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</row>
    <row r="681">
      <c r="A681" s="122"/>
      <c r="B681" s="204"/>
      <c r="C681" s="204"/>
      <c r="D681" s="204"/>
      <c r="E681" s="205"/>
      <c r="F681" s="205"/>
      <c r="G681" s="205"/>
      <c r="H681" s="206"/>
      <c r="I681" s="207"/>
      <c r="J681" s="207"/>
      <c r="K681" s="207"/>
      <c r="L681" s="122"/>
      <c r="M681" s="207"/>
      <c r="N681" s="207"/>
      <c r="O681" s="122"/>
      <c r="P681" s="205"/>
      <c r="Q681" s="205"/>
      <c r="R681" s="205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</row>
    <row r="682">
      <c r="A682" s="122"/>
      <c r="B682" s="204"/>
      <c r="C682" s="204"/>
      <c r="D682" s="204"/>
      <c r="E682" s="205"/>
      <c r="F682" s="205"/>
      <c r="G682" s="205"/>
      <c r="H682" s="206"/>
      <c r="I682" s="207"/>
      <c r="J682" s="207"/>
      <c r="K682" s="207"/>
      <c r="L682" s="122"/>
      <c r="M682" s="207"/>
      <c r="N682" s="207"/>
      <c r="O682" s="122"/>
      <c r="P682" s="205"/>
      <c r="Q682" s="205"/>
      <c r="R682" s="205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</row>
    <row r="683">
      <c r="A683" s="122"/>
      <c r="B683" s="204"/>
      <c r="C683" s="204"/>
      <c r="D683" s="204"/>
      <c r="E683" s="205"/>
      <c r="F683" s="205"/>
      <c r="G683" s="205"/>
      <c r="H683" s="206"/>
      <c r="I683" s="207"/>
      <c r="J683" s="207"/>
      <c r="K683" s="207"/>
      <c r="L683" s="122"/>
      <c r="M683" s="207"/>
      <c r="N683" s="207"/>
      <c r="O683" s="122"/>
      <c r="P683" s="205"/>
      <c r="Q683" s="205"/>
      <c r="R683" s="205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</row>
    <row r="684">
      <c r="A684" s="122"/>
      <c r="B684" s="204"/>
      <c r="C684" s="204"/>
      <c r="D684" s="204"/>
      <c r="E684" s="205"/>
      <c r="F684" s="205"/>
      <c r="G684" s="205"/>
      <c r="H684" s="206"/>
      <c r="I684" s="207"/>
      <c r="J684" s="207"/>
      <c r="K684" s="207"/>
      <c r="L684" s="122"/>
      <c r="M684" s="207"/>
      <c r="N684" s="207"/>
      <c r="O684" s="122"/>
      <c r="P684" s="205"/>
      <c r="Q684" s="205"/>
      <c r="R684" s="205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</row>
    <row r="685">
      <c r="A685" s="122"/>
      <c r="B685" s="204"/>
      <c r="C685" s="204"/>
      <c r="D685" s="204"/>
      <c r="E685" s="205"/>
      <c r="F685" s="205"/>
      <c r="G685" s="205"/>
      <c r="H685" s="206"/>
      <c r="I685" s="207"/>
      <c r="J685" s="207"/>
      <c r="K685" s="207"/>
      <c r="L685" s="122"/>
      <c r="M685" s="207"/>
      <c r="N685" s="207"/>
      <c r="O685" s="122"/>
      <c r="P685" s="205"/>
      <c r="Q685" s="205"/>
      <c r="R685" s="205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</row>
    <row r="686">
      <c r="A686" s="122"/>
      <c r="B686" s="204"/>
      <c r="C686" s="204"/>
      <c r="D686" s="204"/>
      <c r="E686" s="205"/>
      <c r="F686" s="205"/>
      <c r="G686" s="205"/>
      <c r="H686" s="206"/>
      <c r="I686" s="207"/>
      <c r="J686" s="207"/>
      <c r="K686" s="207"/>
      <c r="L686" s="122"/>
      <c r="M686" s="207"/>
      <c r="N686" s="207"/>
      <c r="O686" s="122"/>
      <c r="P686" s="205"/>
      <c r="Q686" s="205"/>
      <c r="R686" s="205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</row>
    <row r="687">
      <c r="A687" s="122"/>
      <c r="B687" s="204"/>
      <c r="C687" s="204"/>
      <c r="D687" s="204"/>
      <c r="E687" s="205"/>
      <c r="F687" s="205"/>
      <c r="G687" s="205"/>
      <c r="H687" s="206"/>
      <c r="I687" s="207"/>
      <c r="J687" s="207"/>
      <c r="K687" s="207"/>
      <c r="L687" s="122"/>
      <c r="M687" s="207"/>
      <c r="N687" s="207"/>
      <c r="O687" s="122"/>
      <c r="P687" s="205"/>
      <c r="Q687" s="205"/>
      <c r="R687" s="205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</row>
    <row r="688">
      <c r="A688" s="122"/>
      <c r="B688" s="204"/>
      <c r="C688" s="204"/>
      <c r="D688" s="204"/>
      <c r="E688" s="205"/>
      <c r="F688" s="205"/>
      <c r="G688" s="205"/>
      <c r="H688" s="206"/>
      <c r="I688" s="207"/>
      <c r="J688" s="207"/>
      <c r="K688" s="207"/>
      <c r="L688" s="122"/>
      <c r="M688" s="207"/>
      <c r="N688" s="207"/>
      <c r="O688" s="122"/>
      <c r="P688" s="205"/>
      <c r="Q688" s="205"/>
      <c r="R688" s="205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</row>
    <row r="689">
      <c r="A689" s="122"/>
      <c r="B689" s="204"/>
      <c r="C689" s="204"/>
      <c r="D689" s="204"/>
      <c r="E689" s="205"/>
      <c r="F689" s="205"/>
      <c r="G689" s="205"/>
      <c r="H689" s="206"/>
      <c r="I689" s="207"/>
      <c r="J689" s="207"/>
      <c r="K689" s="207"/>
      <c r="L689" s="122"/>
      <c r="M689" s="207"/>
      <c r="N689" s="207"/>
      <c r="O689" s="122"/>
      <c r="P689" s="205"/>
      <c r="Q689" s="205"/>
      <c r="R689" s="205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</row>
    <row r="690">
      <c r="A690" s="122"/>
      <c r="B690" s="204"/>
      <c r="C690" s="204"/>
      <c r="D690" s="204"/>
      <c r="E690" s="205"/>
      <c r="F690" s="205"/>
      <c r="G690" s="205"/>
      <c r="H690" s="206"/>
      <c r="I690" s="207"/>
      <c r="J690" s="207"/>
      <c r="K690" s="207"/>
      <c r="L690" s="122"/>
      <c r="M690" s="207"/>
      <c r="N690" s="207"/>
      <c r="O690" s="122"/>
      <c r="P690" s="205"/>
      <c r="Q690" s="205"/>
      <c r="R690" s="205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</row>
    <row r="691">
      <c r="A691" s="122"/>
      <c r="B691" s="204"/>
      <c r="C691" s="204"/>
      <c r="D691" s="204"/>
      <c r="E691" s="205"/>
      <c r="F691" s="205"/>
      <c r="G691" s="205"/>
      <c r="H691" s="206"/>
      <c r="I691" s="207"/>
      <c r="J691" s="207"/>
      <c r="K691" s="207"/>
      <c r="L691" s="122"/>
      <c r="M691" s="207"/>
      <c r="N691" s="207"/>
      <c r="O691" s="122"/>
      <c r="P691" s="205"/>
      <c r="Q691" s="205"/>
      <c r="R691" s="205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</row>
    <row r="692">
      <c r="A692" s="122"/>
      <c r="B692" s="204"/>
      <c r="C692" s="204"/>
      <c r="D692" s="204"/>
      <c r="E692" s="205"/>
      <c r="F692" s="205"/>
      <c r="G692" s="205"/>
      <c r="H692" s="206"/>
      <c r="I692" s="207"/>
      <c r="J692" s="207"/>
      <c r="K692" s="207"/>
      <c r="L692" s="122"/>
      <c r="M692" s="207"/>
      <c r="N692" s="207"/>
      <c r="O692" s="122"/>
      <c r="P692" s="205"/>
      <c r="Q692" s="205"/>
      <c r="R692" s="205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</row>
    <row r="693">
      <c r="A693" s="122"/>
      <c r="B693" s="204"/>
      <c r="C693" s="204"/>
      <c r="D693" s="204"/>
      <c r="E693" s="205"/>
      <c r="F693" s="205"/>
      <c r="G693" s="205"/>
      <c r="H693" s="206"/>
      <c r="I693" s="207"/>
      <c r="J693" s="207"/>
      <c r="K693" s="207"/>
      <c r="L693" s="122"/>
      <c r="M693" s="207"/>
      <c r="N693" s="207"/>
      <c r="O693" s="122"/>
      <c r="P693" s="205"/>
      <c r="Q693" s="205"/>
      <c r="R693" s="205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</row>
    <row r="694">
      <c r="A694" s="122"/>
      <c r="B694" s="204"/>
      <c r="C694" s="204"/>
      <c r="D694" s="204"/>
      <c r="E694" s="205"/>
      <c r="F694" s="205"/>
      <c r="G694" s="205"/>
      <c r="H694" s="206"/>
      <c r="I694" s="207"/>
      <c r="J694" s="207"/>
      <c r="K694" s="207"/>
      <c r="L694" s="122"/>
      <c r="M694" s="207"/>
      <c r="N694" s="207"/>
      <c r="O694" s="122"/>
      <c r="P694" s="205"/>
      <c r="Q694" s="205"/>
      <c r="R694" s="205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</row>
    <row r="695">
      <c r="A695" s="122"/>
      <c r="B695" s="204"/>
      <c r="C695" s="204"/>
      <c r="D695" s="204"/>
      <c r="E695" s="205"/>
      <c r="F695" s="205"/>
      <c r="G695" s="205"/>
      <c r="H695" s="206"/>
      <c r="I695" s="207"/>
      <c r="J695" s="207"/>
      <c r="K695" s="207"/>
      <c r="L695" s="122"/>
      <c r="M695" s="207"/>
      <c r="N695" s="207"/>
      <c r="O695" s="122"/>
      <c r="P695" s="205"/>
      <c r="Q695" s="205"/>
      <c r="R695" s="205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</row>
    <row r="696">
      <c r="A696" s="122"/>
      <c r="B696" s="204"/>
      <c r="C696" s="204"/>
      <c r="D696" s="204"/>
      <c r="E696" s="205"/>
      <c r="F696" s="205"/>
      <c r="G696" s="205"/>
      <c r="H696" s="206"/>
      <c r="I696" s="207"/>
      <c r="J696" s="207"/>
      <c r="K696" s="207"/>
      <c r="L696" s="122"/>
      <c r="M696" s="207"/>
      <c r="N696" s="207"/>
      <c r="O696" s="122"/>
      <c r="P696" s="205"/>
      <c r="Q696" s="205"/>
      <c r="R696" s="205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</row>
    <row r="697">
      <c r="A697" s="122"/>
      <c r="B697" s="204"/>
      <c r="C697" s="204"/>
      <c r="D697" s="204"/>
      <c r="E697" s="205"/>
      <c r="F697" s="205"/>
      <c r="G697" s="205"/>
      <c r="H697" s="206"/>
      <c r="I697" s="207"/>
      <c r="J697" s="207"/>
      <c r="K697" s="207"/>
      <c r="L697" s="122"/>
      <c r="M697" s="207"/>
      <c r="N697" s="207"/>
      <c r="O697" s="122"/>
      <c r="P697" s="205"/>
      <c r="Q697" s="205"/>
      <c r="R697" s="205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</row>
    <row r="698">
      <c r="A698" s="122"/>
      <c r="B698" s="204"/>
      <c r="C698" s="204"/>
      <c r="D698" s="204"/>
      <c r="E698" s="205"/>
      <c r="F698" s="205"/>
      <c r="G698" s="205"/>
      <c r="H698" s="206"/>
      <c r="I698" s="207"/>
      <c r="J698" s="207"/>
      <c r="K698" s="207"/>
      <c r="L698" s="122"/>
      <c r="M698" s="207"/>
      <c r="N698" s="207"/>
      <c r="O698" s="122"/>
      <c r="P698" s="205"/>
      <c r="Q698" s="205"/>
      <c r="R698" s="205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</row>
    <row r="699">
      <c r="A699" s="122"/>
      <c r="B699" s="204"/>
      <c r="C699" s="204"/>
      <c r="D699" s="204"/>
      <c r="E699" s="205"/>
      <c r="F699" s="205"/>
      <c r="G699" s="205"/>
      <c r="H699" s="206"/>
      <c r="I699" s="207"/>
      <c r="J699" s="207"/>
      <c r="K699" s="207"/>
      <c r="L699" s="122"/>
      <c r="M699" s="207"/>
      <c r="N699" s="207"/>
      <c r="O699" s="122"/>
      <c r="P699" s="205"/>
      <c r="Q699" s="205"/>
      <c r="R699" s="205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</row>
    <row r="700">
      <c r="A700" s="122"/>
      <c r="B700" s="204"/>
      <c r="C700" s="204"/>
      <c r="D700" s="204"/>
      <c r="E700" s="205"/>
      <c r="F700" s="205"/>
      <c r="G700" s="205"/>
      <c r="H700" s="206"/>
      <c r="I700" s="207"/>
      <c r="J700" s="207"/>
      <c r="K700" s="207"/>
      <c r="L700" s="122"/>
      <c r="M700" s="207"/>
      <c r="N700" s="207"/>
      <c r="O700" s="122"/>
      <c r="P700" s="205"/>
      <c r="Q700" s="205"/>
      <c r="R700" s="205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</row>
    <row r="701">
      <c r="A701" s="122"/>
      <c r="B701" s="204"/>
      <c r="C701" s="204"/>
      <c r="D701" s="204"/>
      <c r="E701" s="205"/>
      <c r="F701" s="205"/>
      <c r="G701" s="205"/>
      <c r="H701" s="206"/>
      <c r="I701" s="207"/>
      <c r="J701" s="207"/>
      <c r="K701" s="207"/>
      <c r="L701" s="122"/>
      <c r="M701" s="207"/>
      <c r="N701" s="207"/>
      <c r="O701" s="122"/>
      <c r="P701" s="205"/>
      <c r="Q701" s="205"/>
      <c r="R701" s="205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</row>
    <row r="702">
      <c r="A702" s="122"/>
      <c r="B702" s="204"/>
      <c r="C702" s="204"/>
      <c r="D702" s="204"/>
      <c r="E702" s="205"/>
      <c r="F702" s="205"/>
      <c r="G702" s="205"/>
      <c r="H702" s="206"/>
      <c r="I702" s="207"/>
      <c r="J702" s="207"/>
      <c r="K702" s="207"/>
      <c r="L702" s="122"/>
      <c r="M702" s="207"/>
      <c r="N702" s="207"/>
      <c r="O702" s="122"/>
      <c r="P702" s="205"/>
      <c r="Q702" s="205"/>
      <c r="R702" s="205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</row>
    <row r="703">
      <c r="A703" s="122"/>
      <c r="B703" s="204"/>
      <c r="C703" s="204"/>
      <c r="D703" s="204"/>
      <c r="E703" s="205"/>
      <c r="F703" s="205"/>
      <c r="G703" s="205"/>
      <c r="H703" s="206"/>
      <c r="I703" s="207"/>
      <c r="J703" s="207"/>
      <c r="K703" s="207"/>
      <c r="L703" s="122"/>
      <c r="M703" s="207"/>
      <c r="N703" s="207"/>
      <c r="O703" s="122"/>
      <c r="P703" s="205"/>
      <c r="Q703" s="205"/>
      <c r="R703" s="205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</row>
    <row r="704">
      <c r="A704" s="122"/>
      <c r="B704" s="204"/>
      <c r="C704" s="204"/>
      <c r="D704" s="204"/>
      <c r="E704" s="205"/>
      <c r="F704" s="205"/>
      <c r="G704" s="205"/>
      <c r="H704" s="206"/>
      <c r="I704" s="207"/>
      <c r="J704" s="207"/>
      <c r="K704" s="207"/>
      <c r="L704" s="122"/>
      <c r="M704" s="207"/>
      <c r="N704" s="207"/>
      <c r="O704" s="122"/>
      <c r="P704" s="205"/>
      <c r="Q704" s="205"/>
      <c r="R704" s="205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</row>
    <row r="705">
      <c r="A705" s="122"/>
      <c r="B705" s="204"/>
      <c r="C705" s="204"/>
      <c r="D705" s="204"/>
      <c r="E705" s="205"/>
      <c r="F705" s="205"/>
      <c r="G705" s="205"/>
      <c r="H705" s="206"/>
      <c r="I705" s="207"/>
      <c r="J705" s="207"/>
      <c r="K705" s="207"/>
      <c r="L705" s="122"/>
      <c r="M705" s="207"/>
      <c r="N705" s="207"/>
      <c r="O705" s="122"/>
      <c r="P705" s="205"/>
      <c r="Q705" s="205"/>
      <c r="R705" s="205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</row>
    <row r="706">
      <c r="A706" s="122"/>
      <c r="B706" s="204"/>
      <c r="C706" s="204"/>
      <c r="D706" s="204"/>
      <c r="E706" s="205"/>
      <c r="F706" s="205"/>
      <c r="G706" s="205"/>
      <c r="H706" s="206"/>
      <c r="I706" s="207"/>
      <c r="J706" s="207"/>
      <c r="K706" s="207"/>
      <c r="L706" s="122"/>
      <c r="M706" s="207"/>
      <c r="N706" s="207"/>
      <c r="O706" s="122"/>
      <c r="P706" s="205"/>
      <c r="Q706" s="205"/>
      <c r="R706" s="205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</row>
    <row r="707">
      <c r="A707" s="122"/>
      <c r="B707" s="204"/>
      <c r="C707" s="204"/>
      <c r="D707" s="204"/>
      <c r="E707" s="205"/>
      <c r="F707" s="205"/>
      <c r="G707" s="205"/>
      <c r="H707" s="206"/>
      <c r="I707" s="207"/>
      <c r="J707" s="207"/>
      <c r="K707" s="207"/>
      <c r="L707" s="122"/>
      <c r="M707" s="207"/>
      <c r="N707" s="207"/>
      <c r="O707" s="122"/>
      <c r="P707" s="205"/>
      <c r="Q707" s="205"/>
      <c r="R707" s="205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</row>
    <row r="708">
      <c r="A708" s="122"/>
      <c r="B708" s="204"/>
      <c r="C708" s="204"/>
      <c r="D708" s="204"/>
      <c r="E708" s="205"/>
      <c r="F708" s="205"/>
      <c r="G708" s="205"/>
      <c r="H708" s="206"/>
      <c r="I708" s="207"/>
      <c r="J708" s="207"/>
      <c r="K708" s="207"/>
      <c r="L708" s="122"/>
      <c r="M708" s="207"/>
      <c r="N708" s="207"/>
      <c r="O708" s="122"/>
      <c r="P708" s="205"/>
      <c r="Q708" s="205"/>
      <c r="R708" s="205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</row>
    <row r="709">
      <c r="A709" s="122"/>
      <c r="B709" s="204"/>
      <c r="C709" s="204"/>
      <c r="D709" s="204"/>
      <c r="E709" s="205"/>
      <c r="F709" s="205"/>
      <c r="G709" s="205"/>
      <c r="H709" s="206"/>
      <c r="I709" s="207"/>
      <c r="J709" s="207"/>
      <c r="K709" s="207"/>
      <c r="L709" s="122"/>
      <c r="M709" s="207"/>
      <c r="N709" s="207"/>
      <c r="O709" s="122"/>
      <c r="P709" s="205"/>
      <c r="Q709" s="205"/>
      <c r="R709" s="205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</row>
    <row r="710">
      <c r="A710" s="122"/>
      <c r="B710" s="204"/>
      <c r="C710" s="204"/>
      <c r="D710" s="204"/>
      <c r="E710" s="205"/>
      <c r="F710" s="205"/>
      <c r="G710" s="205"/>
      <c r="H710" s="206"/>
      <c r="I710" s="207"/>
      <c r="J710" s="207"/>
      <c r="K710" s="207"/>
      <c r="L710" s="122"/>
      <c r="M710" s="207"/>
      <c r="N710" s="207"/>
      <c r="O710" s="122"/>
      <c r="P710" s="205"/>
      <c r="Q710" s="205"/>
      <c r="R710" s="205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</row>
    <row r="711">
      <c r="A711" s="122"/>
      <c r="B711" s="204"/>
      <c r="C711" s="204"/>
      <c r="D711" s="204"/>
      <c r="E711" s="205"/>
      <c r="F711" s="205"/>
      <c r="G711" s="205"/>
      <c r="H711" s="206"/>
      <c r="I711" s="207"/>
      <c r="J711" s="207"/>
      <c r="K711" s="207"/>
      <c r="L711" s="122"/>
      <c r="M711" s="207"/>
      <c r="N711" s="207"/>
      <c r="O711" s="122"/>
      <c r="P711" s="205"/>
      <c r="Q711" s="205"/>
      <c r="R711" s="205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</row>
    <row r="712">
      <c r="A712" s="122"/>
      <c r="B712" s="204"/>
      <c r="C712" s="204"/>
      <c r="D712" s="204"/>
      <c r="E712" s="205"/>
      <c r="F712" s="205"/>
      <c r="G712" s="205"/>
      <c r="H712" s="206"/>
      <c r="I712" s="207"/>
      <c r="J712" s="207"/>
      <c r="K712" s="207"/>
      <c r="L712" s="122"/>
      <c r="M712" s="207"/>
      <c r="N712" s="207"/>
      <c r="O712" s="122"/>
      <c r="P712" s="205"/>
      <c r="Q712" s="205"/>
      <c r="R712" s="205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</row>
    <row r="713">
      <c r="A713" s="122"/>
      <c r="B713" s="204"/>
      <c r="C713" s="204"/>
      <c r="D713" s="204"/>
      <c r="E713" s="205"/>
      <c r="F713" s="205"/>
      <c r="G713" s="205"/>
      <c r="H713" s="206"/>
      <c r="I713" s="207"/>
      <c r="J713" s="207"/>
      <c r="K713" s="207"/>
      <c r="L713" s="122"/>
      <c r="M713" s="207"/>
      <c r="N713" s="207"/>
      <c r="O713" s="122"/>
      <c r="P713" s="205"/>
      <c r="Q713" s="205"/>
      <c r="R713" s="205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</row>
    <row r="714">
      <c r="A714" s="122"/>
      <c r="B714" s="204"/>
      <c r="C714" s="204"/>
      <c r="D714" s="204"/>
      <c r="E714" s="205"/>
      <c r="F714" s="205"/>
      <c r="G714" s="205"/>
      <c r="H714" s="206"/>
      <c r="I714" s="207"/>
      <c r="J714" s="207"/>
      <c r="K714" s="207"/>
      <c r="L714" s="122"/>
      <c r="M714" s="207"/>
      <c r="N714" s="207"/>
      <c r="O714" s="122"/>
      <c r="P714" s="205"/>
      <c r="Q714" s="205"/>
      <c r="R714" s="205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</row>
    <row r="715">
      <c r="A715" s="122"/>
      <c r="B715" s="204"/>
      <c r="C715" s="204"/>
      <c r="D715" s="204"/>
      <c r="E715" s="205"/>
      <c r="F715" s="205"/>
      <c r="G715" s="205"/>
      <c r="H715" s="206"/>
      <c r="I715" s="207"/>
      <c r="J715" s="207"/>
      <c r="K715" s="207"/>
      <c r="L715" s="122"/>
      <c r="M715" s="207"/>
      <c r="N715" s="207"/>
      <c r="O715" s="122"/>
      <c r="P715" s="205"/>
      <c r="Q715" s="205"/>
      <c r="R715" s="205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</row>
    <row r="716">
      <c r="A716" s="122"/>
      <c r="B716" s="204"/>
      <c r="C716" s="204"/>
      <c r="D716" s="204"/>
      <c r="E716" s="205"/>
      <c r="F716" s="205"/>
      <c r="G716" s="205"/>
      <c r="H716" s="206"/>
      <c r="I716" s="207"/>
      <c r="J716" s="207"/>
      <c r="K716" s="207"/>
      <c r="L716" s="122"/>
      <c r="M716" s="207"/>
      <c r="N716" s="207"/>
      <c r="O716" s="122"/>
      <c r="P716" s="205"/>
      <c r="Q716" s="205"/>
      <c r="R716" s="205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</row>
    <row r="717">
      <c r="A717" s="122"/>
      <c r="B717" s="204"/>
      <c r="C717" s="204"/>
      <c r="D717" s="204"/>
      <c r="E717" s="205"/>
      <c r="F717" s="205"/>
      <c r="G717" s="205"/>
      <c r="H717" s="206"/>
      <c r="I717" s="207"/>
      <c r="J717" s="207"/>
      <c r="K717" s="207"/>
      <c r="L717" s="122"/>
      <c r="M717" s="207"/>
      <c r="N717" s="207"/>
      <c r="O717" s="122"/>
      <c r="P717" s="205"/>
      <c r="Q717" s="205"/>
      <c r="R717" s="205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</row>
    <row r="718">
      <c r="A718" s="122"/>
      <c r="B718" s="204"/>
      <c r="C718" s="204"/>
      <c r="D718" s="204"/>
      <c r="E718" s="205"/>
      <c r="F718" s="205"/>
      <c r="G718" s="205"/>
      <c r="H718" s="206"/>
      <c r="I718" s="207"/>
      <c r="J718" s="207"/>
      <c r="K718" s="207"/>
      <c r="L718" s="122"/>
      <c r="M718" s="207"/>
      <c r="N718" s="207"/>
      <c r="O718" s="122"/>
      <c r="P718" s="205"/>
      <c r="Q718" s="205"/>
      <c r="R718" s="205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</row>
    <row r="719">
      <c r="A719" s="122"/>
      <c r="B719" s="204"/>
      <c r="C719" s="204"/>
      <c r="D719" s="204"/>
      <c r="E719" s="205"/>
      <c r="F719" s="205"/>
      <c r="G719" s="205"/>
      <c r="H719" s="206"/>
      <c r="I719" s="207"/>
      <c r="J719" s="207"/>
      <c r="K719" s="207"/>
      <c r="L719" s="122"/>
      <c r="M719" s="207"/>
      <c r="N719" s="207"/>
      <c r="O719" s="122"/>
      <c r="P719" s="205"/>
      <c r="Q719" s="205"/>
      <c r="R719" s="205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</row>
    <row r="720">
      <c r="A720" s="122"/>
      <c r="B720" s="204"/>
      <c r="C720" s="204"/>
      <c r="D720" s="204"/>
      <c r="E720" s="205"/>
      <c r="F720" s="205"/>
      <c r="G720" s="205"/>
      <c r="H720" s="206"/>
      <c r="I720" s="207"/>
      <c r="J720" s="207"/>
      <c r="K720" s="207"/>
      <c r="L720" s="122"/>
      <c r="M720" s="207"/>
      <c r="N720" s="207"/>
      <c r="O720" s="122"/>
      <c r="P720" s="205"/>
      <c r="Q720" s="205"/>
      <c r="R720" s="205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</row>
    <row r="721">
      <c r="A721" s="122"/>
      <c r="B721" s="204"/>
      <c r="C721" s="204"/>
      <c r="D721" s="204"/>
      <c r="E721" s="205"/>
      <c r="F721" s="205"/>
      <c r="G721" s="205"/>
      <c r="H721" s="206"/>
      <c r="I721" s="207"/>
      <c r="J721" s="207"/>
      <c r="K721" s="207"/>
      <c r="L721" s="122"/>
      <c r="M721" s="207"/>
      <c r="N721" s="207"/>
      <c r="O721" s="122"/>
      <c r="P721" s="205"/>
      <c r="Q721" s="205"/>
      <c r="R721" s="205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</row>
    <row r="722">
      <c r="A722" s="122"/>
      <c r="B722" s="204"/>
      <c r="C722" s="204"/>
      <c r="D722" s="204"/>
      <c r="E722" s="205"/>
      <c r="F722" s="205"/>
      <c r="G722" s="205"/>
      <c r="H722" s="206"/>
      <c r="I722" s="207"/>
      <c r="J722" s="207"/>
      <c r="K722" s="207"/>
      <c r="L722" s="122"/>
      <c r="M722" s="207"/>
      <c r="N722" s="207"/>
      <c r="O722" s="122"/>
      <c r="P722" s="205"/>
      <c r="Q722" s="205"/>
      <c r="R722" s="205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</row>
    <row r="723">
      <c r="A723" s="122"/>
      <c r="B723" s="204"/>
      <c r="C723" s="204"/>
      <c r="D723" s="204"/>
      <c r="E723" s="205"/>
      <c r="F723" s="205"/>
      <c r="G723" s="205"/>
      <c r="H723" s="206"/>
      <c r="I723" s="207"/>
      <c r="J723" s="207"/>
      <c r="K723" s="207"/>
      <c r="L723" s="122"/>
      <c r="M723" s="207"/>
      <c r="N723" s="207"/>
      <c r="O723" s="122"/>
      <c r="P723" s="205"/>
      <c r="Q723" s="205"/>
      <c r="R723" s="205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</row>
    <row r="724">
      <c r="A724" s="122"/>
      <c r="B724" s="204"/>
      <c r="C724" s="204"/>
      <c r="D724" s="204"/>
      <c r="E724" s="205"/>
      <c r="F724" s="205"/>
      <c r="G724" s="205"/>
      <c r="H724" s="206"/>
      <c r="I724" s="207"/>
      <c r="J724" s="207"/>
      <c r="K724" s="207"/>
      <c r="L724" s="122"/>
      <c r="M724" s="207"/>
      <c r="N724" s="207"/>
      <c r="O724" s="122"/>
      <c r="P724" s="205"/>
      <c r="Q724" s="205"/>
      <c r="R724" s="205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</row>
    <row r="725">
      <c r="A725" s="122"/>
      <c r="B725" s="204"/>
      <c r="C725" s="204"/>
      <c r="D725" s="204"/>
      <c r="E725" s="205"/>
      <c r="F725" s="205"/>
      <c r="G725" s="205"/>
      <c r="H725" s="206"/>
      <c r="I725" s="207"/>
      <c r="J725" s="207"/>
      <c r="K725" s="207"/>
      <c r="L725" s="122"/>
      <c r="M725" s="207"/>
      <c r="N725" s="207"/>
      <c r="O725" s="122"/>
      <c r="P725" s="205"/>
      <c r="Q725" s="205"/>
      <c r="R725" s="205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</row>
    <row r="726">
      <c r="A726" s="122"/>
      <c r="B726" s="204"/>
      <c r="C726" s="204"/>
      <c r="D726" s="204"/>
      <c r="E726" s="205"/>
      <c r="F726" s="205"/>
      <c r="G726" s="205"/>
      <c r="H726" s="206"/>
      <c r="I726" s="207"/>
      <c r="J726" s="207"/>
      <c r="K726" s="207"/>
      <c r="L726" s="122"/>
      <c r="M726" s="207"/>
      <c r="N726" s="207"/>
      <c r="O726" s="122"/>
      <c r="P726" s="205"/>
      <c r="Q726" s="205"/>
      <c r="R726" s="205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</row>
    <row r="727">
      <c r="A727" s="122"/>
      <c r="B727" s="204"/>
      <c r="C727" s="204"/>
      <c r="D727" s="204"/>
      <c r="E727" s="205"/>
      <c r="F727" s="205"/>
      <c r="G727" s="205"/>
      <c r="H727" s="206"/>
      <c r="I727" s="207"/>
      <c r="J727" s="207"/>
      <c r="K727" s="207"/>
      <c r="L727" s="122"/>
      <c r="M727" s="207"/>
      <c r="N727" s="207"/>
      <c r="O727" s="122"/>
      <c r="P727" s="205"/>
      <c r="Q727" s="205"/>
      <c r="R727" s="205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</row>
    <row r="728">
      <c r="A728" s="122"/>
      <c r="B728" s="204"/>
      <c r="C728" s="204"/>
      <c r="D728" s="204"/>
      <c r="E728" s="205"/>
      <c r="F728" s="205"/>
      <c r="G728" s="205"/>
      <c r="H728" s="206"/>
      <c r="I728" s="207"/>
      <c r="J728" s="207"/>
      <c r="K728" s="207"/>
      <c r="L728" s="122"/>
      <c r="M728" s="207"/>
      <c r="N728" s="207"/>
      <c r="O728" s="122"/>
      <c r="P728" s="205"/>
      <c r="Q728" s="205"/>
      <c r="R728" s="205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</row>
    <row r="729">
      <c r="A729" s="122"/>
      <c r="B729" s="204"/>
      <c r="C729" s="204"/>
      <c r="D729" s="204"/>
      <c r="E729" s="205"/>
      <c r="F729" s="205"/>
      <c r="G729" s="205"/>
      <c r="H729" s="206"/>
      <c r="I729" s="207"/>
      <c r="J729" s="207"/>
      <c r="K729" s="207"/>
      <c r="L729" s="122"/>
      <c r="M729" s="207"/>
      <c r="N729" s="207"/>
      <c r="O729" s="122"/>
      <c r="P729" s="205"/>
      <c r="Q729" s="205"/>
      <c r="R729" s="205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</row>
    <row r="730">
      <c r="A730" s="122"/>
      <c r="B730" s="204"/>
      <c r="C730" s="204"/>
      <c r="D730" s="204"/>
      <c r="E730" s="205"/>
      <c r="F730" s="205"/>
      <c r="G730" s="205"/>
      <c r="H730" s="206"/>
      <c r="I730" s="207"/>
      <c r="J730" s="207"/>
      <c r="K730" s="207"/>
      <c r="L730" s="122"/>
      <c r="M730" s="207"/>
      <c r="N730" s="207"/>
      <c r="O730" s="122"/>
      <c r="P730" s="205"/>
      <c r="Q730" s="205"/>
      <c r="R730" s="205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</row>
    <row r="731">
      <c r="A731" s="122"/>
      <c r="B731" s="204"/>
      <c r="C731" s="204"/>
      <c r="D731" s="204"/>
      <c r="E731" s="205"/>
      <c r="F731" s="205"/>
      <c r="G731" s="205"/>
      <c r="H731" s="206"/>
      <c r="I731" s="207"/>
      <c r="J731" s="207"/>
      <c r="K731" s="207"/>
      <c r="L731" s="122"/>
      <c r="M731" s="207"/>
      <c r="N731" s="207"/>
      <c r="O731" s="122"/>
      <c r="P731" s="205"/>
      <c r="Q731" s="205"/>
      <c r="R731" s="205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</row>
    <row r="732">
      <c r="A732" s="122"/>
      <c r="B732" s="204"/>
      <c r="C732" s="204"/>
      <c r="D732" s="204"/>
      <c r="E732" s="205"/>
      <c r="F732" s="205"/>
      <c r="G732" s="205"/>
      <c r="H732" s="206"/>
      <c r="I732" s="207"/>
      <c r="J732" s="207"/>
      <c r="K732" s="207"/>
      <c r="L732" s="122"/>
      <c r="M732" s="207"/>
      <c r="N732" s="207"/>
      <c r="O732" s="122"/>
      <c r="P732" s="205"/>
      <c r="Q732" s="205"/>
      <c r="R732" s="205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</row>
    <row r="733">
      <c r="A733" s="122"/>
      <c r="B733" s="204"/>
      <c r="C733" s="204"/>
      <c r="D733" s="204"/>
      <c r="E733" s="205"/>
      <c r="F733" s="205"/>
      <c r="G733" s="205"/>
      <c r="H733" s="206"/>
      <c r="I733" s="207"/>
      <c r="J733" s="207"/>
      <c r="K733" s="207"/>
      <c r="L733" s="122"/>
      <c r="M733" s="207"/>
      <c r="N733" s="207"/>
      <c r="O733" s="122"/>
      <c r="P733" s="205"/>
      <c r="Q733" s="205"/>
      <c r="R733" s="205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</row>
    <row r="734">
      <c r="A734" s="122"/>
      <c r="B734" s="204"/>
      <c r="C734" s="204"/>
      <c r="D734" s="204"/>
      <c r="E734" s="205"/>
      <c r="F734" s="205"/>
      <c r="G734" s="205"/>
      <c r="H734" s="206"/>
      <c r="I734" s="207"/>
      <c r="J734" s="207"/>
      <c r="K734" s="207"/>
      <c r="L734" s="122"/>
      <c r="M734" s="207"/>
      <c r="N734" s="207"/>
      <c r="O734" s="122"/>
      <c r="P734" s="205"/>
      <c r="Q734" s="205"/>
      <c r="R734" s="205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</row>
    <row r="735">
      <c r="A735" s="122"/>
      <c r="B735" s="204"/>
      <c r="C735" s="204"/>
      <c r="D735" s="204"/>
      <c r="E735" s="205"/>
      <c r="F735" s="205"/>
      <c r="G735" s="205"/>
      <c r="H735" s="206"/>
      <c r="I735" s="207"/>
      <c r="J735" s="207"/>
      <c r="K735" s="207"/>
      <c r="L735" s="122"/>
      <c r="M735" s="207"/>
      <c r="N735" s="207"/>
      <c r="O735" s="122"/>
      <c r="P735" s="205"/>
      <c r="Q735" s="205"/>
      <c r="R735" s="205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</row>
    <row r="736">
      <c r="A736" s="122"/>
      <c r="B736" s="204"/>
      <c r="C736" s="204"/>
      <c r="D736" s="204"/>
      <c r="E736" s="205"/>
      <c r="F736" s="205"/>
      <c r="G736" s="205"/>
      <c r="H736" s="206"/>
      <c r="I736" s="207"/>
      <c r="J736" s="207"/>
      <c r="K736" s="207"/>
      <c r="L736" s="122"/>
      <c r="M736" s="207"/>
      <c r="N736" s="207"/>
      <c r="O736" s="122"/>
      <c r="P736" s="205"/>
      <c r="Q736" s="205"/>
      <c r="R736" s="205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</row>
    <row r="737">
      <c r="A737" s="122"/>
      <c r="B737" s="204"/>
      <c r="C737" s="204"/>
      <c r="D737" s="204"/>
      <c r="E737" s="205"/>
      <c r="F737" s="205"/>
      <c r="G737" s="205"/>
      <c r="H737" s="206"/>
      <c r="I737" s="207"/>
      <c r="J737" s="207"/>
      <c r="K737" s="207"/>
      <c r="L737" s="122"/>
      <c r="M737" s="207"/>
      <c r="N737" s="207"/>
      <c r="O737" s="122"/>
      <c r="P737" s="205"/>
      <c r="Q737" s="205"/>
      <c r="R737" s="205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</row>
    <row r="738">
      <c r="A738" s="122"/>
      <c r="B738" s="204"/>
      <c r="C738" s="204"/>
      <c r="D738" s="204"/>
      <c r="E738" s="205"/>
      <c r="F738" s="205"/>
      <c r="G738" s="205"/>
      <c r="H738" s="206"/>
      <c r="I738" s="207"/>
      <c r="J738" s="207"/>
      <c r="K738" s="207"/>
      <c r="L738" s="122"/>
      <c r="M738" s="207"/>
      <c r="N738" s="207"/>
      <c r="O738" s="122"/>
      <c r="P738" s="205"/>
      <c r="Q738" s="205"/>
      <c r="R738" s="205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</row>
    <row r="739">
      <c r="A739" s="122"/>
      <c r="B739" s="204"/>
      <c r="C739" s="204"/>
      <c r="D739" s="204"/>
      <c r="E739" s="205"/>
      <c r="F739" s="205"/>
      <c r="G739" s="205"/>
      <c r="H739" s="206"/>
      <c r="I739" s="207"/>
      <c r="J739" s="207"/>
      <c r="K739" s="207"/>
      <c r="L739" s="122"/>
      <c r="M739" s="207"/>
      <c r="N739" s="207"/>
      <c r="O739" s="122"/>
      <c r="P739" s="205"/>
      <c r="Q739" s="205"/>
      <c r="R739" s="205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</row>
    <row r="740">
      <c r="A740" s="122"/>
      <c r="B740" s="204"/>
      <c r="C740" s="204"/>
      <c r="D740" s="204"/>
      <c r="E740" s="205"/>
      <c r="F740" s="205"/>
      <c r="G740" s="205"/>
      <c r="H740" s="206"/>
      <c r="I740" s="207"/>
      <c r="J740" s="207"/>
      <c r="K740" s="207"/>
      <c r="L740" s="122"/>
      <c r="M740" s="207"/>
      <c r="N740" s="207"/>
      <c r="O740" s="122"/>
      <c r="P740" s="205"/>
      <c r="Q740" s="205"/>
      <c r="R740" s="205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</row>
    <row r="741">
      <c r="A741" s="122"/>
      <c r="B741" s="204"/>
      <c r="C741" s="204"/>
      <c r="D741" s="204"/>
      <c r="E741" s="205"/>
      <c r="F741" s="205"/>
      <c r="G741" s="205"/>
      <c r="H741" s="206"/>
      <c r="I741" s="207"/>
      <c r="J741" s="207"/>
      <c r="K741" s="207"/>
      <c r="L741" s="122"/>
      <c r="M741" s="207"/>
      <c r="N741" s="207"/>
      <c r="O741" s="122"/>
      <c r="P741" s="205"/>
      <c r="Q741" s="205"/>
      <c r="R741" s="205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</row>
    <row r="742">
      <c r="A742" s="122"/>
      <c r="B742" s="204"/>
      <c r="C742" s="204"/>
      <c r="D742" s="204"/>
      <c r="E742" s="205"/>
      <c r="F742" s="205"/>
      <c r="G742" s="205"/>
      <c r="H742" s="206"/>
      <c r="I742" s="207"/>
      <c r="J742" s="207"/>
      <c r="K742" s="207"/>
      <c r="L742" s="122"/>
      <c r="M742" s="207"/>
      <c r="N742" s="207"/>
      <c r="O742" s="122"/>
      <c r="P742" s="205"/>
      <c r="Q742" s="205"/>
      <c r="R742" s="205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</row>
    <row r="743">
      <c r="A743" s="122"/>
      <c r="B743" s="204"/>
      <c r="C743" s="204"/>
      <c r="D743" s="204"/>
      <c r="E743" s="205"/>
      <c r="F743" s="205"/>
      <c r="G743" s="205"/>
      <c r="H743" s="206"/>
      <c r="I743" s="207"/>
      <c r="J743" s="207"/>
      <c r="K743" s="207"/>
      <c r="L743" s="122"/>
      <c r="M743" s="207"/>
      <c r="N743" s="207"/>
      <c r="O743" s="122"/>
      <c r="P743" s="205"/>
      <c r="Q743" s="205"/>
      <c r="R743" s="205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</row>
    <row r="744">
      <c r="A744" s="122"/>
      <c r="B744" s="204"/>
      <c r="C744" s="204"/>
      <c r="D744" s="204"/>
      <c r="E744" s="205"/>
      <c r="F744" s="205"/>
      <c r="G744" s="205"/>
      <c r="H744" s="206"/>
      <c r="I744" s="207"/>
      <c r="J744" s="207"/>
      <c r="K744" s="207"/>
      <c r="L744" s="122"/>
      <c r="M744" s="207"/>
      <c r="N744" s="207"/>
      <c r="O744" s="122"/>
      <c r="P744" s="205"/>
      <c r="Q744" s="205"/>
      <c r="R744" s="205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</row>
    <row r="745">
      <c r="A745" s="122"/>
      <c r="B745" s="204"/>
      <c r="C745" s="204"/>
      <c r="D745" s="204"/>
      <c r="E745" s="205"/>
      <c r="F745" s="205"/>
      <c r="G745" s="205"/>
      <c r="H745" s="206"/>
      <c r="I745" s="207"/>
      <c r="J745" s="207"/>
      <c r="K745" s="207"/>
      <c r="L745" s="122"/>
      <c r="M745" s="207"/>
      <c r="N745" s="207"/>
      <c r="O745" s="122"/>
      <c r="P745" s="205"/>
      <c r="Q745" s="205"/>
      <c r="R745" s="205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</row>
    <row r="746">
      <c r="A746" s="122"/>
      <c r="B746" s="204"/>
      <c r="C746" s="204"/>
      <c r="D746" s="204"/>
      <c r="E746" s="205"/>
      <c r="F746" s="205"/>
      <c r="G746" s="205"/>
      <c r="H746" s="206"/>
      <c r="I746" s="207"/>
      <c r="J746" s="207"/>
      <c r="K746" s="207"/>
      <c r="L746" s="122"/>
      <c r="M746" s="207"/>
      <c r="N746" s="207"/>
      <c r="O746" s="122"/>
      <c r="P746" s="205"/>
      <c r="Q746" s="205"/>
      <c r="R746" s="205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</row>
    <row r="747">
      <c r="A747" s="122"/>
      <c r="B747" s="204"/>
      <c r="C747" s="204"/>
      <c r="D747" s="204"/>
      <c r="E747" s="205"/>
      <c r="F747" s="205"/>
      <c r="G747" s="205"/>
      <c r="H747" s="206"/>
      <c r="I747" s="207"/>
      <c r="J747" s="207"/>
      <c r="K747" s="207"/>
      <c r="L747" s="122"/>
      <c r="M747" s="207"/>
      <c r="N747" s="207"/>
      <c r="O747" s="122"/>
      <c r="P747" s="205"/>
      <c r="Q747" s="205"/>
      <c r="R747" s="205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</row>
    <row r="748">
      <c r="A748" s="122"/>
      <c r="B748" s="204"/>
      <c r="C748" s="204"/>
      <c r="D748" s="204"/>
      <c r="E748" s="205"/>
      <c r="F748" s="205"/>
      <c r="G748" s="205"/>
      <c r="H748" s="206"/>
      <c r="I748" s="207"/>
      <c r="J748" s="207"/>
      <c r="K748" s="207"/>
      <c r="L748" s="122"/>
      <c r="M748" s="207"/>
      <c r="N748" s="207"/>
      <c r="O748" s="122"/>
      <c r="P748" s="205"/>
      <c r="Q748" s="205"/>
      <c r="R748" s="205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</row>
    <row r="749">
      <c r="A749" s="122"/>
      <c r="B749" s="204"/>
      <c r="C749" s="204"/>
      <c r="D749" s="204"/>
      <c r="E749" s="205"/>
      <c r="F749" s="205"/>
      <c r="G749" s="205"/>
      <c r="H749" s="206"/>
      <c r="I749" s="207"/>
      <c r="J749" s="207"/>
      <c r="K749" s="207"/>
      <c r="L749" s="122"/>
      <c r="M749" s="207"/>
      <c r="N749" s="207"/>
      <c r="O749" s="122"/>
      <c r="P749" s="205"/>
      <c r="Q749" s="205"/>
      <c r="R749" s="205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</row>
    <row r="750">
      <c r="A750" s="122"/>
      <c r="B750" s="204"/>
      <c r="C750" s="204"/>
      <c r="D750" s="204"/>
      <c r="E750" s="205"/>
      <c r="F750" s="205"/>
      <c r="G750" s="205"/>
      <c r="H750" s="206"/>
      <c r="I750" s="207"/>
      <c r="J750" s="207"/>
      <c r="K750" s="207"/>
      <c r="L750" s="122"/>
      <c r="M750" s="207"/>
      <c r="N750" s="207"/>
      <c r="O750" s="122"/>
      <c r="P750" s="205"/>
      <c r="Q750" s="205"/>
      <c r="R750" s="205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</row>
    <row r="751">
      <c r="A751" s="122"/>
      <c r="B751" s="204"/>
      <c r="C751" s="204"/>
      <c r="D751" s="204"/>
      <c r="E751" s="205"/>
      <c r="F751" s="205"/>
      <c r="G751" s="205"/>
      <c r="H751" s="206"/>
      <c r="I751" s="207"/>
      <c r="J751" s="207"/>
      <c r="K751" s="207"/>
      <c r="L751" s="122"/>
      <c r="M751" s="207"/>
      <c r="N751" s="207"/>
      <c r="O751" s="122"/>
      <c r="P751" s="205"/>
      <c r="Q751" s="205"/>
      <c r="R751" s="205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</row>
    <row r="752">
      <c r="A752" s="122"/>
      <c r="B752" s="204"/>
      <c r="C752" s="204"/>
      <c r="D752" s="204"/>
      <c r="E752" s="205"/>
      <c r="F752" s="205"/>
      <c r="G752" s="205"/>
      <c r="H752" s="206"/>
      <c r="I752" s="207"/>
      <c r="J752" s="207"/>
      <c r="K752" s="207"/>
      <c r="L752" s="122"/>
      <c r="M752" s="207"/>
      <c r="N752" s="207"/>
      <c r="O752" s="122"/>
      <c r="P752" s="205"/>
      <c r="Q752" s="205"/>
      <c r="R752" s="205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</row>
    <row r="753">
      <c r="A753" s="122"/>
      <c r="B753" s="204"/>
      <c r="C753" s="204"/>
      <c r="D753" s="204"/>
      <c r="E753" s="205"/>
      <c r="F753" s="205"/>
      <c r="G753" s="205"/>
      <c r="H753" s="206"/>
      <c r="I753" s="207"/>
      <c r="J753" s="207"/>
      <c r="K753" s="207"/>
      <c r="L753" s="122"/>
      <c r="M753" s="207"/>
      <c r="N753" s="207"/>
      <c r="O753" s="122"/>
      <c r="P753" s="205"/>
      <c r="Q753" s="205"/>
      <c r="R753" s="205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</row>
    <row r="754">
      <c r="A754" s="122"/>
      <c r="B754" s="204"/>
      <c r="C754" s="204"/>
      <c r="D754" s="204"/>
      <c r="E754" s="205"/>
      <c r="F754" s="205"/>
      <c r="G754" s="205"/>
      <c r="H754" s="206"/>
      <c r="I754" s="207"/>
      <c r="J754" s="207"/>
      <c r="K754" s="207"/>
      <c r="L754" s="122"/>
      <c r="M754" s="207"/>
      <c r="N754" s="207"/>
      <c r="O754" s="122"/>
      <c r="P754" s="205"/>
      <c r="Q754" s="205"/>
      <c r="R754" s="205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</row>
    <row r="755">
      <c r="A755" s="122"/>
      <c r="B755" s="204"/>
      <c r="C755" s="204"/>
      <c r="D755" s="204"/>
      <c r="E755" s="205"/>
      <c r="F755" s="205"/>
      <c r="G755" s="205"/>
      <c r="H755" s="206"/>
      <c r="I755" s="207"/>
      <c r="J755" s="207"/>
      <c r="K755" s="207"/>
      <c r="L755" s="122"/>
      <c r="M755" s="207"/>
      <c r="N755" s="207"/>
      <c r="O755" s="122"/>
      <c r="P755" s="205"/>
      <c r="Q755" s="205"/>
      <c r="R755" s="205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</row>
    <row r="756">
      <c r="A756" s="122"/>
      <c r="B756" s="204"/>
      <c r="C756" s="204"/>
      <c r="D756" s="204"/>
      <c r="E756" s="205"/>
      <c r="F756" s="205"/>
      <c r="G756" s="205"/>
      <c r="H756" s="206"/>
      <c r="I756" s="207"/>
      <c r="J756" s="207"/>
      <c r="K756" s="207"/>
      <c r="L756" s="122"/>
      <c r="M756" s="207"/>
      <c r="N756" s="207"/>
      <c r="O756" s="122"/>
      <c r="P756" s="205"/>
      <c r="Q756" s="205"/>
      <c r="R756" s="205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</row>
    <row r="757">
      <c r="A757" s="122"/>
      <c r="B757" s="204"/>
      <c r="C757" s="204"/>
      <c r="D757" s="204"/>
      <c r="E757" s="205"/>
      <c r="F757" s="205"/>
      <c r="G757" s="205"/>
      <c r="H757" s="206"/>
      <c r="I757" s="207"/>
      <c r="J757" s="207"/>
      <c r="K757" s="207"/>
      <c r="L757" s="122"/>
      <c r="M757" s="207"/>
      <c r="N757" s="207"/>
      <c r="O757" s="122"/>
      <c r="P757" s="205"/>
      <c r="Q757" s="205"/>
      <c r="R757" s="205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</row>
    <row r="758">
      <c r="A758" s="122"/>
      <c r="B758" s="204"/>
      <c r="C758" s="204"/>
      <c r="D758" s="204"/>
      <c r="E758" s="205"/>
      <c r="F758" s="205"/>
      <c r="G758" s="205"/>
      <c r="H758" s="206"/>
      <c r="I758" s="207"/>
      <c r="J758" s="207"/>
      <c r="K758" s="207"/>
      <c r="L758" s="122"/>
      <c r="M758" s="207"/>
      <c r="N758" s="207"/>
      <c r="O758" s="122"/>
      <c r="P758" s="205"/>
      <c r="Q758" s="205"/>
      <c r="R758" s="205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</row>
    <row r="759">
      <c r="A759" s="122"/>
      <c r="B759" s="204"/>
      <c r="C759" s="204"/>
      <c r="D759" s="204"/>
      <c r="E759" s="205"/>
      <c r="F759" s="205"/>
      <c r="G759" s="205"/>
      <c r="H759" s="206"/>
      <c r="I759" s="207"/>
      <c r="J759" s="207"/>
      <c r="K759" s="207"/>
      <c r="L759" s="122"/>
      <c r="M759" s="207"/>
      <c r="N759" s="207"/>
      <c r="O759" s="122"/>
      <c r="P759" s="205"/>
      <c r="Q759" s="205"/>
      <c r="R759" s="205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</row>
    <row r="760">
      <c r="A760" s="122"/>
      <c r="B760" s="204"/>
      <c r="C760" s="204"/>
      <c r="D760" s="204"/>
      <c r="E760" s="205"/>
      <c r="F760" s="205"/>
      <c r="G760" s="205"/>
      <c r="H760" s="206"/>
      <c r="I760" s="207"/>
      <c r="J760" s="207"/>
      <c r="K760" s="207"/>
      <c r="L760" s="122"/>
      <c r="M760" s="207"/>
      <c r="N760" s="207"/>
      <c r="O760" s="122"/>
      <c r="P760" s="205"/>
      <c r="Q760" s="205"/>
      <c r="R760" s="205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</row>
    <row r="761">
      <c r="A761" s="122"/>
      <c r="B761" s="204"/>
      <c r="C761" s="204"/>
      <c r="D761" s="204"/>
      <c r="E761" s="205"/>
      <c r="F761" s="205"/>
      <c r="G761" s="205"/>
      <c r="H761" s="206"/>
      <c r="I761" s="207"/>
      <c r="J761" s="207"/>
      <c r="K761" s="207"/>
      <c r="L761" s="122"/>
      <c r="M761" s="207"/>
      <c r="N761" s="207"/>
      <c r="O761" s="122"/>
      <c r="P761" s="205"/>
      <c r="Q761" s="205"/>
      <c r="R761" s="205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</row>
    <row r="762">
      <c r="A762" s="122"/>
      <c r="B762" s="204"/>
      <c r="C762" s="204"/>
      <c r="D762" s="204"/>
      <c r="E762" s="205"/>
      <c r="F762" s="205"/>
      <c r="G762" s="205"/>
      <c r="H762" s="206"/>
      <c r="I762" s="207"/>
      <c r="J762" s="207"/>
      <c r="K762" s="207"/>
      <c r="L762" s="122"/>
      <c r="M762" s="207"/>
      <c r="N762" s="207"/>
      <c r="O762" s="122"/>
      <c r="P762" s="205"/>
      <c r="Q762" s="205"/>
      <c r="R762" s="205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</row>
    <row r="763">
      <c r="A763" s="122"/>
      <c r="B763" s="204"/>
      <c r="C763" s="204"/>
      <c r="D763" s="204"/>
      <c r="E763" s="205"/>
      <c r="F763" s="205"/>
      <c r="G763" s="205"/>
      <c r="H763" s="206"/>
      <c r="I763" s="207"/>
      <c r="J763" s="207"/>
      <c r="K763" s="207"/>
      <c r="L763" s="122"/>
      <c r="M763" s="207"/>
      <c r="N763" s="207"/>
      <c r="O763" s="122"/>
      <c r="P763" s="205"/>
      <c r="Q763" s="205"/>
      <c r="R763" s="205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</row>
    <row r="764">
      <c r="A764" s="122"/>
      <c r="B764" s="204"/>
      <c r="C764" s="204"/>
      <c r="D764" s="204"/>
      <c r="E764" s="205"/>
      <c r="F764" s="205"/>
      <c r="G764" s="205"/>
      <c r="H764" s="206"/>
      <c r="I764" s="207"/>
      <c r="J764" s="207"/>
      <c r="K764" s="207"/>
      <c r="L764" s="122"/>
      <c r="M764" s="207"/>
      <c r="N764" s="207"/>
      <c r="O764" s="122"/>
      <c r="P764" s="205"/>
      <c r="Q764" s="205"/>
      <c r="R764" s="205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</row>
    <row r="765">
      <c r="A765" s="122"/>
      <c r="B765" s="204"/>
      <c r="C765" s="204"/>
      <c r="D765" s="204"/>
      <c r="E765" s="205"/>
      <c r="F765" s="205"/>
      <c r="G765" s="205"/>
      <c r="H765" s="206"/>
      <c r="I765" s="207"/>
      <c r="J765" s="207"/>
      <c r="K765" s="207"/>
      <c r="L765" s="122"/>
      <c r="M765" s="207"/>
      <c r="N765" s="207"/>
      <c r="O765" s="122"/>
      <c r="P765" s="205"/>
      <c r="Q765" s="205"/>
      <c r="R765" s="205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</row>
    <row r="766">
      <c r="A766" s="122"/>
      <c r="B766" s="204"/>
      <c r="C766" s="204"/>
      <c r="D766" s="204"/>
      <c r="E766" s="205"/>
      <c r="F766" s="205"/>
      <c r="G766" s="205"/>
      <c r="H766" s="206"/>
      <c r="I766" s="207"/>
      <c r="J766" s="207"/>
      <c r="K766" s="207"/>
      <c r="L766" s="122"/>
      <c r="M766" s="207"/>
      <c r="N766" s="207"/>
      <c r="O766" s="122"/>
      <c r="P766" s="205"/>
      <c r="Q766" s="205"/>
      <c r="R766" s="205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</row>
    <row r="767">
      <c r="A767" s="122"/>
      <c r="B767" s="204"/>
      <c r="C767" s="204"/>
      <c r="D767" s="204"/>
      <c r="E767" s="205"/>
      <c r="F767" s="205"/>
      <c r="G767" s="205"/>
      <c r="H767" s="206"/>
      <c r="I767" s="207"/>
      <c r="J767" s="207"/>
      <c r="K767" s="207"/>
      <c r="L767" s="122"/>
      <c r="M767" s="207"/>
      <c r="N767" s="207"/>
      <c r="O767" s="122"/>
      <c r="P767" s="205"/>
      <c r="Q767" s="205"/>
      <c r="R767" s="205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</row>
    <row r="768">
      <c r="A768" s="122"/>
      <c r="B768" s="204"/>
      <c r="C768" s="204"/>
      <c r="D768" s="204"/>
      <c r="E768" s="205"/>
      <c r="F768" s="205"/>
      <c r="G768" s="205"/>
      <c r="H768" s="206"/>
      <c r="I768" s="207"/>
      <c r="J768" s="207"/>
      <c r="K768" s="207"/>
      <c r="L768" s="122"/>
      <c r="M768" s="207"/>
      <c r="N768" s="207"/>
      <c r="O768" s="122"/>
      <c r="P768" s="205"/>
      <c r="Q768" s="205"/>
      <c r="R768" s="205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</row>
    <row r="769">
      <c r="A769" s="122"/>
      <c r="B769" s="204"/>
      <c r="C769" s="204"/>
      <c r="D769" s="204"/>
      <c r="E769" s="205"/>
      <c r="F769" s="205"/>
      <c r="G769" s="205"/>
      <c r="H769" s="206"/>
      <c r="I769" s="207"/>
      <c r="J769" s="207"/>
      <c r="K769" s="207"/>
      <c r="L769" s="122"/>
      <c r="M769" s="207"/>
      <c r="N769" s="207"/>
      <c r="O769" s="122"/>
      <c r="P769" s="205"/>
      <c r="Q769" s="205"/>
      <c r="R769" s="205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</row>
    <row r="770">
      <c r="A770" s="122"/>
      <c r="B770" s="204"/>
      <c r="C770" s="204"/>
      <c r="D770" s="204"/>
      <c r="E770" s="205"/>
      <c r="F770" s="205"/>
      <c r="G770" s="205"/>
      <c r="H770" s="206"/>
      <c r="I770" s="207"/>
      <c r="J770" s="207"/>
      <c r="K770" s="207"/>
      <c r="L770" s="122"/>
      <c r="M770" s="207"/>
      <c r="N770" s="207"/>
      <c r="O770" s="122"/>
      <c r="P770" s="205"/>
      <c r="Q770" s="205"/>
      <c r="R770" s="205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</row>
    <row r="771">
      <c r="A771" s="122"/>
      <c r="B771" s="204"/>
      <c r="C771" s="204"/>
      <c r="D771" s="204"/>
      <c r="E771" s="205"/>
      <c r="F771" s="205"/>
      <c r="G771" s="205"/>
      <c r="H771" s="206"/>
      <c r="I771" s="207"/>
      <c r="J771" s="207"/>
      <c r="K771" s="207"/>
      <c r="L771" s="122"/>
      <c r="M771" s="207"/>
      <c r="N771" s="207"/>
      <c r="O771" s="122"/>
      <c r="P771" s="205"/>
      <c r="Q771" s="205"/>
      <c r="R771" s="205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</row>
    <row r="772">
      <c r="A772" s="122"/>
      <c r="B772" s="204"/>
      <c r="C772" s="204"/>
      <c r="D772" s="204"/>
      <c r="E772" s="205"/>
      <c r="F772" s="205"/>
      <c r="G772" s="205"/>
      <c r="H772" s="206"/>
      <c r="I772" s="207"/>
      <c r="J772" s="207"/>
      <c r="K772" s="207"/>
      <c r="L772" s="122"/>
      <c r="M772" s="207"/>
      <c r="N772" s="207"/>
      <c r="O772" s="122"/>
      <c r="P772" s="205"/>
      <c r="Q772" s="205"/>
      <c r="R772" s="205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</row>
    <row r="773">
      <c r="A773" s="122"/>
      <c r="B773" s="204"/>
      <c r="C773" s="204"/>
      <c r="D773" s="204"/>
      <c r="E773" s="205"/>
      <c r="F773" s="205"/>
      <c r="G773" s="205"/>
      <c r="H773" s="206"/>
      <c r="I773" s="207"/>
      <c r="J773" s="207"/>
      <c r="K773" s="207"/>
      <c r="L773" s="122"/>
      <c r="M773" s="207"/>
      <c r="N773" s="207"/>
      <c r="O773" s="122"/>
      <c r="P773" s="205"/>
      <c r="Q773" s="205"/>
      <c r="R773" s="205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</row>
    <row r="774">
      <c r="A774" s="122"/>
      <c r="B774" s="204"/>
      <c r="C774" s="204"/>
      <c r="D774" s="204"/>
      <c r="E774" s="205"/>
      <c r="F774" s="205"/>
      <c r="G774" s="205"/>
      <c r="H774" s="206"/>
      <c r="I774" s="207"/>
      <c r="J774" s="207"/>
      <c r="K774" s="207"/>
      <c r="L774" s="122"/>
      <c r="M774" s="207"/>
      <c r="N774" s="207"/>
      <c r="O774" s="122"/>
      <c r="P774" s="205"/>
      <c r="Q774" s="205"/>
      <c r="R774" s="205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</row>
    <row r="775">
      <c r="A775" s="122"/>
      <c r="B775" s="204"/>
      <c r="C775" s="204"/>
      <c r="D775" s="204"/>
      <c r="E775" s="205"/>
      <c r="F775" s="205"/>
      <c r="G775" s="205"/>
      <c r="H775" s="206"/>
      <c r="I775" s="207"/>
      <c r="J775" s="207"/>
      <c r="K775" s="207"/>
      <c r="L775" s="122"/>
      <c r="M775" s="207"/>
      <c r="N775" s="207"/>
      <c r="O775" s="122"/>
      <c r="P775" s="205"/>
      <c r="Q775" s="205"/>
      <c r="R775" s="205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</row>
    <row r="776">
      <c r="A776" s="122"/>
      <c r="B776" s="204"/>
      <c r="C776" s="204"/>
      <c r="D776" s="204"/>
      <c r="E776" s="205"/>
      <c r="F776" s="205"/>
      <c r="G776" s="205"/>
      <c r="H776" s="206"/>
      <c r="I776" s="207"/>
      <c r="J776" s="207"/>
      <c r="K776" s="207"/>
      <c r="L776" s="122"/>
      <c r="M776" s="207"/>
      <c r="N776" s="207"/>
      <c r="O776" s="122"/>
      <c r="P776" s="205"/>
      <c r="Q776" s="205"/>
      <c r="R776" s="205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</row>
    <row r="777">
      <c r="A777" s="122"/>
      <c r="B777" s="204"/>
      <c r="C777" s="204"/>
      <c r="D777" s="204"/>
      <c r="E777" s="205"/>
      <c r="F777" s="205"/>
      <c r="G777" s="205"/>
      <c r="H777" s="206"/>
      <c r="I777" s="207"/>
      <c r="J777" s="207"/>
      <c r="K777" s="207"/>
      <c r="L777" s="122"/>
      <c r="M777" s="207"/>
      <c r="N777" s="207"/>
      <c r="O777" s="122"/>
      <c r="P777" s="205"/>
      <c r="Q777" s="205"/>
      <c r="R777" s="205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</row>
    <row r="778">
      <c r="A778" s="122"/>
      <c r="B778" s="204"/>
      <c r="C778" s="204"/>
      <c r="D778" s="204"/>
      <c r="E778" s="205"/>
      <c r="F778" s="205"/>
      <c r="G778" s="205"/>
      <c r="H778" s="206"/>
      <c r="I778" s="207"/>
      <c r="J778" s="207"/>
      <c r="K778" s="207"/>
      <c r="L778" s="122"/>
      <c r="M778" s="207"/>
      <c r="N778" s="207"/>
      <c r="O778" s="122"/>
      <c r="P778" s="205"/>
      <c r="Q778" s="205"/>
      <c r="R778" s="205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</row>
    <row r="779">
      <c r="A779" s="122"/>
      <c r="B779" s="204"/>
      <c r="C779" s="204"/>
      <c r="D779" s="204"/>
      <c r="E779" s="205"/>
      <c r="F779" s="205"/>
      <c r="G779" s="205"/>
      <c r="H779" s="206"/>
      <c r="I779" s="207"/>
      <c r="J779" s="207"/>
      <c r="K779" s="207"/>
      <c r="L779" s="122"/>
      <c r="M779" s="207"/>
      <c r="N779" s="207"/>
      <c r="O779" s="122"/>
      <c r="P779" s="205"/>
      <c r="Q779" s="205"/>
      <c r="R779" s="205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</row>
    <row r="780">
      <c r="A780" s="122"/>
      <c r="B780" s="204"/>
      <c r="C780" s="204"/>
      <c r="D780" s="204"/>
      <c r="E780" s="205"/>
      <c r="F780" s="205"/>
      <c r="G780" s="205"/>
      <c r="H780" s="206"/>
      <c r="I780" s="207"/>
      <c r="J780" s="207"/>
      <c r="K780" s="207"/>
      <c r="L780" s="122"/>
      <c r="M780" s="207"/>
      <c r="N780" s="207"/>
      <c r="O780" s="122"/>
      <c r="P780" s="205"/>
      <c r="Q780" s="205"/>
      <c r="R780" s="205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</row>
    <row r="781">
      <c r="A781" s="122"/>
      <c r="B781" s="204"/>
      <c r="C781" s="204"/>
      <c r="D781" s="204"/>
      <c r="E781" s="205"/>
      <c r="F781" s="205"/>
      <c r="G781" s="205"/>
      <c r="H781" s="206"/>
      <c r="I781" s="207"/>
      <c r="J781" s="207"/>
      <c r="K781" s="207"/>
      <c r="L781" s="122"/>
      <c r="M781" s="207"/>
      <c r="N781" s="207"/>
      <c r="O781" s="122"/>
      <c r="P781" s="205"/>
      <c r="Q781" s="205"/>
      <c r="R781" s="205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</row>
    <row r="782">
      <c r="A782" s="122"/>
      <c r="B782" s="204"/>
      <c r="C782" s="204"/>
      <c r="D782" s="204"/>
      <c r="E782" s="205"/>
      <c r="F782" s="205"/>
      <c r="G782" s="205"/>
      <c r="H782" s="206"/>
      <c r="I782" s="207"/>
      <c r="J782" s="207"/>
      <c r="K782" s="207"/>
      <c r="L782" s="122"/>
      <c r="M782" s="207"/>
      <c r="N782" s="207"/>
      <c r="O782" s="122"/>
      <c r="P782" s="205"/>
      <c r="Q782" s="205"/>
      <c r="R782" s="205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</row>
    <row r="783">
      <c r="A783" s="122"/>
      <c r="B783" s="204"/>
      <c r="C783" s="204"/>
      <c r="D783" s="204"/>
      <c r="E783" s="205"/>
      <c r="F783" s="205"/>
      <c r="G783" s="205"/>
      <c r="H783" s="206"/>
      <c r="I783" s="207"/>
      <c r="J783" s="207"/>
      <c r="K783" s="207"/>
      <c r="L783" s="122"/>
      <c r="M783" s="207"/>
      <c r="N783" s="207"/>
      <c r="O783" s="122"/>
      <c r="P783" s="205"/>
      <c r="Q783" s="205"/>
      <c r="R783" s="205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</row>
    <row r="784">
      <c r="A784" s="122"/>
      <c r="B784" s="204"/>
      <c r="C784" s="204"/>
      <c r="D784" s="204"/>
      <c r="E784" s="205"/>
      <c r="F784" s="205"/>
      <c r="G784" s="205"/>
      <c r="H784" s="206"/>
      <c r="I784" s="207"/>
      <c r="J784" s="207"/>
      <c r="K784" s="207"/>
      <c r="L784" s="122"/>
      <c r="M784" s="207"/>
      <c r="N784" s="207"/>
      <c r="O784" s="122"/>
      <c r="P784" s="205"/>
      <c r="Q784" s="205"/>
      <c r="R784" s="205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</row>
    <row r="785">
      <c r="A785" s="122"/>
      <c r="B785" s="204"/>
      <c r="C785" s="204"/>
      <c r="D785" s="204"/>
      <c r="E785" s="205"/>
      <c r="F785" s="205"/>
      <c r="G785" s="205"/>
      <c r="H785" s="206"/>
      <c r="I785" s="207"/>
      <c r="J785" s="207"/>
      <c r="K785" s="207"/>
      <c r="L785" s="122"/>
      <c r="M785" s="207"/>
      <c r="N785" s="207"/>
      <c r="O785" s="122"/>
      <c r="P785" s="205"/>
      <c r="Q785" s="205"/>
      <c r="R785" s="205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</row>
    <row r="786">
      <c r="A786" s="122"/>
      <c r="B786" s="204"/>
      <c r="C786" s="204"/>
      <c r="D786" s="204"/>
      <c r="E786" s="205"/>
      <c r="F786" s="205"/>
      <c r="G786" s="205"/>
      <c r="H786" s="206"/>
      <c r="I786" s="207"/>
      <c r="J786" s="207"/>
      <c r="K786" s="207"/>
      <c r="L786" s="122"/>
      <c r="M786" s="207"/>
      <c r="N786" s="207"/>
      <c r="O786" s="122"/>
      <c r="P786" s="205"/>
      <c r="Q786" s="205"/>
      <c r="R786" s="205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</row>
    <row r="787">
      <c r="A787" s="122"/>
      <c r="B787" s="204"/>
      <c r="C787" s="204"/>
      <c r="D787" s="204"/>
      <c r="E787" s="205"/>
      <c r="F787" s="205"/>
      <c r="G787" s="205"/>
      <c r="H787" s="206"/>
      <c r="I787" s="207"/>
      <c r="J787" s="207"/>
      <c r="K787" s="207"/>
      <c r="L787" s="122"/>
      <c r="M787" s="207"/>
      <c r="N787" s="207"/>
      <c r="O787" s="122"/>
      <c r="P787" s="205"/>
      <c r="Q787" s="205"/>
      <c r="R787" s="205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</row>
    <row r="788">
      <c r="A788" s="122"/>
      <c r="B788" s="204"/>
      <c r="C788" s="204"/>
      <c r="D788" s="204"/>
      <c r="E788" s="205"/>
      <c r="F788" s="205"/>
      <c r="G788" s="205"/>
      <c r="H788" s="206"/>
      <c r="I788" s="207"/>
      <c r="J788" s="207"/>
      <c r="K788" s="207"/>
      <c r="L788" s="122"/>
      <c r="M788" s="207"/>
      <c r="N788" s="207"/>
      <c r="O788" s="122"/>
      <c r="P788" s="205"/>
      <c r="Q788" s="205"/>
      <c r="R788" s="205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</row>
    <row r="789">
      <c r="A789" s="122"/>
      <c r="B789" s="204"/>
      <c r="C789" s="204"/>
      <c r="D789" s="204"/>
      <c r="E789" s="205"/>
      <c r="F789" s="205"/>
      <c r="G789" s="205"/>
      <c r="H789" s="206"/>
      <c r="I789" s="207"/>
      <c r="J789" s="207"/>
      <c r="K789" s="207"/>
      <c r="L789" s="122"/>
      <c r="M789" s="207"/>
      <c r="N789" s="207"/>
      <c r="O789" s="122"/>
      <c r="P789" s="205"/>
      <c r="Q789" s="205"/>
      <c r="R789" s="205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</row>
    <row r="790">
      <c r="A790" s="122"/>
      <c r="B790" s="204"/>
      <c r="C790" s="204"/>
      <c r="D790" s="204"/>
      <c r="E790" s="205"/>
      <c r="F790" s="205"/>
      <c r="G790" s="205"/>
      <c r="H790" s="206"/>
      <c r="I790" s="207"/>
      <c r="J790" s="207"/>
      <c r="K790" s="207"/>
      <c r="L790" s="122"/>
      <c r="M790" s="207"/>
      <c r="N790" s="207"/>
      <c r="O790" s="122"/>
      <c r="P790" s="205"/>
      <c r="Q790" s="205"/>
      <c r="R790" s="205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</row>
    <row r="791">
      <c r="A791" s="122"/>
      <c r="B791" s="204"/>
      <c r="C791" s="204"/>
      <c r="D791" s="204"/>
      <c r="E791" s="205"/>
      <c r="F791" s="205"/>
      <c r="G791" s="205"/>
      <c r="H791" s="206"/>
      <c r="I791" s="207"/>
      <c r="J791" s="207"/>
      <c r="K791" s="207"/>
      <c r="L791" s="122"/>
      <c r="M791" s="207"/>
      <c r="N791" s="207"/>
      <c r="O791" s="122"/>
      <c r="P791" s="205"/>
      <c r="Q791" s="205"/>
      <c r="R791" s="205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</row>
    <row r="792">
      <c r="A792" s="122"/>
      <c r="B792" s="204"/>
      <c r="C792" s="204"/>
      <c r="D792" s="204"/>
      <c r="E792" s="205"/>
      <c r="F792" s="205"/>
      <c r="G792" s="205"/>
      <c r="H792" s="206"/>
      <c r="I792" s="207"/>
      <c r="J792" s="207"/>
      <c r="K792" s="207"/>
      <c r="L792" s="122"/>
      <c r="M792" s="207"/>
      <c r="N792" s="207"/>
      <c r="O792" s="122"/>
      <c r="P792" s="205"/>
      <c r="Q792" s="205"/>
      <c r="R792" s="205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</row>
    <row r="793">
      <c r="A793" s="122"/>
      <c r="B793" s="204"/>
      <c r="C793" s="204"/>
      <c r="D793" s="204"/>
      <c r="E793" s="205"/>
      <c r="F793" s="205"/>
      <c r="G793" s="205"/>
      <c r="H793" s="206"/>
      <c r="I793" s="207"/>
      <c r="J793" s="207"/>
      <c r="K793" s="207"/>
      <c r="L793" s="122"/>
      <c r="M793" s="207"/>
      <c r="N793" s="207"/>
      <c r="O793" s="122"/>
      <c r="P793" s="205"/>
      <c r="Q793" s="205"/>
      <c r="R793" s="205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</row>
    <row r="794">
      <c r="A794" s="122"/>
      <c r="B794" s="204"/>
      <c r="C794" s="204"/>
      <c r="D794" s="204"/>
      <c r="E794" s="205"/>
      <c r="F794" s="205"/>
      <c r="G794" s="205"/>
      <c r="H794" s="206"/>
      <c r="I794" s="207"/>
      <c r="J794" s="207"/>
      <c r="K794" s="207"/>
      <c r="L794" s="122"/>
      <c r="M794" s="207"/>
      <c r="N794" s="207"/>
      <c r="O794" s="122"/>
      <c r="P794" s="205"/>
      <c r="Q794" s="205"/>
      <c r="R794" s="205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</row>
    <row r="795">
      <c r="A795" s="122"/>
      <c r="B795" s="204"/>
      <c r="C795" s="204"/>
      <c r="D795" s="204"/>
      <c r="E795" s="205"/>
      <c r="F795" s="205"/>
      <c r="G795" s="205"/>
      <c r="H795" s="206"/>
      <c r="I795" s="207"/>
      <c r="J795" s="207"/>
      <c r="K795" s="207"/>
      <c r="L795" s="122"/>
      <c r="M795" s="207"/>
      <c r="N795" s="207"/>
      <c r="O795" s="122"/>
      <c r="P795" s="205"/>
      <c r="Q795" s="205"/>
      <c r="R795" s="205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</row>
    <row r="796">
      <c r="A796" s="122"/>
      <c r="B796" s="204"/>
      <c r="C796" s="204"/>
      <c r="D796" s="204"/>
      <c r="E796" s="205"/>
      <c r="F796" s="205"/>
      <c r="G796" s="205"/>
      <c r="H796" s="206"/>
      <c r="I796" s="207"/>
      <c r="J796" s="207"/>
      <c r="K796" s="207"/>
      <c r="L796" s="122"/>
      <c r="M796" s="207"/>
      <c r="N796" s="207"/>
      <c r="O796" s="122"/>
      <c r="P796" s="205"/>
      <c r="Q796" s="205"/>
      <c r="R796" s="205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</row>
    <row r="797">
      <c r="A797" s="122"/>
      <c r="B797" s="204"/>
      <c r="C797" s="204"/>
      <c r="D797" s="204"/>
      <c r="E797" s="205"/>
      <c r="F797" s="205"/>
      <c r="G797" s="205"/>
      <c r="H797" s="206"/>
      <c r="I797" s="207"/>
      <c r="J797" s="207"/>
      <c r="K797" s="207"/>
      <c r="L797" s="122"/>
      <c r="M797" s="207"/>
      <c r="N797" s="207"/>
      <c r="O797" s="122"/>
      <c r="P797" s="205"/>
      <c r="Q797" s="205"/>
      <c r="R797" s="205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</row>
    <row r="798">
      <c r="A798" s="122"/>
      <c r="B798" s="204"/>
      <c r="C798" s="204"/>
      <c r="D798" s="204"/>
      <c r="E798" s="205"/>
      <c r="F798" s="205"/>
      <c r="G798" s="205"/>
      <c r="H798" s="206"/>
      <c r="I798" s="207"/>
      <c r="J798" s="207"/>
      <c r="K798" s="207"/>
      <c r="L798" s="122"/>
      <c r="M798" s="207"/>
      <c r="N798" s="207"/>
      <c r="O798" s="122"/>
      <c r="P798" s="205"/>
      <c r="Q798" s="205"/>
      <c r="R798" s="205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</row>
    <row r="799">
      <c r="A799" s="122"/>
      <c r="B799" s="204"/>
      <c r="C799" s="204"/>
      <c r="D799" s="204"/>
      <c r="E799" s="205"/>
      <c r="F799" s="205"/>
      <c r="G799" s="205"/>
      <c r="H799" s="206"/>
      <c r="I799" s="207"/>
      <c r="J799" s="207"/>
      <c r="K799" s="207"/>
      <c r="L799" s="122"/>
      <c r="M799" s="207"/>
      <c r="N799" s="207"/>
      <c r="O799" s="122"/>
      <c r="P799" s="205"/>
      <c r="Q799" s="205"/>
      <c r="R799" s="205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</row>
    <row r="800">
      <c r="A800" s="122"/>
      <c r="B800" s="204"/>
      <c r="C800" s="204"/>
      <c r="D800" s="204"/>
      <c r="E800" s="205"/>
      <c r="F800" s="205"/>
      <c r="G800" s="205"/>
      <c r="H800" s="206"/>
      <c r="I800" s="207"/>
      <c r="J800" s="207"/>
      <c r="K800" s="207"/>
      <c r="L800" s="122"/>
      <c r="M800" s="207"/>
      <c r="N800" s="207"/>
      <c r="O800" s="122"/>
      <c r="P800" s="205"/>
      <c r="Q800" s="205"/>
      <c r="R800" s="205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</row>
    <row r="801">
      <c r="A801" s="122"/>
      <c r="B801" s="204"/>
      <c r="C801" s="204"/>
      <c r="D801" s="204"/>
      <c r="E801" s="205"/>
      <c r="F801" s="205"/>
      <c r="G801" s="205"/>
      <c r="H801" s="206"/>
      <c r="I801" s="207"/>
      <c r="J801" s="207"/>
      <c r="K801" s="207"/>
      <c r="L801" s="122"/>
      <c r="M801" s="207"/>
      <c r="N801" s="207"/>
      <c r="O801" s="122"/>
      <c r="P801" s="205"/>
      <c r="Q801" s="205"/>
      <c r="R801" s="205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</row>
    <row r="802">
      <c r="A802" s="122"/>
      <c r="B802" s="204"/>
      <c r="C802" s="204"/>
      <c r="D802" s="204"/>
      <c r="E802" s="205"/>
      <c r="F802" s="205"/>
      <c r="G802" s="205"/>
      <c r="H802" s="206"/>
      <c r="I802" s="207"/>
      <c r="J802" s="207"/>
      <c r="K802" s="207"/>
      <c r="L802" s="122"/>
      <c r="M802" s="207"/>
      <c r="N802" s="207"/>
      <c r="O802" s="122"/>
      <c r="P802" s="205"/>
      <c r="Q802" s="205"/>
      <c r="R802" s="205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</row>
    <row r="803">
      <c r="A803" s="122"/>
      <c r="B803" s="204"/>
      <c r="C803" s="204"/>
      <c r="D803" s="204"/>
      <c r="E803" s="205"/>
      <c r="F803" s="205"/>
      <c r="G803" s="205"/>
      <c r="H803" s="206"/>
      <c r="I803" s="207"/>
      <c r="J803" s="207"/>
      <c r="K803" s="207"/>
      <c r="L803" s="122"/>
      <c r="M803" s="207"/>
      <c r="N803" s="207"/>
      <c r="O803" s="122"/>
      <c r="P803" s="205"/>
      <c r="Q803" s="205"/>
      <c r="R803" s="205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</row>
    <row r="804">
      <c r="A804" s="122"/>
      <c r="B804" s="204"/>
      <c r="C804" s="204"/>
      <c r="D804" s="204"/>
      <c r="E804" s="205"/>
      <c r="F804" s="205"/>
      <c r="G804" s="205"/>
      <c r="H804" s="206"/>
      <c r="I804" s="207"/>
      <c r="J804" s="207"/>
      <c r="K804" s="207"/>
      <c r="L804" s="122"/>
      <c r="M804" s="207"/>
      <c r="N804" s="207"/>
      <c r="O804" s="122"/>
      <c r="P804" s="205"/>
      <c r="Q804" s="205"/>
      <c r="R804" s="205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</row>
    <row r="805">
      <c r="A805" s="122"/>
      <c r="B805" s="204"/>
      <c r="C805" s="204"/>
      <c r="D805" s="204"/>
      <c r="E805" s="205"/>
      <c r="F805" s="205"/>
      <c r="G805" s="205"/>
      <c r="H805" s="206"/>
      <c r="I805" s="207"/>
      <c r="J805" s="207"/>
      <c r="K805" s="207"/>
      <c r="L805" s="122"/>
      <c r="M805" s="207"/>
      <c r="N805" s="207"/>
      <c r="O805" s="122"/>
      <c r="P805" s="205"/>
      <c r="Q805" s="205"/>
      <c r="R805" s="205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</row>
    <row r="806">
      <c r="A806" s="122"/>
      <c r="B806" s="204"/>
      <c r="C806" s="204"/>
      <c r="D806" s="204"/>
      <c r="E806" s="205"/>
      <c r="F806" s="205"/>
      <c r="G806" s="205"/>
      <c r="H806" s="206"/>
      <c r="I806" s="207"/>
      <c r="J806" s="207"/>
      <c r="K806" s="207"/>
      <c r="L806" s="122"/>
      <c r="M806" s="207"/>
      <c r="N806" s="207"/>
      <c r="O806" s="122"/>
      <c r="P806" s="205"/>
      <c r="Q806" s="205"/>
      <c r="R806" s="205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</row>
    <row r="807">
      <c r="A807" s="122"/>
      <c r="B807" s="204"/>
      <c r="C807" s="204"/>
      <c r="D807" s="204"/>
      <c r="E807" s="205"/>
      <c r="F807" s="205"/>
      <c r="G807" s="205"/>
      <c r="H807" s="206"/>
      <c r="I807" s="207"/>
      <c r="J807" s="207"/>
      <c r="K807" s="207"/>
      <c r="L807" s="122"/>
      <c r="M807" s="207"/>
      <c r="N807" s="207"/>
      <c r="O807" s="122"/>
      <c r="P807" s="205"/>
      <c r="Q807" s="205"/>
      <c r="R807" s="205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</row>
    <row r="808">
      <c r="A808" s="122"/>
      <c r="B808" s="204"/>
      <c r="C808" s="204"/>
      <c r="D808" s="204"/>
      <c r="E808" s="205"/>
      <c r="F808" s="205"/>
      <c r="G808" s="205"/>
      <c r="H808" s="206"/>
      <c r="I808" s="207"/>
      <c r="J808" s="207"/>
      <c r="K808" s="207"/>
      <c r="L808" s="122"/>
      <c r="M808" s="207"/>
      <c r="N808" s="207"/>
      <c r="O808" s="122"/>
      <c r="P808" s="205"/>
      <c r="Q808" s="205"/>
      <c r="R808" s="205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</row>
    <row r="809">
      <c r="A809" s="122"/>
      <c r="B809" s="204"/>
      <c r="C809" s="204"/>
      <c r="D809" s="204"/>
      <c r="E809" s="205"/>
      <c r="F809" s="205"/>
      <c r="G809" s="205"/>
      <c r="H809" s="206"/>
      <c r="I809" s="207"/>
      <c r="J809" s="207"/>
      <c r="K809" s="207"/>
      <c r="L809" s="122"/>
      <c r="M809" s="207"/>
      <c r="N809" s="207"/>
      <c r="O809" s="122"/>
      <c r="P809" s="205"/>
      <c r="Q809" s="205"/>
      <c r="R809" s="205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</row>
    <row r="810">
      <c r="A810" s="122"/>
      <c r="B810" s="204"/>
      <c r="C810" s="204"/>
      <c r="D810" s="204"/>
      <c r="E810" s="205"/>
      <c r="F810" s="205"/>
      <c r="G810" s="205"/>
      <c r="H810" s="206"/>
      <c r="I810" s="207"/>
      <c r="J810" s="207"/>
      <c r="K810" s="207"/>
      <c r="L810" s="122"/>
      <c r="M810" s="207"/>
      <c r="N810" s="207"/>
      <c r="O810" s="122"/>
      <c r="P810" s="205"/>
      <c r="Q810" s="205"/>
      <c r="R810" s="205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</row>
    <row r="811">
      <c r="A811" s="122"/>
      <c r="B811" s="204"/>
      <c r="C811" s="204"/>
      <c r="D811" s="204"/>
      <c r="E811" s="205"/>
      <c r="F811" s="205"/>
      <c r="G811" s="205"/>
      <c r="H811" s="206"/>
      <c r="I811" s="207"/>
      <c r="J811" s="207"/>
      <c r="K811" s="207"/>
      <c r="L811" s="122"/>
      <c r="M811" s="207"/>
      <c r="N811" s="207"/>
      <c r="O811" s="122"/>
      <c r="P811" s="205"/>
      <c r="Q811" s="205"/>
      <c r="R811" s="205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</row>
    <row r="812">
      <c r="A812" s="122"/>
      <c r="B812" s="204"/>
      <c r="C812" s="204"/>
      <c r="D812" s="204"/>
      <c r="E812" s="205"/>
      <c r="F812" s="205"/>
      <c r="G812" s="205"/>
      <c r="H812" s="206"/>
      <c r="I812" s="207"/>
      <c r="J812" s="207"/>
      <c r="K812" s="207"/>
      <c r="L812" s="122"/>
      <c r="M812" s="207"/>
      <c r="N812" s="207"/>
      <c r="O812" s="122"/>
      <c r="P812" s="205"/>
      <c r="Q812" s="205"/>
      <c r="R812" s="205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</row>
    <row r="813">
      <c r="A813" s="122"/>
      <c r="B813" s="204"/>
      <c r="C813" s="204"/>
      <c r="D813" s="204"/>
      <c r="E813" s="205"/>
      <c r="F813" s="205"/>
      <c r="G813" s="205"/>
      <c r="H813" s="206"/>
      <c r="I813" s="207"/>
      <c r="J813" s="207"/>
      <c r="K813" s="207"/>
      <c r="L813" s="122"/>
      <c r="M813" s="207"/>
      <c r="N813" s="207"/>
      <c r="O813" s="122"/>
      <c r="P813" s="205"/>
      <c r="Q813" s="205"/>
      <c r="R813" s="205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</row>
    <row r="814">
      <c r="A814" s="122"/>
      <c r="B814" s="204"/>
      <c r="C814" s="204"/>
      <c r="D814" s="204"/>
      <c r="E814" s="205"/>
      <c r="F814" s="205"/>
      <c r="G814" s="205"/>
      <c r="H814" s="206"/>
      <c r="I814" s="207"/>
      <c r="J814" s="207"/>
      <c r="K814" s="207"/>
      <c r="L814" s="122"/>
      <c r="M814" s="207"/>
      <c r="N814" s="207"/>
      <c r="O814" s="122"/>
      <c r="P814" s="205"/>
      <c r="Q814" s="205"/>
      <c r="R814" s="205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</row>
    <row r="815">
      <c r="A815" s="122"/>
      <c r="B815" s="204"/>
      <c r="C815" s="204"/>
      <c r="D815" s="204"/>
      <c r="E815" s="205"/>
      <c r="F815" s="205"/>
      <c r="G815" s="205"/>
      <c r="H815" s="206"/>
      <c r="I815" s="207"/>
      <c r="J815" s="207"/>
      <c r="K815" s="207"/>
      <c r="L815" s="122"/>
      <c r="M815" s="207"/>
      <c r="N815" s="207"/>
      <c r="O815" s="122"/>
      <c r="P815" s="205"/>
      <c r="Q815" s="205"/>
      <c r="R815" s="205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</row>
    <row r="816">
      <c r="A816" s="122"/>
      <c r="B816" s="204"/>
      <c r="C816" s="204"/>
      <c r="D816" s="204"/>
      <c r="E816" s="205"/>
      <c r="F816" s="205"/>
      <c r="G816" s="205"/>
      <c r="H816" s="206"/>
      <c r="I816" s="207"/>
      <c r="J816" s="207"/>
      <c r="K816" s="207"/>
      <c r="L816" s="122"/>
      <c r="M816" s="207"/>
      <c r="N816" s="207"/>
      <c r="O816" s="122"/>
      <c r="P816" s="205"/>
      <c r="Q816" s="205"/>
      <c r="R816" s="205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</row>
    <row r="817">
      <c r="A817" s="122"/>
      <c r="B817" s="204"/>
      <c r="C817" s="204"/>
      <c r="D817" s="204"/>
      <c r="E817" s="205"/>
      <c r="F817" s="205"/>
      <c r="G817" s="205"/>
      <c r="H817" s="206"/>
      <c r="I817" s="207"/>
      <c r="J817" s="207"/>
      <c r="K817" s="207"/>
      <c r="L817" s="122"/>
      <c r="M817" s="207"/>
      <c r="N817" s="207"/>
      <c r="O817" s="122"/>
      <c r="P817" s="205"/>
      <c r="Q817" s="205"/>
      <c r="R817" s="205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</row>
    <row r="818">
      <c r="A818" s="122"/>
      <c r="B818" s="204"/>
      <c r="C818" s="204"/>
      <c r="D818" s="204"/>
      <c r="E818" s="205"/>
      <c r="F818" s="205"/>
      <c r="G818" s="205"/>
      <c r="H818" s="206"/>
      <c r="I818" s="207"/>
      <c r="J818" s="207"/>
      <c r="K818" s="207"/>
      <c r="L818" s="122"/>
      <c r="M818" s="207"/>
      <c r="N818" s="207"/>
      <c r="O818" s="122"/>
      <c r="P818" s="205"/>
      <c r="Q818" s="205"/>
      <c r="R818" s="205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</row>
    <row r="819">
      <c r="A819" s="122"/>
      <c r="B819" s="204"/>
      <c r="C819" s="204"/>
      <c r="D819" s="204"/>
      <c r="E819" s="205"/>
      <c r="F819" s="205"/>
      <c r="G819" s="205"/>
      <c r="H819" s="206"/>
      <c r="I819" s="207"/>
      <c r="J819" s="207"/>
      <c r="K819" s="207"/>
      <c r="L819" s="122"/>
      <c r="M819" s="207"/>
      <c r="N819" s="207"/>
      <c r="O819" s="122"/>
      <c r="P819" s="205"/>
      <c r="Q819" s="205"/>
      <c r="R819" s="205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</row>
    <row r="820">
      <c r="A820" s="122"/>
      <c r="B820" s="204"/>
      <c r="C820" s="204"/>
      <c r="D820" s="204"/>
      <c r="E820" s="205"/>
      <c r="F820" s="205"/>
      <c r="G820" s="205"/>
      <c r="H820" s="206"/>
      <c r="I820" s="207"/>
      <c r="J820" s="207"/>
      <c r="K820" s="207"/>
      <c r="L820" s="122"/>
      <c r="M820" s="207"/>
      <c r="N820" s="207"/>
      <c r="O820" s="122"/>
      <c r="P820" s="205"/>
      <c r="Q820" s="205"/>
      <c r="R820" s="205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</row>
    <row r="821">
      <c r="A821" s="122"/>
      <c r="B821" s="204"/>
      <c r="C821" s="204"/>
      <c r="D821" s="204"/>
      <c r="E821" s="205"/>
      <c r="F821" s="205"/>
      <c r="G821" s="205"/>
      <c r="H821" s="206"/>
      <c r="I821" s="207"/>
      <c r="J821" s="207"/>
      <c r="K821" s="207"/>
      <c r="L821" s="122"/>
      <c r="M821" s="207"/>
      <c r="N821" s="207"/>
      <c r="O821" s="122"/>
      <c r="P821" s="205"/>
      <c r="Q821" s="205"/>
      <c r="R821" s="205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</row>
    <row r="822">
      <c r="A822" s="122"/>
      <c r="B822" s="204"/>
      <c r="C822" s="204"/>
      <c r="D822" s="204"/>
      <c r="E822" s="205"/>
      <c r="F822" s="205"/>
      <c r="G822" s="205"/>
      <c r="H822" s="206"/>
      <c r="I822" s="207"/>
      <c r="J822" s="207"/>
      <c r="K822" s="207"/>
      <c r="L822" s="122"/>
      <c r="M822" s="207"/>
      <c r="N822" s="207"/>
      <c r="O822" s="122"/>
      <c r="P822" s="205"/>
      <c r="Q822" s="205"/>
      <c r="R822" s="205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</row>
    <row r="823">
      <c r="A823" s="122"/>
      <c r="B823" s="204"/>
      <c r="C823" s="204"/>
      <c r="D823" s="204"/>
      <c r="E823" s="205"/>
      <c r="F823" s="205"/>
      <c r="G823" s="205"/>
      <c r="H823" s="206"/>
      <c r="I823" s="207"/>
      <c r="J823" s="207"/>
      <c r="K823" s="207"/>
      <c r="L823" s="122"/>
      <c r="M823" s="207"/>
      <c r="N823" s="207"/>
      <c r="O823" s="122"/>
      <c r="P823" s="205"/>
      <c r="Q823" s="205"/>
      <c r="R823" s="205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</row>
    <row r="824">
      <c r="A824" s="122"/>
      <c r="B824" s="204"/>
      <c r="C824" s="204"/>
      <c r="D824" s="204"/>
      <c r="E824" s="205"/>
      <c r="F824" s="205"/>
      <c r="G824" s="205"/>
      <c r="H824" s="206"/>
      <c r="I824" s="207"/>
      <c r="J824" s="207"/>
      <c r="K824" s="207"/>
      <c r="L824" s="122"/>
      <c r="M824" s="207"/>
      <c r="N824" s="207"/>
      <c r="O824" s="122"/>
      <c r="P824" s="205"/>
      <c r="Q824" s="205"/>
      <c r="R824" s="205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</row>
    <row r="825">
      <c r="A825" s="122"/>
      <c r="B825" s="204"/>
      <c r="C825" s="204"/>
      <c r="D825" s="204"/>
      <c r="E825" s="205"/>
      <c r="F825" s="205"/>
      <c r="G825" s="205"/>
      <c r="H825" s="206"/>
      <c r="I825" s="207"/>
      <c r="J825" s="207"/>
      <c r="K825" s="207"/>
      <c r="L825" s="122"/>
      <c r="M825" s="207"/>
      <c r="N825" s="207"/>
      <c r="O825" s="122"/>
      <c r="P825" s="205"/>
      <c r="Q825" s="205"/>
      <c r="R825" s="205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</row>
    <row r="826">
      <c r="A826" s="122"/>
      <c r="B826" s="204"/>
      <c r="C826" s="204"/>
      <c r="D826" s="204"/>
      <c r="E826" s="205"/>
      <c r="F826" s="205"/>
      <c r="G826" s="205"/>
      <c r="H826" s="206"/>
      <c r="I826" s="207"/>
      <c r="J826" s="207"/>
      <c r="K826" s="207"/>
      <c r="L826" s="122"/>
      <c r="M826" s="207"/>
      <c r="N826" s="207"/>
      <c r="O826" s="122"/>
      <c r="P826" s="205"/>
      <c r="Q826" s="205"/>
      <c r="R826" s="205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</row>
    <row r="827">
      <c r="A827" s="122"/>
      <c r="B827" s="204"/>
      <c r="C827" s="204"/>
      <c r="D827" s="204"/>
      <c r="E827" s="205"/>
      <c r="F827" s="205"/>
      <c r="G827" s="205"/>
      <c r="H827" s="206"/>
      <c r="I827" s="207"/>
      <c r="J827" s="207"/>
      <c r="K827" s="207"/>
      <c r="L827" s="122"/>
      <c r="M827" s="207"/>
      <c r="N827" s="207"/>
      <c r="O827" s="122"/>
      <c r="P827" s="205"/>
      <c r="Q827" s="205"/>
      <c r="R827" s="205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</row>
    <row r="828">
      <c r="A828" s="122"/>
      <c r="B828" s="204"/>
      <c r="C828" s="204"/>
      <c r="D828" s="204"/>
      <c r="E828" s="205"/>
      <c r="F828" s="205"/>
      <c r="G828" s="205"/>
      <c r="H828" s="206"/>
      <c r="I828" s="207"/>
      <c r="J828" s="207"/>
      <c r="K828" s="207"/>
      <c r="L828" s="122"/>
      <c r="M828" s="207"/>
      <c r="N828" s="207"/>
      <c r="O828" s="122"/>
      <c r="P828" s="205"/>
      <c r="Q828" s="205"/>
      <c r="R828" s="205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</row>
    <row r="829">
      <c r="A829" s="122"/>
      <c r="B829" s="204"/>
      <c r="C829" s="204"/>
      <c r="D829" s="204"/>
      <c r="E829" s="205"/>
      <c r="F829" s="205"/>
      <c r="G829" s="205"/>
      <c r="H829" s="206"/>
      <c r="I829" s="207"/>
      <c r="J829" s="207"/>
      <c r="K829" s="207"/>
      <c r="L829" s="122"/>
      <c r="M829" s="207"/>
      <c r="N829" s="207"/>
      <c r="O829" s="122"/>
      <c r="P829" s="205"/>
      <c r="Q829" s="205"/>
      <c r="R829" s="205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</row>
    <row r="830">
      <c r="A830" s="122"/>
      <c r="B830" s="204"/>
      <c r="C830" s="204"/>
      <c r="D830" s="204"/>
      <c r="E830" s="205"/>
      <c r="F830" s="205"/>
      <c r="G830" s="205"/>
      <c r="H830" s="206"/>
      <c r="I830" s="207"/>
      <c r="J830" s="207"/>
      <c r="K830" s="207"/>
      <c r="L830" s="122"/>
      <c r="M830" s="207"/>
      <c r="N830" s="207"/>
      <c r="O830" s="122"/>
      <c r="P830" s="205"/>
      <c r="Q830" s="205"/>
      <c r="R830" s="205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</row>
    <row r="831">
      <c r="A831" s="122"/>
      <c r="B831" s="204"/>
      <c r="C831" s="204"/>
      <c r="D831" s="204"/>
      <c r="E831" s="205"/>
      <c r="F831" s="205"/>
      <c r="G831" s="205"/>
      <c r="H831" s="206"/>
      <c r="I831" s="207"/>
      <c r="J831" s="207"/>
      <c r="K831" s="207"/>
      <c r="L831" s="122"/>
      <c r="M831" s="207"/>
      <c r="N831" s="207"/>
      <c r="O831" s="122"/>
      <c r="P831" s="205"/>
      <c r="Q831" s="205"/>
      <c r="R831" s="205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</row>
    <row r="832">
      <c r="A832" s="122"/>
      <c r="B832" s="204"/>
      <c r="C832" s="204"/>
      <c r="D832" s="204"/>
      <c r="E832" s="205"/>
      <c r="F832" s="205"/>
      <c r="G832" s="205"/>
      <c r="H832" s="206"/>
      <c r="I832" s="207"/>
      <c r="J832" s="207"/>
      <c r="K832" s="207"/>
      <c r="L832" s="122"/>
      <c r="M832" s="207"/>
      <c r="N832" s="207"/>
      <c r="O832" s="122"/>
      <c r="P832" s="205"/>
      <c r="Q832" s="205"/>
      <c r="R832" s="205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</row>
    <row r="833">
      <c r="A833" s="122"/>
      <c r="B833" s="204"/>
      <c r="C833" s="204"/>
      <c r="D833" s="204"/>
      <c r="E833" s="205"/>
      <c r="F833" s="205"/>
      <c r="G833" s="205"/>
      <c r="H833" s="206"/>
      <c r="I833" s="207"/>
      <c r="J833" s="207"/>
      <c r="K833" s="207"/>
      <c r="L833" s="122"/>
      <c r="M833" s="207"/>
      <c r="N833" s="207"/>
      <c r="O833" s="122"/>
      <c r="P833" s="205"/>
      <c r="Q833" s="205"/>
      <c r="R833" s="205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</row>
    <row r="834">
      <c r="A834" s="122"/>
      <c r="B834" s="204"/>
      <c r="C834" s="204"/>
      <c r="D834" s="204"/>
      <c r="E834" s="205"/>
      <c r="F834" s="205"/>
      <c r="G834" s="205"/>
      <c r="H834" s="206"/>
      <c r="I834" s="207"/>
      <c r="J834" s="207"/>
      <c r="K834" s="207"/>
      <c r="L834" s="122"/>
      <c r="M834" s="207"/>
      <c r="N834" s="207"/>
      <c r="O834" s="122"/>
      <c r="P834" s="205"/>
      <c r="Q834" s="205"/>
      <c r="R834" s="205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</row>
    <row r="835">
      <c r="A835" s="122"/>
      <c r="B835" s="204"/>
      <c r="C835" s="204"/>
      <c r="D835" s="204"/>
      <c r="E835" s="205"/>
      <c r="F835" s="205"/>
      <c r="G835" s="205"/>
      <c r="H835" s="206"/>
      <c r="I835" s="207"/>
      <c r="J835" s="207"/>
      <c r="K835" s="207"/>
      <c r="L835" s="122"/>
      <c r="M835" s="207"/>
      <c r="N835" s="207"/>
      <c r="O835" s="122"/>
      <c r="P835" s="205"/>
      <c r="Q835" s="205"/>
      <c r="R835" s="205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</row>
    <row r="836">
      <c r="A836" s="122"/>
      <c r="B836" s="204"/>
      <c r="C836" s="204"/>
      <c r="D836" s="204"/>
      <c r="E836" s="205"/>
      <c r="F836" s="205"/>
      <c r="G836" s="205"/>
      <c r="H836" s="206"/>
      <c r="I836" s="207"/>
      <c r="J836" s="207"/>
      <c r="K836" s="207"/>
      <c r="L836" s="122"/>
      <c r="M836" s="207"/>
      <c r="N836" s="207"/>
      <c r="O836" s="122"/>
      <c r="P836" s="205"/>
      <c r="Q836" s="205"/>
      <c r="R836" s="205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</row>
    <row r="837">
      <c r="A837" s="122"/>
      <c r="B837" s="204"/>
      <c r="C837" s="204"/>
      <c r="D837" s="204"/>
      <c r="E837" s="205"/>
      <c r="F837" s="205"/>
      <c r="G837" s="205"/>
      <c r="H837" s="206"/>
      <c r="I837" s="207"/>
      <c r="J837" s="207"/>
      <c r="K837" s="207"/>
      <c r="L837" s="122"/>
      <c r="M837" s="207"/>
      <c r="N837" s="207"/>
      <c r="O837" s="122"/>
      <c r="P837" s="205"/>
      <c r="Q837" s="205"/>
      <c r="R837" s="205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</row>
    <row r="838">
      <c r="A838" s="122"/>
      <c r="B838" s="204"/>
      <c r="C838" s="204"/>
      <c r="D838" s="204"/>
      <c r="E838" s="205"/>
      <c r="F838" s="205"/>
      <c r="G838" s="205"/>
      <c r="H838" s="206"/>
      <c r="I838" s="207"/>
      <c r="J838" s="207"/>
      <c r="K838" s="207"/>
      <c r="L838" s="122"/>
      <c r="M838" s="207"/>
      <c r="N838" s="207"/>
      <c r="O838" s="122"/>
      <c r="P838" s="205"/>
      <c r="Q838" s="205"/>
      <c r="R838" s="205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</row>
    <row r="839">
      <c r="A839" s="122"/>
      <c r="B839" s="204"/>
      <c r="C839" s="204"/>
      <c r="D839" s="204"/>
      <c r="E839" s="205"/>
      <c r="F839" s="205"/>
      <c r="G839" s="205"/>
      <c r="H839" s="206"/>
      <c r="I839" s="207"/>
      <c r="J839" s="207"/>
      <c r="K839" s="207"/>
      <c r="L839" s="122"/>
      <c r="M839" s="207"/>
      <c r="N839" s="207"/>
      <c r="O839" s="122"/>
      <c r="P839" s="205"/>
      <c r="Q839" s="205"/>
      <c r="R839" s="205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</row>
    <row r="840">
      <c r="A840" s="122"/>
      <c r="B840" s="204"/>
      <c r="C840" s="204"/>
      <c r="D840" s="204"/>
      <c r="E840" s="205"/>
      <c r="F840" s="205"/>
      <c r="G840" s="205"/>
      <c r="H840" s="206"/>
      <c r="I840" s="207"/>
      <c r="J840" s="207"/>
      <c r="K840" s="207"/>
      <c r="L840" s="122"/>
      <c r="M840" s="207"/>
      <c r="N840" s="207"/>
      <c r="O840" s="122"/>
      <c r="P840" s="205"/>
      <c r="Q840" s="205"/>
      <c r="R840" s="205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</row>
    <row r="841">
      <c r="A841" s="122"/>
      <c r="B841" s="204"/>
      <c r="C841" s="204"/>
      <c r="D841" s="204"/>
      <c r="E841" s="205"/>
      <c r="F841" s="205"/>
      <c r="G841" s="205"/>
      <c r="H841" s="206"/>
      <c r="I841" s="207"/>
      <c r="J841" s="207"/>
      <c r="K841" s="207"/>
      <c r="L841" s="122"/>
      <c r="M841" s="207"/>
      <c r="N841" s="207"/>
      <c r="O841" s="122"/>
      <c r="P841" s="205"/>
      <c r="Q841" s="205"/>
      <c r="R841" s="205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</row>
    <row r="842">
      <c r="A842" s="122"/>
      <c r="B842" s="204"/>
      <c r="C842" s="204"/>
      <c r="D842" s="204"/>
      <c r="E842" s="205"/>
      <c r="F842" s="205"/>
      <c r="G842" s="205"/>
      <c r="H842" s="206"/>
      <c r="I842" s="207"/>
      <c r="J842" s="207"/>
      <c r="K842" s="207"/>
      <c r="L842" s="122"/>
      <c r="M842" s="207"/>
      <c r="N842" s="207"/>
      <c r="O842" s="122"/>
      <c r="P842" s="205"/>
      <c r="Q842" s="205"/>
      <c r="R842" s="205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</row>
    <row r="843">
      <c r="A843" s="122"/>
      <c r="B843" s="204"/>
      <c r="C843" s="204"/>
      <c r="D843" s="204"/>
      <c r="E843" s="205"/>
      <c r="F843" s="205"/>
      <c r="G843" s="205"/>
      <c r="H843" s="206"/>
      <c r="I843" s="207"/>
      <c r="J843" s="207"/>
      <c r="K843" s="207"/>
      <c r="L843" s="122"/>
      <c r="M843" s="207"/>
      <c r="N843" s="207"/>
      <c r="O843" s="122"/>
      <c r="P843" s="205"/>
      <c r="Q843" s="205"/>
      <c r="R843" s="205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</row>
    <row r="844">
      <c r="A844" s="122"/>
      <c r="B844" s="204"/>
      <c r="C844" s="204"/>
      <c r="D844" s="204"/>
      <c r="E844" s="205"/>
      <c r="F844" s="205"/>
      <c r="G844" s="205"/>
      <c r="H844" s="206"/>
      <c r="I844" s="207"/>
      <c r="J844" s="207"/>
      <c r="K844" s="207"/>
      <c r="L844" s="122"/>
      <c r="M844" s="207"/>
      <c r="N844" s="207"/>
      <c r="O844" s="122"/>
      <c r="P844" s="205"/>
      <c r="Q844" s="205"/>
      <c r="R844" s="205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</row>
    <row r="845">
      <c r="A845" s="122"/>
      <c r="B845" s="204"/>
      <c r="C845" s="204"/>
      <c r="D845" s="204"/>
      <c r="E845" s="205"/>
      <c r="F845" s="205"/>
      <c r="G845" s="205"/>
      <c r="H845" s="206"/>
      <c r="I845" s="207"/>
      <c r="J845" s="207"/>
      <c r="K845" s="207"/>
      <c r="L845" s="122"/>
      <c r="M845" s="207"/>
      <c r="N845" s="207"/>
      <c r="O845" s="122"/>
      <c r="P845" s="205"/>
      <c r="Q845" s="205"/>
      <c r="R845" s="205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</row>
    <row r="846">
      <c r="A846" s="122"/>
      <c r="B846" s="204"/>
      <c r="C846" s="204"/>
      <c r="D846" s="204"/>
      <c r="E846" s="205"/>
      <c r="F846" s="205"/>
      <c r="G846" s="205"/>
      <c r="H846" s="206"/>
      <c r="I846" s="207"/>
      <c r="J846" s="207"/>
      <c r="K846" s="207"/>
      <c r="L846" s="122"/>
      <c r="M846" s="207"/>
      <c r="N846" s="207"/>
      <c r="O846" s="122"/>
      <c r="P846" s="205"/>
      <c r="Q846" s="205"/>
      <c r="R846" s="205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</row>
    <row r="847">
      <c r="A847" s="122"/>
      <c r="B847" s="204"/>
      <c r="C847" s="204"/>
      <c r="D847" s="204"/>
      <c r="E847" s="205"/>
      <c r="F847" s="205"/>
      <c r="G847" s="205"/>
      <c r="H847" s="206"/>
      <c r="I847" s="207"/>
      <c r="J847" s="207"/>
      <c r="K847" s="207"/>
      <c r="L847" s="122"/>
      <c r="M847" s="207"/>
      <c r="N847" s="207"/>
      <c r="O847" s="122"/>
      <c r="P847" s="205"/>
      <c r="Q847" s="205"/>
      <c r="R847" s="205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</row>
    <row r="848">
      <c r="A848" s="122"/>
      <c r="B848" s="204"/>
      <c r="C848" s="204"/>
      <c r="D848" s="204"/>
      <c r="E848" s="205"/>
      <c r="F848" s="205"/>
      <c r="G848" s="205"/>
      <c r="H848" s="206"/>
      <c r="I848" s="207"/>
      <c r="J848" s="207"/>
      <c r="K848" s="207"/>
      <c r="L848" s="122"/>
      <c r="M848" s="207"/>
      <c r="N848" s="207"/>
      <c r="O848" s="122"/>
      <c r="P848" s="205"/>
      <c r="Q848" s="205"/>
      <c r="R848" s="205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</row>
    <row r="849">
      <c r="A849" s="122"/>
      <c r="B849" s="204"/>
      <c r="C849" s="204"/>
      <c r="D849" s="204"/>
      <c r="E849" s="205"/>
      <c r="F849" s="205"/>
      <c r="G849" s="205"/>
      <c r="H849" s="206"/>
      <c r="I849" s="207"/>
      <c r="J849" s="207"/>
      <c r="K849" s="207"/>
      <c r="L849" s="122"/>
      <c r="M849" s="207"/>
      <c r="N849" s="207"/>
      <c r="O849" s="122"/>
      <c r="P849" s="205"/>
      <c r="Q849" s="205"/>
      <c r="R849" s="205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</row>
    <row r="850">
      <c r="A850" s="122"/>
      <c r="B850" s="204"/>
      <c r="C850" s="204"/>
      <c r="D850" s="204"/>
      <c r="E850" s="205"/>
      <c r="F850" s="205"/>
      <c r="G850" s="205"/>
      <c r="H850" s="206"/>
      <c r="I850" s="207"/>
      <c r="J850" s="207"/>
      <c r="K850" s="207"/>
      <c r="L850" s="122"/>
      <c r="M850" s="207"/>
      <c r="N850" s="207"/>
      <c r="O850" s="122"/>
      <c r="P850" s="205"/>
      <c r="Q850" s="205"/>
      <c r="R850" s="205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</row>
    <row r="851">
      <c r="A851" s="122"/>
      <c r="B851" s="204"/>
      <c r="C851" s="204"/>
      <c r="D851" s="204"/>
      <c r="E851" s="205"/>
      <c r="F851" s="205"/>
      <c r="G851" s="205"/>
      <c r="H851" s="206"/>
      <c r="I851" s="207"/>
      <c r="J851" s="207"/>
      <c r="K851" s="207"/>
      <c r="L851" s="122"/>
      <c r="M851" s="207"/>
      <c r="N851" s="207"/>
      <c r="O851" s="122"/>
      <c r="P851" s="205"/>
      <c r="Q851" s="205"/>
      <c r="R851" s="205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</row>
    <row r="852">
      <c r="A852" s="122"/>
      <c r="B852" s="204"/>
      <c r="C852" s="204"/>
      <c r="D852" s="204"/>
      <c r="E852" s="205"/>
      <c r="F852" s="205"/>
      <c r="G852" s="205"/>
      <c r="H852" s="206"/>
      <c r="I852" s="207"/>
      <c r="J852" s="207"/>
      <c r="K852" s="207"/>
      <c r="L852" s="122"/>
      <c r="M852" s="207"/>
      <c r="N852" s="207"/>
      <c r="O852" s="122"/>
      <c r="P852" s="205"/>
      <c r="Q852" s="205"/>
      <c r="R852" s="205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</row>
    <row r="853">
      <c r="A853" s="122"/>
      <c r="B853" s="204"/>
      <c r="C853" s="204"/>
      <c r="D853" s="204"/>
      <c r="E853" s="205"/>
      <c r="F853" s="205"/>
      <c r="G853" s="205"/>
      <c r="H853" s="206"/>
      <c r="I853" s="207"/>
      <c r="J853" s="207"/>
      <c r="K853" s="207"/>
      <c r="L853" s="122"/>
      <c r="M853" s="207"/>
      <c r="N853" s="207"/>
      <c r="O853" s="122"/>
      <c r="P853" s="205"/>
      <c r="Q853" s="205"/>
      <c r="R853" s="205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</row>
    <row r="854">
      <c r="A854" s="122"/>
      <c r="B854" s="204"/>
      <c r="C854" s="204"/>
      <c r="D854" s="204"/>
      <c r="E854" s="205"/>
      <c r="F854" s="205"/>
      <c r="G854" s="205"/>
      <c r="H854" s="206"/>
      <c r="I854" s="207"/>
      <c r="J854" s="207"/>
      <c r="K854" s="207"/>
      <c r="L854" s="122"/>
      <c r="M854" s="207"/>
      <c r="N854" s="207"/>
      <c r="O854" s="122"/>
      <c r="P854" s="205"/>
      <c r="Q854" s="205"/>
      <c r="R854" s="205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</row>
    <row r="855">
      <c r="A855" s="122"/>
      <c r="B855" s="204"/>
      <c r="C855" s="204"/>
      <c r="D855" s="204"/>
      <c r="E855" s="205"/>
      <c r="F855" s="205"/>
      <c r="G855" s="205"/>
      <c r="H855" s="206"/>
      <c r="I855" s="207"/>
      <c r="J855" s="207"/>
      <c r="K855" s="207"/>
      <c r="L855" s="122"/>
      <c r="M855" s="207"/>
      <c r="N855" s="207"/>
      <c r="O855" s="122"/>
      <c r="P855" s="205"/>
      <c r="Q855" s="205"/>
      <c r="R855" s="205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</row>
    <row r="856">
      <c r="A856" s="122"/>
      <c r="B856" s="204"/>
      <c r="C856" s="204"/>
      <c r="D856" s="204"/>
      <c r="E856" s="205"/>
      <c r="F856" s="205"/>
      <c r="G856" s="205"/>
      <c r="H856" s="206"/>
      <c r="I856" s="207"/>
      <c r="J856" s="207"/>
      <c r="K856" s="207"/>
      <c r="L856" s="122"/>
      <c r="M856" s="207"/>
      <c r="N856" s="207"/>
      <c r="O856" s="122"/>
      <c r="P856" s="205"/>
      <c r="Q856" s="205"/>
      <c r="R856" s="205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</row>
    <row r="857">
      <c r="A857" s="122"/>
      <c r="B857" s="204"/>
      <c r="C857" s="204"/>
      <c r="D857" s="204"/>
      <c r="E857" s="205"/>
      <c r="F857" s="205"/>
      <c r="G857" s="205"/>
      <c r="H857" s="206"/>
      <c r="I857" s="207"/>
      <c r="J857" s="207"/>
      <c r="K857" s="207"/>
      <c r="L857" s="122"/>
      <c r="M857" s="207"/>
      <c r="N857" s="207"/>
      <c r="O857" s="122"/>
      <c r="P857" s="205"/>
      <c r="Q857" s="205"/>
      <c r="R857" s="205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</row>
    <row r="858">
      <c r="A858" s="122"/>
      <c r="B858" s="204"/>
      <c r="C858" s="204"/>
      <c r="D858" s="204"/>
      <c r="E858" s="205"/>
      <c r="F858" s="205"/>
      <c r="G858" s="205"/>
      <c r="H858" s="206"/>
      <c r="I858" s="207"/>
      <c r="J858" s="207"/>
      <c r="K858" s="207"/>
      <c r="L858" s="122"/>
      <c r="M858" s="207"/>
      <c r="N858" s="207"/>
      <c r="O858" s="122"/>
      <c r="P858" s="205"/>
      <c r="Q858" s="205"/>
      <c r="R858" s="205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</row>
    <row r="859">
      <c r="A859" s="122"/>
      <c r="B859" s="204"/>
      <c r="C859" s="204"/>
      <c r="D859" s="204"/>
      <c r="E859" s="205"/>
      <c r="F859" s="205"/>
      <c r="G859" s="205"/>
      <c r="H859" s="206"/>
      <c r="I859" s="207"/>
      <c r="J859" s="207"/>
      <c r="K859" s="207"/>
      <c r="L859" s="122"/>
      <c r="M859" s="207"/>
      <c r="N859" s="207"/>
      <c r="O859" s="122"/>
      <c r="P859" s="205"/>
      <c r="Q859" s="205"/>
      <c r="R859" s="205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</row>
    <row r="860">
      <c r="A860" s="122"/>
      <c r="B860" s="204"/>
      <c r="C860" s="204"/>
      <c r="D860" s="204"/>
      <c r="E860" s="205"/>
      <c r="F860" s="205"/>
      <c r="G860" s="205"/>
      <c r="H860" s="206"/>
      <c r="I860" s="207"/>
      <c r="J860" s="207"/>
      <c r="K860" s="207"/>
      <c r="L860" s="122"/>
      <c r="M860" s="207"/>
      <c r="N860" s="207"/>
      <c r="O860" s="122"/>
      <c r="P860" s="205"/>
      <c r="Q860" s="205"/>
      <c r="R860" s="205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</row>
    <row r="861">
      <c r="A861" s="122"/>
      <c r="B861" s="204"/>
      <c r="C861" s="204"/>
      <c r="D861" s="204"/>
      <c r="E861" s="205"/>
      <c r="F861" s="205"/>
      <c r="G861" s="205"/>
      <c r="H861" s="206"/>
      <c r="I861" s="207"/>
      <c r="J861" s="207"/>
      <c r="K861" s="207"/>
      <c r="L861" s="122"/>
      <c r="M861" s="207"/>
      <c r="N861" s="207"/>
      <c r="O861" s="122"/>
      <c r="P861" s="205"/>
      <c r="Q861" s="205"/>
      <c r="R861" s="205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</row>
    <row r="862">
      <c r="A862" s="122"/>
      <c r="B862" s="204"/>
      <c r="C862" s="204"/>
      <c r="D862" s="204"/>
      <c r="E862" s="205"/>
      <c r="F862" s="205"/>
      <c r="G862" s="205"/>
      <c r="H862" s="206"/>
      <c r="I862" s="207"/>
      <c r="J862" s="207"/>
      <c r="K862" s="207"/>
      <c r="L862" s="122"/>
      <c r="M862" s="207"/>
      <c r="N862" s="207"/>
      <c r="O862" s="122"/>
      <c r="P862" s="205"/>
      <c r="Q862" s="205"/>
      <c r="R862" s="205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</row>
    <row r="863">
      <c r="A863" s="122"/>
      <c r="B863" s="204"/>
      <c r="C863" s="204"/>
      <c r="D863" s="204"/>
      <c r="E863" s="205"/>
      <c r="F863" s="205"/>
      <c r="G863" s="205"/>
      <c r="H863" s="206"/>
      <c r="I863" s="207"/>
      <c r="J863" s="207"/>
      <c r="K863" s="207"/>
      <c r="L863" s="122"/>
      <c r="M863" s="207"/>
      <c r="N863" s="207"/>
      <c r="O863" s="122"/>
      <c r="P863" s="205"/>
      <c r="Q863" s="205"/>
      <c r="R863" s="205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</row>
    <row r="864">
      <c r="A864" s="122"/>
      <c r="B864" s="204"/>
      <c r="C864" s="204"/>
      <c r="D864" s="204"/>
      <c r="E864" s="205"/>
      <c r="F864" s="205"/>
      <c r="G864" s="205"/>
      <c r="H864" s="206"/>
      <c r="I864" s="207"/>
      <c r="J864" s="207"/>
      <c r="K864" s="207"/>
      <c r="L864" s="122"/>
      <c r="M864" s="207"/>
      <c r="N864" s="207"/>
      <c r="O864" s="122"/>
      <c r="P864" s="205"/>
      <c r="Q864" s="205"/>
      <c r="R864" s="205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</row>
    <row r="865">
      <c r="A865" s="122"/>
      <c r="B865" s="204"/>
      <c r="C865" s="204"/>
      <c r="D865" s="204"/>
      <c r="E865" s="205"/>
      <c r="F865" s="205"/>
      <c r="G865" s="205"/>
      <c r="H865" s="206"/>
      <c r="I865" s="207"/>
      <c r="J865" s="207"/>
      <c r="K865" s="207"/>
      <c r="L865" s="122"/>
      <c r="M865" s="207"/>
      <c r="N865" s="207"/>
      <c r="O865" s="122"/>
      <c r="P865" s="205"/>
      <c r="Q865" s="205"/>
      <c r="R865" s="205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</row>
    <row r="866">
      <c r="A866" s="122"/>
      <c r="B866" s="204"/>
      <c r="C866" s="204"/>
      <c r="D866" s="204"/>
      <c r="E866" s="205"/>
      <c r="F866" s="205"/>
      <c r="G866" s="205"/>
      <c r="H866" s="206"/>
      <c r="I866" s="207"/>
      <c r="J866" s="207"/>
      <c r="K866" s="207"/>
      <c r="L866" s="122"/>
      <c r="M866" s="207"/>
      <c r="N866" s="207"/>
      <c r="O866" s="122"/>
      <c r="P866" s="205"/>
      <c r="Q866" s="205"/>
      <c r="R866" s="205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</row>
    <row r="867">
      <c r="A867" s="122"/>
      <c r="B867" s="204"/>
      <c r="C867" s="204"/>
      <c r="D867" s="204"/>
      <c r="E867" s="205"/>
      <c r="F867" s="205"/>
      <c r="G867" s="205"/>
      <c r="H867" s="206"/>
      <c r="I867" s="207"/>
      <c r="J867" s="207"/>
      <c r="K867" s="207"/>
      <c r="L867" s="122"/>
      <c r="M867" s="207"/>
      <c r="N867" s="207"/>
      <c r="O867" s="122"/>
      <c r="P867" s="205"/>
      <c r="Q867" s="205"/>
      <c r="R867" s="205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</row>
    <row r="868">
      <c r="A868" s="122"/>
      <c r="B868" s="204"/>
      <c r="C868" s="204"/>
      <c r="D868" s="204"/>
      <c r="E868" s="205"/>
      <c r="F868" s="205"/>
      <c r="G868" s="205"/>
      <c r="H868" s="206"/>
      <c r="I868" s="207"/>
      <c r="J868" s="207"/>
      <c r="K868" s="207"/>
      <c r="L868" s="122"/>
      <c r="M868" s="207"/>
      <c r="N868" s="207"/>
      <c r="O868" s="122"/>
      <c r="P868" s="205"/>
      <c r="Q868" s="205"/>
      <c r="R868" s="205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</row>
    <row r="869">
      <c r="A869" s="122"/>
      <c r="B869" s="204"/>
      <c r="C869" s="204"/>
      <c r="D869" s="204"/>
      <c r="E869" s="205"/>
      <c r="F869" s="205"/>
      <c r="G869" s="205"/>
      <c r="H869" s="206"/>
      <c r="I869" s="207"/>
      <c r="J869" s="207"/>
      <c r="K869" s="207"/>
      <c r="L869" s="122"/>
      <c r="M869" s="207"/>
      <c r="N869" s="207"/>
      <c r="O869" s="122"/>
      <c r="P869" s="205"/>
      <c r="Q869" s="205"/>
      <c r="R869" s="205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</row>
    <row r="870">
      <c r="A870" s="122"/>
      <c r="B870" s="204"/>
      <c r="C870" s="204"/>
      <c r="D870" s="204"/>
      <c r="E870" s="205"/>
      <c r="F870" s="205"/>
      <c r="G870" s="205"/>
      <c r="H870" s="206"/>
      <c r="I870" s="207"/>
      <c r="J870" s="207"/>
      <c r="K870" s="207"/>
      <c r="L870" s="122"/>
      <c r="M870" s="207"/>
      <c r="N870" s="207"/>
      <c r="O870" s="122"/>
      <c r="P870" s="205"/>
      <c r="Q870" s="205"/>
      <c r="R870" s="205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</row>
    <row r="871">
      <c r="A871" s="122"/>
      <c r="B871" s="204"/>
      <c r="C871" s="204"/>
      <c r="D871" s="204"/>
      <c r="E871" s="205"/>
      <c r="F871" s="205"/>
      <c r="G871" s="205"/>
      <c r="H871" s="206"/>
      <c r="I871" s="207"/>
      <c r="J871" s="207"/>
      <c r="K871" s="207"/>
      <c r="L871" s="122"/>
      <c r="M871" s="207"/>
      <c r="N871" s="207"/>
      <c r="O871" s="122"/>
      <c r="P871" s="205"/>
      <c r="Q871" s="205"/>
      <c r="R871" s="205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</row>
    <row r="872">
      <c r="A872" s="122"/>
      <c r="B872" s="204"/>
      <c r="C872" s="204"/>
      <c r="D872" s="204"/>
      <c r="E872" s="205"/>
      <c r="F872" s="205"/>
      <c r="G872" s="205"/>
      <c r="H872" s="206"/>
      <c r="I872" s="207"/>
      <c r="J872" s="207"/>
      <c r="K872" s="207"/>
      <c r="L872" s="122"/>
      <c r="M872" s="207"/>
      <c r="N872" s="207"/>
      <c r="O872" s="122"/>
      <c r="P872" s="205"/>
      <c r="Q872" s="205"/>
      <c r="R872" s="205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</row>
    <row r="873">
      <c r="A873" s="122"/>
      <c r="B873" s="204"/>
      <c r="C873" s="204"/>
      <c r="D873" s="204"/>
      <c r="E873" s="205"/>
      <c r="F873" s="205"/>
      <c r="G873" s="205"/>
      <c r="H873" s="206"/>
      <c r="I873" s="207"/>
      <c r="J873" s="207"/>
      <c r="K873" s="207"/>
      <c r="L873" s="122"/>
      <c r="M873" s="207"/>
      <c r="N873" s="207"/>
      <c r="O873" s="122"/>
      <c r="P873" s="205"/>
      <c r="Q873" s="205"/>
      <c r="R873" s="205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</row>
    <row r="874">
      <c r="A874" s="122"/>
      <c r="B874" s="204"/>
      <c r="C874" s="204"/>
      <c r="D874" s="204"/>
      <c r="E874" s="205"/>
      <c r="F874" s="205"/>
      <c r="G874" s="205"/>
      <c r="H874" s="206"/>
      <c r="I874" s="207"/>
      <c r="J874" s="207"/>
      <c r="K874" s="207"/>
      <c r="L874" s="122"/>
      <c r="M874" s="207"/>
      <c r="N874" s="207"/>
      <c r="O874" s="122"/>
      <c r="P874" s="205"/>
      <c r="Q874" s="205"/>
      <c r="R874" s="205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</row>
    <row r="875">
      <c r="A875" s="122"/>
      <c r="B875" s="204"/>
      <c r="C875" s="204"/>
      <c r="D875" s="204"/>
      <c r="E875" s="205"/>
      <c r="F875" s="205"/>
      <c r="G875" s="205"/>
      <c r="H875" s="206"/>
      <c r="I875" s="207"/>
      <c r="J875" s="207"/>
      <c r="K875" s="207"/>
      <c r="L875" s="122"/>
      <c r="M875" s="207"/>
      <c r="N875" s="207"/>
      <c r="O875" s="122"/>
      <c r="P875" s="205"/>
      <c r="Q875" s="205"/>
      <c r="R875" s="205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</row>
    <row r="876">
      <c r="A876" s="122"/>
      <c r="B876" s="204"/>
      <c r="C876" s="204"/>
      <c r="D876" s="204"/>
      <c r="E876" s="205"/>
      <c r="F876" s="205"/>
      <c r="G876" s="205"/>
      <c r="H876" s="206"/>
      <c r="I876" s="207"/>
      <c r="J876" s="207"/>
      <c r="K876" s="207"/>
      <c r="L876" s="122"/>
      <c r="M876" s="207"/>
      <c r="N876" s="207"/>
      <c r="O876" s="122"/>
      <c r="P876" s="205"/>
      <c r="Q876" s="205"/>
      <c r="R876" s="205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</row>
    <row r="877">
      <c r="A877" s="122"/>
      <c r="B877" s="204"/>
      <c r="C877" s="204"/>
      <c r="D877" s="204"/>
      <c r="E877" s="205"/>
      <c r="F877" s="205"/>
      <c r="G877" s="205"/>
      <c r="H877" s="206"/>
      <c r="I877" s="207"/>
      <c r="J877" s="207"/>
      <c r="K877" s="207"/>
      <c r="L877" s="122"/>
      <c r="M877" s="207"/>
      <c r="N877" s="207"/>
      <c r="O877" s="122"/>
      <c r="P877" s="205"/>
      <c r="Q877" s="205"/>
      <c r="R877" s="205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</row>
    <row r="878">
      <c r="A878" s="122"/>
      <c r="B878" s="204"/>
      <c r="C878" s="204"/>
      <c r="D878" s="204"/>
      <c r="E878" s="205"/>
      <c r="F878" s="205"/>
      <c r="G878" s="205"/>
      <c r="H878" s="206"/>
      <c r="I878" s="207"/>
      <c r="J878" s="207"/>
      <c r="K878" s="207"/>
      <c r="L878" s="122"/>
      <c r="M878" s="207"/>
      <c r="N878" s="207"/>
      <c r="O878" s="122"/>
      <c r="P878" s="205"/>
      <c r="Q878" s="205"/>
      <c r="R878" s="205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</row>
    <row r="879">
      <c r="A879" s="122"/>
      <c r="B879" s="204"/>
      <c r="C879" s="204"/>
      <c r="D879" s="204"/>
      <c r="E879" s="205"/>
      <c r="F879" s="205"/>
      <c r="G879" s="205"/>
      <c r="H879" s="206"/>
      <c r="I879" s="207"/>
      <c r="J879" s="207"/>
      <c r="K879" s="207"/>
      <c r="L879" s="122"/>
      <c r="M879" s="207"/>
      <c r="N879" s="207"/>
      <c r="O879" s="122"/>
      <c r="P879" s="205"/>
      <c r="Q879" s="205"/>
      <c r="R879" s="205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</row>
    <row r="880">
      <c r="A880" s="122"/>
      <c r="B880" s="204"/>
      <c r="C880" s="204"/>
      <c r="D880" s="204"/>
      <c r="E880" s="205"/>
      <c r="F880" s="205"/>
      <c r="G880" s="205"/>
      <c r="H880" s="206"/>
      <c r="I880" s="207"/>
      <c r="J880" s="207"/>
      <c r="K880" s="207"/>
      <c r="L880" s="122"/>
      <c r="M880" s="207"/>
      <c r="N880" s="207"/>
      <c r="O880" s="122"/>
      <c r="P880" s="205"/>
      <c r="Q880" s="205"/>
      <c r="R880" s="205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</row>
    <row r="881">
      <c r="A881" s="122"/>
      <c r="B881" s="204"/>
      <c r="C881" s="204"/>
      <c r="D881" s="204"/>
      <c r="E881" s="205"/>
      <c r="F881" s="205"/>
      <c r="G881" s="205"/>
      <c r="H881" s="206"/>
      <c r="I881" s="207"/>
      <c r="J881" s="207"/>
      <c r="K881" s="207"/>
      <c r="L881" s="122"/>
      <c r="M881" s="207"/>
      <c r="N881" s="207"/>
      <c r="O881" s="122"/>
      <c r="P881" s="205"/>
      <c r="Q881" s="205"/>
      <c r="R881" s="205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</row>
    <row r="882">
      <c r="A882" s="122"/>
      <c r="B882" s="204"/>
      <c r="C882" s="204"/>
      <c r="D882" s="204"/>
      <c r="E882" s="205"/>
      <c r="F882" s="205"/>
      <c r="G882" s="205"/>
      <c r="H882" s="206"/>
      <c r="I882" s="207"/>
      <c r="J882" s="207"/>
      <c r="K882" s="207"/>
      <c r="L882" s="122"/>
      <c r="M882" s="207"/>
      <c r="N882" s="207"/>
      <c r="O882" s="122"/>
      <c r="P882" s="205"/>
      <c r="Q882" s="205"/>
      <c r="R882" s="205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</row>
    <row r="883">
      <c r="A883" s="122"/>
      <c r="B883" s="204"/>
      <c r="C883" s="204"/>
      <c r="D883" s="204"/>
      <c r="E883" s="205"/>
      <c r="F883" s="205"/>
      <c r="G883" s="205"/>
      <c r="H883" s="206"/>
      <c r="I883" s="207"/>
      <c r="J883" s="207"/>
      <c r="K883" s="207"/>
      <c r="L883" s="122"/>
      <c r="M883" s="207"/>
      <c r="N883" s="207"/>
      <c r="O883" s="122"/>
      <c r="P883" s="205"/>
      <c r="Q883" s="205"/>
      <c r="R883" s="205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</row>
    <row r="884">
      <c r="A884" s="122"/>
      <c r="B884" s="204"/>
      <c r="C884" s="204"/>
      <c r="D884" s="204"/>
      <c r="E884" s="205"/>
      <c r="F884" s="205"/>
      <c r="G884" s="205"/>
      <c r="H884" s="206"/>
      <c r="I884" s="207"/>
      <c r="J884" s="207"/>
      <c r="K884" s="207"/>
      <c r="L884" s="122"/>
      <c r="M884" s="207"/>
      <c r="N884" s="207"/>
      <c r="O884" s="122"/>
      <c r="P884" s="205"/>
      <c r="Q884" s="205"/>
      <c r="R884" s="205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</row>
    <row r="885">
      <c r="A885" s="122"/>
      <c r="B885" s="204"/>
      <c r="C885" s="204"/>
      <c r="D885" s="204"/>
      <c r="E885" s="205"/>
      <c r="F885" s="205"/>
      <c r="G885" s="205"/>
      <c r="H885" s="206"/>
      <c r="I885" s="207"/>
      <c r="J885" s="207"/>
      <c r="K885" s="207"/>
      <c r="L885" s="122"/>
      <c r="M885" s="207"/>
      <c r="N885" s="207"/>
      <c r="O885" s="122"/>
      <c r="P885" s="205"/>
      <c r="Q885" s="205"/>
      <c r="R885" s="205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</row>
    <row r="886">
      <c r="A886" s="122"/>
      <c r="B886" s="204"/>
      <c r="C886" s="204"/>
      <c r="D886" s="204"/>
      <c r="E886" s="205"/>
      <c r="F886" s="205"/>
      <c r="G886" s="205"/>
      <c r="H886" s="206"/>
      <c r="I886" s="207"/>
      <c r="J886" s="207"/>
      <c r="K886" s="207"/>
      <c r="L886" s="122"/>
      <c r="M886" s="207"/>
      <c r="N886" s="207"/>
      <c r="O886" s="122"/>
      <c r="P886" s="205"/>
      <c r="Q886" s="205"/>
      <c r="R886" s="205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</row>
    <row r="887">
      <c r="A887" s="122"/>
      <c r="B887" s="204"/>
      <c r="C887" s="204"/>
      <c r="D887" s="204"/>
      <c r="E887" s="205"/>
      <c r="F887" s="205"/>
      <c r="G887" s="205"/>
      <c r="H887" s="206"/>
      <c r="I887" s="207"/>
      <c r="J887" s="207"/>
      <c r="K887" s="207"/>
      <c r="L887" s="122"/>
      <c r="M887" s="207"/>
      <c r="N887" s="207"/>
      <c r="O887" s="122"/>
      <c r="P887" s="205"/>
      <c r="Q887" s="205"/>
      <c r="R887" s="205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</row>
    <row r="888">
      <c r="A888" s="122"/>
      <c r="B888" s="204"/>
      <c r="C888" s="204"/>
      <c r="D888" s="204"/>
      <c r="E888" s="205"/>
      <c r="F888" s="205"/>
      <c r="G888" s="205"/>
      <c r="H888" s="206"/>
      <c r="I888" s="207"/>
      <c r="J888" s="207"/>
      <c r="K888" s="207"/>
      <c r="L888" s="122"/>
      <c r="M888" s="207"/>
      <c r="N888" s="207"/>
      <c r="O888" s="122"/>
      <c r="P888" s="205"/>
      <c r="Q888" s="205"/>
      <c r="R888" s="205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</row>
    <row r="889">
      <c r="A889" s="122"/>
      <c r="B889" s="204"/>
      <c r="C889" s="204"/>
      <c r="D889" s="204"/>
      <c r="E889" s="205"/>
      <c r="F889" s="205"/>
      <c r="G889" s="205"/>
      <c r="H889" s="206"/>
      <c r="I889" s="207"/>
      <c r="J889" s="207"/>
      <c r="K889" s="207"/>
      <c r="L889" s="122"/>
      <c r="M889" s="207"/>
      <c r="N889" s="207"/>
      <c r="O889" s="122"/>
      <c r="P889" s="205"/>
      <c r="Q889" s="205"/>
      <c r="R889" s="205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</row>
    <row r="890">
      <c r="A890" s="122"/>
      <c r="B890" s="204"/>
      <c r="C890" s="204"/>
      <c r="D890" s="204"/>
      <c r="E890" s="205"/>
      <c r="F890" s="205"/>
      <c r="G890" s="205"/>
      <c r="H890" s="206"/>
      <c r="I890" s="207"/>
      <c r="J890" s="207"/>
      <c r="K890" s="207"/>
      <c r="L890" s="122"/>
      <c r="M890" s="207"/>
      <c r="N890" s="207"/>
      <c r="O890" s="122"/>
      <c r="P890" s="205"/>
      <c r="Q890" s="205"/>
      <c r="R890" s="205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</row>
    <row r="891">
      <c r="A891" s="122"/>
      <c r="B891" s="204"/>
      <c r="C891" s="204"/>
      <c r="D891" s="204"/>
      <c r="E891" s="205"/>
      <c r="F891" s="205"/>
      <c r="G891" s="205"/>
      <c r="H891" s="206"/>
      <c r="I891" s="207"/>
      <c r="J891" s="207"/>
      <c r="K891" s="207"/>
      <c r="L891" s="122"/>
      <c r="M891" s="207"/>
      <c r="N891" s="207"/>
      <c r="O891" s="122"/>
      <c r="P891" s="205"/>
      <c r="Q891" s="205"/>
      <c r="R891" s="205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</row>
    <row r="892">
      <c r="A892" s="122"/>
      <c r="B892" s="204"/>
      <c r="C892" s="204"/>
      <c r="D892" s="204"/>
      <c r="E892" s="205"/>
      <c r="F892" s="205"/>
      <c r="G892" s="205"/>
      <c r="H892" s="206"/>
      <c r="I892" s="207"/>
      <c r="J892" s="207"/>
      <c r="K892" s="207"/>
      <c r="L892" s="122"/>
      <c r="M892" s="207"/>
      <c r="N892" s="207"/>
      <c r="O892" s="122"/>
      <c r="P892" s="205"/>
      <c r="Q892" s="205"/>
      <c r="R892" s="205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</row>
    <row r="893">
      <c r="A893" s="122"/>
      <c r="B893" s="204"/>
      <c r="C893" s="204"/>
      <c r="D893" s="204"/>
      <c r="E893" s="205"/>
      <c r="F893" s="205"/>
      <c r="G893" s="205"/>
      <c r="H893" s="206"/>
      <c r="I893" s="207"/>
      <c r="J893" s="207"/>
      <c r="K893" s="207"/>
      <c r="L893" s="122"/>
      <c r="M893" s="207"/>
      <c r="N893" s="207"/>
      <c r="O893" s="122"/>
      <c r="P893" s="205"/>
      <c r="Q893" s="205"/>
      <c r="R893" s="205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</row>
    <row r="894">
      <c r="A894" s="122"/>
      <c r="B894" s="204"/>
      <c r="C894" s="204"/>
      <c r="D894" s="204"/>
      <c r="E894" s="205"/>
      <c r="F894" s="205"/>
      <c r="G894" s="205"/>
      <c r="H894" s="206"/>
      <c r="I894" s="207"/>
      <c r="J894" s="207"/>
      <c r="K894" s="207"/>
      <c r="L894" s="122"/>
      <c r="M894" s="207"/>
      <c r="N894" s="207"/>
      <c r="O894" s="122"/>
      <c r="P894" s="205"/>
      <c r="Q894" s="205"/>
      <c r="R894" s="205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</row>
    <row r="895">
      <c r="A895" s="122"/>
      <c r="B895" s="204"/>
      <c r="C895" s="204"/>
      <c r="D895" s="204"/>
      <c r="E895" s="205"/>
      <c r="F895" s="205"/>
      <c r="G895" s="205"/>
      <c r="H895" s="206"/>
      <c r="I895" s="207"/>
      <c r="J895" s="207"/>
      <c r="K895" s="207"/>
      <c r="L895" s="122"/>
      <c r="M895" s="207"/>
      <c r="N895" s="207"/>
      <c r="O895" s="122"/>
      <c r="P895" s="205"/>
      <c r="Q895" s="205"/>
      <c r="R895" s="205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</row>
    <row r="896">
      <c r="A896" s="122"/>
      <c r="B896" s="204"/>
      <c r="C896" s="204"/>
      <c r="D896" s="204"/>
      <c r="E896" s="205"/>
      <c r="F896" s="205"/>
      <c r="G896" s="205"/>
      <c r="H896" s="206"/>
      <c r="I896" s="207"/>
      <c r="J896" s="207"/>
      <c r="K896" s="207"/>
      <c r="L896" s="122"/>
      <c r="M896" s="207"/>
      <c r="N896" s="207"/>
      <c r="O896" s="122"/>
      <c r="P896" s="205"/>
      <c r="Q896" s="205"/>
      <c r="R896" s="205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</row>
    <row r="897">
      <c r="A897" s="122"/>
      <c r="B897" s="204"/>
      <c r="C897" s="204"/>
      <c r="D897" s="204"/>
      <c r="E897" s="205"/>
      <c r="F897" s="205"/>
      <c r="G897" s="205"/>
      <c r="H897" s="206"/>
      <c r="I897" s="207"/>
      <c r="J897" s="207"/>
      <c r="K897" s="207"/>
      <c r="L897" s="122"/>
      <c r="M897" s="207"/>
      <c r="N897" s="207"/>
      <c r="O897" s="122"/>
      <c r="P897" s="205"/>
      <c r="Q897" s="205"/>
      <c r="R897" s="205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</row>
    <row r="898">
      <c r="A898" s="122"/>
      <c r="B898" s="204"/>
      <c r="C898" s="204"/>
      <c r="D898" s="204"/>
      <c r="E898" s="205"/>
      <c r="F898" s="205"/>
      <c r="G898" s="205"/>
      <c r="H898" s="206"/>
      <c r="I898" s="207"/>
      <c r="J898" s="207"/>
      <c r="K898" s="207"/>
      <c r="L898" s="122"/>
      <c r="M898" s="207"/>
      <c r="N898" s="207"/>
      <c r="O898" s="122"/>
      <c r="P898" s="205"/>
      <c r="Q898" s="205"/>
      <c r="R898" s="205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</row>
    <row r="899">
      <c r="A899" s="122"/>
      <c r="B899" s="204"/>
      <c r="C899" s="204"/>
      <c r="D899" s="204"/>
      <c r="E899" s="205"/>
      <c r="F899" s="205"/>
      <c r="G899" s="205"/>
      <c r="H899" s="206"/>
      <c r="I899" s="207"/>
      <c r="J899" s="207"/>
      <c r="K899" s="207"/>
      <c r="L899" s="122"/>
      <c r="M899" s="207"/>
      <c r="N899" s="207"/>
      <c r="O899" s="122"/>
      <c r="P899" s="205"/>
      <c r="Q899" s="205"/>
      <c r="R899" s="205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</row>
    <row r="900">
      <c r="A900" s="122"/>
      <c r="B900" s="204"/>
      <c r="C900" s="204"/>
      <c r="D900" s="204"/>
      <c r="E900" s="205"/>
      <c r="F900" s="205"/>
      <c r="G900" s="205"/>
      <c r="H900" s="206"/>
      <c r="I900" s="207"/>
      <c r="J900" s="207"/>
      <c r="K900" s="207"/>
      <c r="L900" s="122"/>
      <c r="M900" s="207"/>
      <c r="N900" s="207"/>
      <c r="O900" s="122"/>
      <c r="P900" s="205"/>
      <c r="Q900" s="205"/>
      <c r="R900" s="205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</row>
    <row r="901">
      <c r="A901" s="122"/>
      <c r="B901" s="204"/>
      <c r="C901" s="204"/>
      <c r="D901" s="204"/>
      <c r="E901" s="205"/>
      <c r="F901" s="205"/>
      <c r="G901" s="205"/>
      <c r="H901" s="206"/>
      <c r="I901" s="207"/>
      <c r="J901" s="207"/>
      <c r="K901" s="207"/>
      <c r="L901" s="122"/>
      <c r="M901" s="207"/>
      <c r="N901" s="207"/>
      <c r="O901" s="122"/>
      <c r="P901" s="205"/>
      <c r="Q901" s="205"/>
      <c r="R901" s="205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</row>
    <row r="902">
      <c r="A902" s="122"/>
      <c r="B902" s="204"/>
      <c r="C902" s="204"/>
      <c r="D902" s="204"/>
      <c r="E902" s="205"/>
      <c r="F902" s="205"/>
      <c r="G902" s="205"/>
      <c r="H902" s="206"/>
      <c r="I902" s="207"/>
      <c r="J902" s="207"/>
      <c r="K902" s="207"/>
      <c r="L902" s="122"/>
      <c r="M902" s="207"/>
      <c r="N902" s="207"/>
      <c r="O902" s="122"/>
      <c r="P902" s="205"/>
      <c r="Q902" s="205"/>
      <c r="R902" s="205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</row>
    <row r="903">
      <c r="A903" s="122"/>
      <c r="B903" s="204"/>
      <c r="C903" s="204"/>
      <c r="D903" s="204"/>
      <c r="E903" s="205"/>
      <c r="F903" s="205"/>
      <c r="G903" s="205"/>
      <c r="H903" s="206"/>
      <c r="I903" s="207"/>
      <c r="J903" s="207"/>
      <c r="K903" s="207"/>
      <c r="L903" s="122"/>
      <c r="M903" s="207"/>
      <c r="N903" s="207"/>
      <c r="O903" s="122"/>
      <c r="P903" s="205"/>
      <c r="Q903" s="205"/>
      <c r="R903" s="205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</row>
    <row r="904">
      <c r="A904" s="122"/>
      <c r="B904" s="204"/>
      <c r="C904" s="204"/>
      <c r="D904" s="204"/>
      <c r="E904" s="205"/>
      <c r="F904" s="205"/>
      <c r="G904" s="205"/>
      <c r="H904" s="206"/>
      <c r="I904" s="207"/>
      <c r="J904" s="207"/>
      <c r="K904" s="207"/>
      <c r="L904" s="122"/>
      <c r="M904" s="207"/>
      <c r="N904" s="207"/>
      <c r="O904" s="122"/>
      <c r="P904" s="205"/>
      <c r="Q904" s="205"/>
      <c r="R904" s="205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</row>
    <row r="905">
      <c r="A905" s="122"/>
      <c r="B905" s="204"/>
      <c r="C905" s="204"/>
      <c r="D905" s="204"/>
      <c r="E905" s="205"/>
      <c r="F905" s="205"/>
      <c r="G905" s="205"/>
      <c r="H905" s="206"/>
      <c r="I905" s="207"/>
      <c r="J905" s="207"/>
      <c r="K905" s="207"/>
      <c r="L905" s="122"/>
      <c r="M905" s="207"/>
      <c r="N905" s="207"/>
      <c r="O905" s="122"/>
      <c r="P905" s="205"/>
      <c r="Q905" s="205"/>
      <c r="R905" s="205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</row>
    <row r="906">
      <c r="A906" s="122"/>
      <c r="B906" s="204"/>
      <c r="C906" s="204"/>
      <c r="D906" s="204"/>
      <c r="E906" s="205"/>
      <c r="F906" s="205"/>
      <c r="G906" s="205"/>
      <c r="H906" s="206"/>
      <c r="I906" s="207"/>
      <c r="J906" s="207"/>
      <c r="K906" s="207"/>
      <c r="L906" s="122"/>
      <c r="M906" s="207"/>
      <c r="N906" s="207"/>
      <c r="O906" s="122"/>
      <c r="P906" s="205"/>
      <c r="Q906" s="205"/>
      <c r="R906" s="205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</row>
    <row r="907">
      <c r="A907" s="122"/>
      <c r="B907" s="204"/>
      <c r="C907" s="204"/>
      <c r="D907" s="204"/>
      <c r="E907" s="205"/>
      <c r="F907" s="205"/>
      <c r="G907" s="205"/>
      <c r="H907" s="206"/>
      <c r="I907" s="207"/>
      <c r="J907" s="207"/>
      <c r="K907" s="207"/>
      <c r="L907" s="122"/>
      <c r="M907" s="207"/>
      <c r="N907" s="207"/>
      <c r="O907" s="122"/>
      <c r="P907" s="205"/>
      <c r="Q907" s="205"/>
      <c r="R907" s="205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</row>
    <row r="908">
      <c r="A908" s="122"/>
      <c r="B908" s="204"/>
      <c r="C908" s="204"/>
      <c r="D908" s="204"/>
      <c r="E908" s="205"/>
      <c r="F908" s="205"/>
      <c r="G908" s="205"/>
      <c r="H908" s="206"/>
      <c r="I908" s="207"/>
      <c r="J908" s="207"/>
      <c r="K908" s="207"/>
      <c r="L908" s="122"/>
      <c r="M908" s="207"/>
      <c r="N908" s="207"/>
      <c r="O908" s="122"/>
      <c r="P908" s="205"/>
      <c r="Q908" s="205"/>
      <c r="R908" s="205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</row>
    <row r="909">
      <c r="A909" s="122"/>
      <c r="B909" s="204"/>
      <c r="C909" s="204"/>
      <c r="D909" s="204"/>
      <c r="E909" s="205"/>
      <c r="F909" s="205"/>
      <c r="G909" s="205"/>
      <c r="H909" s="206"/>
      <c r="I909" s="207"/>
      <c r="J909" s="207"/>
      <c r="K909" s="207"/>
      <c r="L909" s="122"/>
      <c r="M909" s="207"/>
      <c r="N909" s="207"/>
      <c r="O909" s="122"/>
      <c r="P909" s="205"/>
      <c r="Q909" s="205"/>
      <c r="R909" s="205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</row>
    <row r="910">
      <c r="A910" s="122"/>
      <c r="B910" s="204"/>
      <c r="C910" s="204"/>
      <c r="D910" s="204"/>
      <c r="E910" s="205"/>
      <c r="F910" s="205"/>
      <c r="G910" s="205"/>
      <c r="H910" s="206"/>
      <c r="I910" s="207"/>
      <c r="J910" s="207"/>
      <c r="K910" s="207"/>
      <c r="L910" s="122"/>
      <c r="M910" s="207"/>
      <c r="N910" s="207"/>
      <c r="O910" s="122"/>
      <c r="P910" s="205"/>
      <c r="Q910" s="205"/>
      <c r="R910" s="205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</row>
    <row r="911">
      <c r="A911" s="122"/>
      <c r="B911" s="204"/>
      <c r="C911" s="204"/>
      <c r="D911" s="204"/>
      <c r="E911" s="205"/>
      <c r="F911" s="205"/>
      <c r="G911" s="205"/>
      <c r="H911" s="206"/>
      <c r="I911" s="207"/>
      <c r="J911" s="207"/>
      <c r="K911" s="207"/>
      <c r="L911" s="122"/>
      <c r="M911" s="207"/>
      <c r="N911" s="207"/>
      <c r="O911" s="122"/>
      <c r="P911" s="205"/>
      <c r="Q911" s="205"/>
      <c r="R911" s="205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</row>
    <row r="912">
      <c r="A912" s="122"/>
      <c r="B912" s="204"/>
      <c r="C912" s="204"/>
      <c r="D912" s="204"/>
      <c r="E912" s="205"/>
      <c r="F912" s="205"/>
      <c r="G912" s="205"/>
      <c r="H912" s="206"/>
      <c r="I912" s="207"/>
      <c r="J912" s="207"/>
      <c r="K912" s="207"/>
      <c r="L912" s="122"/>
      <c r="M912" s="207"/>
      <c r="N912" s="207"/>
      <c r="O912" s="122"/>
      <c r="P912" s="205"/>
      <c r="Q912" s="205"/>
      <c r="R912" s="205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</row>
    <row r="913">
      <c r="A913" s="122"/>
      <c r="B913" s="204"/>
      <c r="C913" s="204"/>
      <c r="D913" s="204"/>
      <c r="E913" s="205"/>
      <c r="F913" s="205"/>
      <c r="G913" s="205"/>
      <c r="H913" s="206"/>
      <c r="I913" s="207"/>
      <c r="J913" s="207"/>
      <c r="K913" s="207"/>
      <c r="L913" s="122"/>
      <c r="M913" s="207"/>
      <c r="N913" s="207"/>
      <c r="O913" s="122"/>
      <c r="P913" s="205"/>
      <c r="Q913" s="205"/>
      <c r="R913" s="205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</row>
    <row r="914">
      <c r="A914" s="122"/>
      <c r="B914" s="204"/>
      <c r="C914" s="204"/>
      <c r="D914" s="204"/>
      <c r="E914" s="205"/>
      <c r="F914" s="205"/>
      <c r="G914" s="205"/>
      <c r="H914" s="206"/>
      <c r="I914" s="207"/>
      <c r="J914" s="207"/>
      <c r="K914" s="207"/>
      <c r="L914" s="122"/>
      <c r="M914" s="207"/>
      <c r="N914" s="207"/>
      <c r="O914" s="122"/>
      <c r="P914" s="205"/>
      <c r="Q914" s="205"/>
      <c r="R914" s="205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</row>
    <row r="915">
      <c r="A915" s="122"/>
      <c r="B915" s="204"/>
      <c r="C915" s="204"/>
      <c r="D915" s="204"/>
      <c r="E915" s="205"/>
      <c r="F915" s="205"/>
      <c r="G915" s="205"/>
      <c r="H915" s="206"/>
      <c r="I915" s="207"/>
      <c r="J915" s="207"/>
      <c r="K915" s="207"/>
      <c r="L915" s="122"/>
      <c r="M915" s="207"/>
      <c r="N915" s="207"/>
      <c r="O915" s="122"/>
      <c r="P915" s="205"/>
      <c r="Q915" s="205"/>
      <c r="R915" s="205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</row>
    <row r="916">
      <c r="A916" s="122"/>
      <c r="B916" s="204"/>
      <c r="C916" s="204"/>
      <c r="D916" s="204"/>
      <c r="E916" s="205"/>
      <c r="F916" s="205"/>
      <c r="G916" s="205"/>
      <c r="H916" s="206"/>
      <c r="I916" s="207"/>
      <c r="J916" s="207"/>
      <c r="K916" s="207"/>
      <c r="L916" s="122"/>
      <c r="M916" s="207"/>
      <c r="N916" s="207"/>
      <c r="O916" s="122"/>
      <c r="P916" s="205"/>
      <c r="Q916" s="205"/>
      <c r="R916" s="205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</row>
    <row r="917">
      <c r="A917" s="122"/>
      <c r="B917" s="204"/>
      <c r="C917" s="204"/>
      <c r="D917" s="204"/>
      <c r="E917" s="205"/>
      <c r="F917" s="205"/>
      <c r="G917" s="205"/>
      <c r="H917" s="206"/>
      <c r="I917" s="207"/>
      <c r="J917" s="207"/>
      <c r="K917" s="207"/>
      <c r="L917" s="122"/>
      <c r="M917" s="207"/>
      <c r="N917" s="207"/>
      <c r="O917" s="122"/>
      <c r="P917" s="205"/>
      <c r="Q917" s="205"/>
      <c r="R917" s="205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</row>
    <row r="918">
      <c r="A918" s="122"/>
      <c r="B918" s="204"/>
      <c r="C918" s="204"/>
      <c r="D918" s="204"/>
      <c r="E918" s="205"/>
      <c r="F918" s="205"/>
      <c r="G918" s="205"/>
      <c r="H918" s="206"/>
      <c r="I918" s="207"/>
      <c r="J918" s="207"/>
      <c r="K918" s="207"/>
      <c r="L918" s="122"/>
      <c r="M918" s="207"/>
      <c r="N918" s="207"/>
      <c r="O918" s="122"/>
      <c r="P918" s="205"/>
      <c r="Q918" s="205"/>
      <c r="R918" s="205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</row>
    <row r="919">
      <c r="A919" s="122"/>
      <c r="B919" s="204"/>
      <c r="C919" s="204"/>
      <c r="D919" s="204"/>
      <c r="E919" s="205"/>
      <c r="F919" s="205"/>
      <c r="G919" s="205"/>
      <c r="H919" s="206"/>
      <c r="I919" s="207"/>
      <c r="J919" s="207"/>
      <c r="K919" s="207"/>
      <c r="L919" s="122"/>
      <c r="M919" s="207"/>
      <c r="N919" s="207"/>
      <c r="O919" s="122"/>
      <c r="P919" s="205"/>
      <c r="Q919" s="205"/>
      <c r="R919" s="205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</row>
    <row r="920">
      <c r="A920" s="122"/>
      <c r="B920" s="204"/>
      <c r="C920" s="204"/>
      <c r="D920" s="204"/>
      <c r="E920" s="205"/>
      <c r="F920" s="205"/>
      <c r="G920" s="205"/>
      <c r="H920" s="206"/>
      <c r="I920" s="207"/>
      <c r="J920" s="207"/>
      <c r="K920" s="207"/>
      <c r="L920" s="122"/>
      <c r="M920" s="207"/>
      <c r="N920" s="207"/>
      <c r="O920" s="122"/>
      <c r="P920" s="205"/>
      <c r="Q920" s="205"/>
      <c r="R920" s="205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</row>
    <row r="921">
      <c r="A921" s="122"/>
      <c r="B921" s="204"/>
      <c r="C921" s="204"/>
      <c r="D921" s="204"/>
      <c r="E921" s="205"/>
      <c r="F921" s="205"/>
      <c r="G921" s="205"/>
      <c r="H921" s="206"/>
      <c r="I921" s="207"/>
      <c r="J921" s="207"/>
      <c r="K921" s="207"/>
      <c r="L921" s="122"/>
      <c r="M921" s="207"/>
      <c r="N921" s="207"/>
      <c r="O921" s="122"/>
      <c r="P921" s="205"/>
      <c r="Q921" s="205"/>
      <c r="R921" s="205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</row>
    <row r="922">
      <c r="A922" s="122"/>
      <c r="B922" s="204"/>
      <c r="C922" s="204"/>
      <c r="D922" s="204"/>
      <c r="E922" s="205"/>
      <c r="F922" s="205"/>
      <c r="G922" s="205"/>
      <c r="H922" s="206"/>
      <c r="I922" s="207"/>
      <c r="J922" s="207"/>
      <c r="K922" s="207"/>
      <c r="L922" s="122"/>
      <c r="M922" s="207"/>
      <c r="N922" s="207"/>
      <c r="O922" s="122"/>
      <c r="P922" s="205"/>
      <c r="Q922" s="205"/>
      <c r="R922" s="205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</row>
    <row r="923">
      <c r="A923" s="122"/>
      <c r="B923" s="204"/>
      <c r="C923" s="204"/>
      <c r="D923" s="204"/>
      <c r="E923" s="205"/>
      <c r="F923" s="205"/>
      <c r="G923" s="205"/>
      <c r="H923" s="206"/>
      <c r="I923" s="207"/>
      <c r="J923" s="207"/>
      <c r="K923" s="207"/>
      <c r="L923" s="122"/>
      <c r="M923" s="207"/>
      <c r="N923" s="207"/>
      <c r="O923" s="122"/>
      <c r="P923" s="205"/>
      <c r="Q923" s="205"/>
      <c r="R923" s="205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</row>
    <row r="924">
      <c r="A924" s="122"/>
      <c r="B924" s="204"/>
      <c r="C924" s="204"/>
      <c r="D924" s="204"/>
      <c r="E924" s="205"/>
      <c r="F924" s="205"/>
      <c r="G924" s="205"/>
      <c r="H924" s="206"/>
      <c r="I924" s="207"/>
      <c r="J924" s="207"/>
      <c r="K924" s="207"/>
      <c r="L924" s="122"/>
      <c r="M924" s="207"/>
      <c r="N924" s="207"/>
      <c r="O924" s="122"/>
      <c r="P924" s="205"/>
      <c r="Q924" s="205"/>
      <c r="R924" s="205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</row>
    <row r="925">
      <c r="A925" s="122"/>
      <c r="B925" s="204"/>
      <c r="C925" s="204"/>
      <c r="D925" s="204"/>
      <c r="E925" s="205"/>
      <c r="F925" s="205"/>
      <c r="G925" s="205"/>
      <c r="H925" s="206"/>
      <c r="I925" s="207"/>
      <c r="J925" s="207"/>
      <c r="K925" s="207"/>
      <c r="L925" s="122"/>
      <c r="M925" s="207"/>
      <c r="N925" s="207"/>
      <c r="O925" s="122"/>
      <c r="P925" s="205"/>
      <c r="Q925" s="205"/>
      <c r="R925" s="205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</row>
    <row r="926">
      <c r="A926" s="122"/>
      <c r="B926" s="204"/>
      <c r="C926" s="204"/>
      <c r="D926" s="204"/>
      <c r="E926" s="205"/>
      <c r="F926" s="205"/>
      <c r="G926" s="205"/>
      <c r="H926" s="206"/>
      <c r="I926" s="207"/>
      <c r="J926" s="207"/>
      <c r="K926" s="207"/>
      <c r="L926" s="122"/>
      <c r="M926" s="207"/>
      <c r="N926" s="207"/>
      <c r="O926" s="122"/>
      <c r="P926" s="205"/>
      <c r="Q926" s="205"/>
      <c r="R926" s="205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</row>
    <row r="927">
      <c r="A927" s="122"/>
      <c r="B927" s="204"/>
      <c r="C927" s="204"/>
      <c r="D927" s="204"/>
      <c r="E927" s="205"/>
      <c r="F927" s="205"/>
      <c r="G927" s="205"/>
      <c r="H927" s="206"/>
      <c r="I927" s="207"/>
      <c r="J927" s="207"/>
      <c r="K927" s="207"/>
      <c r="L927" s="122"/>
      <c r="M927" s="207"/>
      <c r="N927" s="207"/>
      <c r="O927" s="122"/>
      <c r="P927" s="205"/>
      <c r="Q927" s="205"/>
      <c r="R927" s="205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</row>
    <row r="928">
      <c r="A928" s="122"/>
      <c r="B928" s="204"/>
      <c r="C928" s="204"/>
      <c r="D928" s="204"/>
      <c r="E928" s="205"/>
      <c r="F928" s="205"/>
      <c r="G928" s="205"/>
      <c r="H928" s="206"/>
      <c r="I928" s="207"/>
      <c r="J928" s="207"/>
      <c r="K928" s="207"/>
      <c r="L928" s="122"/>
      <c r="M928" s="207"/>
      <c r="N928" s="207"/>
      <c r="O928" s="122"/>
      <c r="P928" s="205"/>
      <c r="Q928" s="205"/>
      <c r="R928" s="205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</row>
    <row r="929">
      <c r="A929" s="122"/>
      <c r="B929" s="204"/>
      <c r="C929" s="204"/>
      <c r="D929" s="204"/>
      <c r="E929" s="205"/>
      <c r="F929" s="205"/>
      <c r="G929" s="205"/>
      <c r="H929" s="206"/>
      <c r="I929" s="207"/>
      <c r="J929" s="207"/>
      <c r="K929" s="207"/>
      <c r="L929" s="122"/>
      <c r="M929" s="207"/>
      <c r="N929" s="207"/>
      <c r="O929" s="122"/>
      <c r="P929" s="205"/>
      <c r="Q929" s="205"/>
      <c r="R929" s="205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</row>
    <row r="930">
      <c r="A930" s="122"/>
      <c r="B930" s="204"/>
      <c r="C930" s="204"/>
      <c r="D930" s="204"/>
      <c r="E930" s="205"/>
      <c r="F930" s="205"/>
      <c r="G930" s="205"/>
      <c r="H930" s="206"/>
      <c r="I930" s="207"/>
      <c r="J930" s="207"/>
      <c r="K930" s="207"/>
      <c r="L930" s="122"/>
      <c r="M930" s="207"/>
      <c r="N930" s="207"/>
      <c r="O930" s="122"/>
      <c r="P930" s="205"/>
      <c r="Q930" s="205"/>
      <c r="R930" s="205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</row>
    <row r="931">
      <c r="A931" s="122"/>
      <c r="B931" s="204"/>
      <c r="C931" s="204"/>
      <c r="D931" s="204"/>
      <c r="E931" s="205"/>
      <c r="F931" s="205"/>
      <c r="G931" s="205"/>
      <c r="H931" s="206"/>
      <c r="I931" s="207"/>
      <c r="J931" s="207"/>
      <c r="K931" s="207"/>
      <c r="L931" s="122"/>
      <c r="M931" s="207"/>
      <c r="N931" s="207"/>
      <c r="O931" s="122"/>
      <c r="P931" s="205"/>
      <c r="Q931" s="205"/>
      <c r="R931" s="205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</row>
    <row r="932">
      <c r="A932" s="122"/>
      <c r="B932" s="204"/>
      <c r="C932" s="204"/>
      <c r="D932" s="204"/>
      <c r="E932" s="205"/>
      <c r="F932" s="205"/>
      <c r="G932" s="205"/>
      <c r="H932" s="206"/>
      <c r="I932" s="207"/>
      <c r="J932" s="207"/>
      <c r="K932" s="207"/>
      <c r="L932" s="122"/>
      <c r="M932" s="207"/>
      <c r="N932" s="207"/>
      <c r="O932" s="122"/>
      <c r="P932" s="205"/>
      <c r="Q932" s="205"/>
      <c r="R932" s="205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</row>
    <row r="933">
      <c r="A933" s="122"/>
      <c r="B933" s="204"/>
      <c r="C933" s="204"/>
      <c r="D933" s="204"/>
      <c r="E933" s="205"/>
      <c r="F933" s="205"/>
      <c r="G933" s="205"/>
      <c r="H933" s="206"/>
      <c r="I933" s="207"/>
      <c r="J933" s="207"/>
      <c r="K933" s="207"/>
      <c r="L933" s="122"/>
      <c r="M933" s="207"/>
      <c r="N933" s="207"/>
      <c r="O933" s="122"/>
      <c r="P933" s="205"/>
      <c r="Q933" s="205"/>
      <c r="R933" s="205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</row>
    <row r="934">
      <c r="A934" s="122"/>
      <c r="B934" s="204"/>
      <c r="C934" s="204"/>
      <c r="D934" s="204"/>
      <c r="E934" s="205"/>
      <c r="F934" s="205"/>
      <c r="G934" s="205"/>
      <c r="H934" s="206"/>
      <c r="I934" s="207"/>
      <c r="J934" s="207"/>
      <c r="K934" s="207"/>
      <c r="L934" s="122"/>
      <c r="M934" s="207"/>
      <c r="N934" s="207"/>
      <c r="O934" s="122"/>
      <c r="P934" s="205"/>
      <c r="Q934" s="205"/>
      <c r="R934" s="205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</row>
    <row r="935">
      <c r="A935" s="122"/>
      <c r="B935" s="204"/>
      <c r="C935" s="204"/>
      <c r="D935" s="204"/>
      <c r="E935" s="205"/>
      <c r="F935" s="205"/>
      <c r="G935" s="205"/>
      <c r="H935" s="206"/>
      <c r="I935" s="207"/>
      <c r="J935" s="207"/>
      <c r="K935" s="207"/>
      <c r="L935" s="122"/>
      <c r="M935" s="207"/>
      <c r="N935" s="207"/>
      <c r="O935" s="122"/>
      <c r="P935" s="205"/>
      <c r="Q935" s="205"/>
      <c r="R935" s="205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</row>
    <row r="936">
      <c r="A936" s="122"/>
      <c r="B936" s="204"/>
      <c r="C936" s="204"/>
      <c r="D936" s="204"/>
      <c r="E936" s="205"/>
      <c r="F936" s="205"/>
      <c r="G936" s="205"/>
      <c r="H936" s="206"/>
      <c r="I936" s="207"/>
      <c r="J936" s="207"/>
      <c r="K936" s="207"/>
      <c r="L936" s="122"/>
      <c r="M936" s="207"/>
      <c r="N936" s="207"/>
      <c r="O936" s="122"/>
      <c r="P936" s="205"/>
      <c r="Q936" s="205"/>
      <c r="R936" s="205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</row>
    <row r="937">
      <c r="A937" s="122"/>
      <c r="B937" s="204"/>
      <c r="C937" s="204"/>
      <c r="D937" s="204"/>
      <c r="E937" s="205"/>
      <c r="F937" s="205"/>
      <c r="G937" s="205"/>
      <c r="H937" s="206"/>
      <c r="I937" s="207"/>
      <c r="J937" s="207"/>
      <c r="K937" s="207"/>
      <c r="L937" s="122"/>
      <c r="M937" s="207"/>
      <c r="N937" s="207"/>
      <c r="O937" s="122"/>
      <c r="P937" s="205"/>
      <c r="Q937" s="205"/>
      <c r="R937" s="205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</row>
    <row r="938">
      <c r="A938" s="122"/>
      <c r="B938" s="204"/>
      <c r="C938" s="204"/>
      <c r="D938" s="204"/>
      <c r="E938" s="205"/>
      <c r="F938" s="205"/>
      <c r="G938" s="205"/>
      <c r="H938" s="206"/>
      <c r="I938" s="207"/>
      <c r="J938" s="207"/>
      <c r="K938" s="207"/>
      <c r="L938" s="122"/>
      <c r="M938" s="207"/>
      <c r="N938" s="207"/>
      <c r="O938" s="122"/>
      <c r="P938" s="205"/>
      <c r="Q938" s="205"/>
      <c r="R938" s="205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</row>
    <row r="939">
      <c r="A939" s="122"/>
      <c r="B939" s="204"/>
      <c r="C939" s="204"/>
      <c r="D939" s="204"/>
      <c r="E939" s="205"/>
      <c r="F939" s="205"/>
      <c r="G939" s="205"/>
      <c r="H939" s="206"/>
      <c r="I939" s="207"/>
      <c r="J939" s="207"/>
      <c r="K939" s="207"/>
      <c r="L939" s="122"/>
      <c r="M939" s="207"/>
      <c r="N939" s="207"/>
      <c r="O939" s="122"/>
      <c r="P939" s="205"/>
      <c r="Q939" s="205"/>
      <c r="R939" s="205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</row>
    <row r="940">
      <c r="A940" s="122"/>
      <c r="B940" s="204"/>
      <c r="C940" s="204"/>
      <c r="D940" s="204"/>
      <c r="E940" s="205"/>
      <c r="F940" s="205"/>
      <c r="G940" s="205"/>
      <c r="H940" s="206"/>
      <c r="I940" s="207"/>
      <c r="J940" s="207"/>
      <c r="K940" s="207"/>
      <c r="L940" s="122"/>
      <c r="M940" s="207"/>
      <c r="N940" s="207"/>
      <c r="O940" s="122"/>
      <c r="P940" s="205"/>
      <c r="Q940" s="205"/>
      <c r="R940" s="205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</row>
    <row r="941">
      <c r="A941" s="122"/>
      <c r="B941" s="204"/>
      <c r="C941" s="204"/>
      <c r="D941" s="204"/>
      <c r="E941" s="205"/>
      <c r="F941" s="205"/>
      <c r="G941" s="205"/>
      <c r="H941" s="206"/>
      <c r="I941" s="207"/>
      <c r="J941" s="207"/>
      <c r="K941" s="207"/>
      <c r="L941" s="122"/>
      <c r="M941" s="207"/>
      <c r="N941" s="207"/>
      <c r="O941" s="122"/>
      <c r="P941" s="205"/>
      <c r="Q941" s="205"/>
      <c r="R941" s="205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</row>
    <row r="942">
      <c r="A942" s="122"/>
      <c r="B942" s="204"/>
      <c r="C942" s="204"/>
      <c r="D942" s="204"/>
      <c r="E942" s="205"/>
      <c r="F942" s="205"/>
      <c r="G942" s="205"/>
      <c r="H942" s="206"/>
      <c r="I942" s="207"/>
      <c r="J942" s="207"/>
      <c r="K942" s="207"/>
      <c r="L942" s="122"/>
      <c r="M942" s="207"/>
      <c r="N942" s="207"/>
      <c r="O942" s="122"/>
      <c r="P942" s="205"/>
      <c r="Q942" s="205"/>
      <c r="R942" s="205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</row>
    <row r="943">
      <c r="A943" s="122"/>
      <c r="B943" s="204"/>
      <c r="C943" s="204"/>
      <c r="D943" s="204"/>
      <c r="E943" s="205"/>
      <c r="F943" s="205"/>
      <c r="G943" s="205"/>
      <c r="H943" s="206"/>
      <c r="I943" s="207"/>
      <c r="J943" s="207"/>
      <c r="K943" s="207"/>
      <c r="L943" s="122"/>
      <c r="M943" s="207"/>
      <c r="N943" s="207"/>
      <c r="O943" s="122"/>
      <c r="P943" s="205"/>
      <c r="Q943" s="205"/>
      <c r="R943" s="205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</row>
    <row r="944">
      <c r="A944" s="122"/>
      <c r="B944" s="204"/>
      <c r="C944" s="204"/>
      <c r="D944" s="204"/>
      <c r="E944" s="205"/>
      <c r="F944" s="205"/>
      <c r="G944" s="205"/>
      <c r="H944" s="206"/>
      <c r="I944" s="207"/>
      <c r="J944" s="207"/>
      <c r="K944" s="207"/>
      <c r="L944" s="122"/>
      <c r="M944" s="207"/>
      <c r="N944" s="207"/>
      <c r="O944" s="122"/>
      <c r="P944" s="205"/>
      <c r="Q944" s="205"/>
      <c r="R944" s="205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</row>
    <row r="945">
      <c r="A945" s="122"/>
      <c r="B945" s="204"/>
      <c r="C945" s="204"/>
      <c r="D945" s="204"/>
      <c r="E945" s="205"/>
      <c r="F945" s="205"/>
      <c r="G945" s="205"/>
      <c r="H945" s="206"/>
      <c r="I945" s="207"/>
      <c r="J945" s="207"/>
      <c r="K945" s="207"/>
      <c r="L945" s="122"/>
      <c r="M945" s="207"/>
      <c r="N945" s="207"/>
      <c r="O945" s="122"/>
      <c r="P945" s="205"/>
      <c r="Q945" s="205"/>
      <c r="R945" s="205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</row>
    <row r="946">
      <c r="A946" s="122"/>
      <c r="B946" s="204"/>
      <c r="C946" s="204"/>
      <c r="D946" s="204"/>
      <c r="E946" s="205"/>
      <c r="F946" s="205"/>
      <c r="G946" s="205"/>
      <c r="H946" s="206"/>
      <c r="I946" s="207"/>
      <c r="J946" s="207"/>
      <c r="K946" s="207"/>
      <c r="L946" s="122"/>
      <c r="M946" s="207"/>
      <c r="N946" s="207"/>
      <c r="O946" s="122"/>
      <c r="P946" s="205"/>
      <c r="Q946" s="205"/>
      <c r="R946" s="205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</row>
    <row r="947">
      <c r="A947" s="122"/>
      <c r="B947" s="204"/>
      <c r="C947" s="204"/>
      <c r="D947" s="204"/>
      <c r="E947" s="205"/>
      <c r="F947" s="205"/>
      <c r="G947" s="205"/>
      <c r="H947" s="206"/>
      <c r="I947" s="207"/>
      <c r="J947" s="207"/>
      <c r="K947" s="207"/>
      <c r="L947" s="122"/>
      <c r="M947" s="207"/>
      <c r="N947" s="207"/>
      <c r="O947" s="122"/>
      <c r="P947" s="205"/>
      <c r="Q947" s="205"/>
      <c r="R947" s="205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</row>
    <row r="948">
      <c r="A948" s="122"/>
      <c r="B948" s="204"/>
      <c r="C948" s="204"/>
      <c r="D948" s="204"/>
      <c r="E948" s="205"/>
      <c r="F948" s="205"/>
      <c r="G948" s="205"/>
      <c r="H948" s="206"/>
      <c r="I948" s="207"/>
      <c r="J948" s="207"/>
      <c r="K948" s="207"/>
      <c r="L948" s="122"/>
      <c r="M948" s="207"/>
      <c r="N948" s="207"/>
      <c r="O948" s="122"/>
      <c r="P948" s="205"/>
      <c r="Q948" s="205"/>
      <c r="R948" s="205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</row>
    <row r="949">
      <c r="A949" s="122"/>
      <c r="B949" s="204"/>
      <c r="C949" s="204"/>
      <c r="D949" s="204"/>
      <c r="E949" s="205"/>
      <c r="F949" s="205"/>
      <c r="G949" s="205"/>
      <c r="H949" s="206"/>
      <c r="I949" s="207"/>
      <c r="J949" s="207"/>
      <c r="K949" s="207"/>
      <c r="L949" s="122"/>
      <c r="M949" s="207"/>
      <c r="N949" s="207"/>
      <c r="O949" s="122"/>
      <c r="P949" s="205"/>
      <c r="Q949" s="205"/>
      <c r="R949" s="205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</row>
    <row r="950">
      <c r="A950" s="122"/>
      <c r="B950" s="204"/>
      <c r="C950" s="204"/>
      <c r="D950" s="204"/>
      <c r="E950" s="205"/>
      <c r="F950" s="205"/>
      <c r="G950" s="205"/>
      <c r="H950" s="206"/>
      <c r="I950" s="207"/>
      <c r="J950" s="207"/>
      <c r="K950" s="207"/>
      <c r="L950" s="122"/>
      <c r="M950" s="207"/>
      <c r="N950" s="207"/>
      <c r="O950" s="122"/>
      <c r="P950" s="205"/>
      <c r="Q950" s="205"/>
      <c r="R950" s="205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</row>
    <row r="951">
      <c r="A951" s="122"/>
      <c r="B951" s="204"/>
      <c r="C951" s="204"/>
      <c r="D951" s="204"/>
      <c r="E951" s="205"/>
      <c r="F951" s="205"/>
      <c r="G951" s="205"/>
      <c r="H951" s="206"/>
      <c r="I951" s="207"/>
      <c r="J951" s="207"/>
      <c r="K951" s="207"/>
      <c r="L951" s="122"/>
      <c r="M951" s="207"/>
      <c r="N951" s="207"/>
      <c r="O951" s="122"/>
      <c r="P951" s="205"/>
      <c r="Q951" s="205"/>
      <c r="R951" s="205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</row>
    <row r="952">
      <c r="A952" s="122"/>
      <c r="B952" s="204"/>
      <c r="C952" s="204"/>
      <c r="D952" s="204"/>
      <c r="E952" s="205"/>
      <c r="F952" s="205"/>
      <c r="G952" s="205"/>
      <c r="H952" s="206"/>
      <c r="I952" s="207"/>
      <c r="J952" s="207"/>
      <c r="K952" s="207"/>
      <c r="L952" s="122"/>
      <c r="M952" s="207"/>
      <c r="N952" s="207"/>
      <c r="O952" s="122"/>
      <c r="P952" s="205"/>
      <c r="Q952" s="205"/>
      <c r="R952" s="205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</row>
    <row r="953">
      <c r="A953" s="122"/>
      <c r="B953" s="204"/>
      <c r="C953" s="204"/>
      <c r="D953" s="204"/>
      <c r="E953" s="205"/>
      <c r="F953" s="205"/>
      <c r="G953" s="205"/>
      <c r="H953" s="206"/>
      <c r="I953" s="207"/>
      <c r="J953" s="207"/>
      <c r="K953" s="207"/>
      <c r="L953" s="122"/>
      <c r="M953" s="207"/>
      <c r="N953" s="207"/>
      <c r="O953" s="122"/>
      <c r="P953" s="205"/>
      <c r="Q953" s="205"/>
      <c r="R953" s="205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</row>
    <row r="954">
      <c r="A954" s="122"/>
      <c r="B954" s="204"/>
      <c r="C954" s="204"/>
      <c r="D954" s="204"/>
      <c r="E954" s="205"/>
      <c r="F954" s="205"/>
      <c r="G954" s="205"/>
      <c r="H954" s="206"/>
      <c r="I954" s="207"/>
      <c r="J954" s="207"/>
      <c r="K954" s="207"/>
      <c r="L954" s="122"/>
      <c r="M954" s="207"/>
      <c r="N954" s="207"/>
      <c r="O954" s="122"/>
      <c r="P954" s="205"/>
      <c r="Q954" s="205"/>
      <c r="R954" s="205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</row>
    <row r="955">
      <c r="A955" s="122"/>
      <c r="B955" s="204"/>
      <c r="C955" s="204"/>
      <c r="D955" s="204"/>
      <c r="E955" s="205"/>
      <c r="F955" s="205"/>
      <c r="G955" s="205"/>
      <c r="H955" s="206"/>
      <c r="I955" s="207"/>
      <c r="J955" s="207"/>
      <c r="K955" s="207"/>
      <c r="L955" s="122"/>
      <c r="M955" s="207"/>
      <c r="N955" s="207"/>
      <c r="O955" s="122"/>
      <c r="P955" s="205"/>
      <c r="Q955" s="205"/>
      <c r="R955" s="205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</row>
    <row r="956">
      <c r="A956" s="122"/>
      <c r="B956" s="204"/>
      <c r="C956" s="204"/>
      <c r="D956" s="204"/>
      <c r="E956" s="205"/>
      <c r="F956" s="205"/>
      <c r="G956" s="205"/>
      <c r="H956" s="206"/>
      <c r="I956" s="207"/>
      <c r="J956" s="207"/>
      <c r="K956" s="207"/>
      <c r="L956" s="122"/>
      <c r="M956" s="207"/>
      <c r="N956" s="207"/>
      <c r="O956" s="122"/>
      <c r="P956" s="205"/>
      <c r="Q956" s="205"/>
      <c r="R956" s="205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</row>
    <row r="957">
      <c r="A957" s="122"/>
      <c r="B957" s="204"/>
      <c r="C957" s="204"/>
      <c r="D957" s="204"/>
      <c r="E957" s="205"/>
      <c r="F957" s="205"/>
      <c r="G957" s="205"/>
      <c r="H957" s="206"/>
      <c r="I957" s="207"/>
      <c r="J957" s="207"/>
      <c r="K957" s="207"/>
      <c r="L957" s="122"/>
      <c r="M957" s="207"/>
      <c r="N957" s="207"/>
      <c r="O957" s="122"/>
      <c r="P957" s="205"/>
      <c r="Q957" s="205"/>
      <c r="R957" s="205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</row>
    <row r="958">
      <c r="A958" s="122"/>
      <c r="B958" s="204"/>
      <c r="C958" s="204"/>
      <c r="D958" s="204"/>
      <c r="E958" s="205"/>
      <c r="F958" s="205"/>
      <c r="G958" s="205"/>
      <c r="H958" s="206"/>
      <c r="I958" s="207"/>
      <c r="J958" s="207"/>
      <c r="K958" s="207"/>
      <c r="L958" s="122"/>
      <c r="M958" s="207"/>
      <c r="N958" s="207"/>
      <c r="O958" s="122"/>
      <c r="P958" s="205"/>
      <c r="Q958" s="205"/>
      <c r="R958" s="205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</row>
    <row r="959">
      <c r="A959" s="122"/>
      <c r="B959" s="204"/>
      <c r="C959" s="204"/>
      <c r="D959" s="204"/>
      <c r="E959" s="205"/>
      <c r="F959" s="205"/>
      <c r="G959" s="205"/>
      <c r="H959" s="206"/>
      <c r="I959" s="207"/>
      <c r="J959" s="207"/>
      <c r="K959" s="207"/>
      <c r="L959" s="122"/>
      <c r="M959" s="207"/>
      <c r="N959" s="207"/>
      <c r="O959" s="122"/>
      <c r="P959" s="205"/>
      <c r="Q959" s="205"/>
      <c r="R959" s="205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</row>
    <row r="960">
      <c r="A960" s="122"/>
      <c r="B960" s="204"/>
      <c r="C960" s="204"/>
      <c r="D960" s="204"/>
      <c r="E960" s="205"/>
      <c r="F960" s="205"/>
      <c r="G960" s="205"/>
      <c r="H960" s="206"/>
      <c r="I960" s="207"/>
      <c r="J960" s="207"/>
      <c r="K960" s="207"/>
      <c r="L960" s="122"/>
      <c r="M960" s="207"/>
      <c r="N960" s="207"/>
      <c r="O960" s="122"/>
      <c r="P960" s="205"/>
      <c r="Q960" s="205"/>
      <c r="R960" s="205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</row>
    <row r="961">
      <c r="A961" s="122"/>
      <c r="B961" s="204"/>
      <c r="C961" s="204"/>
      <c r="D961" s="204"/>
      <c r="E961" s="205"/>
      <c r="F961" s="205"/>
      <c r="G961" s="205"/>
      <c r="H961" s="206"/>
      <c r="I961" s="207"/>
      <c r="J961" s="207"/>
      <c r="K961" s="207"/>
      <c r="L961" s="122"/>
      <c r="M961" s="207"/>
      <c r="N961" s="207"/>
      <c r="O961" s="122"/>
      <c r="P961" s="205"/>
      <c r="Q961" s="205"/>
      <c r="R961" s="205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</row>
    <row r="962">
      <c r="A962" s="122"/>
      <c r="B962" s="204"/>
      <c r="C962" s="204"/>
      <c r="D962" s="204"/>
      <c r="E962" s="205"/>
      <c r="F962" s="205"/>
      <c r="G962" s="205"/>
      <c r="H962" s="206"/>
      <c r="I962" s="207"/>
      <c r="J962" s="207"/>
      <c r="K962" s="207"/>
      <c r="L962" s="122"/>
      <c r="M962" s="207"/>
      <c r="N962" s="207"/>
      <c r="O962" s="122"/>
      <c r="P962" s="205"/>
      <c r="Q962" s="205"/>
      <c r="R962" s="205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</row>
    <row r="963">
      <c r="A963" s="122"/>
      <c r="B963" s="204"/>
      <c r="C963" s="204"/>
      <c r="D963" s="204"/>
      <c r="E963" s="205"/>
      <c r="F963" s="205"/>
      <c r="G963" s="205"/>
      <c r="H963" s="206"/>
      <c r="I963" s="207"/>
      <c r="J963" s="207"/>
      <c r="K963" s="207"/>
      <c r="L963" s="122"/>
      <c r="M963" s="207"/>
      <c r="N963" s="207"/>
      <c r="O963" s="122"/>
      <c r="P963" s="205"/>
      <c r="Q963" s="205"/>
      <c r="R963" s="205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</row>
    <row r="964">
      <c r="A964" s="122"/>
      <c r="B964" s="204"/>
      <c r="C964" s="204"/>
      <c r="D964" s="204"/>
      <c r="E964" s="205"/>
      <c r="F964" s="205"/>
      <c r="G964" s="205"/>
      <c r="H964" s="206"/>
      <c r="I964" s="207"/>
      <c r="J964" s="207"/>
      <c r="K964" s="207"/>
      <c r="L964" s="122"/>
      <c r="M964" s="207"/>
      <c r="N964" s="207"/>
      <c r="O964" s="122"/>
      <c r="P964" s="205"/>
      <c r="Q964" s="205"/>
      <c r="R964" s="205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</row>
    <row r="965">
      <c r="A965" s="122"/>
      <c r="B965" s="204"/>
      <c r="C965" s="204"/>
      <c r="D965" s="204"/>
      <c r="E965" s="205"/>
      <c r="F965" s="205"/>
      <c r="G965" s="205"/>
      <c r="H965" s="206"/>
      <c r="I965" s="207"/>
      <c r="J965" s="207"/>
      <c r="K965" s="207"/>
      <c r="L965" s="122"/>
      <c r="M965" s="207"/>
      <c r="N965" s="207"/>
      <c r="O965" s="122"/>
      <c r="P965" s="205"/>
      <c r="Q965" s="205"/>
      <c r="R965" s="205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</row>
    <row r="966">
      <c r="A966" s="122"/>
      <c r="B966" s="204"/>
      <c r="C966" s="204"/>
      <c r="D966" s="204"/>
      <c r="E966" s="205"/>
      <c r="F966" s="205"/>
      <c r="G966" s="205"/>
      <c r="H966" s="206"/>
      <c r="I966" s="207"/>
      <c r="J966" s="207"/>
      <c r="K966" s="207"/>
      <c r="L966" s="122"/>
      <c r="M966" s="207"/>
      <c r="N966" s="207"/>
      <c r="O966" s="122"/>
      <c r="P966" s="205"/>
      <c r="Q966" s="205"/>
      <c r="R966" s="205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</row>
    <row r="967">
      <c r="A967" s="122"/>
      <c r="B967" s="204"/>
      <c r="C967" s="204"/>
      <c r="D967" s="204"/>
      <c r="E967" s="205"/>
      <c r="F967" s="205"/>
      <c r="G967" s="205"/>
      <c r="H967" s="206"/>
      <c r="I967" s="207"/>
      <c r="J967" s="207"/>
      <c r="K967" s="207"/>
      <c r="L967" s="122"/>
      <c r="M967" s="207"/>
      <c r="N967" s="207"/>
      <c r="O967" s="122"/>
      <c r="P967" s="205"/>
      <c r="Q967" s="205"/>
      <c r="R967" s="205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</row>
    <row r="968">
      <c r="A968" s="122"/>
      <c r="B968" s="204"/>
      <c r="C968" s="204"/>
      <c r="D968" s="204"/>
      <c r="E968" s="205"/>
      <c r="F968" s="205"/>
      <c r="G968" s="205"/>
      <c r="H968" s="206"/>
      <c r="I968" s="207"/>
      <c r="J968" s="207"/>
      <c r="K968" s="207"/>
      <c r="L968" s="122"/>
      <c r="M968" s="207"/>
      <c r="N968" s="207"/>
      <c r="O968" s="122"/>
      <c r="P968" s="205"/>
      <c r="Q968" s="205"/>
      <c r="R968" s="205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</row>
    <row r="969">
      <c r="A969" s="122"/>
      <c r="B969" s="204"/>
      <c r="C969" s="204"/>
      <c r="D969" s="204"/>
      <c r="E969" s="205"/>
      <c r="F969" s="205"/>
      <c r="G969" s="205"/>
      <c r="H969" s="206"/>
      <c r="I969" s="207"/>
      <c r="J969" s="207"/>
      <c r="K969" s="207"/>
      <c r="L969" s="122"/>
      <c r="M969" s="207"/>
      <c r="N969" s="207"/>
      <c r="O969" s="122"/>
      <c r="P969" s="205"/>
      <c r="Q969" s="205"/>
      <c r="R969" s="205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</row>
    <row r="970">
      <c r="A970" s="122"/>
      <c r="B970" s="204"/>
      <c r="C970" s="204"/>
      <c r="D970" s="204"/>
      <c r="E970" s="205"/>
      <c r="F970" s="205"/>
      <c r="G970" s="205"/>
      <c r="H970" s="206"/>
      <c r="I970" s="207"/>
      <c r="J970" s="207"/>
      <c r="K970" s="207"/>
      <c r="L970" s="122"/>
      <c r="M970" s="207"/>
      <c r="N970" s="207"/>
      <c r="O970" s="122"/>
      <c r="P970" s="205"/>
      <c r="Q970" s="205"/>
      <c r="R970" s="205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</row>
    <row r="971">
      <c r="A971" s="122"/>
      <c r="B971" s="204"/>
      <c r="C971" s="204"/>
      <c r="D971" s="204"/>
      <c r="E971" s="205"/>
      <c r="F971" s="205"/>
      <c r="G971" s="205"/>
      <c r="H971" s="206"/>
      <c r="I971" s="207"/>
      <c r="J971" s="207"/>
      <c r="K971" s="207"/>
      <c r="L971" s="122"/>
      <c r="M971" s="207"/>
      <c r="N971" s="207"/>
      <c r="O971" s="122"/>
      <c r="P971" s="205"/>
      <c r="Q971" s="205"/>
      <c r="R971" s="205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</row>
    <row r="972">
      <c r="A972" s="122"/>
      <c r="B972" s="204"/>
      <c r="C972" s="204"/>
      <c r="D972" s="204"/>
      <c r="E972" s="205"/>
      <c r="F972" s="205"/>
      <c r="G972" s="205"/>
      <c r="H972" s="206"/>
      <c r="I972" s="207"/>
      <c r="J972" s="207"/>
      <c r="K972" s="207"/>
      <c r="L972" s="122"/>
      <c r="M972" s="207"/>
      <c r="N972" s="207"/>
      <c r="O972" s="122"/>
      <c r="P972" s="205"/>
      <c r="Q972" s="205"/>
      <c r="R972" s="205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</row>
    <row r="973">
      <c r="A973" s="122"/>
      <c r="B973" s="204"/>
      <c r="C973" s="204"/>
      <c r="D973" s="204"/>
      <c r="E973" s="205"/>
      <c r="F973" s="205"/>
      <c r="G973" s="205"/>
      <c r="H973" s="206"/>
      <c r="I973" s="207"/>
      <c r="J973" s="207"/>
      <c r="K973" s="207"/>
      <c r="L973" s="122"/>
      <c r="M973" s="207"/>
      <c r="N973" s="207"/>
      <c r="O973" s="122"/>
      <c r="P973" s="205"/>
      <c r="Q973" s="205"/>
      <c r="R973" s="205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</row>
    <row r="974">
      <c r="A974" s="122"/>
      <c r="B974" s="204"/>
      <c r="C974" s="204"/>
      <c r="D974" s="204"/>
      <c r="E974" s="205"/>
      <c r="F974" s="205"/>
      <c r="G974" s="205"/>
      <c r="H974" s="206"/>
      <c r="I974" s="207"/>
      <c r="J974" s="207"/>
      <c r="K974" s="207"/>
      <c r="L974" s="122"/>
      <c r="M974" s="207"/>
      <c r="N974" s="207"/>
      <c r="O974" s="122"/>
      <c r="P974" s="205"/>
      <c r="Q974" s="205"/>
      <c r="R974" s="205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</row>
    <row r="975">
      <c r="A975" s="122"/>
      <c r="B975" s="204"/>
      <c r="C975" s="204"/>
      <c r="D975" s="204"/>
      <c r="E975" s="205"/>
      <c r="F975" s="205"/>
      <c r="G975" s="205"/>
      <c r="H975" s="206"/>
      <c r="I975" s="207"/>
      <c r="J975" s="207"/>
      <c r="K975" s="207"/>
      <c r="L975" s="122"/>
      <c r="M975" s="207"/>
      <c r="N975" s="207"/>
      <c r="O975" s="122"/>
      <c r="P975" s="205"/>
      <c r="Q975" s="205"/>
      <c r="R975" s="205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</row>
    <row r="976">
      <c r="A976" s="122"/>
      <c r="B976" s="204"/>
      <c r="C976" s="204"/>
      <c r="D976" s="204"/>
      <c r="E976" s="205"/>
      <c r="F976" s="205"/>
      <c r="G976" s="205"/>
      <c r="H976" s="206"/>
      <c r="I976" s="207"/>
      <c r="J976" s="207"/>
      <c r="K976" s="207"/>
      <c r="L976" s="122"/>
      <c r="M976" s="207"/>
      <c r="N976" s="207"/>
      <c r="O976" s="122"/>
      <c r="P976" s="205"/>
      <c r="Q976" s="205"/>
      <c r="R976" s="205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</row>
    <row r="977">
      <c r="A977" s="122"/>
      <c r="B977" s="204"/>
      <c r="C977" s="204"/>
      <c r="D977" s="204"/>
      <c r="E977" s="205"/>
      <c r="F977" s="205"/>
      <c r="G977" s="205"/>
      <c r="H977" s="206"/>
      <c r="I977" s="207"/>
      <c r="J977" s="207"/>
      <c r="K977" s="207"/>
      <c r="L977" s="122"/>
      <c r="M977" s="207"/>
      <c r="N977" s="207"/>
      <c r="O977" s="122"/>
      <c r="P977" s="205"/>
      <c r="Q977" s="205"/>
      <c r="R977" s="205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</row>
    <row r="978">
      <c r="A978" s="122"/>
      <c r="B978" s="204"/>
      <c r="C978" s="204"/>
      <c r="D978" s="204"/>
      <c r="E978" s="205"/>
      <c r="F978" s="205"/>
      <c r="G978" s="205"/>
      <c r="H978" s="206"/>
      <c r="I978" s="207"/>
      <c r="J978" s="207"/>
      <c r="K978" s="207"/>
      <c r="L978" s="122"/>
      <c r="M978" s="207"/>
      <c r="N978" s="207"/>
      <c r="O978" s="122"/>
      <c r="P978" s="205"/>
      <c r="Q978" s="205"/>
      <c r="R978" s="205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</row>
    <row r="979">
      <c r="A979" s="122"/>
      <c r="B979" s="204"/>
      <c r="C979" s="204"/>
      <c r="D979" s="204"/>
      <c r="E979" s="205"/>
      <c r="F979" s="205"/>
      <c r="G979" s="205"/>
      <c r="H979" s="206"/>
      <c r="I979" s="207"/>
      <c r="J979" s="207"/>
      <c r="K979" s="207"/>
      <c r="L979" s="122"/>
      <c r="M979" s="207"/>
      <c r="N979" s="207"/>
      <c r="O979" s="122"/>
      <c r="P979" s="205"/>
      <c r="Q979" s="205"/>
      <c r="R979" s="205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</row>
    <row r="980">
      <c r="A980" s="122"/>
      <c r="B980" s="204"/>
      <c r="C980" s="204"/>
      <c r="D980" s="204"/>
      <c r="E980" s="205"/>
      <c r="F980" s="205"/>
      <c r="G980" s="205"/>
      <c r="H980" s="206"/>
      <c r="I980" s="207"/>
      <c r="J980" s="207"/>
      <c r="K980" s="207"/>
      <c r="L980" s="122"/>
      <c r="M980" s="207"/>
      <c r="N980" s="207"/>
      <c r="O980" s="122"/>
      <c r="P980" s="205"/>
      <c r="Q980" s="205"/>
      <c r="R980" s="205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</row>
    <row r="981">
      <c r="A981" s="122"/>
      <c r="B981" s="204"/>
      <c r="C981" s="204"/>
      <c r="D981" s="204"/>
      <c r="E981" s="205"/>
      <c r="F981" s="205"/>
      <c r="G981" s="205"/>
      <c r="H981" s="206"/>
      <c r="I981" s="207"/>
      <c r="J981" s="207"/>
      <c r="K981" s="207"/>
      <c r="L981" s="122"/>
      <c r="M981" s="207"/>
      <c r="N981" s="207"/>
      <c r="O981" s="122"/>
      <c r="P981" s="205"/>
      <c r="Q981" s="205"/>
      <c r="R981" s="205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</row>
    <row r="982">
      <c r="A982" s="122"/>
      <c r="B982" s="204"/>
      <c r="C982" s="204"/>
      <c r="D982" s="204"/>
      <c r="E982" s="205"/>
      <c r="F982" s="205"/>
      <c r="G982" s="205"/>
      <c r="H982" s="206"/>
      <c r="I982" s="207"/>
      <c r="J982" s="207"/>
      <c r="K982" s="207"/>
      <c r="L982" s="122"/>
      <c r="M982" s="207"/>
      <c r="N982" s="207"/>
      <c r="O982" s="122"/>
      <c r="P982" s="205"/>
      <c r="Q982" s="205"/>
      <c r="R982" s="205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</row>
    <row r="983">
      <c r="A983" s="122"/>
      <c r="B983" s="204"/>
      <c r="C983" s="204"/>
      <c r="D983" s="204"/>
      <c r="E983" s="205"/>
      <c r="F983" s="205"/>
      <c r="G983" s="205"/>
      <c r="H983" s="206"/>
      <c r="I983" s="207"/>
      <c r="J983" s="207"/>
      <c r="K983" s="207"/>
      <c r="L983" s="122"/>
      <c r="M983" s="207"/>
      <c r="N983" s="207"/>
      <c r="O983" s="122"/>
      <c r="P983" s="205"/>
      <c r="Q983" s="205"/>
      <c r="R983" s="205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</row>
    <row r="984">
      <c r="A984" s="122"/>
      <c r="B984" s="204"/>
      <c r="C984" s="204"/>
      <c r="D984" s="204"/>
      <c r="E984" s="205"/>
      <c r="F984" s="205"/>
      <c r="G984" s="205"/>
      <c r="H984" s="206"/>
      <c r="I984" s="207"/>
      <c r="J984" s="207"/>
      <c r="K984" s="207"/>
      <c r="L984" s="122"/>
      <c r="M984" s="207"/>
      <c r="N984" s="207"/>
      <c r="O984" s="122"/>
      <c r="P984" s="205"/>
      <c r="Q984" s="205"/>
      <c r="R984" s="205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</row>
    <row r="985">
      <c r="A985" s="122"/>
      <c r="B985" s="204"/>
      <c r="C985" s="204"/>
      <c r="D985" s="204"/>
      <c r="E985" s="205"/>
      <c r="F985" s="205"/>
      <c r="G985" s="205"/>
      <c r="H985" s="206"/>
      <c r="I985" s="207"/>
      <c r="J985" s="207"/>
      <c r="K985" s="207"/>
      <c r="L985" s="122"/>
      <c r="M985" s="207"/>
      <c r="N985" s="207"/>
      <c r="O985" s="122"/>
      <c r="P985" s="205"/>
      <c r="Q985" s="205"/>
      <c r="R985" s="205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</row>
    <row r="986">
      <c r="A986" s="122"/>
      <c r="B986" s="204"/>
      <c r="C986" s="204"/>
      <c r="D986" s="204"/>
      <c r="E986" s="205"/>
      <c r="F986" s="205"/>
      <c r="G986" s="205"/>
      <c r="H986" s="206"/>
      <c r="I986" s="207"/>
      <c r="J986" s="207"/>
      <c r="K986" s="207"/>
      <c r="L986" s="122"/>
      <c r="M986" s="207"/>
      <c r="N986" s="207"/>
      <c r="O986" s="122"/>
      <c r="P986" s="205"/>
      <c r="Q986" s="205"/>
      <c r="R986" s="205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</row>
    <row r="987">
      <c r="A987" s="122"/>
      <c r="B987" s="204"/>
      <c r="C987" s="204"/>
      <c r="D987" s="204"/>
      <c r="E987" s="205"/>
      <c r="F987" s="205"/>
      <c r="G987" s="205"/>
      <c r="H987" s="206"/>
      <c r="I987" s="207"/>
      <c r="J987" s="207"/>
      <c r="K987" s="207"/>
      <c r="L987" s="122"/>
      <c r="M987" s="207"/>
      <c r="N987" s="207"/>
      <c r="O987" s="122"/>
      <c r="P987" s="205"/>
      <c r="Q987" s="205"/>
      <c r="R987" s="205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</row>
    <row r="988">
      <c r="A988" s="122"/>
      <c r="B988" s="204"/>
      <c r="C988" s="204"/>
      <c r="D988" s="204"/>
      <c r="E988" s="205"/>
      <c r="F988" s="205"/>
      <c r="G988" s="205"/>
      <c r="H988" s="206"/>
      <c r="I988" s="207"/>
      <c r="J988" s="207"/>
      <c r="K988" s="207"/>
      <c r="L988" s="122"/>
      <c r="M988" s="207"/>
      <c r="N988" s="207"/>
      <c r="O988" s="122"/>
      <c r="P988" s="205"/>
      <c r="Q988" s="205"/>
      <c r="R988" s="205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</row>
    <row r="989">
      <c r="A989" s="122"/>
      <c r="B989" s="204"/>
      <c r="C989" s="204"/>
      <c r="D989" s="204"/>
      <c r="E989" s="205"/>
      <c r="F989" s="205"/>
      <c r="G989" s="205"/>
      <c r="H989" s="206"/>
      <c r="I989" s="207"/>
      <c r="J989" s="207"/>
      <c r="K989" s="207"/>
      <c r="L989" s="122"/>
      <c r="M989" s="207"/>
      <c r="N989" s="207"/>
      <c r="O989" s="122"/>
      <c r="P989" s="205"/>
      <c r="Q989" s="205"/>
      <c r="R989" s="205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</row>
    <row r="990">
      <c r="A990" s="122"/>
      <c r="B990" s="204"/>
      <c r="C990" s="204"/>
      <c r="D990" s="204"/>
      <c r="E990" s="205"/>
      <c r="F990" s="205"/>
      <c r="G990" s="205"/>
      <c r="H990" s="206"/>
      <c r="I990" s="207"/>
      <c r="J990" s="207"/>
      <c r="K990" s="207"/>
      <c r="L990" s="122"/>
      <c r="M990" s="207"/>
      <c r="N990" s="207"/>
      <c r="O990" s="122"/>
      <c r="P990" s="205"/>
      <c r="Q990" s="205"/>
      <c r="R990" s="205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</row>
    <row r="991">
      <c r="A991" s="122"/>
      <c r="B991" s="204"/>
      <c r="C991" s="204"/>
      <c r="D991" s="204"/>
      <c r="E991" s="205"/>
      <c r="F991" s="205"/>
      <c r="G991" s="205"/>
      <c r="H991" s="206"/>
      <c r="I991" s="207"/>
      <c r="J991" s="207"/>
      <c r="K991" s="207"/>
      <c r="L991" s="122"/>
      <c r="M991" s="207"/>
      <c r="N991" s="207"/>
      <c r="O991" s="122"/>
      <c r="P991" s="205"/>
      <c r="Q991" s="205"/>
      <c r="R991" s="205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</row>
    <row r="992">
      <c r="A992" s="122"/>
      <c r="B992" s="204"/>
      <c r="C992" s="204"/>
      <c r="D992" s="204"/>
      <c r="E992" s="205"/>
      <c r="F992" s="205"/>
      <c r="G992" s="205"/>
      <c r="H992" s="206"/>
      <c r="I992" s="207"/>
      <c r="J992" s="207"/>
      <c r="K992" s="207"/>
      <c r="L992" s="122"/>
      <c r="M992" s="207"/>
      <c r="N992" s="207"/>
      <c r="O992" s="122"/>
      <c r="P992" s="205"/>
      <c r="Q992" s="205"/>
      <c r="R992" s="205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</row>
    <row r="993">
      <c r="A993" s="122"/>
      <c r="B993" s="204"/>
      <c r="C993" s="204"/>
      <c r="D993" s="204"/>
      <c r="E993" s="205"/>
      <c r="F993" s="205"/>
      <c r="G993" s="205"/>
      <c r="H993" s="206"/>
      <c r="I993" s="207"/>
      <c r="J993" s="207"/>
      <c r="K993" s="207"/>
      <c r="L993" s="122"/>
      <c r="M993" s="207"/>
      <c r="N993" s="207"/>
      <c r="O993" s="122"/>
      <c r="P993" s="205"/>
      <c r="Q993" s="205"/>
      <c r="R993" s="205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</row>
    <row r="994">
      <c r="A994" s="122"/>
      <c r="B994" s="204"/>
      <c r="C994" s="204"/>
      <c r="D994" s="204"/>
      <c r="E994" s="205"/>
      <c r="F994" s="205"/>
      <c r="G994" s="205"/>
      <c r="H994" s="206"/>
      <c r="I994" s="207"/>
      <c r="J994" s="207"/>
      <c r="K994" s="207"/>
      <c r="L994" s="122"/>
      <c r="M994" s="207"/>
      <c r="N994" s="207"/>
      <c r="O994" s="122"/>
      <c r="P994" s="205"/>
      <c r="Q994" s="205"/>
      <c r="R994" s="205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</row>
    <row r="995">
      <c r="A995" s="122"/>
      <c r="B995" s="204"/>
      <c r="C995" s="204"/>
      <c r="D995" s="204"/>
      <c r="E995" s="205"/>
      <c r="F995" s="205"/>
      <c r="G995" s="205"/>
      <c r="H995" s="206"/>
      <c r="I995" s="207"/>
      <c r="J995" s="207"/>
      <c r="K995" s="207"/>
      <c r="L995" s="122"/>
      <c r="M995" s="207"/>
      <c r="N995" s="207"/>
      <c r="O995" s="122"/>
      <c r="P995" s="205"/>
      <c r="Q995" s="205"/>
      <c r="R995" s="205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</row>
    <row r="996">
      <c r="A996" s="122"/>
      <c r="B996" s="204"/>
      <c r="C996" s="204"/>
      <c r="D996" s="204"/>
      <c r="E996" s="205"/>
      <c r="F996" s="205"/>
      <c r="G996" s="205"/>
      <c r="H996" s="206"/>
      <c r="I996" s="207"/>
      <c r="J996" s="207"/>
      <c r="K996" s="207"/>
      <c r="L996" s="122"/>
      <c r="M996" s="207"/>
      <c r="N996" s="207"/>
      <c r="O996" s="122"/>
      <c r="P996" s="205"/>
      <c r="Q996" s="205"/>
      <c r="R996" s="205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</row>
    <row r="997">
      <c r="A997" s="122"/>
      <c r="B997" s="204"/>
      <c r="C997" s="204"/>
      <c r="D997" s="204"/>
      <c r="E997" s="205"/>
      <c r="F997" s="205"/>
      <c r="G997" s="205"/>
      <c r="H997" s="206"/>
      <c r="I997" s="207"/>
      <c r="J997" s="207"/>
      <c r="K997" s="207"/>
      <c r="L997" s="122"/>
      <c r="M997" s="207"/>
      <c r="N997" s="207"/>
      <c r="O997" s="122"/>
      <c r="P997" s="205"/>
      <c r="Q997" s="205"/>
      <c r="R997" s="205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</row>
    <row r="998">
      <c r="A998" s="122"/>
      <c r="B998" s="204"/>
      <c r="C998" s="204"/>
      <c r="D998" s="204"/>
      <c r="E998" s="205"/>
      <c r="F998" s="205"/>
      <c r="G998" s="205"/>
      <c r="H998" s="206"/>
      <c r="I998" s="207"/>
      <c r="J998" s="207"/>
      <c r="K998" s="207"/>
      <c r="L998" s="122"/>
      <c r="M998" s="207"/>
      <c r="N998" s="207"/>
      <c r="O998" s="122"/>
      <c r="P998" s="205"/>
      <c r="Q998" s="205"/>
      <c r="R998" s="205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</row>
    <row r="999">
      <c r="A999" s="122"/>
      <c r="B999" s="204"/>
      <c r="C999" s="204"/>
      <c r="D999" s="204"/>
      <c r="E999" s="205"/>
      <c r="F999" s="205"/>
      <c r="G999" s="205"/>
      <c r="H999" s="206"/>
      <c r="I999" s="207"/>
      <c r="J999" s="207"/>
      <c r="K999" s="207"/>
      <c r="L999" s="122"/>
      <c r="M999" s="207"/>
      <c r="N999" s="207"/>
      <c r="O999" s="122"/>
      <c r="P999" s="205"/>
      <c r="Q999" s="205"/>
      <c r="R999" s="205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</row>
    <row r="1000">
      <c r="A1000" s="122"/>
      <c r="B1000" s="204"/>
      <c r="C1000" s="204"/>
      <c r="D1000" s="204"/>
      <c r="E1000" s="205"/>
      <c r="F1000" s="205"/>
      <c r="G1000" s="205"/>
      <c r="H1000" s="206"/>
      <c r="I1000" s="207"/>
      <c r="J1000" s="207"/>
      <c r="K1000" s="207"/>
      <c r="L1000" s="122"/>
      <c r="M1000" s="207"/>
      <c r="N1000" s="207"/>
      <c r="O1000" s="122"/>
      <c r="P1000" s="205"/>
      <c r="Q1000" s="205"/>
      <c r="R1000" s="205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</row>
    <row r="1001">
      <c r="A1001" s="122"/>
      <c r="B1001" s="204"/>
      <c r="C1001" s="204"/>
      <c r="D1001" s="204"/>
      <c r="E1001" s="205"/>
      <c r="F1001" s="205"/>
      <c r="G1001" s="205"/>
      <c r="H1001" s="206"/>
      <c r="I1001" s="207"/>
      <c r="J1001" s="207"/>
      <c r="K1001" s="207"/>
      <c r="L1001" s="122"/>
      <c r="M1001" s="207"/>
      <c r="N1001" s="207"/>
      <c r="O1001" s="122"/>
      <c r="P1001" s="205"/>
      <c r="Q1001" s="205"/>
      <c r="R1001" s="205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2"/>
    </row>
    <row r="1002">
      <c r="A1002" s="122"/>
      <c r="B1002" s="204"/>
      <c r="C1002" s="204"/>
      <c r="D1002" s="204"/>
      <c r="E1002" s="205"/>
      <c r="F1002" s="205"/>
      <c r="G1002" s="205"/>
      <c r="H1002" s="206"/>
      <c r="I1002" s="207"/>
      <c r="J1002" s="207"/>
      <c r="K1002" s="207"/>
      <c r="L1002" s="122"/>
      <c r="M1002" s="207"/>
      <c r="N1002" s="207"/>
      <c r="O1002" s="122"/>
      <c r="P1002" s="205"/>
      <c r="Q1002" s="205"/>
      <c r="R1002" s="205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2"/>
    </row>
    <row r="1003">
      <c r="A1003" s="122"/>
      <c r="B1003" s="204"/>
      <c r="C1003" s="204"/>
      <c r="D1003" s="204"/>
      <c r="E1003" s="205"/>
      <c r="F1003" s="205"/>
      <c r="G1003" s="205"/>
      <c r="H1003" s="206"/>
      <c r="I1003" s="207"/>
      <c r="J1003" s="207"/>
      <c r="K1003" s="207"/>
      <c r="L1003" s="122"/>
      <c r="M1003" s="207"/>
      <c r="N1003" s="207"/>
      <c r="O1003" s="122"/>
      <c r="P1003" s="205"/>
      <c r="Q1003" s="205"/>
      <c r="R1003" s="205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2"/>
    </row>
    <row r="1004">
      <c r="A1004" s="122"/>
      <c r="B1004" s="204"/>
      <c r="C1004" s="204"/>
      <c r="D1004" s="204"/>
      <c r="E1004" s="205"/>
      <c r="F1004" s="205"/>
      <c r="G1004" s="205"/>
      <c r="H1004" s="206"/>
      <c r="I1004" s="207"/>
      <c r="J1004" s="207"/>
      <c r="K1004" s="207"/>
      <c r="L1004" s="122"/>
      <c r="M1004" s="207"/>
      <c r="N1004" s="207"/>
      <c r="O1004" s="122"/>
      <c r="P1004" s="205"/>
      <c r="Q1004" s="205"/>
      <c r="R1004" s="205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2"/>
    </row>
    <row r="1005">
      <c r="A1005" s="122"/>
      <c r="B1005" s="204"/>
      <c r="C1005" s="204"/>
      <c r="D1005" s="204"/>
      <c r="E1005" s="205"/>
      <c r="F1005" s="205"/>
      <c r="G1005" s="205"/>
      <c r="H1005" s="206"/>
      <c r="I1005" s="207"/>
      <c r="J1005" s="207"/>
      <c r="K1005" s="207"/>
      <c r="L1005" s="122"/>
      <c r="M1005" s="207"/>
      <c r="N1005" s="207"/>
      <c r="O1005" s="122"/>
      <c r="P1005" s="205"/>
      <c r="Q1005" s="205"/>
      <c r="R1005" s="205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2"/>
    </row>
    <row r="1006">
      <c r="A1006" s="122"/>
      <c r="B1006" s="204"/>
      <c r="C1006" s="204"/>
      <c r="D1006" s="204"/>
      <c r="E1006" s="205"/>
      <c r="F1006" s="205"/>
      <c r="G1006" s="205"/>
      <c r="H1006" s="206"/>
      <c r="I1006" s="207"/>
      <c r="J1006" s="207"/>
      <c r="K1006" s="207"/>
      <c r="L1006" s="122"/>
      <c r="M1006" s="207"/>
      <c r="N1006" s="207"/>
      <c r="O1006" s="122"/>
      <c r="P1006" s="205"/>
      <c r="Q1006" s="205"/>
      <c r="R1006" s="205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2"/>
    </row>
    <row r="1007">
      <c r="A1007" s="122"/>
      <c r="B1007" s="204"/>
      <c r="C1007" s="204"/>
      <c r="D1007" s="204"/>
      <c r="E1007" s="205"/>
      <c r="F1007" s="205"/>
      <c r="G1007" s="205"/>
      <c r="H1007" s="206"/>
      <c r="I1007" s="207"/>
      <c r="J1007" s="207"/>
      <c r="K1007" s="207"/>
      <c r="L1007" s="122"/>
      <c r="M1007" s="207"/>
      <c r="N1007" s="207"/>
      <c r="O1007" s="122"/>
      <c r="P1007" s="205"/>
      <c r="Q1007" s="205"/>
      <c r="R1007" s="205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2"/>
    </row>
    <row r="1008">
      <c r="A1008" s="122"/>
      <c r="B1008" s="204"/>
      <c r="C1008" s="204"/>
      <c r="D1008" s="204"/>
      <c r="E1008" s="205"/>
      <c r="F1008" s="205"/>
      <c r="G1008" s="205"/>
      <c r="H1008" s="206"/>
      <c r="I1008" s="207"/>
      <c r="J1008" s="207"/>
      <c r="K1008" s="207"/>
      <c r="L1008" s="122"/>
      <c r="M1008" s="207"/>
      <c r="N1008" s="207"/>
      <c r="O1008" s="122"/>
      <c r="P1008" s="205"/>
      <c r="Q1008" s="205"/>
      <c r="R1008" s="205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2"/>
    </row>
    <row r="1009">
      <c r="A1009" s="122"/>
      <c r="B1009" s="204"/>
      <c r="C1009" s="204"/>
      <c r="D1009" s="204"/>
      <c r="E1009" s="205"/>
      <c r="F1009" s="205"/>
      <c r="G1009" s="205"/>
      <c r="H1009" s="206"/>
      <c r="I1009" s="207"/>
      <c r="J1009" s="207"/>
      <c r="K1009" s="207"/>
      <c r="L1009" s="122"/>
      <c r="M1009" s="207"/>
      <c r="N1009" s="207"/>
      <c r="O1009" s="122"/>
      <c r="P1009" s="205"/>
      <c r="Q1009" s="205"/>
      <c r="R1009" s="205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  <c r="AD1009" s="122"/>
    </row>
    <row r="1010">
      <c r="A1010" s="122"/>
      <c r="B1010" s="204"/>
      <c r="C1010" s="204"/>
      <c r="D1010" s="204"/>
      <c r="E1010" s="205"/>
      <c r="F1010" s="205"/>
      <c r="G1010" s="205"/>
      <c r="H1010" s="206"/>
      <c r="I1010" s="207"/>
      <c r="J1010" s="207"/>
      <c r="K1010" s="207"/>
      <c r="L1010" s="122"/>
      <c r="M1010" s="207"/>
      <c r="N1010" s="207"/>
      <c r="O1010" s="122"/>
      <c r="P1010" s="205"/>
      <c r="Q1010" s="205"/>
      <c r="R1010" s="205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  <c r="AD1010" s="122"/>
    </row>
    <row r="1011">
      <c r="A1011" s="122"/>
      <c r="B1011" s="204"/>
      <c r="C1011" s="204"/>
      <c r="D1011" s="204"/>
      <c r="E1011" s="205"/>
      <c r="F1011" s="205"/>
      <c r="G1011" s="205"/>
      <c r="H1011" s="206"/>
      <c r="I1011" s="207"/>
      <c r="J1011" s="207"/>
      <c r="K1011" s="207"/>
      <c r="L1011" s="122"/>
      <c r="M1011" s="207"/>
      <c r="N1011" s="207"/>
      <c r="O1011" s="122"/>
      <c r="P1011" s="205"/>
      <c r="Q1011" s="205"/>
      <c r="R1011" s="205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  <c r="AD1011" s="122"/>
    </row>
    <row r="1012">
      <c r="A1012" s="122"/>
      <c r="B1012" s="204"/>
      <c r="C1012" s="204"/>
      <c r="D1012" s="204"/>
      <c r="E1012" s="205"/>
      <c r="F1012" s="205"/>
      <c r="G1012" s="205"/>
      <c r="H1012" s="206"/>
      <c r="I1012" s="207"/>
      <c r="J1012" s="207"/>
      <c r="K1012" s="207"/>
      <c r="L1012" s="122"/>
      <c r="M1012" s="207"/>
      <c r="N1012" s="207"/>
      <c r="O1012" s="122"/>
      <c r="P1012" s="205"/>
      <c r="Q1012" s="205"/>
      <c r="R1012" s="205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  <c r="AC1012" s="122"/>
      <c r="AD1012" s="122"/>
    </row>
    <row r="1013">
      <c r="A1013" s="122"/>
      <c r="B1013" s="204"/>
      <c r="C1013" s="204"/>
      <c r="D1013" s="204"/>
      <c r="E1013" s="205"/>
      <c r="F1013" s="205"/>
      <c r="G1013" s="205"/>
      <c r="H1013" s="206"/>
      <c r="I1013" s="207"/>
      <c r="J1013" s="207"/>
      <c r="K1013" s="207"/>
      <c r="L1013" s="122"/>
      <c r="M1013" s="207"/>
      <c r="N1013" s="207"/>
      <c r="O1013" s="122"/>
      <c r="P1013" s="205"/>
      <c r="Q1013" s="205"/>
      <c r="R1013" s="205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  <c r="AC1013" s="122"/>
      <c r="AD1013" s="122"/>
    </row>
    <row r="1014">
      <c r="A1014" s="122"/>
      <c r="B1014" s="204"/>
      <c r="C1014" s="204"/>
      <c r="D1014" s="204"/>
      <c r="E1014" s="205"/>
      <c r="F1014" s="205"/>
      <c r="G1014" s="205"/>
      <c r="H1014" s="206"/>
      <c r="I1014" s="207"/>
      <c r="J1014" s="207"/>
      <c r="K1014" s="207"/>
      <c r="L1014" s="122"/>
      <c r="M1014" s="207"/>
      <c r="N1014" s="207"/>
      <c r="O1014" s="122"/>
      <c r="P1014" s="205"/>
      <c r="Q1014" s="205"/>
      <c r="R1014" s="205"/>
      <c r="S1014" s="122"/>
      <c r="T1014" s="122"/>
      <c r="U1014" s="122"/>
      <c r="V1014" s="122"/>
      <c r="W1014" s="122"/>
      <c r="X1014" s="122"/>
      <c r="Y1014" s="122"/>
      <c r="Z1014" s="122"/>
      <c r="AA1014" s="122"/>
      <c r="AB1014" s="122"/>
      <c r="AC1014" s="122"/>
      <c r="AD1014" s="122"/>
    </row>
    <row r="1015">
      <c r="A1015" s="122"/>
      <c r="B1015" s="204"/>
      <c r="C1015" s="204"/>
      <c r="D1015" s="204"/>
      <c r="E1015" s="205"/>
      <c r="F1015" s="205"/>
      <c r="G1015" s="205"/>
      <c r="H1015" s="206"/>
      <c r="I1015" s="207"/>
      <c r="J1015" s="207"/>
      <c r="K1015" s="207"/>
      <c r="L1015" s="122"/>
      <c r="M1015" s="207"/>
      <c r="N1015" s="207"/>
      <c r="O1015" s="122"/>
      <c r="P1015" s="205"/>
      <c r="Q1015" s="205"/>
      <c r="R1015" s="205"/>
      <c r="S1015" s="122"/>
      <c r="T1015" s="122"/>
      <c r="U1015" s="122"/>
      <c r="V1015" s="122"/>
      <c r="W1015" s="122"/>
      <c r="X1015" s="122"/>
      <c r="Y1015" s="122"/>
      <c r="Z1015" s="122"/>
      <c r="AA1015" s="122"/>
      <c r="AB1015" s="122"/>
      <c r="AC1015" s="122"/>
      <c r="AD1015" s="122"/>
    </row>
    <row r="1016">
      <c r="A1016" s="122"/>
      <c r="B1016" s="204"/>
      <c r="C1016" s="204"/>
      <c r="D1016" s="204"/>
      <c r="E1016" s="205"/>
      <c r="F1016" s="205"/>
      <c r="G1016" s="205"/>
      <c r="H1016" s="206"/>
      <c r="I1016" s="207"/>
      <c r="J1016" s="207"/>
      <c r="K1016" s="207"/>
      <c r="L1016" s="122"/>
      <c r="M1016" s="207"/>
      <c r="N1016" s="207"/>
      <c r="O1016" s="122"/>
      <c r="P1016" s="205"/>
      <c r="Q1016" s="205"/>
      <c r="R1016" s="205"/>
      <c r="S1016" s="122"/>
      <c r="T1016" s="122"/>
      <c r="U1016" s="122"/>
      <c r="V1016" s="122"/>
      <c r="W1016" s="122"/>
      <c r="X1016" s="122"/>
      <c r="Y1016" s="122"/>
      <c r="Z1016" s="122"/>
      <c r="AA1016" s="122"/>
      <c r="AB1016" s="122"/>
      <c r="AC1016" s="122"/>
      <c r="AD1016" s="122"/>
    </row>
    <row r="1017">
      <c r="A1017" s="122"/>
      <c r="B1017" s="204"/>
      <c r="C1017" s="204"/>
      <c r="D1017" s="204"/>
      <c r="E1017" s="205"/>
      <c r="F1017" s="205"/>
      <c r="G1017" s="205"/>
      <c r="H1017" s="206"/>
      <c r="I1017" s="207"/>
      <c r="J1017" s="207"/>
      <c r="K1017" s="207"/>
      <c r="L1017" s="122"/>
      <c r="M1017" s="207"/>
      <c r="N1017" s="207"/>
      <c r="O1017" s="122"/>
      <c r="P1017" s="205"/>
      <c r="Q1017" s="205"/>
      <c r="R1017" s="205"/>
      <c r="S1017" s="122"/>
      <c r="T1017" s="122"/>
      <c r="U1017" s="122"/>
      <c r="V1017" s="122"/>
      <c r="W1017" s="122"/>
      <c r="X1017" s="122"/>
      <c r="Y1017" s="122"/>
      <c r="Z1017" s="122"/>
      <c r="AA1017" s="122"/>
      <c r="AB1017" s="122"/>
      <c r="AC1017" s="122"/>
      <c r="AD1017" s="122"/>
    </row>
    <row r="1018">
      <c r="A1018" s="122"/>
      <c r="B1018" s="204"/>
      <c r="C1018" s="204"/>
      <c r="D1018" s="204"/>
      <c r="E1018" s="205"/>
      <c r="F1018" s="205"/>
      <c r="G1018" s="205"/>
      <c r="H1018" s="206"/>
      <c r="I1018" s="207"/>
      <c r="J1018" s="207"/>
      <c r="K1018" s="207"/>
      <c r="L1018" s="122"/>
      <c r="M1018" s="207"/>
      <c r="N1018" s="207"/>
      <c r="O1018" s="122"/>
      <c r="P1018" s="205"/>
      <c r="Q1018" s="205"/>
      <c r="R1018" s="205"/>
      <c r="S1018" s="122"/>
      <c r="T1018" s="122"/>
      <c r="U1018" s="122"/>
      <c r="V1018" s="122"/>
      <c r="W1018" s="122"/>
      <c r="X1018" s="122"/>
      <c r="Y1018" s="122"/>
      <c r="Z1018" s="122"/>
      <c r="AA1018" s="122"/>
      <c r="AB1018" s="122"/>
      <c r="AC1018" s="122"/>
      <c r="AD1018" s="122"/>
    </row>
  </sheetData>
  <mergeCells count="11">
    <mergeCell ref="L2:L3"/>
    <mergeCell ref="N2:N3"/>
    <mergeCell ref="R2:R3"/>
    <mergeCell ref="J1:L1"/>
    <mergeCell ref="M1:O1"/>
    <mergeCell ref="B2:B3"/>
    <mergeCell ref="C2:C3"/>
    <mergeCell ref="D2:D3"/>
    <mergeCell ref="H2:H3"/>
    <mergeCell ref="K2:K3"/>
    <mergeCell ref="O2:O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35.0"/>
    <col customWidth="1" min="3" max="3" width="11.25"/>
    <col customWidth="1" min="4" max="4" width="9.75"/>
    <col customWidth="1" min="5" max="5" width="19.25"/>
    <col customWidth="1" min="6" max="6" width="18.88"/>
    <col customWidth="1" min="7" max="7" width="19.25"/>
    <col customWidth="1" min="8" max="8" width="47.75"/>
    <col customWidth="1" min="9" max="9" width="14.25"/>
    <col customWidth="1" hidden="1" min="10" max="10" width="14.25"/>
    <col customWidth="1" hidden="1" min="11" max="11" width="16.88"/>
    <col customWidth="1" hidden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34.38"/>
  </cols>
  <sheetData>
    <row r="1">
      <c r="A1" s="1"/>
      <c r="B1" s="2"/>
      <c r="C1" s="2"/>
      <c r="D1" s="2"/>
      <c r="E1" s="4"/>
      <c r="F1" s="4"/>
      <c r="G1" s="4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8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208"/>
      <c r="F3" s="42"/>
      <c r="G3" s="208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203" t="s">
        <v>362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363</v>
      </c>
      <c r="C4" s="53" t="s">
        <v>364</v>
      </c>
      <c r="D4" s="54"/>
      <c r="E4" s="104"/>
      <c r="F4" s="104"/>
      <c r="G4" s="104"/>
      <c r="H4" s="62" t="s">
        <v>365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104"/>
      <c r="F5" s="104"/>
      <c r="G5" s="104"/>
      <c r="H5" s="76" t="s">
        <v>366</v>
      </c>
      <c r="I5" s="84">
        <f>24000/1.07</f>
        <v>22429.90654</v>
      </c>
      <c r="J5" s="86"/>
      <c r="K5" s="87"/>
      <c r="L5" s="88"/>
      <c r="M5" s="86">
        <v>15000.0</v>
      </c>
      <c r="N5" s="87">
        <f t="shared" ref="N5:N7" si="1">I5-M5</f>
        <v>7429.906542</v>
      </c>
      <c r="O5" s="88">
        <f t="shared" ref="O5:O7" si="2">N5/I5</f>
        <v>0.33125</v>
      </c>
      <c r="P5" s="59"/>
      <c r="Q5" s="59"/>
      <c r="R5" s="19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104"/>
      <c r="F6" s="104"/>
      <c r="G6" s="104"/>
      <c r="H6" s="76" t="s">
        <v>367</v>
      </c>
      <c r="I6" s="84">
        <f>10400/1.07</f>
        <v>9719.626168</v>
      </c>
      <c r="J6" s="86"/>
      <c r="K6" s="87"/>
      <c r="L6" s="88"/>
      <c r="M6" s="86">
        <v>8000.0</v>
      </c>
      <c r="N6" s="87">
        <f t="shared" si="1"/>
        <v>1719.626168</v>
      </c>
      <c r="O6" s="88">
        <f t="shared" si="2"/>
        <v>0.1769230769</v>
      </c>
      <c r="P6" s="59"/>
      <c r="Q6" s="59"/>
      <c r="R6" s="197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104"/>
      <c r="F7" s="104"/>
      <c r="G7" s="104"/>
      <c r="H7" s="76" t="s">
        <v>368</v>
      </c>
      <c r="I7" s="84">
        <f>23100/1.07</f>
        <v>21588.78505</v>
      </c>
      <c r="J7" s="86"/>
      <c r="K7" s="87"/>
      <c r="L7" s="88"/>
      <c r="M7" s="86">
        <v>14000.0</v>
      </c>
      <c r="N7" s="87">
        <f t="shared" si="1"/>
        <v>7588.785047</v>
      </c>
      <c r="O7" s="88">
        <f t="shared" si="2"/>
        <v>0.3515151515</v>
      </c>
      <c r="P7" s="59"/>
      <c r="Q7" s="59"/>
      <c r="R7" s="19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104"/>
      <c r="F8" s="104"/>
      <c r="G8" s="104"/>
      <c r="H8" s="62" t="s">
        <v>85</v>
      </c>
      <c r="I8" s="84"/>
      <c r="J8" s="86"/>
      <c r="K8" s="87"/>
      <c r="L8" s="88"/>
      <c r="M8" s="86"/>
      <c r="N8" s="87"/>
      <c r="O8" s="88"/>
      <c r="P8" s="59"/>
      <c r="Q8" s="59"/>
      <c r="R8" s="197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104"/>
      <c r="F9" s="104"/>
      <c r="G9" s="104"/>
      <c r="H9" s="76" t="s">
        <v>369</v>
      </c>
      <c r="I9" s="84">
        <f>30560/1.07</f>
        <v>28560.74766</v>
      </c>
      <c r="J9" s="86"/>
      <c r="K9" s="87"/>
      <c r="L9" s="88"/>
      <c r="M9" s="86">
        <v>19000.0</v>
      </c>
      <c r="N9" s="87">
        <f>I9-M9</f>
        <v>9560.747664</v>
      </c>
      <c r="O9" s="88">
        <f>N9/I9</f>
        <v>0.3347513089</v>
      </c>
      <c r="P9" s="59"/>
      <c r="Q9" s="59"/>
      <c r="R9" s="197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4"/>
      <c r="F10" s="104"/>
      <c r="G10" s="104"/>
      <c r="H10" s="62" t="s">
        <v>370</v>
      </c>
      <c r="I10" s="84"/>
      <c r="J10" s="86"/>
      <c r="K10" s="87"/>
      <c r="L10" s="88"/>
      <c r="M10" s="86"/>
      <c r="N10" s="87"/>
      <c r="O10" s="88"/>
      <c r="P10" s="59"/>
      <c r="Q10" s="59"/>
      <c r="R10" s="197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04"/>
      <c r="F11" s="104"/>
      <c r="G11" s="104"/>
      <c r="H11" s="76" t="s">
        <v>371</v>
      </c>
      <c r="I11" s="84">
        <f>24900/1.07</f>
        <v>23271.02804</v>
      </c>
      <c r="J11" s="86"/>
      <c r="K11" s="87"/>
      <c r="L11" s="88"/>
      <c r="M11" s="86">
        <v>17000.0</v>
      </c>
      <c r="N11" s="87">
        <f t="shared" ref="N11:N12" si="3">I11-M11</f>
        <v>6271.028037</v>
      </c>
      <c r="O11" s="88">
        <f t="shared" ref="O11:O12" si="4">N11/I11</f>
        <v>0.2694779116</v>
      </c>
      <c r="P11" s="59"/>
      <c r="Q11" s="59"/>
      <c r="R11" s="197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04"/>
      <c r="F12" s="104"/>
      <c r="G12" s="104"/>
      <c r="H12" s="76" t="s">
        <v>372</v>
      </c>
      <c r="I12" s="84">
        <v>0.0</v>
      </c>
      <c r="J12" s="86"/>
      <c r="K12" s="87"/>
      <c r="L12" s="88"/>
      <c r="M12" s="86">
        <v>0.0</v>
      </c>
      <c r="N12" s="87">
        <f t="shared" si="3"/>
        <v>0</v>
      </c>
      <c r="O12" s="88" t="str">
        <f t="shared" si="4"/>
        <v>#DIV/0!</v>
      </c>
      <c r="P12" s="59"/>
      <c r="Q12" s="59"/>
      <c r="R12" s="197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04"/>
      <c r="F13" s="104"/>
      <c r="G13" s="104"/>
      <c r="H13" s="62" t="s">
        <v>373</v>
      </c>
      <c r="I13" s="84"/>
      <c r="J13" s="86"/>
      <c r="K13" s="87"/>
      <c r="L13" s="88"/>
      <c r="M13" s="86"/>
      <c r="N13" s="87"/>
      <c r="O13" s="88"/>
      <c r="P13" s="59"/>
      <c r="Q13" s="59"/>
      <c r="R13" s="197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04"/>
      <c r="F14" s="104"/>
      <c r="G14" s="104"/>
      <c r="H14" s="76" t="s">
        <v>374</v>
      </c>
      <c r="I14" s="84">
        <f>8000/1.07</f>
        <v>7476.635514</v>
      </c>
      <c r="J14" s="86"/>
      <c r="K14" s="87"/>
      <c r="L14" s="88"/>
      <c r="M14" s="86">
        <v>4500.0</v>
      </c>
      <c r="N14" s="87">
        <f>I14-M14</f>
        <v>2976.635514</v>
      </c>
      <c r="O14" s="88">
        <f>N14/I14</f>
        <v>0.398125</v>
      </c>
      <c r="P14" s="59"/>
      <c r="Q14" s="59"/>
      <c r="R14" s="197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04"/>
      <c r="F15" s="104"/>
      <c r="G15" s="104"/>
      <c r="H15" s="62" t="s">
        <v>375</v>
      </c>
      <c r="I15" s="84"/>
      <c r="J15" s="86"/>
      <c r="K15" s="87"/>
      <c r="L15" s="88"/>
      <c r="M15" s="86"/>
      <c r="N15" s="87"/>
      <c r="O15" s="88"/>
      <c r="P15" s="59"/>
      <c r="Q15" s="59"/>
      <c r="R15" s="197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04"/>
      <c r="F16" s="104"/>
      <c r="G16" s="104"/>
      <c r="H16" s="76" t="s">
        <v>376</v>
      </c>
      <c r="I16" s="84">
        <f>13900/1.07</f>
        <v>12990.65421</v>
      </c>
      <c r="J16" s="86"/>
      <c r="K16" s="87"/>
      <c r="L16" s="88"/>
      <c r="M16" s="86">
        <v>9480.0</v>
      </c>
      <c r="N16" s="87">
        <f t="shared" ref="N16:N22" si="5">I16-M16</f>
        <v>3510.654206</v>
      </c>
      <c r="O16" s="88">
        <f t="shared" ref="O16:O22" si="6">N16/I16</f>
        <v>0.2702446043</v>
      </c>
      <c r="P16" s="59"/>
      <c r="Q16" s="59"/>
      <c r="R16" s="197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1"/>
      <c r="C17" s="73"/>
      <c r="D17" s="74"/>
      <c r="E17" s="104"/>
      <c r="F17" s="104"/>
      <c r="G17" s="104"/>
      <c r="H17" s="76" t="s">
        <v>377</v>
      </c>
      <c r="I17" s="84">
        <f>4000/1.07</f>
        <v>3738.317757</v>
      </c>
      <c r="J17" s="86"/>
      <c r="K17" s="87"/>
      <c r="L17" s="88"/>
      <c r="M17" s="86">
        <v>2900.0</v>
      </c>
      <c r="N17" s="87">
        <f t="shared" si="5"/>
        <v>838.317757</v>
      </c>
      <c r="O17" s="88">
        <f t="shared" si="6"/>
        <v>0.22425</v>
      </c>
      <c r="P17" s="59"/>
      <c r="Q17" s="59"/>
      <c r="R17" s="197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1"/>
      <c r="C18" s="73"/>
      <c r="D18" s="74"/>
      <c r="E18" s="104"/>
      <c r="F18" s="104"/>
      <c r="G18" s="104"/>
      <c r="H18" s="76" t="s">
        <v>378</v>
      </c>
      <c r="I18" s="84">
        <f>5980/1.07</f>
        <v>5588.785047</v>
      </c>
      <c r="J18" s="86"/>
      <c r="K18" s="87"/>
      <c r="L18" s="88"/>
      <c r="M18" s="86">
        <v>4686.0</v>
      </c>
      <c r="N18" s="87">
        <f t="shared" si="5"/>
        <v>902.7850467</v>
      </c>
      <c r="O18" s="88">
        <f t="shared" si="6"/>
        <v>0.1615351171</v>
      </c>
      <c r="P18" s="59"/>
      <c r="Q18" s="59"/>
      <c r="R18" s="197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71"/>
      <c r="C19" s="73"/>
      <c r="D19" s="74"/>
      <c r="E19" s="104"/>
      <c r="F19" s="104"/>
      <c r="G19" s="104"/>
      <c r="H19" s="76" t="s">
        <v>379</v>
      </c>
      <c r="I19" s="84">
        <f>7660/1.07</f>
        <v>7158.878505</v>
      </c>
      <c r="J19" s="86"/>
      <c r="K19" s="87"/>
      <c r="L19" s="88"/>
      <c r="M19" s="86">
        <v>5005.0</v>
      </c>
      <c r="N19" s="87">
        <f t="shared" si="5"/>
        <v>2153.878505</v>
      </c>
      <c r="O19" s="88">
        <f t="shared" si="6"/>
        <v>0.3008681462</v>
      </c>
      <c r="P19" s="59"/>
      <c r="Q19" s="59"/>
      <c r="R19" s="197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1"/>
      <c r="C20" s="73"/>
      <c r="D20" s="74"/>
      <c r="E20" s="104"/>
      <c r="F20" s="104"/>
      <c r="G20" s="104"/>
      <c r="H20" s="76" t="s">
        <v>380</v>
      </c>
      <c r="I20" s="84">
        <f>4900/1.07</f>
        <v>4579.439252</v>
      </c>
      <c r="J20" s="86"/>
      <c r="K20" s="87"/>
      <c r="L20" s="88"/>
      <c r="M20" s="86">
        <v>2100.0</v>
      </c>
      <c r="N20" s="87">
        <f t="shared" si="5"/>
        <v>2479.439252</v>
      </c>
      <c r="O20" s="88">
        <f t="shared" si="6"/>
        <v>0.5414285714</v>
      </c>
      <c r="P20" s="59"/>
      <c r="Q20" s="59"/>
      <c r="R20" s="197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71"/>
      <c r="C21" s="73"/>
      <c r="D21" s="74"/>
      <c r="E21" s="104"/>
      <c r="F21" s="104"/>
      <c r="G21" s="104"/>
      <c r="H21" s="76" t="s">
        <v>381</v>
      </c>
      <c r="I21" s="84">
        <f>3200/1.07</f>
        <v>2990.654206</v>
      </c>
      <c r="J21" s="86"/>
      <c r="K21" s="87"/>
      <c r="L21" s="88"/>
      <c r="M21" s="86">
        <v>1000.0</v>
      </c>
      <c r="N21" s="87">
        <f t="shared" si="5"/>
        <v>1990.654206</v>
      </c>
      <c r="O21" s="88">
        <f t="shared" si="6"/>
        <v>0.665625</v>
      </c>
      <c r="P21" s="59"/>
      <c r="Q21" s="59"/>
      <c r="R21" s="19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13" t="str">
        <f t="shared" ref="B22:C22" si="7">B4</f>
        <v>Knightsbridge Space Sukhumvit - Rama4</v>
      </c>
      <c r="C22" s="113" t="str">
        <f t="shared" si="7"/>
        <v>Room 1009</v>
      </c>
      <c r="D22" s="115">
        <f>SUM(D4:D21)</f>
        <v>0</v>
      </c>
      <c r="E22" s="116"/>
      <c r="F22" s="116"/>
      <c r="G22" s="116"/>
      <c r="H22" s="113" t="s">
        <v>95</v>
      </c>
      <c r="I22" s="118">
        <f t="shared" ref="I22:J22" si="8">SUM(I4:I21)</f>
        <v>150093.4579</v>
      </c>
      <c r="J22" s="118">
        <f t="shared" si="8"/>
        <v>0</v>
      </c>
      <c r="K22" s="118">
        <f>I22-J22</f>
        <v>150093.4579</v>
      </c>
      <c r="L22" s="119">
        <f>K22/I22</f>
        <v>1</v>
      </c>
      <c r="M22" s="118">
        <f>SUM(M4:M21)</f>
        <v>102671</v>
      </c>
      <c r="N22" s="118">
        <f t="shared" si="5"/>
        <v>47422.45794</v>
      </c>
      <c r="O22" s="119">
        <f t="shared" si="6"/>
        <v>0.3159528643</v>
      </c>
      <c r="P22" s="120"/>
      <c r="Q22" s="121"/>
      <c r="R22" s="12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22"/>
      <c r="B23" s="123"/>
      <c r="C23" s="124"/>
      <c r="D23" s="124"/>
      <c r="E23" s="125"/>
      <c r="F23" s="125"/>
      <c r="G23" s="125"/>
      <c r="H23" s="126"/>
      <c r="I23" s="127"/>
      <c r="J23" s="127"/>
      <c r="K23" s="127"/>
      <c r="L23" s="128"/>
      <c r="M23" s="127"/>
      <c r="N23" s="127"/>
      <c r="O23" s="128"/>
      <c r="P23" s="125"/>
      <c r="Q23" s="125"/>
      <c r="R23" s="125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</row>
    <row r="24">
      <c r="A24" s="122"/>
      <c r="B24" s="204"/>
      <c r="C24" s="204"/>
      <c r="D24" s="204"/>
      <c r="E24" s="205"/>
      <c r="F24" s="205"/>
      <c r="G24" s="205"/>
      <c r="H24" s="206"/>
      <c r="I24" s="207"/>
      <c r="J24" s="207"/>
      <c r="K24" s="207"/>
      <c r="L24" s="122"/>
      <c r="M24" s="207"/>
      <c r="N24" s="207"/>
      <c r="O24" s="122"/>
      <c r="P24" s="205"/>
      <c r="Q24" s="205"/>
      <c r="R24" s="205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</row>
    <row r="25">
      <c r="A25" s="122"/>
      <c r="B25" s="204"/>
      <c r="C25" s="204"/>
      <c r="D25" s="204"/>
      <c r="E25" s="205"/>
      <c r="F25" s="205"/>
      <c r="G25" s="205"/>
      <c r="H25" s="206"/>
      <c r="I25" s="207"/>
      <c r="J25" s="207"/>
      <c r="K25" s="207"/>
      <c r="L25" s="122"/>
      <c r="M25" s="207"/>
      <c r="N25" s="207"/>
      <c r="O25" s="122"/>
      <c r="P25" s="205"/>
      <c r="Q25" s="205"/>
      <c r="R25" s="205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</row>
    <row r="26">
      <c r="A26" s="122"/>
      <c r="B26" s="204"/>
      <c r="C26" s="204"/>
      <c r="D26" s="204"/>
      <c r="E26" s="205"/>
      <c r="F26" s="205"/>
      <c r="G26" s="205"/>
      <c r="H26" s="206"/>
      <c r="I26" s="207"/>
      <c r="J26" s="207"/>
      <c r="K26" s="207"/>
      <c r="L26" s="122"/>
      <c r="M26" s="207"/>
      <c r="N26" s="207"/>
      <c r="O26" s="122"/>
      <c r="P26" s="205"/>
      <c r="Q26" s="205"/>
      <c r="R26" s="205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</row>
    <row r="27">
      <c r="A27" s="122"/>
      <c r="B27" s="204"/>
      <c r="C27" s="204"/>
      <c r="D27" s="204"/>
      <c r="E27" s="205"/>
      <c r="F27" s="205"/>
      <c r="G27" s="205"/>
      <c r="H27" s="206"/>
      <c r="I27" s="207"/>
      <c r="J27" s="207"/>
      <c r="K27" s="207"/>
      <c r="L27" s="122"/>
      <c r="M27" s="207"/>
      <c r="N27" s="207"/>
      <c r="O27" s="122"/>
      <c r="P27" s="205"/>
      <c r="Q27" s="205"/>
      <c r="R27" s="205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</row>
    <row r="28">
      <c r="A28" s="122"/>
      <c r="B28" s="204"/>
      <c r="C28" s="204"/>
      <c r="D28" s="204"/>
      <c r="E28" s="205"/>
      <c r="F28" s="205"/>
      <c r="G28" s="205"/>
      <c r="H28" s="206"/>
      <c r="I28" s="207"/>
      <c r="J28" s="207"/>
      <c r="K28" s="207"/>
      <c r="L28" s="122"/>
      <c r="M28" s="207"/>
      <c r="N28" s="207"/>
      <c r="O28" s="122"/>
      <c r="P28" s="205"/>
      <c r="Q28" s="205"/>
      <c r="R28" s="205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</row>
    <row r="29">
      <c r="A29" s="122"/>
      <c r="B29" s="204"/>
      <c r="C29" s="204"/>
      <c r="D29" s="204"/>
      <c r="E29" s="205"/>
      <c r="F29" s="205"/>
      <c r="G29" s="205"/>
      <c r="H29" s="206"/>
      <c r="I29" s="207"/>
      <c r="J29" s="207"/>
      <c r="K29" s="207"/>
      <c r="L29" s="122"/>
      <c r="M29" s="207"/>
      <c r="N29" s="207"/>
      <c r="O29" s="122"/>
      <c r="P29" s="205"/>
      <c r="Q29" s="205"/>
      <c r="R29" s="205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</row>
    <row r="30">
      <c r="A30" s="122"/>
      <c r="B30" s="204"/>
      <c r="C30" s="204"/>
      <c r="D30" s="204"/>
      <c r="E30" s="205"/>
      <c r="F30" s="205"/>
      <c r="G30" s="205"/>
      <c r="H30" s="206"/>
      <c r="I30" s="207"/>
      <c r="J30" s="207"/>
      <c r="K30" s="207"/>
      <c r="L30" s="122"/>
      <c r="M30" s="207"/>
      <c r="N30" s="207"/>
      <c r="O30" s="122"/>
      <c r="P30" s="205"/>
      <c r="Q30" s="205"/>
      <c r="R30" s="205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</row>
    <row r="31">
      <c r="A31" s="122"/>
      <c r="B31" s="204"/>
      <c r="C31" s="204"/>
      <c r="D31" s="204"/>
      <c r="E31" s="205"/>
      <c r="F31" s="205"/>
      <c r="G31" s="205"/>
      <c r="H31" s="206"/>
      <c r="I31" s="207"/>
      <c r="J31" s="207"/>
      <c r="K31" s="207"/>
      <c r="L31" s="122"/>
      <c r="M31" s="207"/>
      <c r="N31" s="207"/>
      <c r="O31" s="122"/>
      <c r="P31" s="205"/>
      <c r="Q31" s="205"/>
      <c r="R31" s="205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</row>
    <row r="32">
      <c r="A32" s="122"/>
      <c r="B32" s="204"/>
      <c r="C32" s="204"/>
      <c r="D32" s="204"/>
      <c r="E32" s="205"/>
      <c r="F32" s="205"/>
      <c r="G32" s="205"/>
      <c r="H32" s="206"/>
      <c r="I32" s="207"/>
      <c r="J32" s="207"/>
      <c r="K32" s="207"/>
      <c r="L32" s="122"/>
      <c r="M32" s="207"/>
      <c r="N32" s="207"/>
      <c r="O32" s="122"/>
      <c r="P32" s="205"/>
      <c r="Q32" s="205"/>
      <c r="R32" s="205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</row>
    <row r="33">
      <c r="A33" s="122"/>
      <c r="B33" s="204"/>
      <c r="C33" s="204"/>
      <c r="D33" s="204"/>
      <c r="E33" s="205"/>
      <c r="F33" s="205"/>
      <c r="G33" s="205"/>
      <c r="H33" s="206"/>
      <c r="I33" s="207"/>
      <c r="J33" s="207"/>
      <c r="K33" s="207"/>
      <c r="L33" s="122"/>
      <c r="M33" s="207"/>
      <c r="N33" s="207"/>
      <c r="O33" s="122"/>
      <c r="P33" s="205"/>
      <c r="Q33" s="205"/>
      <c r="R33" s="205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</row>
    <row r="34">
      <c r="A34" s="122"/>
      <c r="B34" s="204"/>
      <c r="C34" s="204"/>
      <c r="D34" s="204"/>
      <c r="E34" s="205"/>
      <c r="F34" s="205"/>
      <c r="G34" s="205"/>
      <c r="H34" s="206"/>
      <c r="I34" s="207"/>
      <c r="J34" s="207"/>
      <c r="K34" s="207"/>
      <c r="L34" s="122"/>
      <c r="M34" s="207"/>
      <c r="N34" s="207"/>
      <c r="O34" s="122"/>
      <c r="P34" s="205"/>
      <c r="Q34" s="205"/>
      <c r="R34" s="205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</row>
    <row r="35">
      <c r="A35" s="122"/>
      <c r="B35" s="204"/>
      <c r="C35" s="204"/>
      <c r="D35" s="204"/>
      <c r="E35" s="205"/>
      <c r="F35" s="205"/>
      <c r="G35" s="205"/>
      <c r="H35" s="206"/>
      <c r="I35" s="207"/>
      <c r="J35" s="207"/>
      <c r="K35" s="207"/>
      <c r="L35" s="122"/>
      <c r="M35" s="207"/>
      <c r="N35" s="207"/>
      <c r="O35" s="122"/>
      <c r="P35" s="205"/>
      <c r="Q35" s="205"/>
      <c r="R35" s="205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</row>
    <row r="36">
      <c r="A36" s="122"/>
      <c r="B36" s="204"/>
      <c r="C36" s="204"/>
      <c r="D36" s="204"/>
      <c r="E36" s="205"/>
      <c r="F36" s="205"/>
      <c r="G36" s="205"/>
      <c r="H36" s="206"/>
      <c r="I36" s="207"/>
      <c r="J36" s="207"/>
      <c r="K36" s="207"/>
      <c r="L36" s="122"/>
      <c r="M36" s="207"/>
      <c r="N36" s="207"/>
      <c r="O36" s="122"/>
      <c r="P36" s="205"/>
      <c r="Q36" s="205"/>
      <c r="R36" s="205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</row>
    <row r="37">
      <c r="A37" s="122"/>
      <c r="B37" s="204"/>
      <c r="C37" s="204"/>
      <c r="D37" s="204"/>
      <c r="E37" s="205"/>
      <c r="F37" s="205"/>
      <c r="G37" s="205"/>
      <c r="H37" s="206"/>
      <c r="I37" s="207"/>
      <c r="J37" s="207"/>
      <c r="K37" s="207"/>
      <c r="L37" s="122"/>
      <c r="M37" s="207"/>
      <c r="N37" s="207"/>
      <c r="O37" s="122"/>
      <c r="P37" s="205"/>
      <c r="Q37" s="205"/>
      <c r="R37" s="205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</row>
    <row r="38">
      <c r="A38" s="122"/>
      <c r="B38" s="204"/>
      <c r="C38" s="204"/>
      <c r="D38" s="204"/>
      <c r="E38" s="205"/>
      <c r="F38" s="205"/>
      <c r="G38" s="205"/>
      <c r="H38" s="206"/>
      <c r="I38" s="207"/>
      <c r="J38" s="207"/>
      <c r="K38" s="207"/>
      <c r="L38" s="122"/>
      <c r="M38" s="207"/>
      <c r="N38" s="207"/>
      <c r="O38" s="122"/>
      <c r="P38" s="205"/>
      <c r="Q38" s="205"/>
      <c r="R38" s="205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</row>
    <row r="39">
      <c r="A39" s="122"/>
      <c r="B39" s="204"/>
      <c r="C39" s="204"/>
      <c r="D39" s="204"/>
      <c r="E39" s="205"/>
      <c r="F39" s="205"/>
      <c r="G39" s="205"/>
      <c r="H39" s="206"/>
      <c r="I39" s="207"/>
      <c r="J39" s="207"/>
      <c r="K39" s="207"/>
      <c r="L39" s="122"/>
      <c r="M39" s="207"/>
      <c r="N39" s="207"/>
      <c r="O39" s="122"/>
      <c r="P39" s="205"/>
      <c r="Q39" s="205"/>
      <c r="R39" s="205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</row>
    <row r="40">
      <c r="A40" s="122"/>
      <c r="B40" s="204"/>
      <c r="C40" s="204"/>
      <c r="D40" s="204"/>
      <c r="E40" s="205"/>
      <c r="F40" s="205"/>
      <c r="G40" s="205"/>
      <c r="H40" s="206"/>
      <c r="I40" s="207"/>
      <c r="J40" s="207"/>
      <c r="K40" s="207"/>
      <c r="L40" s="122"/>
      <c r="M40" s="207"/>
      <c r="N40" s="207"/>
      <c r="O40" s="122"/>
      <c r="P40" s="205"/>
      <c r="Q40" s="205"/>
      <c r="R40" s="205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</row>
    <row r="41">
      <c r="A41" s="122"/>
      <c r="B41" s="204"/>
      <c r="C41" s="204"/>
      <c r="D41" s="204"/>
      <c r="E41" s="205"/>
      <c r="F41" s="205"/>
      <c r="G41" s="205"/>
      <c r="H41" s="206"/>
      <c r="I41" s="207"/>
      <c r="J41" s="207"/>
      <c r="K41" s="207"/>
      <c r="L41" s="122"/>
      <c r="M41" s="207"/>
      <c r="N41" s="207"/>
      <c r="O41" s="122"/>
      <c r="P41" s="205"/>
      <c r="Q41" s="205"/>
      <c r="R41" s="205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</row>
    <row r="42">
      <c r="A42" s="122"/>
      <c r="B42" s="204"/>
      <c r="C42" s="204"/>
      <c r="D42" s="204"/>
      <c r="E42" s="205"/>
      <c r="F42" s="205"/>
      <c r="G42" s="205"/>
      <c r="H42" s="206"/>
      <c r="I42" s="207"/>
      <c r="J42" s="207"/>
      <c r="K42" s="207"/>
      <c r="L42" s="122"/>
      <c r="M42" s="207"/>
      <c r="N42" s="207"/>
      <c r="O42" s="122"/>
      <c r="P42" s="205"/>
      <c r="Q42" s="205"/>
      <c r="R42" s="205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</row>
    <row r="43">
      <c r="A43" s="122"/>
      <c r="B43" s="204"/>
      <c r="C43" s="204"/>
      <c r="D43" s="204"/>
      <c r="E43" s="205"/>
      <c r="F43" s="205"/>
      <c r="G43" s="205"/>
      <c r="H43" s="206"/>
      <c r="I43" s="207"/>
      <c r="J43" s="207"/>
      <c r="K43" s="207"/>
      <c r="L43" s="122"/>
      <c r="M43" s="207"/>
      <c r="N43" s="207"/>
      <c r="O43" s="122"/>
      <c r="P43" s="205"/>
      <c r="Q43" s="205"/>
      <c r="R43" s="205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</row>
    <row r="44">
      <c r="A44" s="122"/>
      <c r="B44" s="204"/>
      <c r="C44" s="204"/>
      <c r="D44" s="204"/>
      <c r="E44" s="205"/>
      <c r="F44" s="205"/>
      <c r="G44" s="205"/>
      <c r="H44" s="206"/>
      <c r="I44" s="207"/>
      <c r="J44" s="207"/>
      <c r="K44" s="207"/>
      <c r="L44" s="122"/>
      <c r="M44" s="207"/>
      <c r="N44" s="207"/>
      <c r="O44" s="122"/>
      <c r="P44" s="205"/>
      <c r="Q44" s="205"/>
      <c r="R44" s="205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</row>
    <row r="45">
      <c r="A45" s="122"/>
      <c r="B45" s="204"/>
      <c r="C45" s="204"/>
      <c r="D45" s="204"/>
      <c r="E45" s="205"/>
      <c r="F45" s="205"/>
      <c r="G45" s="205"/>
      <c r="H45" s="206"/>
      <c r="I45" s="207"/>
      <c r="J45" s="207"/>
      <c r="K45" s="207"/>
      <c r="L45" s="122"/>
      <c r="M45" s="207"/>
      <c r="N45" s="207"/>
      <c r="O45" s="122"/>
      <c r="P45" s="205"/>
      <c r="Q45" s="205"/>
      <c r="R45" s="20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</row>
    <row r="46">
      <c r="A46" s="122"/>
      <c r="B46" s="204"/>
      <c r="C46" s="204"/>
      <c r="D46" s="204"/>
      <c r="E46" s="205"/>
      <c r="F46" s="205"/>
      <c r="G46" s="205"/>
      <c r="H46" s="206"/>
      <c r="I46" s="207"/>
      <c r="J46" s="207"/>
      <c r="K46" s="207"/>
      <c r="L46" s="122"/>
      <c r="M46" s="207"/>
      <c r="N46" s="207"/>
      <c r="O46" s="122"/>
      <c r="P46" s="205"/>
      <c r="Q46" s="205"/>
      <c r="R46" s="205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</row>
    <row r="47">
      <c r="A47" s="122"/>
      <c r="B47" s="204"/>
      <c r="C47" s="204"/>
      <c r="D47" s="204"/>
      <c r="E47" s="205"/>
      <c r="F47" s="205"/>
      <c r="G47" s="205"/>
      <c r="H47" s="206"/>
      <c r="I47" s="207"/>
      <c r="J47" s="207"/>
      <c r="K47" s="207"/>
      <c r="L47" s="122"/>
      <c r="M47" s="207"/>
      <c r="N47" s="207"/>
      <c r="O47" s="122"/>
      <c r="P47" s="205"/>
      <c r="Q47" s="205"/>
      <c r="R47" s="205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</row>
    <row r="48">
      <c r="A48" s="122"/>
      <c r="B48" s="204"/>
      <c r="C48" s="204"/>
      <c r="D48" s="204"/>
      <c r="E48" s="205"/>
      <c r="F48" s="205"/>
      <c r="G48" s="205"/>
      <c r="H48" s="206"/>
      <c r="I48" s="207"/>
      <c r="J48" s="207"/>
      <c r="K48" s="207"/>
      <c r="L48" s="122"/>
      <c r="M48" s="207"/>
      <c r="N48" s="207"/>
      <c r="O48" s="122"/>
      <c r="P48" s="205"/>
      <c r="Q48" s="205"/>
      <c r="R48" s="205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</row>
    <row r="49">
      <c r="A49" s="122"/>
      <c r="B49" s="204"/>
      <c r="C49" s="204"/>
      <c r="D49" s="204"/>
      <c r="E49" s="205"/>
      <c r="F49" s="205"/>
      <c r="G49" s="205"/>
      <c r="H49" s="206"/>
      <c r="I49" s="207"/>
      <c r="J49" s="207"/>
      <c r="K49" s="207"/>
      <c r="L49" s="122"/>
      <c r="M49" s="207"/>
      <c r="N49" s="207"/>
      <c r="O49" s="122"/>
      <c r="P49" s="205"/>
      <c r="Q49" s="205"/>
      <c r="R49" s="205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</row>
    <row r="50">
      <c r="A50" s="122"/>
      <c r="B50" s="204"/>
      <c r="C50" s="204"/>
      <c r="D50" s="204"/>
      <c r="E50" s="205"/>
      <c r="F50" s="205"/>
      <c r="G50" s="205"/>
      <c r="H50" s="206"/>
      <c r="I50" s="207"/>
      <c r="J50" s="207"/>
      <c r="K50" s="207"/>
      <c r="L50" s="122"/>
      <c r="M50" s="207"/>
      <c r="N50" s="207"/>
      <c r="O50" s="122"/>
      <c r="P50" s="205"/>
      <c r="Q50" s="205"/>
      <c r="R50" s="205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</row>
    <row r="51">
      <c r="A51" s="122"/>
      <c r="B51" s="204"/>
      <c r="C51" s="204"/>
      <c r="D51" s="204"/>
      <c r="E51" s="205"/>
      <c r="F51" s="205"/>
      <c r="G51" s="205"/>
      <c r="H51" s="206"/>
      <c r="I51" s="207"/>
      <c r="J51" s="207"/>
      <c r="K51" s="207"/>
      <c r="L51" s="122"/>
      <c r="M51" s="207"/>
      <c r="N51" s="207"/>
      <c r="O51" s="122"/>
      <c r="P51" s="205"/>
      <c r="Q51" s="205"/>
      <c r="R51" s="205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</row>
    <row r="52">
      <c r="A52" s="122"/>
      <c r="B52" s="204"/>
      <c r="C52" s="204"/>
      <c r="D52" s="204"/>
      <c r="E52" s="205"/>
      <c r="F52" s="205"/>
      <c r="G52" s="205"/>
      <c r="H52" s="206"/>
      <c r="I52" s="207"/>
      <c r="J52" s="207"/>
      <c r="K52" s="207"/>
      <c r="L52" s="122"/>
      <c r="M52" s="207"/>
      <c r="N52" s="207"/>
      <c r="O52" s="122"/>
      <c r="P52" s="205"/>
      <c r="Q52" s="205"/>
      <c r="R52" s="205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</row>
    <row r="53">
      <c r="A53" s="122"/>
      <c r="B53" s="204"/>
      <c r="C53" s="204"/>
      <c r="D53" s="204"/>
      <c r="E53" s="205"/>
      <c r="F53" s="205"/>
      <c r="G53" s="205"/>
      <c r="H53" s="206"/>
      <c r="I53" s="207"/>
      <c r="J53" s="207"/>
      <c r="K53" s="207"/>
      <c r="L53" s="122"/>
      <c r="M53" s="207"/>
      <c r="N53" s="207"/>
      <c r="O53" s="122"/>
      <c r="P53" s="205"/>
      <c r="Q53" s="205"/>
      <c r="R53" s="205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</row>
    <row r="54">
      <c r="A54" s="122"/>
      <c r="B54" s="204"/>
      <c r="C54" s="204"/>
      <c r="D54" s="204"/>
      <c r="E54" s="205"/>
      <c r="F54" s="205"/>
      <c r="G54" s="205"/>
      <c r="H54" s="206"/>
      <c r="I54" s="207"/>
      <c r="J54" s="207"/>
      <c r="K54" s="207"/>
      <c r="L54" s="122"/>
      <c r="M54" s="207"/>
      <c r="N54" s="207"/>
      <c r="O54" s="122"/>
      <c r="P54" s="205"/>
      <c r="Q54" s="205"/>
      <c r="R54" s="205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>
      <c r="A55" s="122"/>
      <c r="B55" s="204"/>
      <c r="C55" s="204"/>
      <c r="D55" s="204"/>
      <c r="E55" s="205"/>
      <c r="F55" s="205"/>
      <c r="G55" s="205"/>
      <c r="H55" s="206"/>
      <c r="I55" s="207"/>
      <c r="J55" s="207"/>
      <c r="K55" s="207"/>
      <c r="L55" s="122"/>
      <c r="M55" s="207"/>
      <c r="N55" s="207"/>
      <c r="O55" s="122"/>
      <c r="P55" s="205"/>
      <c r="Q55" s="205"/>
      <c r="R55" s="205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</row>
    <row r="56">
      <c r="A56" s="122"/>
      <c r="B56" s="204"/>
      <c r="C56" s="204"/>
      <c r="D56" s="204"/>
      <c r="E56" s="205"/>
      <c r="F56" s="205"/>
      <c r="G56" s="205"/>
      <c r="H56" s="206"/>
      <c r="I56" s="207"/>
      <c r="J56" s="207"/>
      <c r="K56" s="207"/>
      <c r="L56" s="122"/>
      <c r="M56" s="207"/>
      <c r="N56" s="207"/>
      <c r="O56" s="122"/>
      <c r="P56" s="205"/>
      <c r="Q56" s="205"/>
      <c r="R56" s="205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</row>
    <row r="57">
      <c r="A57" s="122"/>
      <c r="B57" s="204"/>
      <c r="C57" s="204"/>
      <c r="D57" s="204"/>
      <c r="E57" s="205"/>
      <c r="F57" s="205"/>
      <c r="G57" s="205"/>
      <c r="H57" s="206"/>
      <c r="I57" s="207"/>
      <c r="J57" s="207"/>
      <c r="K57" s="207"/>
      <c r="L57" s="122"/>
      <c r="M57" s="207"/>
      <c r="N57" s="207"/>
      <c r="O57" s="122"/>
      <c r="P57" s="205"/>
      <c r="Q57" s="205"/>
      <c r="R57" s="205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</row>
    <row r="58">
      <c r="A58" s="122"/>
      <c r="B58" s="204"/>
      <c r="C58" s="204"/>
      <c r="D58" s="204"/>
      <c r="E58" s="205"/>
      <c r="F58" s="205"/>
      <c r="G58" s="205"/>
      <c r="H58" s="206"/>
      <c r="I58" s="207"/>
      <c r="J58" s="207"/>
      <c r="K58" s="207"/>
      <c r="L58" s="122"/>
      <c r="M58" s="207"/>
      <c r="N58" s="207"/>
      <c r="O58" s="122"/>
      <c r="P58" s="205"/>
      <c r="Q58" s="205"/>
      <c r="R58" s="205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</row>
    <row r="59">
      <c r="A59" s="122"/>
      <c r="B59" s="204"/>
      <c r="C59" s="204"/>
      <c r="D59" s="204"/>
      <c r="E59" s="205"/>
      <c r="F59" s="205"/>
      <c r="G59" s="205"/>
      <c r="H59" s="206"/>
      <c r="I59" s="207"/>
      <c r="J59" s="207"/>
      <c r="K59" s="207"/>
      <c r="L59" s="122"/>
      <c r="M59" s="207"/>
      <c r="N59" s="207"/>
      <c r="O59" s="122"/>
      <c r="P59" s="205"/>
      <c r="Q59" s="205"/>
      <c r="R59" s="205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</row>
    <row r="60">
      <c r="A60" s="122"/>
      <c r="B60" s="204"/>
      <c r="C60" s="204"/>
      <c r="D60" s="204"/>
      <c r="E60" s="205"/>
      <c r="F60" s="205"/>
      <c r="G60" s="205"/>
      <c r="H60" s="206"/>
      <c r="I60" s="207"/>
      <c r="J60" s="207"/>
      <c r="K60" s="207"/>
      <c r="L60" s="122"/>
      <c r="M60" s="207"/>
      <c r="N60" s="207"/>
      <c r="O60" s="122"/>
      <c r="P60" s="205"/>
      <c r="Q60" s="205"/>
      <c r="R60" s="205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</row>
    <row r="61">
      <c r="A61" s="122"/>
      <c r="B61" s="204"/>
      <c r="C61" s="204"/>
      <c r="D61" s="204"/>
      <c r="E61" s="205"/>
      <c r="F61" s="205"/>
      <c r="G61" s="205"/>
      <c r="H61" s="206"/>
      <c r="I61" s="207"/>
      <c r="J61" s="207"/>
      <c r="K61" s="207"/>
      <c r="L61" s="122"/>
      <c r="M61" s="207"/>
      <c r="N61" s="207"/>
      <c r="O61" s="122"/>
      <c r="P61" s="205"/>
      <c r="Q61" s="205"/>
      <c r="R61" s="205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</row>
    <row r="62">
      <c r="A62" s="122"/>
      <c r="B62" s="204"/>
      <c r="C62" s="204"/>
      <c r="D62" s="204"/>
      <c r="E62" s="205"/>
      <c r="F62" s="205"/>
      <c r="G62" s="205"/>
      <c r="H62" s="206"/>
      <c r="I62" s="207"/>
      <c r="J62" s="207"/>
      <c r="K62" s="207"/>
      <c r="L62" s="122"/>
      <c r="M62" s="207"/>
      <c r="N62" s="207"/>
      <c r="O62" s="122"/>
      <c r="P62" s="205"/>
      <c r="Q62" s="205"/>
      <c r="R62" s="205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</row>
    <row r="63">
      <c r="A63" s="122"/>
      <c r="B63" s="204"/>
      <c r="C63" s="204"/>
      <c r="D63" s="204"/>
      <c r="E63" s="205"/>
      <c r="F63" s="205"/>
      <c r="G63" s="205"/>
      <c r="H63" s="206"/>
      <c r="I63" s="207"/>
      <c r="J63" s="207"/>
      <c r="K63" s="207"/>
      <c r="L63" s="122"/>
      <c r="M63" s="207"/>
      <c r="N63" s="207"/>
      <c r="O63" s="122"/>
      <c r="P63" s="205"/>
      <c r="Q63" s="205"/>
      <c r="R63" s="205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</row>
    <row r="64">
      <c r="A64" s="122"/>
      <c r="B64" s="204"/>
      <c r="C64" s="204"/>
      <c r="D64" s="204"/>
      <c r="E64" s="205"/>
      <c r="F64" s="205"/>
      <c r="G64" s="205"/>
      <c r="H64" s="206"/>
      <c r="I64" s="207"/>
      <c r="J64" s="207"/>
      <c r="K64" s="207"/>
      <c r="L64" s="122"/>
      <c r="M64" s="207"/>
      <c r="N64" s="207"/>
      <c r="O64" s="122"/>
      <c r="P64" s="205"/>
      <c r="Q64" s="205"/>
      <c r="R64" s="205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</row>
    <row r="65">
      <c r="A65" s="122"/>
      <c r="B65" s="204"/>
      <c r="C65" s="204"/>
      <c r="D65" s="204"/>
      <c r="E65" s="205"/>
      <c r="F65" s="205"/>
      <c r="G65" s="205"/>
      <c r="H65" s="206"/>
      <c r="I65" s="207"/>
      <c r="J65" s="207"/>
      <c r="K65" s="207"/>
      <c r="L65" s="122"/>
      <c r="M65" s="207"/>
      <c r="N65" s="207"/>
      <c r="O65" s="122"/>
      <c r="P65" s="205"/>
      <c r="Q65" s="205"/>
      <c r="R65" s="205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</row>
    <row r="66">
      <c r="A66" s="122"/>
      <c r="B66" s="204"/>
      <c r="C66" s="204"/>
      <c r="D66" s="204"/>
      <c r="E66" s="205"/>
      <c r="F66" s="205"/>
      <c r="G66" s="205"/>
      <c r="H66" s="206"/>
      <c r="I66" s="207"/>
      <c r="J66" s="207"/>
      <c r="K66" s="207"/>
      <c r="L66" s="122"/>
      <c r="M66" s="207"/>
      <c r="N66" s="207"/>
      <c r="O66" s="122"/>
      <c r="P66" s="205"/>
      <c r="Q66" s="205"/>
      <c r="R66" s="205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</row>
    <row r="67">
      <c r="A67" s="122"/>
      <c r="B67" s="204"/>
      <c r="C67" s="204"/>
      <c r="D67" s="204"/>
      <c r="E67" s="205"/>
      <c r="F67" s="205"/>
      <c r="G67" s="205"/>
      <c r="H67" s="206"/>
      <c r="I67" s="207"/>
      <c r="J67" s="207"/>
      <c r="K67" s="207"/>
      <c r="L67" s="122"/>
      <c r="M67" s="207"/>
      <c r="N67" s="207"/>
      <c r="O67" s="122"/>
      <c r="P67" s="205"/>
      <c r="Q67" s="205"/>
      <c r="R67" s="205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</row>
    <row r="68">
      <c r="A68" s="122"/>
      <c r="B68" s="204"/>
      <c r="C68" s="204"/>
      <c r="D68" s="204"/>
      <c r="E68" s="205"/>
      <c r="F68" s="205"/>
      <c r="G68" s="205"/>
      <c r="H68" s="206"/>
      <c r="I68" s="207"/>
      <c r="J68" s="207"/>
      <c r="K68" s="207"/>
      <c r="L68" s="122"/>
      <c r="M68" s="207"/>
      <c r="N68" s="207"/>
      <c r="O68" s="122"/>
      <c r="P68" s="205"/>
      <c r="Q68" s="205"/>
      <c r="R68" s="205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</row>
    <row r="69">
      <c r="A69" s="122"/>
      <c r="B69" s="204"/>
      <c r="C69" s="204"/>
      <c r="D69" s="204"/>
      <c r="E69" s="205"/>
      <c r="F69" s="205"/>
      <c r="G69" s="205"/>
      <c r="H69" s="206"/>
      <c r="I69" s="207"/>
      <c r="J69" s="207"/>
      <c r="K69" s="207"/>
      <c r="L69" s="122"/>
      <c r="M69" s="207"/>
      <c r="N69" s="207"/>
      <c r="O69" s="122"/>
      <c r="P69" s="205"/>
      <c r="Q69" s="205"/>
      <c r="R69" s="205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</row>
    <row r="70">
      <c r="A70" s="122"/>
      <c r="B70" s="204"/>
      <c r="C70" s="204"/>
      <c r="D70" s="204"/>
      <c r="E70" s="205"/>
      <c r="F70" s="205"/>
      <c r="G70" s="205"/>
      <c r="H70" s="206"/>
      <c r="I70" s="207"/>
      <c r="J70" s="207"/>
      <c r="K70" s="207"/>
      <c r="L70" s="122"/>
      <c r="M70" s="207"/>
      <c r="N70" s="207"/>
      <c r="O70" s="122"/>
      <c r="P70" s="205"/>
      <c r="Q70" s="205"/>
      <c r="R70" s="205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</row>
    <row r="71">
      <c r="A71" s="122"/>
      <c r="B71" s="204"/>
      <c r="C71" s="204"/>
      <c r="D71" s="204"/>
      <c r="E71" s="205"/>
      <c r="F71" s="205"/>
      <c r="G71" s="205"/>
      <c r="H71" s="206"/>
      <c r="I71" s="207"/>
      <c r="J71" s="207"/>
      <c r="K71" s="207"/>
      <c r="L71" s="122"/>
      <c r="M71" s="207"/>
      <c r="N71" s="207"/>
      <c r="O71" s="122"/>
      <c r="P71" s="205"/>
      <c r="Q71" s="205"/>
      <c r="R71" s="205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</row>
    <row r="72">
      <c r="A72" s="122"/>
      <c r="B72" s="204"/>
      <c r="C72" s="204"/>
      <c r="D72" s="204"/>
      <c r="E72" s="205"/>
      <c r="F72" s="205"/>
      <c r="G72" s="205"/>
      <c r="H72" s="206"/>
      <c r="I72" s="207"/>
      <c r="J72" s="207"/>
      <c r="K72" s="207"/>
      <c r="L72" s="122"/>
      <c r="M72" s="207"/>
      <c r="N72" s="207"/>
      <c r="O72" s="122"/>
      <c r="P72" s="205"/>
      <c r="Q72" s="205"/>
      <c r="R72" s="205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</row>
    <row r="73">
      <c r="A73" s="122"/>
      <c r="B73" s="204"/>
      <c r="C73" s="204"/>
      <c r="D73" s="204"/>
      <c r="E73" s="205"/>
      <c r="F73" s="205"/>
      <c r="G73" s="205"/>
      <c r="H73" s="206"/>
      <c r="I73" s="207"/>
      <c r="J73" s="207"/>
      <c r="K73" s="207"/>
      <c r="L73" s="122"/>
      <c r="M73" s="207"/>
      <c r="N73" s="207"/>
      <c r="O73" s="122"/>
      <c r="P73" s="205"/>
      <c r="Q73" s="205"/>
      <c r="R73" s="205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</row>
    <row r="74">
      <c r="A74" s="122"/>
      <c r="B74" s="204"/>
      <c r="C74" s="204"/>
      <c r="D74" s="204"/>
      <c r="E74" s="205"/>
      <c r="F74" s="205"/>
      <c r="G74" s="205"/>
      <c r="H74" s="206"/>
      <c r="I74" s="207"/>
      <c r="J74" s="207"/>
      <c r="K74" s="207"/>
      <c r="L74" s="122"/>
      <c r="M74" s="207"/>
      <c r="N74" s="207"/>
      <c r="O74" s="122"/>
      <c r="P74" s="205"/>
      <c r="Q74" s="205"/>
      <c r="R74" s="205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</row>
    <row r="75">
      <c r="A75" s="122"/>
      <c r="B75" s="204"/>
      <c r="C75" s="204"/>
      <c r="D75" s="204"/>
      <c r="E75" s="205"/>
      <c r="F75" s="205"/>
      <c r="G75" s="205"/>
      <c r="H75" s="206"/>
      <c r="I75" s="207"/>
      <c r="J75" s="207"/>
      <c r="K75" s="207"/>
      <c r="L75" s="122"/>
      <c r="M75" s="207"/>
      <c r="N75" s="207"/>
      <c r="O75" s="122"/>
      <c r="P75" s="205"/>
      <c r="Q75" s="205"/>
      <c r="R75" s="205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</row>
    <row r="76">
      <c r="A76" s="122"/>
      <c r="B76" s="204"/>
      <c r="C76" s="204"/>
      <c r="D76" s="204"/>
      <c r="E76" s="205"/>
      <c r="F76" s="205"/>
      <c r="G76" s="205"/>
      <c r="H76" s="206"/>
      <c r="I76" s="207"/>
      <c r="J76" s="207"/>
      <c r="K76" s="207"/>
      <c r="L76" s="122"/>
      <c r="M76" s="207"/>
      <c r="N76" s="207"/>
      <c r="O76" s="122"/>
      <c r="P76" s="205"/>
      <c r="Q76" s="205"/>
      <c r="R76" s="205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</row>
    <row r="77">
      <c r="A77" s="122"/>
      <c r="B77" s="204"/>
      <c r="C77" s="204"/>
      <c r="D77" s="204"/>
      <c r="E77" s="205"/>
      <c r="F77" s="205"/>
      <c r="G77" s="205"/>
      <c r="H77" s="206"/>
      <c r="I77" s="207"/>
      <c r="J77" s="207"/>
      <c r="K77" s="207"/>
      <c r="L77" s="122"/>
      <c r="M77" s="207"/>
      <c r="N77" s="207"/>
      <c r="O77" s="122"/>
      <c r="P77" s="205"/>
      <c r="Q77" s="205"/>
      <c r="R77" s="205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</row>
    <row r="78">
      <c r="A78" s="122"/>
      <c r="B78" s="204"/>
      <c r="C78" s="204"/>
      <c r="D78" s="204"/>
      <c r="E78" s="205"/>
      <c r="F78" s="205"/>
      <c r="G78" s="205"/>
      <c r="H78" s="206"/>
      <c r="I78" s="207"/>
      <c r="J78" s="207"/>
      <c r="K78" s="207"/>
      <c r="L78" s="122"/>
      <c r="M78" s="207"/>
      <c r="N78" s="207"/>
      <c r="O78" s="122"/>
      <c r="P78" s="205"/>
      <c r="Q78" s="205"/>
      <c r="R78" s="205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</row>
    <row r="79">
      <c r="A79" s="122"/>
      <c r="B79" s="204"/>
      <c r="C79" s="204"/>
      <c r="D79" s="204"/>
      <c r="E79" s="205"/>
      <c r="F79" s="205"/>
      <c r="G79" s="205"/>
      <c r="H79" s="206"/>
      <c r="I79" s="207"/>
      <c r="J79" s="207"/>
      <c r="K79" s="207"/>
      <c r="L79" s="122"/>
      <c r="M79" s="207"/>
      <c r="N79" s="207"/>
      <c r="O79" s="122"/>
      <c r="P79" s="205"/>
      <c r="Q79" s="205"/>
      <c r="R79" s="205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</row>
    <row r="80">
      <c r="A80" s="122"/>
      <c r="B80" s="204"/>
      <c r="C80" s="204"/>
      <c r="D80" s="204"/>
      <c r="E80" s="205"/>
      <c r="F80" s="205"/>
      <c r="G80" s="205"/>
      <c r="H80" s="206"/>
      <c r="I80" s="207"/>
      <c r="J80" s="207"/>
      <c r="K80" s="207"/>
      <c r="L80" s="122"/>
      <c r="M80" s="207"/>
      <c r="N80" s="207"/>
      <c r="O80" s="122"/>
      <c r="P80" s="205"/>
      <c r="Q80" s="205"/>
      <c r="R80" s="205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</row>
    <row r="81">
      <c r="A81" s="122"/>
      <c r="B81" s="204"/>
      <c r="C81" s="204"/>
      <c r="D81" s="204"/>
      <c r="E81" s="205"/>
      <c r="F81" s="205"/>
      <c r="G81" s="205"/>
      <c r="H81" s="206"/>
      <c r="I81" s="207"/>
      <c r="J81" s="207"/>
      <c r="K81" s="207"/>
      <c r="L81" s="122"/>
      <c r="M81" s="207"/>
      <c r="N81" s="207"/>
      <c r="O81" s="122"/>
      <c r="P81" s="205"/>
      <c r="Q81" s="205"/>
      <c r="R81" s="205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</row>
    <row r="82">
      <c r="A82" s="122"/>
      <c r="B82" s="204"/>
      <c r="C82" s="204"/>
      <c r="D82" s="204"/>
      <c r="E82" s="205"/>
      <c r="F82" s="205"/>
      <c r="G82" s="205"/>
      <c r="H82" s="206"/>
      <c r="I82" s="207"/>
      <c r="J82" s="207"/>
      <c r="K82" s="207"/>
      <c r="L82" s="122"/>
      <c r="M82" s="207"/>
      <c r="N82" s="207"/>
      <c r="O82" s="122"/>
      <c r="P82" s="205"/>
      <c r="Q82" s="205"/>
      <c r="R82" s="205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</row>
    <row r="83">
      <c r="A83" s="122"/>
      <c r="B83" s="204"/>
      <c r="C83" s="204"/>
      <c r="D83" s="204"/>
      <c r="E83" s="205"/>
      <c r="F83" s="205"/>
      <c r="G83" s="205"/>
      <c r="H83" s="206"/>
      <c r="I83" s="207"/>
      <c r="J83" s="207"/>
      <c r="K83" s="207"/>
      <c r="L83" s="122"/>
      <c r="M83" s="207"/>
      <c r="N83" s="207"/>
      <c r="O83" s="122"/>
      <c r="P83" s="205"/>
      <c r="Q83" s="205"/>
      <c r="R83" s="205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</row>
    <row r="84">
      <c r="A84" s="122"/>
      <c r="B84" s="204"/>
      <c r="C84" s="204"/>
      <c r="D84" s="204"/>
      <c r="E84" s="205"/>
      <c r="F84" s="205"/>
      <c r="G84" s="205"/>
      <c r="H84" s="206"/>
      <c r="I84" s="207"/>
      <c r="J84" s="207"/>
      <c r="K84" s="207"/>
      <c r="L84" s="122"/>
      <c r="M84" s="207"/>
      <c r="N84" s="207"/>
      <c r="O84" s="122"/>
      <c r="P84" s="205"/>
      <c r="Q84" s="205"/>
      <c r="R84" s="205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</row>
    <row r="85">
      <c r="A85" s="122"/>
      <c r="B85" s="204"/>
      <c r="C85" s="204"/>
      <c r="D85" s="204"/>
      <c r="E85" s="205"/>
      <c r="F85" s="205"/>
      <c r="G85" s="205"/>
      <c r="H85" s="206"/>
      <c r="I85" s="207"/>
      <c r="J85" s="207"/>
      <c r="K85" s="207"/>
      <c r="L85" s="122"/>
      <c r="M85" s="207"/>
      <c r="N85" s="207"/>
      <c r="O85" s="122"/>
      <c r="P85" s="205"/>
      <c r="Q85" s="205"/>
      <c r="R85" s="205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</row>
    <row r="86">
      <c r="A86" s="122"/>
      <c r="B86" s="204"/>
      <c r="C86" s="204"/>
      <c r="D86" s="204"/>
      <c r="E86" s="205"/>
      <c r="F86" s="205"/>
      <c r="G86" s="205"/>
      <c r="H86" s="206"/>
      <c r="I86" s="207"/>
      <c r="J86" s="207"/>
      <c r="K86" s="207"/>
      <c r="L86" s="122"/>
      <c r="M86" s="207"/>
      <c r="N86" s="207"/>
      <c r="O86" s="122"/>
      <c r="P86" s="205"/>
      <c r="Q86" s="205"/>
      <c r="R86" s="205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</row>
    <row r="87">
      <c r="A87" s="122"/>
      <c r="B87" s="204"/>
      <c r="C87" s="204"/>
      <c r="D87" s="204"/>
      <c r="E87" s="205"/>
      <c r="F87" s="205"/>
      <c r="G87" s="205"/>
      <c r="H87" s="206"/>
      <c r="I87" s="207"/>
      <c r="J87" s="207"/>
      <c r="K87" s="207"/>
      <c r="L87" s="122"/>
      <c r="M87" s="207"/>
      <c r="N87" s="207"/>
      <c r="O87" s="122"/>
      <c r="P87" s="205"/>
      <c r="Q87" s="205"/>
      <c r="R87" s="205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</row>
    <row r="88">
      <c r="A88" s="122"/>
      <c r="B88" s="204"/>
      <c r="C88" s="204"/>
      <c r="D88" s="204"/>
      <c r="E88" s="205"/>
      <c r="F88" s="205"/>
      <c r="G88" s="205"/>
      <c r="H88" s="206"/>
      <c r="I88" s="207"/>
      <c r="J88" s="207"/>
      <c r="K88" s="207"/>
      <c r="L88" s="122"/>
      <c r="M88" s="207"/>
      <c r="N88" s="207"/>
      <c r="O88" s="122"/>
      <c r="P88" s="205"/>
      <c r="Q88" s="205"/>
      <c r="R88" s="205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</row>
    <row r="89">
      <c r="A89" s="122"/>
      <c r="B89" s="204"/>
      <c r="C89" s="204"/>
      <c r="D89" s="204"/>
      <c r="E89" s="205"/>
      <c r="F89" s="205"/>
      <c r="G89" s="205"/>
      <c r="H89" s="206"/>
      <c r="I89" s="207"/>
      <c r="J89" s="207"/>
      <c r="K89" s="207"/>
      <c r="L89" s="122"/>
      <c r="M89" s="207"/>
      <c r="N89" s="207"/>
      <c r="O89" s="122"/>
      <c r="P89" s="205"/>
      <c r="Q89" s="205"/>
      <c r="R89" s="205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</row>
    <row r="90">
      <c r="A90" s="122"/>
      <c r="B90" s="204"/>
      <c r="C90" s="204"/>
      <c r="D90" s="204"/>
      <c r="E90" s="205"/>
      <c r="F90" s="205"/>
      <c r="G90" s="205"/>
      <c r="H90" s="206"/>
      <c r="I90" s="207"/>
      <c r="J90" s="207"/>
      <c r="K90" s="207"/>
      <c r="L90" s="122"/>
      <c r="M90" s="207"/>
      <c r="N90" s="207"/>
      <c r="O90" s="122"/>
      <c r="P90" s="205"/>
      <c r="Q90" s="205"/>
      <c r="R90" s="205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</row>
    <row r="91">
      <c r="A91" s="122"/>
      <c r="B91" s="204"/>
      <c r="C91" s="204"/>
      <c r="D91" s="204"/>
      <c r="E91" s="205"/>
      <c r="F91" s="205"/>
      <c r="G91" s="205"/>
      <c r="H91" s="206"/>
      <c r="I91" s="207"/>
      <c r="J91" s="207"/>
      <c r="K91" s="207"/>
      <c r="L91" s="122"/>
      <c r="M91" s="207"/>
      <c r="N91" s="207"/>
      <c r="O91" s="122"/>
      <c r="P91" s="205"/>
      <c r="Q91" s="205"/>
      <c r="R91" s="205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</row>
    <row r="92">
      <c r="A92" s="122"/>
      <c r="B92" s="204"/>
      <c r="C92" s="204"/>
      <c r="D92" s="204"/>
      <c r="E92" s="205"/>
      <c r="F92" s="205"/>
      <c r="G92" s="205"/>
      <c r="H92" s="206"/>
      <c r="I92" s="207"/>
      <c r="J92" s="207"/>
      <c r="K92" s="207"/>
      <c r="L92" s="122"/>
      <c r="M92" s="207"/>
      <c r="N92" s="207"/>
      <c r="O92" s="122"/>
      <c r="P92" s="205"/>
      <c r="Q92" s="205"/>
      <c r="R92" s="205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</row>
    <row r="93">
      <c r="A93" s="122"/>
      <c r="B93" s="204"/>
      <c r="C93" s="204"/>
      <c r="D93" s="204"/>
      <c r="E93" s="205"/>
      <c r="F93" s="205"/>
      <c r="G93" s="205"/>
      <c r="H93" s="206"/>
      <c r="I93" s="207"/>
      <c r="J93" s="207"/>
      <c r="K93" s="207"/>
      <c r="L93" s="122"/>
      <c r="M93" s="207"/>
      <c r="N93" s="207"/>
      <c r="O93" s="122"/>
      <c r="P93" s="205"/>
      <c r="Q93" s="205"/>
      <c r="R93" s="205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</row>
    <row r="94">
      <c r="A94" s="122"/>
      <c r="B94" s="204"/>
      <c r="C94" s="204"/>
      <c r="D94" s="204"/>
      <c r="E94" s="205"/>
      <c r="F94" s="205"/>
      <c r="G94" s="205"/>
      <c r="H94" s="206"/>
      <c r="I94" s="207"/>
      <c r="J94" s="207"/>
      <c r="K94" s="207"/>
      <c r="L94" s="122"/>
      <c r="M94" s="207"/>
      <c r="N94" s="207"/>
      <c r="O94" s="122"/>
      <c r="P94" s="205"/>
      <c r="Q94" s="205"/>
      <c r="R94" s="205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</row>
    <row r="95">
      <c r="A95" s="122"/>
      <c r="B95" s="204"/>
      <c r="C95" s="204"/>
      <c r="D95" s="204"/>
      <c r="E95" s="205"/>
      <c r="F95" s="205"/>
      <c r="G95" s="205"/>
      <c r="H95" s="206"/>
      <c r="I95" s="207"/>
      <c r="J95" s="207"/>
      <c r="K95" s="207"/>
      <c r="L95" s="122"/>
      <c r="M95" s="207"/>
      <c r="N95" s="207"/>
      <c r="O95" s="122"/>
      <c r="P95" s="205"/>
      <c r="Q95" s="205"/>
      <c r="R95" s="205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</row>
    <row r="96">
      <c r="A96" s="122"/>
      <c r="B96" s="204"/>
      <c r="C96" s="204"/>
      <c r="D96" s="204"/>
      <c r="E96" s="205"/>
      <c r="F96" s="205"/>
      <c r="G96" s="205"/>
      <c r="H96" s="206"/>
      <c r="I96" s="207"/>
      <c r="J96" s="207"/>
      <c r="K96" s="207"/>
      <c r="L96" s="122"/>
      <c r="M96" s="207"/>
      <c r="N96" s="207"/>
      <c r="O96" s="122"/>
      <c r="P96" s="205"/>
      <c r="Q96" s="205"/>
      <c r="R96" s="205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</row>
    <row r="97">
      <c r="A97" s="122"/>
      <c r="B97" s="204"/>
      <c r="C97" s="204"/>
      <c r="D97" s="204"/>
      <c r="E97" s="205"/>
      <c r="F97" s="205"/>
      <c r="G97" s="205"/>
      <c r="H97" s="206"/>
      <c r="I97" s="207"/>
      <c r="J97" s="207"/>
      <c r="K97" s="207"/>
      <c r="L97" s="122"/>
      <c r="M97" s="207"/>
      <c r="N97" s="207"/>
      <c r="O97" s="122"/>
      <c r="P97" s="205"/>
      <c r="Q97" s="205"/>
      <c r="R97" s="205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</row>
    <row r="98">
      <c r="A98" s="122"/>
      <c r="B98" s="204"/>
      <c r="C98" s="204"/>
      <c r="D98" s="204"/>
      <c r="E98" s="205"/>
      <c r="F98" s="205"/>
      <c r="G98" s="205"/>
      <c r="H98" s="206"/>
      <c r="I98" s="207"/>
      <c r="J98" s="207"/>
      <c r="K98" s="207"/>
      <c r="L98" s="122"/>
      <c r="M98" s="207"/>
      <c r="N98" s="207"/>
      <c r="O98" s="122"/>
      <c r="P98" s="205"/>
      <c r="Q98" s="205"/>
      <c r="R98" s="205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</row>
    <row r="99">
      <c r="A99" s="122"/>
      <c r="B99" s="204"/>
      <c r="C99" s="204"/>
      <c r="D99" s="204"/>
      <c r="E99" s="205"/>
      <c r="F99" s="205"/>
      <c r="G99" s="205"/>
      <c r="H99" s="206"/>
      <c r="I99" s="207"/>
      <c r="J99" s="207"/>
      <c r="K99" s="207"/>
      <c r="L99" s="122"/>
      <c r="M99" s="207"/>
      <c r="N99" s="207"/>
      <c r="O99" s="122"/>
      <c r="P99" s="205"/>
      <c r="Q99" s="205"/>
      <c r="R99" s="205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</row>
    <row r="100">
      <c r="A100" s="122"/>
      <c r="B100" s="204"/>
      <c r="C100" s="204"/>
      <c r="D100" s="204"/>
      <c r="E100" s="205"/>
      <c r="F100" s="205"/>
      <c r="G100" s="205"/>
      <c r="H100" s="206"/>
      <c r="I100" s="207"/>
      <c r="J100" s="207"/>
      <c r="K100" s="207"/>
      <c r="L100" s="122"/>
      <c r="M100" s="207"/>
      <c r="N100" s="207"/>
      <c r="O100" s="122"/>
      <c r="P100" s="205"/>
      <c r="Q100" s="205"/>
      <c r="R100" s="205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</row>
    <row r="101">
      <c r="A101" s="122"/>
      <c r="B101" s="204"/>
      <c r="C101" s="204"/>
      <c r="D101" s="204"/>
      <c r="E101" s="205"/>
      <c r="F101" s="205"/>
      <c r="G101" s="205"/>
      <c r="H101" s="206"/>
      <c r="I101" s="207"/>
      <c r="J101" s="207"/>
      <c r="K101" s="207"/>
      <c r="L101" s="122"/>
      <c r="M101" s="207"/>
      <c r="N101" s="207"/>
      <c r="O101" s="122"/>
      <c r="P101" s="205"/>
      <c r="Q101" s="205"/>
      <c r="R101" s="205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</row>
    <row r="102">
      <c r="A102" s="122"/>
      <c r="B102" s="204"/>
      <c r="C102" s="204"/>
      <c r="D102" s="204"/>
      <c r="E102" s="205"/>
      <c r="F102" s="205"/>
      <c r="G102" s="205"/>
      <c r="H102" s="206"/>
      <c r="I102" s="207"/>
      <c r="J102" s="207"/>
      <c r="K102" s="207"/>
      <c r="L102" s="122"/>
      <c r="M102" s="207"/>
      <c r="N102" s="207"/>
      <c r="O102" s="122"/>
      <c r="P102" s="205"/>
      <c r="Q102" s="205"/>
      <c r="R102" s="205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</row>
    <row r="103">
      <c r="A103" s="122"/>
      <c r="B103" s="204"/>
      <c r="C103" s="204"/>
      <c r="D103" s="204"/>
      <c r="E103" s="205"/>
      <c r="F103" s="205"/>
      <c r="G103" s="205"/>
      <c r="H103" s="206"/>
      <c r="I103" s="207"/>
      <c r="J103" s="207"/>
      <c r="K103" s="207"/>
      <c r="L103" s="122"/>
      <c r="M103" s="207"/>
      <c r="N103" s="207"/>
      <c r="O103" s="122"/>
      <c r="P103" s="205"/>
      <c r="Q103" s="205"/>
      <c r="R103" s="205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</row>
    <row r="104">
      <c r="A104" s="122"/>
      <c r="B104" s="204"/>
      <c r="C104" s="204"/>
      <c r="D104" s="204"/>
      <c r="E104" s="205"/>
      <c r="F104" s="205"/>
      <c r="G104" s="205"/>
      <c r="H104" s="206"/>
      <c r="I104" s="207"/>
      <c r="J104" s="207"/>
      <c r="K104" s="207"/>
      <c r="L104" s="122"/>
      <c r="M104" s="207"/>
      <c r="N104" s="207"/>
      <c r="O104" s="122"/>
      <c r="P104" s="205"/>
      <c r="Q104" s="205"/>
      <c r="R104" s="205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</row>
    <row r="105">
      <c r="A105" s="122"/>
      <c r="B105" s="204"/>
      <c r="C105" s="204"/>
      <c r="D105" s="204"/>
      <c r="E105" s="205"/>
      <c r="F105" s="205"/>
      <c r="G105" s="205"/>
      <c r="H105" s="206"/>
      <c r="I105" s="207"/>
      <c r="J105" s="207"/>
      <c r="K105" s="207"/>
      <c r="L105" s="122"/>
      <c r="M105" s="207"/>
      <c r="N105" s="207"/>
      <c r="O105" s="122"/>
      <c r="P105" s="205"/>
      <c r="Q105" s="205"/>
      <c r="R105" s="205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</row>
    <row r="106">
      <c r="A106" s="122"/>
      <c r="B106" s="204"/>
      <c r="C106" s="204"/>
      <c r="D106" s="204"/>
      <c r="E106" s="205"/>
      <c r="F106" s="205"/>
      <c r="G106" s="205"/>
      <c r="H106" s="206"/>
      <c r="I106" s="207"/>
      <c r="J106" s="207"/>
      <c r="K106" s="207"/>
      <c r="L106" s="122"/>
      <c r="M106" s="207"/>
      <c r="N106" s="207"/>
      <c r="O106" s="122"/>
      <c r="P106" s="205"/>
      <c r="Q106" s="205"/>
      <c r="R106" s="205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</row>
    <row r="107">
      <c r="A107" s="122"/>
      <c r="B107" s="204"/>
      <c r="C107" s="204"/>
      <c r="D107" s="204"/>
      <c r="E107" s="205"/>
      <c r="F107" s="205"/>
      <c r="G107" s="205"/>
      <c r="H107" s="206"/>
      <c r="I107" s="207"/>
      <c r="J107" s="207"/>
      <c r="K107" s="207"/>
      <c r="L107" s="122"/>
      <c r="M107" s="207"/>
      <c r="N107" s="207"/>
      <c r="O107" s="122"/>
      <c r="P107" s="205"/>
      <c r="Q107" s="205"/>
      <c r="R107" s="205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</row>
    <row r="108">
      <c r="A108" s="122"/>
      <c r="B108" s="204"/>
      <c r="C108" s="204"/>
      <c r="D108" s="204"/>
      <c r="E108" s="205"/>
      <c r="F108" s="205"/>
      <c r="G108" s="205"/>
      <c r="H108" s="206"/>
      <c r="I108" s="207"/>
      <c r="J108" s="207"/>
      <c r="K108" s="207"/>
      <c r="L108" s="122"/>
      <c r="M108" s="207"/>
      <c r="N108" s="207"/>
      <c r="O108" s="122"/>
      <c r="P108" s="205"/>
      <c r="Q108" s="205"/>
      <c r="R108" s="205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</row>
    <row r="109">
      <c r="A109" s="122"/>
      <c r="B109" s="204"/>
      <c r="C109" s="204"/>
      <c r="D109" s="204"/>
      <c r="E109" s="205"/>
      <c r="F109" s="205"/>
      <c r="G109" s="205"/>
      <c r="H109" s="206"/>
      <c r="I109" s="207"/>
      <c r="J109" s="207"/>
      <c r="K109" s="207"/>
      <c r="L109" s="122"/>
      <c r="M109" s="207"/>
      <c r="N109" s="207"/>
      <c r="O109" s="122"/>
      <c r="P109" s="205"/>
      <c r="Q109" s="205"/>
      <c r="R109" s="205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</row>
    <row r="110">
      <c r="A110" s="122"/>
      <c r="B110" s="204"/>
      <c r="C110" s="204"/>
      <c r="D110" s="204"/>
      <c r="E110" s="205"/>
      <c r="F110" s="205"/>
      <c r="G110" s="205"/>
      <c r="H110" s="206"/>
      <c r="I110" s="207"/>
      <c r="J110" s="207"/>
      <c r="K110" s="207"/>
      <c r="L110" s="122"/>
      <c r="M110" s="207"/>
      <c r="N110" s="207"/>
      <c r="O110" s="122"/>
      <c r="P110" s="205"/>
      <c r="Q110" s="205"/>
      <c r="R110" s="205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</row>
    <row r="111">
      <c r="A111" s="122"/>
      <c r="B111" s="204"/>
      <c r="C111" s="204"/>
      <c r="D111" s="204"/>
      <c r="E111" s="205"/>
      <c r="F111" s="205"/>
      <c r="G111" s="205"/>
      <c r="H111" s="206"/>
      <c r="I111" s="207"/>
      <c r="J111" s="207"/>
      <c r="K111" s="207"/>
      <c r="L111" s="122"/>
      <c r="M111" s="207"/>
      <c r="N111" s="207"/>
      <c r="O111" s="122"/>
      <c r="P111" s="205"/>
      <c r="Q111" s="205"/>
      <c r="R111" s="205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</row>
    <row r="112">
      <c r="A112" s="122"/>
      <c r="B112" s="204"/>
      <c r="C112" s="204"/>
      <c r="D112" s="204"/>
      <c r="E112" s="205"/>
      <c r="F112" s="205"/>
      <c r="G112" s="205"/>
      <c r="H112" s="206"/>
      <c r="I112" s="207"/>
      <c r="J112" s="207"/>
      <c r="K112" s="207"/>
      <c r="L112" s="122"/>
      <c r="M112" s="207"/>
      <c r="N112" s="207"/>
      <c r="O112" s="122"/>
      <c r="P112" s="205"/>
      <c r="Q112" s="205"/>
      <c r="R112" s="205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</row>
    <row r="113">
      <c r="A113" s="122"/>
      <c r="B113" s="204"/>
      <c r="C113" s="204"/>
      <c r="D113" s="204"/>
      <c r="E113" s="205"/>
      <c r="F113" s="205"/>
      <c r="G113" s="205"/>
      <c r="H113" s="206"/>
      <c r="I113" s="207"/>
      <c r="J113" s="207"/>
      <c r="K113" s="207"/>
      <c r="L113" s="122"/>
      <c r="M113" s="207"/>
      <c r="N113" s="207"/>
      <c r="O113" s="122"/>
      <c r="P113" s="205"/>
      <c r="Q113" s="205"/>
      <c r="R113" s="205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</row>
    <row r="114">
      <c r="A114" s="122"/>
      <c r="B114" s="204"/>
      <c r="C114" s="204"/>
      <c r="D114" s="204"/>
      <c r="E114" s="205"/>
      <c r="F114" s="205"/>
      <c r="G114" s="205"/>
      <c r="H114" s="206"/>
      <c r="I114" s="207"/>
      <c r="J114" s="207"/>
      <c r="K114" s="207"/>
      <c r="L114" s="122"/>
      <c r="M114" s="207"/>
      <c r="N114" s="207"/>
      <c r="O114" s="122"/>
      <c r="P114" s="205"/>
      <c r="Q114" s="205"/>
      <c r="R114" s="205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</row>
    <row r="115">
      <c r="A115" s="122"/>
      <c r="B115" s="204"/>
      <c r="C115" s="204"/>
      <c r="D115" s="204"/>
      <c r="E115" s="205"/>
      <c r="F115" s="205"/>
      <c r="G115" s="205"/>
      <c r="H115" s="206"/>
      <c r="I115" s="207"/>
      <c r="J115" s="207"/>
      <c r="K115" s="207"/>
      <c r="L115" s="122"/>
      <c r="M115" s="207"/>
      <c r="N115" s="207"/>
      <c r="O115" s="122"/>
      <c r="P115" s="205"/>
      <c r="Q115" s="205"/>
      <c r="R115" s="205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</row>
    <row r="116">
      <c r="A116" s="122"/>
      <c r="B116" s="204"/>
      <c r="C116" s="204"/>
      <c r="D116" s="204"/>
      <c r="E116" s="205"/>
      <c r="F116" s="205"/>
      <c r="G116" s="205"/>
      <c r="H116" s="206"/>
      <c r="I116" s="207"/>
      <c r="J116" s="207"/>
      <c r="K116" s="207"/>
      <c r="L116" s="122"/>
      <c r="M116" s="207"/>
      <c r="N116" s="207"/>
      <c r="O116" s="122"/>
      <c r="P116" s="205"/>
      <c r="Q116" s="205"/>
      <c r="R116" s="205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</row>
    <row r="117">
      <c r="A117" s="122"/>
      <c r="B117" s="204"/>
      <c r="C117" s="204"/>
      <c r="D117" s="204"/>
      <c r="E117" s="205"/>
      <c r="F117" s="205"/>
      <c r="G117" s="205"/>
      <c r="H117" s="206"/>
      <c r="I117" s="207"/>
      <c r="J117" s="207"/>
      <c r="K117" s="207"/>
      <c r="L117" s="122"/>
      <c r="M117" s="207"/>
      <c r="N117" s="207"/>
      <c r="O117" s="122"/>
      <c r="P117" s="205"/>
      <c r="Q117" s="205"/>
      <c r="R117" s="205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</row>
    <row r="118">
      <c r="A118" s="122"/>
      <c r="B118" s="204"/>
      <c r="C118" s="204"/>
      <c r="D118" s="204"/>
      <c r="E118" s="205"/>
      <c r="F118" s="205"/>
      <c r="G118" s="205"/>
      <c r="H118" s="206"/>
      <c r="I118" s="207"/>
      <c r="J118" s="207"/>
      <c r="K118" s="207"/>
      <c r="L118" s="122"/>
      <c r="M118" s="207"/>
      <c r="N118" s="207"/>
      <c r="O118" s="122"/>
      <c r="P118" s="205"/>
      <c r="Q118" s="205"/>
      <c r="R118" s="205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</row>
    <row r="119">
      <c r="A119" s="122"/>
      <c r="B119" s="204"/>
      <c r="C119" s="204"/>
      <c r="D119" s="204"/>
      <c r="E119" s="205"/>
      <c r="F119" s="205"/>
      <c r="G119" s="205"/>
      <c r="H119" s="206"/>
      <c r="I119" s="207"/>
      <c r="J119" s="207"/>
      <c r="K119" s="207"/>
      <c r="L119" s="122"/>
      <c r="M119" s="207"/>
      <c r="N119" s="207"/>
      <c r="O119" s="122"/>
      <c r="P119" s="205"/>
      <c r="Q119" s="205"/>
      <c r="R119" s="205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</row>
    <row r="120">
      <c r="A120" s="122"/>
      <c r="B120" s="204"/>
      <c r="C120" s="204"/>
      <c r="D120" s="204"/>
      <c r="E120" s="205"/>
      <c r="F120" s="205"/>
      <c r="G120" s="205"/>
      <c r="H120" s="206"/>
      <c r="I120" s="207"/>
      <c r="J120" s="207"/>
      <c r="K120" s="207"/>
      <c r="L120" s="122"/>
      <c r="M120" s="207"/>
      <c r="N120" s="207"/>
      <c r="O120" s="122"/>
      <c r="P120" s="205"/>
      <c r="Q120" s="205"/>
      <c r="R120" s="205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</row>
    <row r="121">
      <c r="A121" s="122"/>
      <c r="B121" s="204"/>
      <c r="C121" s="204"/>
      <c r="D121" s="204"/>
      <c r="E121" s="205"/>
      <c r="F121" s="205"/>
      <c r="G121" s="205"/>
      <c r="H121" s="206"/>
      <c r="I121" s="207"/>
      <c r="J121" s="207"/>
      <c r="K121" s="207"/>
      <c r="L121" s="122"/>
      <c r="M121" s="207"/>
      <c r="N121" s="207"/>
      <c r="O121" s="122"/>
      <c r="P121" s="205"/>
      <c r="Q121" s="205"/>
      <c r="R121" s="205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</row>
    <row r="122">
      <c r="A122" s="122"/>
      <c r="B122" s="204"/>
      <c r="C122" s="204"/>
      <c r="D122" s="204"/>
      <c r="E122" s="205"/>
      <c r="F122" s="205"/>
      <c r="G122" s="205"/>
      <c r="H122" s="206"/>
      <c r="I122" s="207"/>
      <c r="J122" s="207"/>
      <c r="K122" s="207"/>
      <c r="L122" s="122"/>
      <c r="M122" s="207"/>
      <c r="N122" s="207"/>
      <c r="O122" s="122"/>
      <c r="P122" s="205"/>
      <c r="Q122" s="205"/>
      <c r="R122" s="205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</row>
    <row r="123">
      <c r="A123" s="122"/>
      <c r="B123" s="204"/>
      <c r="C123" s="204"/>
      <c r="D123" s="204"/>
      <c r="E123" s="205"/>
      <c r="F123" s="205"/>
      <c r="G123" s="205"/>
      <c r="H123" s="206"/>
      <c r="I123" s="207"/>
      <c r="J123" s="207"/>
      <c r="K123" s="207"/>
      <c r="L123" s="122"/>
      <c r="M123" s="207"/>
      <c r="N123" s="207"/>
      <c r="O123" s="122"/>
      <c r="P123" s="205"/>
      <c r="Q123" s="205"/>
      <c r="R123" s="205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</row>
    <row r="124">
      <c r="A124" s="122"/>
      <c r="B124" s="204"/>
      <c r="C124" s="204"/>
      <c r="D124" s="204"/>
      <c r="E124" s="205"/>
      <c r="F124" s="205"/>
      <c r="G124" s="205"/>
      <c r="H124" s="206"/>
      <c r="I124" s="207"/>
      <c r="J124" s="207"/>
      <c r="K124" s="207"/>
      <c r="L124" s="122"/>
      <c r="M124" s="207"/>
      <c r="N124" s="207"/>
      <c r="O124" s="122"/>
      <c r="P124" s="205"/>
      <c r="Q124" s="205"/>
      <c r="R124" s="205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</row>
    <row r="125">
      <c r="A125" s="122"/>
      <c r="B125" s="204"/>
      <c r="C125" s="204"/>
      <c r="D125" s="204"/>
      <c r="E125" s="205"/>
      <c r="F125" s="205"/>
      <c r="G125" s="205"/>
      <c r="H125" s="206"/>
      <c r="I125" s="207"/>
      <c r="J125" s="207"/>
      <c r="K125" s="207"/>
      <c r="L125" s="122"/>
      <c r="M125" s="207"/>
      <c r="N125" s="207"/>
      <c r="O125" s="122"/>
      <c r="P125" s="205"/>
      <c r="Q125" s="205"/>
      <c r="R125" s="205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</row>
    <row r="126">
      <c r="A126" s="122"/>
      <c r="B126" s="204"/>
      <c r="C126" s="204"/>
      <c r="D126" s="204"/>
      <c r="E126" s="205"/>
      <c r="F126" s="205"/>
      <c r="G126" s="205"/>
      <c r="H126" s="206"/>
      <c r="I126" s="207"/>
      <c r="J126" s="207"/>
      <c r="K126" s="207"/>
      <c r="L126" s="122"/>
      <c r="M126" s="207"/>
      <c r="N126" s="207"/>
      <c r="O126" s="122"/>
      <c r="P126" s="205"/>
      <c r="Q126" s="205"/>
      <c r="R126" s="205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</row>
    <row r="127">
      <c r="A127" s="122"/>
      <c r="B127" s="204"/>
      <c r="C127" s="204"/>
      <c r="D127" s="204"/>
      <c r="E127" s="205"/>
      <c r="F127" s="205"/>
      <c r="G127" s="205"/>
      <c r="H127" s="206"/>
      <c r="I127" s="207"/>
      <c r="J127" s="207"/>
      <c r="K127" s="207"/>
      <c r="L127" s="122"/>
      <c r="M127" s="207"/>
      <c r="N127" s="207"/>
      <c r="O127" s="122"/>
      <c r="P127" s="205"/>
      <c r="Q127" s="205"/>
      <c r="R127" s="205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</row>
    <row r="128">
      <c r="A128" s="122"/>
      <c r="B128" s="204"/>
      <c r="C128" s="204"/>
      <c r="D128" s="204"/>
      <c r="E128" s="205"/>
      <c r="F128" s="205"/>
      <c r="G128" s="205"/>
      <c r="H128" s="206"/>
      <c r="I128" s="207"/>
      <c r="J128" s="207"/>
      <c r="K128" s="207"/>
      <c r="L128" s="122"/>
      <c r="M128" s="207"/>
      <c r="N128" s="207"/>
      <c r="O128" s="122"/>
      <c r="P128" s="205"/>
      <c r="Q128" s="205"/>
      <c r="R128" s="205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</row>
    <row r="129">
      <c r="A129" s="122"/>
      <c r="B129" s="204"/>
      <c r="C129" s="204"/>
      <c r="D129" s="204"/>
      <c r="E129" s="205"/>
      <c r="F129" s="205"/>
      <c r="G129" s="205"/>
      <c r="H129" s="206"/>
      <c r="I129" s="207"/>
      <c r="J129" s="207"/>
      <c r="K129" s="207"/>
      <c r="L129" s="122"/>
      <c r="M129" s="207"/>
      <c r="N129" s="207"/>
      <c r="O129" s="122"/>
      <c r="P129" s="205"/>
      <c r="Q129" s="205"/>
      <c r="R129" s="205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</row>
    <row r="130">
      <c r="A130" s="122"/>
      <c r="B130" s="204"/>
      <c r="C130" s="204"/>
      <c r="D130" s="204"/>
      <c r="E130" s="205"/>
      <c r="F130" s="205"/>
      <c r="G130" s="205"/>
      <c r="H130" s="206"/>
      <c r="I130" s="207"/>
      <c r="J130" s="207"/>
      <c r="K130" s="207"/>
      <c r="L130" s="122"/>
      <c r="M130" s="207"/>
      <c r="N130" s="207"/>
      <c r="O130" s="122"/>
      <c r="P130" s="205"/>
      <c r="Q130" s="205"/>
      <c r="R130" s="205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</row>
    <row r="131">
      <c r="A131" s="122"/>
      <c r="B131" s="204"/>
      <c r="C131" s="204"/>
      <c r="D131" s="204"/>
      <c r="E131" s="205"/>
      <c r="F131" s="205"/>
      <c r="G131" s="205"/>
      <c r="H131" s="206"/>
      <c r="I131" s="207"/>
      <c r="J131" s="207"/>
      <c r="K131" s="207"/>
      <c r="L131" s="122"/>
      <c r="M131" s="207"/>
      <c r="N131" s="207"/>
      <c r="O131" s="122"/>
      <c r="P131" s="205"/>
      <c r="Q131" s="205"/>
      <c r="R131" s="205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</row>
    <row r="132">
      <c r="A132" s="122"/>
      <c r="B132" s="204"/>
      <c r="C132" s="204"/>
      <c r="D132" s="204"/>
      <c r="E132" s="205"/>
      <c r="F132" s="205"/>
      <c r="G132" s="205"/>
      <c r="H132" s="206"/>
      <c r="I132" s="207"/>
      <c r="J132" s="207"/>
      <c r="K132" s="207"/>
      <c r="L132" s="122"/>
      <c r="M132" s="207"/>
      <c r="N132" s="207"/>
      <c r="O132" s="122"/>
      <c r="P132" s="205"/>
      <c r="Q132" s="205"/>
      <c r="R132" s="205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</row>
    <row r="133">
      <c r="A133" s="122"/>
      <c r="B133" s="204"/>
      <c r="C133" s="204"/>
      <c r="D133" s="204"/>
      <c r="E133" s="205"/>
      <c r="F133" s="205"/>
      <c r="G133" s="205"/>
      <c r="H133" s="206"/>
      <c r="I133" s="207"/>
      <c r="J133" s="207"/>
      <c r="K133" s="207"/>
      <c r="L133" s="122"/>
      <c r="M133" s="207"/>
      <c r="N133" s="207"/>
      <c r="O133" s="122"/>
      <c r="P133" s="205"/>
      <c r="Q133" s="205"/>
      <c r="R133" s="205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</row>
    <row r="134">
      <c r="A134" s="122"/>
      <c r="B134" s="204"/>
      <c r="C134" s="204"/>
      <c r="D134" s="204"/>
      <c r="E134" s="205"/>
      <c r="F134" s="205"/>
      <c r="G134" s="205"/>
      <c r="H134" s="206"/>
      <c r="I134" s="207"/>
      <c r="J134" s="207"/>
      <c r="K134" s="207"/>
      <c r="L134" s="122"/>
      <c r="M134" s="207"/>
      <c r="N134" s="207"/>
      <c r="O134" s="122"/>
      <c r="P134" s="205"/>
      <c r="Q134" s="205"/>
      <c r="R134" s="205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</row>
    <row r="135">
      <c r="A135" s="122"/>
      <c r="B135" s="204"/>
      <c r="C135" s="204"/>
      <c r="D135" s="204"/>
      <c r="E135" s="205"/>
      <c r="F135" s="205"/>
      <c r="G135" s="205"/>
      <c r="H135" s="206"/>
      <c r="I135" s="207"/>
      <c r="J135" s="207"/>
      <c r="K135" s="207"/>
      <c r="L135" s="122"/>
      <c r="M135" s="207"/>
      <c r="N135" s="207"/>
      <c r="O135" s="122"/>
      <c r="P135" s="205"/>
      <c r="Q135" s="205"/>
      <c r="R135" s="205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</row>
    <row r="136">
      <c r="A136" s="122"/>
      <c r="B136" s="204"/>
      <c r="C136" s="204"/>
      <c r="D136" s="204"/>
      <c r="E136" s="205"/>
      <c r="F136" s="205"/>
      <c r="G136" s="205"/>
      <c r="H136" s="206"/>
      <c r="I136" s="207"/>
      <c r="J136" s="207"/>
      <c r="K136" s="207"/>
      <c r="L136" s="122"/>
      <c r="M136" s="207"/>
      <c r="N136" s="207"/>
      <c r="O136" s="122"/>
      <c r="P136" s="205"/>
      <c r="Q136" s="205"/>
      <c r="R136" s="205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</row>
    <row r="137">
      <c r="A137" s="122"/>
      <c r="B137" s="204"/>
      <c r="C137" s="204"/>
      <c r="D137" s="204"/>
      <c r="E137" s="205"/>
      <c r="F137" s="205"/>
      <c r="G137" s="205"/>
      <c r="H137" s="206"/>
      <c r="I137" s="207"/>
      <c r="J137" s="207"/>
      <c r="K137" s="207"/>
      <c r="L137" s="122"/>
      <c r="M137" s="207"/>
      <c r="N137" s="207"/>
      <c r="O137" s="122"/>
      <c r="P137" s="205"/>
      <c r="Q137" s="205"/>
      <c r="R137" s="205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</row>
    <row r="138">
      <c r="A138" s="122"/>
      <c r="B138" s="204"/>
      <c r="C138" s="204"/>
      <c r="D138" s="204"/>
      <c r="E138" s="205"/>
      <c r="F138" s="205"/>
      <c r="G138" s="205"/>
      <c r="H138" s="206"/>
      <c r="I138" s="207"/>
      <c r="J138" s="207"/>
      <c r="K138" s="207"/>
      <c r="L138" s="122"/>
      <c r="M138" s="207"/>
      <c r="N138" s="207"/>
      <c r="O138" s="122"/>
      <c r="P138" s="205"/>
      <c r="Q138" s="205"/>
      <c r="R138" s="205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</row>
    <row r="139">
      <c r="A139" s="122"/>
      <c r="B139" s="204"/>
      <c r="C139" s="204"/>
      <c r="D139" s="204"/>
      <c r="E139" s="205"/>
      <c r="F139" s="205"/>
      <c r="G139" s="205"/>
      <c r="H139" s="206"/>
      <c r="I139" s="207"/>
      <c r="J139" s="207"/>
      <c r="K139" s="207"/>
      <c r="L139" s="122"/>
      <c r="M139" s="207"/>
      <c r="N139" s="207"/>
      <c r="O139" s="122"/>
      <c r="P139" s="205"/>
      <c r="Q139" s="205"/>
      <c r="R139" s="205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</row>
    <row r="140">
      <c r="A140" s="122"/>
      <c r="B140" s="204"/>
      <c r="C140" s="204"/>
      <c r="D140" s="204"/>
      <c r="E140" s="205"/>
      <c r="F140" s="205"/>
      <c r="G140" s="205"/>
      <c r="H140" s="206"/>
      <c r="I140" s="207"/>
      <c r="J140" s="207"/>
      <c r="K140" s="207"/>
      <c r="L140" s="122"/>
      <c r="M140" s="207"/>
      <c r="N140" s="207"/>
      <c r="O140" s="122"/>
      <c r="P140" s="205"/>
      <c r="Q140" s="205"/>
      <c r="R140" s="205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</row>
    <row r="141">
      <c r="A141" s="122"/>
      <c r="B141" s="204"/>
      <c r="C141" s="204"/>
      <c r="D141" s="204"/>
      <c r="E141" s="205"/>
      <c r="F141" s="205"/>
      <c r="G141" s="205"/>
      <c r="H141" s="206"/>
      <c r="I141" s="207"/>
      <c r="J141" s="207"/>
      <c r="K141" s="207"/>
      <c r="L141" s="122"/>
      <c r="M141" s="207"/>
      <c r="N141" s="207"/>
      <c r="O141" s="122"/>
      <c r="P141" s="205"/>
      <c r="Q141" s="205"/>
      <c r="R141" s="205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</row>
    <row r="142">
      <c r="A142" s="122"/>
      <c r="B142" s="204"/>
      <c r="C142" s="204"/>
      <c r="D142" s="204"/>
      <c r="E142" s="205"/>
      <c r="F142" s="205"/>
      <c r="G142" s="205"/>
      <c r="H142" s="206"/>
      <c r="I142" s="207"/>
      <c r="J142" s="207"/>
      <c r="K142" s="207"/>
      <c r="L142" s="122"/>
      <c r="M142" s="207"/>
      <c r="N142" s="207"/>
      <c r="O142" s="122"/>
      <c r="P142" s="205"/>
      <c r="Q142" s="205"/>
      <c r="R142" s="205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</row>
    <row r="143">
      <c r="A143" s="122"/>
      <c r="B143" s="204"/>
      <c r="C143" s="204"/>
      <c r="D143" s="204"/>
      <c r="E143" s="205"/>
      <c r="F143" s="205"/>
      <c r="G143" s="205"/>
      <c r="H143" s="206"/>
      <c r="I143" s="207"/>
      <c r="J143" s="207"/>
      <c r="K143" s="207"/>
      <c r="L143" s="122"/>
      <c r="M143" s="207"/>
      <c r="N143" s="207"/>
      <c r="O143" s="122"/>
      <c r="P143" s="205"/>
      <c r="Q143" s="205"/>
      <c r="R143" s="205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</row>
    <row r="144">
      <c r="A144" s="122"/>
      <c r="B144" s="204"/>
      <c r="C144" s="204"/>
      <c r="D144" s="204"/>
      <c r="E144" s="205"/>
      <c r="F144" s="205"/>
      <c r="G144" s="205"/>
      <c r="H144" s="206"/>
      <c r="I144" s="207"/>
      <c r="J144" s="207"/>
      <c r="K144" s="207"/>
      <c r="L144" s="122"/>
      <c r="M144" s="207"/>
      <c r="N144" s="207"/>
      <c r="O144" s="122"/>
      <c r="P144" s="205"/>
      <c r="Q144" s="205"/>
      <c r="R144" s="205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</row>
    <row r="145">
      <c r="A145" s="122"/>
      <c r="B145" s="204"/>
      <c r="C145" s="204"/>
      <c r="D145" s="204"/>
      <c r="E145" s="205"/>
      <c r="F145" s="205"/>
      <c r="G145" s="205"/>
      <c r="H145" s="206"/>
      <c r="I145" s="207"/>
      <c r="J145" s="207"/>
      <c r="K145" s="207"/>
      <c r="L145" s="122"/>
      <c r="M145" s="207"/>
      <c r="N145" s="207"/>
      <c r="O145" s="122"/>
      <c r="P145" s="205"/>
      <c r="Q145" s="205"/>
      <c r="R145" s="205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</row>
    <row r="146">
      <c r="A146" s="122"/>
      <c r="B146" s="204"/>
      <c r="C146" s="204"/>
      <c r="D146" s="204"/>
      <c r="E146" s="205"/>
      <c r="F146" s="205"/>
      <c r="G146" s="205"/>
      <c r="H146" s="206"/>
      <c r="I146" s="207"/>
      <c r="J146" s="207"/>
      <c r="K146" s="207"/>
      <c r="L146" s="122"/>
      <c r="M146" s="207"/>
      <c r="N146" s="207"/>
      <c r="O146" s="122"/>
      <c r="P146" s="205"/>
      <c r="Q146" s="205"/>
      <c r="R146" s="205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</row>
    <row r="147">
      <c r="A147" s="122"/>
      <c r="B147" s="204"/>
      <c r="C147" s="204"/>
      <c r="D147" s="204"/>
      <c r="E147" s="205"/>
      <c r="F147" s="205"/>
      <c r="G147" s="205"/>
      <c r="H147" s="206"/>
      <c r="I147" s="207"/>
      <c r="J147" s="207"/>
      <c r="K147" s="207"/>
      <c r="L147" s="122"/>
      <c r="M147" s="207"/>
      <c r="N147" s="207"/>
      <c r="O147" s="122"/>
      <c r="P147" s="205"/>
      <c r="Q147" s="205"/>
      <c r="R147" s="205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</row>
    <row r="148">
      <c r="A148" s="122"/>
      <c r="B148" s="204"/>
      <c r="C148" s="204"/>
      <c r="D148" s="204"/>
      <c r="E148" s="205"/>
      <c r="F148" s="205"/>
      <c r="G148" s="205"/>
      <c r="H148" s="206"/>
      <c r="I148" s="207"/>
      <c r="J148" s="207"/>
      <c r="K148" s="207"/>
      <c r="L148" s="122"/>
      <c r="M148" s="207"/>
      <c r="N148" s="207"/>
      <c r="O148" s="122"/>
      <c r="P148" s="205"/>
      <c r="Q148" s="205"/>
      <c r="R148" s="205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</row>
    <row r="149">
      <c r="A149" s="122"/>
      <c r="B149" s="204"/>
      <c r="C149" s="204"/>
      <c r="D149" s="204"/>
      <c r="E149" s="205"/>
      <c r="F149" s="205"/>
      <c r="G149" s="205"/>
      <c r="H149" s="206"/>
      <c r="I149" s="207"/>
      <c r="J149" s="207"/>
      <c r="K149" s="207"/>
      <c r="L149" s="122"/>
      <c r="M149" s="207"/>
      <c r="N149" s="207"/>
      <c r="O149" s="122"/>
      <c r="P149" s="205"/>
      <c r="Q149" s="205"/>
      <c r="R149" s="205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</row>
    <row r="150">
      <c r="A150" s="122"/>
      <c r="B150" s="204"/>
      <c r="C150" s="204"/>
      <c r="D150" s="204"/>
      <c r="E150" s="205"/>
      <c r="F150" s="205"/>
      <c r="G150" s="205"/>
      <c r="H150" s="206"/>
      <c r="I150" s="207"/>
      <c r="J150" s="207"/>
      <c r="K150" s="207"/>
      <c r="L150" s="122"/>
      <c r="M150" s="207"/>
      <c r="N150" s="207"/>
      <c r="O150" s="122"/>
      <c r="P150" s="205"/>
      <c r="Q150" s="205"/>
      <c r="R150" s="205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</row>
    <row r="151">
      <c r="A151" s="122"/>
      <c r="B151" s="204"/>
      <c r="C151" s="204"/>
      <c r="D151" s="204"/>
      <c r="E151" s="205"/>
      <c r="F151" s="205"/>
      <c r="G151" s="205"/>
      <c r="H151" s="206"/>
      <c r="I151" s="207"/>
      <c r="J151" s="207"/>
      <c r="K151" s="207"/>
      <c r="L151" s="122"/>
      <c r="M151" s="207"/>
      <c r="N151" s="207"/>
      <c r="O151" s="122"/>
      <c r="P151" s="205"/>
      <c r="Q151" s="205"/>
      <c r="R151" s="205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</row>
    <row r="152">
      <c r="A152" s="122"/>
      <c r="B152" s="204"/>
      <c r="C152" s="204"/>
      <c r="D152" s="204"/>
      <c r="E152" s="205"/>
      <c r="F152" s="205"/>
      <c r="G152" s="205"/>
      <c r="H152" s="206"/>
      <c r="I152" s="207"/>
      <c r="J152" s="207"/>
      <c r="K152" s="207"/>
      <c r="L152" s="122"/>
      <c r="M152" s="207"/>
      <c r="N152" s="207"/>
      <c r="O152" s="122"/>
      <c r="P152" s="205"/>
      <c r="Q152" s="205"/>
      <c r="R152" s="205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</row>
    <row r="153">
      <c r="A153" s="122"/>
      <c r="B153" s="204"/>
      <c r="C153" s="204"/>
      <c r="D153" s="204"/>
      <c r="E153" s="205"/>
      <c r="F153" s="205"/>
      <c r="G153" s="205"/>
      <c r="H153" s="206"/>
      <c r="I153" s="207"/>
      <c r="J153" s="207"/>
      <c r="K153" s="207"/>
      <c r="L153" s="122"/>
      <c r="M153" s="207"/>
      <c r="N153" s="207"/>
      <c r="O153" s="122"/>
      <c r="P153" s="205"/>
      <c r="Q153" s="205"/>
      <c r="R153" s="205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</row>
    <row r="154">
      <c r="A154" s="122"/>
      <c r="B154" s="204"/>
      <c r="C154" s="204"/>
      <c r="D154" s="204"/>
      <c r="E154" s="205"/>
      <c r="F154" s="205"/>
      <c r="G154" s="205"/>
      <c r="H154" s="206"/>
      <c r="I154" s="207"/>
      <c r="J154" s="207"/>
      <c r="K154" s="207"/>
      <c r="L154" s="122"/>
      <c r="M154" s="207"/>
      <c r="N154" s="207"/>
      <c r="O154" s="122"/>
      <c r="P154" s="205"/>
      <c r="Q154" s="205"/>
      <c r="R154" s="205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</row>
    <row r="155">
      <c r="A155" s="122"/>
      <c r="B155" s="204"/>
      <c r="C155" s="204"/>
      <c r="D155" s="204"/>
      <c r="E155" s="205"/>
      <c r="F155" s="205"/>
      <c r="G155" s="205"/>
      <c r="H155" s="206"/>
      <c r="I155" s="207"/>
      <c r="J155" s="207"/>
      <c r="K155" s="207"/>
      <c r="L155" s="122"/>
      <c r="M155" s="207"/>
      <c r="N155" s="207"/>
      <c r="O155" s="122"/>
      <c r="P155" s="205"/>
      <c r="Q155" s="205"/>
      <c r="R155" s="205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</row>
    <row r="156">
      <c r="A156" s="122"/>
      <c r="B156" s="204"/>
      <c r="C156" s="204"/>
      <c r="D156" s="204"/>
      <c r="E156" s="205"/>
      <c r="F156" s="205"/>
      <c r="G156" s="205"/>
      <c r="H156" s="206"/>
      <c r="I156" s="207"/>
      <c r="J156" s="207"/>
      <c r="K156" s="207"/>
      <c r="L156" s="122"/>
      <c r="M156" s="207"/>
      <c r="N156" s="207"/>
      <c r="O156" s="122"/>
      <c r="P156" s="205"/>
      <c r="Q156" s="205"/>
      <c r="R156" s="205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</row>
    <row r="157">
      <c r="A157" s="122"/>
      <c r="B157" s="204"/>
      <c r="C157" s="204"/>
      <c r="D157" s="204"/>
      <c r="E157" s="205"/>
      <c r="F157" s="205"/>
      <c r="G157" s="205"/>
      <c r="H157" s="206"/>
      <c r="I157" s="207"/>
      <c r="J157" s="207"/>
      <c r="K157" s="207"/>
      <c r="L157" s="122"/>
      <c r="M157" s="207"/>
      <c r="N157" s="207"/>
      <c r="O157" s="122"/>
      <c r="P157" s="205"/>
      <c r="Q157" s="205"/>
      <c r="R157" s="205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</row>
    <row r="158">
      <c r="A158" s="122"/>
      <c r="B158" s="204"/>
      <c r="C158" s="204"/>
      <c r="D158" s="204"/>
      <c r="E158" s="205"/>
      <c r="F158" s="205"/>
      <c r="G158" s="205"/>
      <c r="H158" s="206"/>
      <c r="I158" s="207"/>
      <c r="J158" s="207"/>
      <c r="K158" s="207"/>
      <c r="L158" s="122"/>
      <c r="M158" s="207"/>
      <c r="N158" s="207"/>
      <c r="O158" s="122"/>
      <c r="P158" s="205"/>
      <c r="Q158" s="205"/>
      <c r="R158" s="205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</row>
    <row r="159">
      <c r="A159" s="122"/>
      <c r="B159" s="204"/>
      <c r="C159" s="204"/>
      <c r="D159" s="204"/>
      <c r="E159" s="205"/>
      <c r="F159" s="205"/>
      <c r="G159" s="205"/>
      <c r="H159" s="206"/>
      <c r="I159" s="207"/>
      <c r="J159" s="207"/>
      <c r="K159" s="207"/>
      <c r="L159" s="122"/>
      <c r="M159" s="207"/>
      <c r="N159" s="207"/>
      <c r="O159" s="122"/>
      <c r="P159" s="205"/>
      <c r="Q159" s="205"/>
      <c r="R159" s="205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</row>
    <row r="160">
      <c r="A160" s="122"/>
      <c r="B160" s="204"/>
      <c r="C160" s="204"/>
      <c r="D160" s="204"/>
      <c r="E160" s="205"/>
      <c r="F160" s="205"/>
      <c r="G160" s="205"/>
      <c r="H160" s="206"/>
      <c r="I160" s="207"/>
      <c r="J160" s="207"/>
      <c r="K160" s="207"/>
      <c r="L160" s="122"/>
      <c r="M160" s="207"/>
      <c r="N160" s="207"/>
      <c r="O160" s="122"/>
      <c r="P160" s="205"/>
      <c r="Q160" s="205"/>
      <c r="R160" s="205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</row>
    <row r="161">
      <c r="A161" s="122"/>
      <c r="B161" s="204"/>
      <c r="C161" s="204"/>
      <c r="D161" s="204"/>
      <c r="E161" s="205"/>
      <c r="F161" s="205"/>
      <c r="G161" s="205"/>
      <c r="H161" s="206"/>
      <c r="I161" s="207"/>
      <c r="J161" s="207"/>
      <c r="K161" s="207"/>
      <c r="L161" s="122"/>
      <c r="M161" s="207"/>
      <c r="N161" s="207"/>
      <c r="O161" s="122"/>
      <c r="P161" s="205"/>
      <c r="Q161" s="205"/>
      <c r="R161" s="205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</row>
    <row r="162">
      <c r="A162" s="122"/>
      <c r="B162" s="204"/>
      <c r="C162" s="204"/>
      <c r="D162" s="204"/>
      <c r="E162" s="205"/>
      <c r="F162" s="205"/>
      <c r="G162" s="205"/>
      <c r="H162" s="206"/>
      <c r="I162" s="207"/>
      <c r="J162" s="207"/>
      <c r="K162" s="207"/>
      <c r="L162" s="122"/>
      <c r="M162" s="207"/>
      <c r="N162" s="207"/>
      <c r="O162" s="122"/>
      <c r="P162" s="205"/>
      <c r="Q162" s="205"/>
      <c r="R162" s="205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</row>
    <row r="163">
      <c r="A163" s="122"/>
      <c r="B163" s="204"/>
      <c r="C163" s="204"/>
      <c r="D163" s="204"/>
      <c r="E163" s="205"/>
      <c r="F163" s="205"/>
      <c r="G163" s="205"/>
      <c r="H163" s="206"/>
      <c r="I163" s="207"/>
      <c r="J163" s="207"/>
      <c r="K163" s="207"/>
      <c r="L163" s="122"/>
      <c r="M163" s="207"/>
      <c r="N163" s="207"/>
      <c r="O163" s="122"/>
      <c r="P163" s="205"/>
      <c r="Q163" s="205"/>
      <c r="R163" s="205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</row>
    <row r="164">
      <c r="A164" s="122"/>
      <c r="B164" s="204"/>
      <c r="C164" s="204"/>
      <c r="D164" s="204"/>
      <c r="E164" s="205"/>
      <c r="F164" s="205"/>
      <c r="G164" s="205"/>
      <c r="H164" s="206"/>
      <c r="I164" s="207"/>
      <c r="J164" s="207"/>
      <c r="K164" s="207"/>
      <c r="L164" s="122"/>
      <c r="M164" s="207"/>
      <c r="N164" s="207"/>
      <c r="O164" s="122"/>
      <c r="P164" s="205"/>
      <c r="Q164" s="205"/>
      <c r="R164" s="205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</row>
    <row r="165">
      <c r="A165" s="122"/>
      <c r="B165" s="204"/>
      <c r="C165" s="204"/>
      <c r="D165" s="204"/>
      <c r="E165" s="205"/>
      <c r="F165" s="205"/>
      <c r="G165" s="205"/>
      <c r="H165" s="206"/>
      <c r="I165" s="207"/>
      <c r="J165" s="207"/>
      <c r="K165" s="207"/>
      <c r="L165" s="122"/>
      <c r="M165" s="207"/>
      <c r="N165" s="207"/>
      <c r="O165" s="122"/>
      <c r="P165" s="205"/>
      <c r="Q165" s="205"/>
      <c r="R165" s="205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</row>
    <row r="166">
      <c r="A166" s="122"/>
      <c r="B166" s="204"/>
      <c r="C166" s="204"/>
      <c r="D166" s="204"/>
      <c r="E166" s="205"/>
      <c r="F166" s="205"/>
      <c r="G166" s="205"/>
      <c r="H166" s="206"/>
      <c r="I166" s="207"/>
      <c r="J166" s="207"/>
      <c r="K166" s="207"/>
      <c r="L166" s="122"/>
      <c r="M166" s="207"/>
      <c r="N166" s="207"/>
      <c r="O166" s="122"/>
      <c r="P166" s="205"/>
      <c r="Q166" s="205"/>
      <c r="R166" s="205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</row>
    <row r="167">
      <c r="A167" s="122"/>
      <c r="B167" s="204"/>
      <c r="C167" s="204"/>
      <c r="D167" s="204"/>
      <c r="E167" s="205"/>
      <c r="F167" s="205"/>
      <c r="G167" s="205"/>
      <c r="H167" s="206"/>
      <c r="I167" s="207"/>
      <c r="J167" s="207"/>
      <c r="K167" s="207"/>
      <c r="L167" s="122"/>
      <c r="M167" s="207"/>
      <c r="N167" s="207"/>
      <c r="O167" s="122"/>
      <c r="P167" s="205"/>
      <c r="Q167" s="205"/>
      <c r="R167" s="205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</row>
    <row r="168">
      <c r="A168" s="122"/>
      <c r="B168" s="204"/>
      <c r="C168" s="204"/>
      <c r="D168" s="204"/>
      <c r="E168" s="205"/>
      <c r="F168" s="205"/>
      <c r="G168" s="205"/>
      <c r="H168" s="206"/>
      <c r="I168" s="207"/>
      <c r="J168" s="207"/>
      <c r="K168" s="207"/>
      <c r="L168" s="122"/>
      <c r="M168" s="207"/>
      <c r="N168" s="207"/>
      <c r="O168" s="122"/>
      <c r="P168" s="205"/>
      <c r="Q168" s="205"/>
      <c r="R168" s="205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</row>
    <row r="169">
      <c r="A169" s="122"/>
      <c r="B169" s="204"/>
      <c r="C169" s="204"/>
      <c r="D169" s="204"/>
      <c r="E169" s="205"/>
      <c r="F169" s="205"/>
      <c r="G169" s="205"/>
      <c r="H169" s="206"/>
      <c r="I169" s="207"/>
      <c r="J169" s="207"/>
      <c r="K169" s="207"/>
      <c r="L169" s="122"/>
      <c r="M169" s="207"/>
      <c r="N169" s="207"/>
      <c r="O169" s="122"/>
      <c r="P169" s="205"/>
      <c r="Q169" s="205"/>
      <c r="R169" s="205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</row>
    <row r="170">
      <c r="A170" s="122"/>
      <c r="B170" s="204"/>
      <c r="C170" s="204"/>
      <c r="D170" s="204"/>
      <c r="E170" s="205"/>
      <c r="F170" s="205"/>
      <c r="G170" s="205"/>
      <c r="H170" s="206"/>
      <c r="I170" s="207"/>
      <c r="J170" s="207"/>
      <c r="K170" s="207"/>
      <c r="L170" s="122"/>
      <c r="M170" s="207"/>
      <c r="N170" s="207"/>
      <c r="O170" s="122"/>
      <c r="P170" s="205"/>
      <c r="Q170" s="205"/>
      <c r="R170" s="205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</row>
    <row r="171">
      <c r="A171" s="122"/>
      <c r="B171" s="204"/>
      <c r="C171" s="204"/>
      <c r="D171" s="204"/>
      <c r="E171" s="205"/>
      <c r="F171" s="205"/>
      <c r="G171" s="205"/>
      <c r="H171" s="206"/>
      <c r="I171" s="207"/>
      <c r="J171" s="207"/>
      <c r="K171" s="207"/>
      <c r="L171" s="122"/>
      <c r="M171" s="207"/>
      <c r="N171" s="207"/>
      <c r="O171" s="122"/>
      <c r="P171" s="205"/>
      <c r="Q171" s="205"/>
      <c r="R171" s="205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</row>
    <row r="172">
      <c r="A172" s="122"/>
      <c r="B172" s="204"/>
      <c r="C172" s="204"/>
      <c r="D172" s="204"/>
      <c r="E172" s="205"/>
      <c r="F172" s="205"/>
      <c r="G172" s="205"/>
      <c r="H172" s="206"/>
      <c r="I172" s="207"/>
      <c r="J172" s="207"/>
      <c r="K172" s="207"/>
      <c r="L172" s="122"/>
      <c r="M172" s="207"/>
      <c r="N172" s="207"/>
      <c r="O172" s="122"/>
      <c r="P172" s="205"/>
      <c r="Q172" s="205"/>
      <c r="R172" s="205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</row>
    <row r="173">
      <c r="A173" s="122"/>
      <c r="B173" s="204"/>
      <c r="C173" s="204"/>
      <c r="D173" s="204"/>
      <c r="E173" s="205"/>
      <c r="F173" s="205"/>
      <c r="G173" s="205"/>
      <c r="H173" s="206"/>
      <c r="I173" s="207"/>
      <c r="J173" s="207"/>
      <c r="K173" s="207"/>
      <c r="L173" s="122"/>
      <c r="M173" s="207"/>
      <c r="N173" s="207"/>
      <c r="O173" s="122"/>
      <c r="P173" s="205"/>
      <c r="Q173" s="205"/>
      <c r="R173" s="205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</row>
    <row r="174">
      <c r="A174" s="122"/>
      <c r="B174" s="204"/>
      <c r="C174" s="204"/>
      <c r="D174" s="204"/>
      <c r="E174" s="205"/>
      <c r="F174" s="205"/>
      <c r="G174" s="205"/>
      <c r="H174" s="206"/>
      <c r="I174" s="207"/>
      <c r="J174" s="207"/>
      <c r="K174" s="207"/>
      <c r="L174" s="122"/>
      <c r="M174" s="207"/>
      <c r="N174" s="207"/>
      <c r="O174" s="122"/>
      <c r="P174" s="205"/>
      <c r="Q174" s="205"/>
      <c r="R174" s="205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</row>
    <row r="175">
      <c r="A175" s="122"/>
      <c r="B175" s="204"/>
      <c r="C175" s="204"/>
      <c r="D175" s="204"/>
      <c r="E175" s="205"/>
      <c r="F175" s="205"/>
      <c r="G175" s="205"/>
      <c r="H175" s="206"/>
      <c r="I175" s="207"/>
      <c r="J175" s="207"/>
      <c r="K175" s="207"/>
      <c r="L175" s="122"/>
      <c r="M175" s="207"/>
      <c r="N175" s="207"/>
      <c r="O175" s="122"/>
      <c r="P175" s="205"/>
      <c r="Q175" s="205"/>
      <c r="R175" s="205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</row>
    <row r="176">
      <c r="A176" s="122"/>
      <c r="B176" s="204"/>
      <c r="C176" s="204"/>
      <c r="D176" s="204"/>
      <c r="E176" s="205"/>
      <c r="F176" s="205"/>
      <c r="G176" s="205"/>
      <c r="H176" s="206"/>
      <c r="I176" s="207"/>
      <c r="J176" s="207"/>
      <c r="K176" s="207"/>
      <c r="L176" s="122"/>
      <c r="M176" s="207"/>
      <c r="N176" s="207"/>
      <c r="O176" s="122"/>
      <c r="P176" s="205"/>
      <c r="Q176" s="205"/>
      <c r="R176" s="205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</row>
    <row r="177">
      <c r="A177" s="122"/>
      <c r="B177" s="204"/>
      <c r="C177" s="204"/>
      <c r="D177" s="204"/>
      <c r="E177" s="205"/>
      <c r="F177" s="205"/>
      <c r="G177" s="205"/>
      <c r="H177" s="206"/>
      <c r="I177" s="207"/>
      <c r="J177" s="207"/>
      <c r="K177" s="207"/>
      <c r="L177" s="122"/>
      <c r="M177" s="207"/>
      <c r="N177" s="207"/>
      <c r="O177" s="122"/>
      <c r="P177" s="205"/>
      <c r="Q177" s="205"/>
      <c r="R177" s="205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</row>
    <row r="178">
      <c r="A178" s="122"/>
      <c r="B178" s="204"/>
      <c r="C178" s="204"/>
      <c r="D178" s="204"/>
      <c r="E178" s="205"/>
      <c r="F178" s="205"/>
      <c r="G178" s="205"/>
      <c r="H178" s="206"/>
      <c r="I178" s="207"/>
      <c r="J178" s="207"/>
      <c r="K178" s="207"/>
      <c r="L178" s="122"/>
      <c r="M178" s="207"/>
      <c r="N178" s="207"/>
      <c r="O178" s="122"/>
      <c r="P178" s="205"/>
      <c r="Q178" s="205"/>
      <c r="R178" s="205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</row>
    <row r="179">
      <c r="A179" s="122"/>
      <c r="B179" s="204"/>
      <c r="C179" s="204"/>
      <c r="D179" s="204"/>
      <c r="E179" s="205"/>
      <c r="F179" s="205"/>
      <c r="G179" s="205"/>
      <c r="H179" s="206"/>
      <c r="I179" s="207"/>
      <c r="J179" s="207"/>
      <c r="K179" s="207"/>
      <c r="L179" s="122"/>
      <c r="M179" s="207"/>
      <c r="N179" s="207"/>
      <c r="O179" s="122"/>
      <c r="P179" s="205"/>
      <c r="Q179" s="205"/>
      <c r="R179" s="205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</row>
    <row r="180">
      <c r="A180" s="122"/>
      <c r="B180" s="204"/>
      <c r="C180" s="204"/>
      <c r="D180" s="204"/>
      <c r="E180" s="205"/>
      <c r="F180" s="205"/>
      <c r="G180" s="205"/>
      <c r="H180" s="206"/>
      <c r="I180" s="207"/>
      <c r="J180" s="207"/>
      <c r="K180" s="207"/>
      <c r="L180" s="122"/>
      <c r="M180" s="207"/>
      <c r="N180" s="207"/>
      <c r="O180" s="122"/>
      <c r="P180" s="205"/>
      <c r="Q180" s="205"/>
      <c r="R180" s="205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</row>
    <row r="181">
      <c r="A181" s="122"/>
      <c r="B181" s="204"/>
      <c r="C181" s="204"/>
      <c r="D181" s="204"/>
      <c r="E181" s="205"/>
      <c r="F181" s="205"/>
      <c r="G181" s="205"/>
      <c r="H181" s="206"/>
      <c r="I181" s="207"/>
      <c r="J181" s="207"/>
      <c r="K181" s="207"/>
      <c r="L181" s="122"/>
      <c r="M181" s="207"/>
      <c r="N181" s="207"/>
      <c r="O181" s="122"/>
      <c r="P181" s="205"/>
      <c r="Q181" s="205"/>
      <c r="R181" s="205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</row>
    <row r="182">
      <c r="A182" s="122"/>
      <c r="B182" s="204"/>
      <c r="C182" s="204"/>
      <c r="D182" s="204"/>
      <c r="E182" s="205"/>
      <c r="F182" s="205"/>
      <c r="G182" s="205"/>
      <c r="H182" s="206"/>
      <c r="I182" s="207"/>
      <c r="J182" s="207"/>
      <c r="K182" s="207"/>
      <c r="L182" s="122"/>
      <c r="M182" s="207"/>
      <c r="N182" s="207"/>
      <c r="O182" s="122"/>
      <c r="P182" s="205"/>
      <c r="Q182" s="205"/>
      <c r="R182" s="205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</row>
    <row r="183">
      <c r="A183" s="122"/>
      <c r="B183" s="204"/>
      <c r="C183" s="204"/>
      <c r="D183" s="204"/>
      <c r="E183" s="205"/>
      <c r="F183" s="205"/>
      <c r="G183" s="205"/>
      <c r="H183" s="206"/>
      <c r="I183" s="207"/>
      <c r="J183" s="207"/>
      <c r="K183" s="207"/>
      <c r="L183" s="122"/>
      <c r="M183" s="207"/>
      <c r="N183" s="207"/>
      <c r="O183" s="122"/>
      <c r="P183" s="205"/>
      <c r="Q183" s="205"/>
      <c r="R183" s="205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</row>
    <row r="184">
      <c r="A184" s="122"/>
      <c r="B184" s="204"/>
      <c r="C184" s="204"/>
      <c r="D184" s="204"/>
      <c r="E184" s="205"/>
      <c r="F184" s="205"/>
      <c r="G184" s="205"/>
      <c r="H184" s="206"/>
      <c r="I184" s="207"/>
      <c r="J184" s="207"/>
      <c r="K184" s="207"/>
      <c r="L184" s="122"/>
      <c r="M184" s="207"/>
      <c r="N184" s="207"/>
      <c r="O184" s="122"/>
      <c r="P184" s="205"/>
      <c r="Q184" s="205"/>
      <c r="R184" s="205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</row>
    <row r="185">
      <c r="A185" s="122"/>
      <c r="B185" s="204"/>
      <c r="C185" s="204"/>
      <c r="D185" s="204"/>
      <c r="E185" s="205"/>
      <c r="F185" s="205"/>
      <c r="G185" s="205"/>
      <c r="H185" s="206"/>
      <c r="I185" s="207"/>
      <c r="J185" s="207"/>
      <c r="K185" s="207"/>
      <c r="L185" s="122"/>
      <c r="M185" s="207"/>
      <c r="N185" s="207"/>
      <c r="O185" s="122"/>
      <c r="P185" s="205"/>
      <c r="Q185" s="205"/>
      <c r="R185" s="205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</row>
    <row r="186">
      <c r="A186" s="122"/>
      <c r="B186" s="204"/>
      <c r="C186" s="204"/>
      <c r="D186" s="204"/>
      <c r="E186" s="205"/>
      <c r="F186" s="205"/>
      <c r="G186" s="205"/>
      <c r="H186" s="206"/>
      <c r="I186" s="207"/>
      <c r="J186" s="207"/>
      <c r="K186" s="207"/>
      <c r="L186" s="122"/>
      <c r="M186" s="207"/>
      <c r="N186" s="207"/>
      <c r="O186" s="122"/>
      <c r="P186" s="205"/>
      <c r="Q186" s="205"/>
      <c r="R186" s="205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</row>
    <row r="187">
      <c r="A187" s="122"/>
      <c r="B187" s="204"/>
      <c r="C187" s="204"/>
      <c r="D187" s="204"/>
      <c r="E187" s="205"/>
      <c r="F187" s="205"/>
      <c r="G187" s="205"/>
      <c r="H187" s="206"/>
      <c r="I187" s="207"/>
      <c r="J187" s="207"/>
      <c r="K187" s="207"/>
      <c r="L187" s="122"/>
      <c r="M187" s="207"/>
      <c r="N187" s="207"/>
      <c r="O187" s="122"/>
      <c r="P187" s="205"/>
      <c r="Q187" s="205"/>
      <c r="R187" s="205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</row>
    <row r="188">
      <c r="A188" s="122"/>
      <c r="B188" s="204"/>
      <c r="C188" s="204"/>
      <c r="D188" s="204"/>
      <c r="E188" s="205"/>
      <c r="F188" s="205"/>
      <c r="G188" s="205"/>
      <c r="H188" s="206"/>
      <c r="I188" s="207"/>
      <c r="J188" s="207"/>
      <c r="K188" s="207"/>
      <c r="L188" s="122"/>
      <c r="M188" s="207"/>
      <c r="N188" s="207"/>
      <c r="O188" s="122"/>
      <c r="P188" s="205"/>
      <c r="Q188" s="205"/>
      <c r="R188" s="205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</row>
    <row r="189">
      <c r="A189" s="122"/>
      <c r="B189" s="204"/>
      <c r="C189" s="204"/>
      <c r="D189" s="204"/>
      <c r="E189" s="205"/>
      <c r="F189" s="205"/>
      <c r="G189" s="205"/>
      <c r="H189" s="206"/>
      <c r="I189" s="207"/>
      <c r="J189" s="207"/>
      <c r="K189" s="207"/>
      <c r="L189" s="122"/>
      <c r="M189" s="207"/>
      <c r="N189" s="207"/>
      <c r="O189" s="122"/>
      <c r="P189" s="205"/>
      <c r="Q189" s="205"/>
      <c r="R189" s="205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</row>
    <row r="190">
      <c r="A190" s="122"/>
      <c r="B190" s="204"/>
      <c r="C190" s="204"/>
      <c r="D190" s="204"/>
      <c r="E190" s="205"/>
      <c r="F190" s="205"/>
      <c r="G190" s="205"/>
      <c r="H190" s="206"/>
      <c r="I190" s="207"/>
      <c r="J190" s="207"/>
      <c r="K190" s="207"/>
      <c r="L190" s="122"/>
      <c r="M190" s="207"/>
      <c r="N190" s="207"/>
      <c r="O190" s="122"/>
      <c r="P190" s="205"/>
      <c r="Q190" s="205"/>
      <c r="R190" s="205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</row>
    <row r="191">
      <c r="A191" s="122"/>
      <c r="B191" s="204"/>
      <c r="C191" s="204"/>
      <c r="D191" s="204"/>
      <c r="E191" s="205"/>
      <c r="F191" s="205"/>
      <c r="G191" s="205"/>
      <c r="H191" s="206"/>
      <c r="I191" s="207"/>
      <c r="J191" s="207"/>
      <c r="K191" s="207"/>
      <c r="L191" s="122"/>
      <c r="M191" s="207"/>
      <c r="N191" s="207"/>
      <c r="O191" s="122"/>
      <c r="P191" s="205"/>
      <c r="Q191" s="205"/>
      <c r="R191" s="205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</row>
    <row r="192">
      <c r="A192" s="122"/>
      <c r="B192" s="204"/>
      <c r="C192" s="204"/>
      <c r="D192" s="204"/>
      <c r="E192" s="205"/>
      <c r="F192" s="205"/>
      <c r="G192" s="205"/>
      <c r="H192" s="206"/>
      <c r="I192" s="207"/>
      <c r="J192" s="207"/>
      <c r="K192" s="207"/>
      <c r="L192" s="122"/>
      <c r="M192" s="207"/>
      <c r="N192" s="207"/>
      <c r="O192" s="122"/>
      <c r="P192" s="205"/>
      <c r="Q192" s="205"/>
      <c r="R192" s="205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</row>
    <row r="193">
      <c r="A193" s="122"/>
      <c r="B193" s="204"/>
      <c r="C193" s="204"/>
      <c r="D193" s="204"/>
      <c r="E193" s="205"/>
      <c r="F193" s="205"/>
      <c r="G193" s="205"/>
      <c r="H193" s="206"/>
      <c r="I193" s="207"/>
      <c r="J193" s="207"/>
      <c r="K193" s="207"/>
      <c r="L193" s="122"/>
      <c r="M193" s="207"/>
      <c r="N193" s="207"/>
      <c r="O193" s="122"/>
      <c r="P193" s="205"/>
      <c r="Q193" s="205"/>
      <c r="R193" s="205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</row>
    <row r="194">
      <c r="A194" s="122"/>
      <c r="B194" s="204"/>
      <c r="C194" s="204"/>
      <c r="D194" s="204"/>
      <c r="E194" s="205"/>
      <c r="F194" s="205"/>
      <c r="G194" s="205"/>
      <c r="H194" s="206"/>
      <c r="I194" s="207"/>
      <c r="J194" s="207"/>
      <c r="K194" s="207"/>
      <c r="L194" s="122"/>
      <c r="M194" s="207"/>
      <c r="N194" s="207"/>
      <c r="O194" s="122"/>
      <c r="P194" s="205"/>
      <c r="Q194" s="205"/>
      <c r="R194" s="205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</row>
    <row r="195">
      <c r="A195" s="122"/>
      <c r="B195" s="204"/>
      <c r="C195" s="204"/>
      <c r="D195" s="204"/>
      <c r="E195" s="205"/>
      <c r="F195" s="205"/>
      <c r="G195" s="205"/>
      <c r="H195" s="206"/>
      <c r="I195" s="207"/>
      <c r="J195" s="207"/>
      <c r="K195" s="207"/>
      <c r="L195" s="122"/>
      <c r="M195" s="207"/>
      <c r="N195" s="207"/>
      <c r="O195" s="122"/>
      <c r="P195" s="205"/>
      <c r="Q195" s="205"/>
      <c r="R195" s="205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</row>
    <row r="196">
      <c r="A196" s="122"/>
      <c r="B196" s="204"/>
      <c r="C196" s="204"/>
      <c r="D196" s="204"/>
      <c r="E196" s="205"/>
      <c r="F196" s="205"/>
      <c r="G196" s="205"/>
      <c r="H196" s="206"/>
      <c r="I196" s="207"/>
      <c r="J196" s="207"/>
      <c r="K196" s="207"/>
      <c r="L196" s="122"/>
      <c r="M196" s="207"/>
      <c r="N196" s="207"/>
      <c r="O196" s="122"/>
      <c r="P196" s="205"/>
      <c r="Q196" s="205"/>
      <c r="R196" s="205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</row>
    <row r="197">
      <c r="A197" s="122"/>
      <c r="B197" s="204"/>
      <c r="C197" s="204"/>
      <c r="D197" s="204"/>
      <c r="E197" s="205"/>
      <c r="F197" s="205"/>
      <c r="G197" s="205"/>
      <c r="H197" s="206"/>
      <c r="I197" s="207"/>
      <c r="J197" s="207"/>
      <c r="K197" s="207"/>
      <c r="L197" s="122"/>
      <c r="M197" s="207"/>
      <c r="N197" s="207"/>
      <c r="O197" s="122"/>
      <c r="P197" s="205"/>
      <c r="Q197" s="205"/>
      <c r="R197" s="205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</row>
    <row r="198">
      <c r="A198" s="122"/>
      <c r="B198" s="204"/>
      <c r="C198" s="204"/>
      <c r="D198" s="204"/>
      <c r="E198" s="205"/>
      <c r="F198" s="205"/>
      <c r="G198" s="205"/>
      <c r="H198" s="206"/>
      <c r="I198" s="207"/>
      <c r="J198" s="207"/>
      <c r="K198" s="207"/>
      <c r="L198" s="122"/>
      <c r="M198" s="207"/>
      <c r="N198" s="207"/>
      <c r="O198" s="122"/>
      <c r="P198" s="205"/>
      <c r="Q198" s="205"/>
      <c r="R198" s="205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</row>
    <row r="199">
      <c r="A199" s="122"/>
      <c r="B199" s="204"/>
      <c r="C199" s="204"/>
      <c r="D199" s="204"/>
      <c r="E199" s="205"/>
      <c r="F199" s="205"/>
      <c r="G199" s="205"/>
      <c r="H199" s="206"/>
      <c r="I199" s="207"/>
      <c r="J199" s="207"/>
      <c r="K199" s="207"/>
      <c r="L199" s="122"/>
      <c r="M199" s="207"/>
      <c r="N199" s="207"/>
      <c r="O199" s="122"/>
      <c r="P199" s="205"/>
      <c r="Q199" s="205"/>
      <c r="R199" s="205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</row>
    <row r="200">
      <c r="A200" s="122"/>
      <c r="B200" s="204"/>
      <c r="C200" s="204"/>
      <c r="D200" s="204"/>
      <c r="E200" s="205"/>
      <c r="F200" s="205"/>
      <c r="G200" s="205"/>
      <c r="H200" s="206"/>
      <c r="I200" s="207"/>
      <c r="J200" s="207"/>
      <c r="K200" s="207"/>
      <c r="L200" s="122"/>
      <c r="M200" s="207"/>
      <c r="N200" s="207"/>
      <c r="O200" s="122"/>
      <c r="P200" s="205"/>
      <c r="Q200" s="205"/>
      <c r="R200" s="205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</row>
    <row r="201">
      <c r="A201" s="122"/>
      <c r="B201" s="204"/>
      <c r="C201" s="204"/>
      <c r="D201" s="204"/>
      <c r="E201" s="205"/>
      <c r="F201" s="205"/>
      <c r="G201" s="205"/>
      <c r="H201" s="206"/>
      <c r="I201" s="207"/>
      <c r="J201" s="207"/>
      <c r="K201" s="207"/>
      <c r="L201" s="122"/>
      <c r="M201" s="207"/>
      <c r="N201" s="207"/>
      <c r="O201" s="122"/>
      <c r="P201" s="205"/>
      <c r="Q201" s="205"/>
      <c r="R201" s="205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</row>
    <row r="202">
      <c r="A202" s="122"/>
      <c r="B202" s="204"/>
      <c r="C202" s="204"/>
      <c r="D202" s="204"/>
      <c r="E202" s="205"/>
      <c r="F202" s="205"/>
      <c r="G202" s="205"/>
      <c r="H202" s="206"/>
      <c r="I202" s="207"/>
      <c r="J202" s="207"/>
      <c r="K202" s="207"/>
      <c r="L202" s="122"/>
      <c r="M202" s="207"/>
      <c r="N202" s="207"/>
      <c r="O202" s="122"/>
      <c r="P202" s="205"/>
      <c r="Q202" s="205"/>
      <c r="R202" s="205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</row>
    <row r="203">
      <c r="A203" s="122"/>
      <c r="B203" s="204"/>
      <c r="C203" s="204"/>
      <c r="D203" s="204"/>
      <c r="E203" s="205"/>
      <c r="F203" s="205"/>
      <c r="G203" s="205"/>
      <c r="H203" s="206"/>
      <c r="I203" s="207"/>
      <c r="J203" s="207"/>
      <c r="K203" s="207"/>
      <c r="L203" s="122"/>
      <c r="M203" s="207"/>
      <c r="N203" s="207"/>
      <c r="O203" s="122"/>
      <c r="P203" s="205"/>
      <c r="Q203" s="205"/>
      <c r="R203" s="205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</row>
    <row r="204">
      <c r="A204" s="122"/>
      <c r="B204" s="204"/>
      <c r="C204" s="204"/>
      <c r="D204" s="204"/>
      <c r="E204" s="205"/>
      <c r="F204" s="205"/>
      <c r="G204" s="205"/>
      <c r="H204" s="206"/>
      <c r="I204" s="207"/>
      <c r="J204" s="207"/>
      <c r="K204" s="207"/>
      <c r="L204" s="122"/>
      <c r="M204" s="207"/>
      <c r="N204" s="207"/>
      <c r="O204" s="122"/>
      <c r="P204" s="205"/>
      <c r="Q204" s="205"/>
      <c r="R204" s="205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</row>
    <row r="205">
      <c r="A205" s="122"/>
      <c r="B205" s="204"/>
      <c r="C205" s="204"/>
      <c r="D205" s="204"/>
      <c r="E205" s="205"/>
      <c r="F205" s="205"/>
      <c r="G205" s="205"/>
      <c r="H205" s="206"/>
      <c r="I205" s="207"/>
      <c r="J205" s="207"/>
      <c r="K205" s="207"/>
      <c r="L205" s="122"/>
      <c r="M205" s="207"/>
      <c r="N205" s="207"/>
      <c r="O205" s="122"/>
      <c r="P205" s="205"/>
      <c r="Q205" s="205"/>
      <c r="R205" s="205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</row>
    <row r="206">
      <c r="A206" s="122"/>
      <c r="B206" s="204"/>
      <c r="C206" s="204"/>
      <c r="D206" s="204"/>
      <c r="E206" s="205"/>
      <c r="F206" s="205"/>
      <c r="G206" s="205"/>
      <c r="H206" s="206"/>
      <c r="I206" s="207"/>
      <c r="J206" s="207"/>
      <c r="K206" s="207"/>
      <c r="L206" s="122"/>
      <c r="M206" s="207"/>
      <c r="N206" s="207"/>
      <c r="O206" s="122"/>
      <c r="P206" s="205"/>
      <c r="Q206" s="205"/>
      <c r="R206" s="205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</row>
    <row r="207">
      <c r="A207" s="122"/>
      <c r="B207" s="204"/>
      <c r="C207" s="204"/>
      <c r="D207" s="204"/>
      <c r="E207" s="205"/>
      <c r="F207" s="205"/>
      <c r="G207" s="205"/>
      <c r="H207" s="206"/>
      <c r="I207" s="207"/>
      <c r="J207" s="207"/>
      <c r="K207" s="207"/>
      <c r="L207" s="122"/>
      <c r="M207" s="207"/>
      <c r="N207" s="207"/>
      <c r="O207" s="122"/>
      <c r="P207" s="205"/>
      <c r="Q207" s="205"/>
      <c r="R207" s="205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</row>
    <row r="208">
      <c r="A208" s="122"/>
      <c r="B208" s="204"/>
      <c r="C208" s="204"/>
      <c r="D208" s="204"/>
      <c r="E208" s="205"/>
      <c r="F208" s="205"/>
      <c r="G208" s="205"/>
      <c r="H208" s="206"/>
      <c r="I208" s="207"/>
      <c r="J208" s="207"/>
      <c r="K208" s="207"/>
      <c r="L208" s="122"/>
      <c r="M208" s="207"/>
      <c r="N208" s="207"/>
      <c r="O208" s="122"/>
      <c r="P208" s="205"/>
      <c r="Q208" s="205"/>
      <c r="R208" s="205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</row>
    <row r="209">
      <c r="A209" s="122"/>
      <c r="B209" s="204"/>
      <c r="C209" s="204"/>
      <c r="D209" s="204"/>
      <c r="E209" s="205"/>
      <c r="F209" s="205"/>
      <c r="G209" s="205"/>
      <c r="H209" s="206"/>
      <c r="I209" s="207"/>
      <c r="J209" s="207"/>
      <c r="K209" s="207"/>
      <c r="L209" s="122"/>
      <c r="M209" s="207"/>
      <c r="N209" s="207"/>
      <c r="O209" s="122"/>
      <c r="P209" s="205"/>
      <c r="Q209" s="205"/>
      <c r="R209" s="205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</row>
    <row r="210">
      <c r="A210" s="122"/>
      <c r="B210" s="204"/>
      <c r="C210" s="204"/>
      <c r="D210" s="204"/>
      <c r="E210" s="205"/>
      <c r="F210" s="205"/>
      <c r="G210" s="205"/>
      <c r="H210" s="206"/>
      <c r="I210" s="207"/>
      <c r="J210" s="207"/>
      <c r="K210" s="207"/>
      <c r="L210" s="122"/>
      <c r="M210" s="207"/>
      <c r="N210" s="207"/>
      <c r="O210" s="122"/>
      <c r="P210" s="205"/>
      <c r="Q210" s="205"/>
      <c r="R210" s="205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</row>
    <row r="211">
      <c r="A211" s="122"/>
      <c r="B211" s="204"/>
      <c r="C211" s="204"/>
      <c r="D211" s="204"/>
      <c r="E211" s="205"/>
      <c r="F211" s="205"/>
      <c r="G211" s="205"/>
      <c r="H211" s="206"/>
      <c r="I211" s="207"/>
      <c r="J211" s="207"/>
      <c r="K211" s="207"/>
      <c r="L211" s="122"/>
      <c r="M211" s="207"/>
      <c r="N211" s="207"/>
      <c r="O211" s="122"/>
      <c r="P211" s="205"/>
      <c r="Q211" s="205"/>
      <c r="R211" s="205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</row>
    <row r="212">
      <c r="A212" s="122"/>
      <c r="B212" s="204"/>
      <c r="C212" s="204"/>
      <c r="D212" s="204"/>
      <c r="E212" s="205"/>
      <c r="F212" s="205"/>
      <c r="G212" s="205"/>
      <c r="H212" s="206"/>
      <c r="I212" s="207"/>
      <c r="J212" s="207"/>
      <c r="K212" s="207"/>
      <c r="L212" s="122"/>
      <c r="M212" s="207"/>
      <c r="N212" s="207"/>
      <c r="O212" s="122"/>
      <c r="P212" s="205"/>
      <c r="Q212" s="205"/>
      <c r="R212" s="205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</row>
    <row r="213">
      <c r="A213" s="122"/>
      <c r="B213" s="204"/>
      <c r="C213" s="204"/>
      <c r="D213" s="204"/>
      <c r="E213" s="205"/>
      <c r="F213" s="205"/>
      <c r="G213" s="205"/>
      <c r="H213" s="206"/>
      <c r="I213" s="207"/>
      <c r="J213" s="207"/>
      <c r="K213" s="207"/>
      <c r="L213" s="122"/>
      <c r="M213" s="207"/>
      <c r="N213" s="207"/>
      <c r="O213" s="122"/>
      <c r="P213" s="205"/>
      <c r="Q213" s="205"/>
      <c r="R213" s="205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</row>
    <row r="214">
      <c r="A214" s="122"/>
      <c r="B214" s="204"/>
      <c r="C214" s="204"/>
      <c r="D214" s="204"/>
      <c r="E214" s="205"/>
      <c r="F214" s="205"/>
      <c r="G214" s="205"/>
      <c r="H214" s="206"/>
      <c r="I214" s="207"/>
      <c r="J214" s="207"/>
      <c r="K214" s="207"/>
      <c r="L214" s="122"/>
      <c r="M214" s="207"/>
      <c r="N214" s="207"/>
      <c r="O214" s="122"/>
      <c r="P214" s="205"/>
      <c r="Q214" s="205"/>
      <c r="R214" s="205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</row>
    <row r="215">
      <c r="A215" s="122"/>
      <c r="B215" s="204"/>
      <c r="C215" s="204"/>
      <c r="D215" s="204"/>
      <c r="E215" s="205"/>
      <c r="F215" s="205"/>
      <c r="G215" s="205"/>
      <c r="H215" s="206"/>
      <c r="I215" s="207"/>
      <c r="J215" s="207"/>
      <c r="K215" s="207"/>
      <c r="L215" s="122"/>
      <c r="M215" s="207"/>
      <c r="N215" s="207"/>
      <c r="O215" s="122"/>
      <c r="P215" s="205"/>
      <c r="Q215" s="205"/>
      <c r="R215" s="205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</row>
    <row r="216">
      <c r="A216" s="122"/>
      <c r="B216" s="204"/>
      <c r="C216" s="204"/>
      <c r="D216" s="204"/>
      <c r="E216" s="205"/>
      <c r="F216" s="205"/>
      <c r="G216" s="205"/>
      <c r="H216" s="206"/>
      <c r="I216" s="207"/>
      <c r="J216" s="207"/>
      <c r="K216" s="207"/>
      <c r="L216" s="122"/>
      <c r="M216" s="207"/>
      <c r="N216" s="207"/>
      <c r="O216" s="122"/>
      <c r="P216" s="205"/>
      <c r="Q216" s="205"/>
      <c r="R216" s="205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</row>
    <row r="217">
      <c r="A217" s="122"/>
      <c r="B217" s="204"/>
      <c r="C217" s="204"/>
      <c r="D217" s="204"/>
      <c r="E217" s="205"/>
      <c r="F217" s="205"/>
      <c r="G217" s="205"/>
      <c r="H217" s="206"/>
      <c r="I217" s="207"/>
      <c r="J217" s="207"/>
      <c r="K217" s="207"/>
      <c r="L217" s="122"/>
      <c r="M217" s="207"/>
      <c r="N217" s="207"/>
      <c r="O217" s="122"/>
      <c r="P217" s="205"/>
      <c r="Q217" s="205"/>
      <c r="R217" s="205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</row>
    <row r="218">
      <c r="A218" s="122"/>
      <c r="B218" s="204"/>
      <c r="C218" s="204"/>
      <c r="D218" s="204"/>
      <c r="E218" s="205"/>
      <c r="F218" s="205"/>
      <c r="G218" s="205"/>
      <c r="H218" s="206"/>
      <c r="I218" s="207"/>
      <c r="J218" s="207"/>
      <c r="K218" s="207"/>
      <c r="L218" s="122"/>
      <c r="M218" s="207"/>
      <c r="N218" s="207"/>
      <c r="O218" s="122"/>
      <c r="P218" s="205"/>
      <c r="Q218" s="205"/>
      <c r="R218" s="205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</row>
    <row r="219">
      <c r="A219" s="122"/>
      <c r="B219" s="204"/>
      <c r="C219" s="204"/>
      <c r="D219" s="204"/>
      <c r="E219" s="205"/>
      <c r="F219" s="205"/>
      <c r="G219" s="205"/>
      <c r="H219" s="206"/>
      <c r="I219" s="207"/>
      <c r="J219" s="207"/>
      <c r="K219" s="207"/>
      <c r="L219" s="122"/>
      <c r="M219" s="207"/>
      <c r="N219" s="207"/>
      <c r="O219" s="122"/>
      <c r="P219" s="205"/>
      <c r="Q219" s="205"/>
      <c r="R219" s="205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</row>
    <row r="220">
      <c r="A220" s="122"/>
      <c r="B220" s="204"/>
      <c r="C220" s="204"/>
      <c r="D220" s="204"/>
      <c r="E220" s="205"/>
      <c r="F220" s="205"/>
      <c r="G220" s="205"/>
      <c r="H220" s="206"/>
      <c r="I220" s="207"/>
      <c r="J220" s="207"/>
      <c r="K220" s="207"/>
      <c r="L220" s="122"/>
      <c r="M220" s="207"/>
      <c r="N220" s="207"/>
      <c r="O220" s="122"/>
      <c r="P220" s="205"/>
      <c r="Q220" s="205"/>
      <c r="R220" s="205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</row>
    <row r="221">
      <c r="A221" s="122"/>
      <c r="B221" s="204"/>
      <c r="C221" s="204"/>
      <c r="D221" s="204"/>
      <c r="E221" s="205"/>
      <c r="F221" s="205"/>
      <c r="G221" s="205"/>
      <c r="H221" s="206"/>
      <c r="I221" s="207"/>
      <c r="J221" s="207"/>
      <c r="K221" s="207"/>
      <c r="L221" s="122"/>
      <c r="M221" s="207"/>
      <c r="N221" s="207"/>
      <c r="O221" s="122"/>
      <c r="P221" s="205"/>
      <c r="Q221" s="205"/>
      <c r="R221" s="205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</row>
    <row r="222">
      <c r="A222" s="122"/>
      <c r="B222" s="204"/>
      <c r="C222" s="204"/>
      <c r="D222" s="204"/>
      <c r="E222" s="205"/>
      <c r="F222" s="205"/>
      <c r="G222" s="205"/>
      <c r="H222" s="206"/>
      <c r="I222" s="207"/>
      <c r="J222" s="207"/>
      <c r="K222" s="207"/>
      <c r="L222" s="122"/>
      <c r="M222" s="207"/>
      <c r="N222" s="207"/>
      <c r="O222" s="122"/>
      <c r="P222" s="205"/>
      <c r="Q222" s="205"/>
      <c r="R222" s="205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</row>
    <row r="223">
      <c r="A223" s="122"/>
      <c r="B223" s="204"/>
      <c r="C223" s="204"/>
      <c r="D223" s="204"/>
      <c r="E223" s="205"/>
      <c r="F223" s="205"/>
      <c r="G223" s="205"/>
      <c r="H223" s="206"/>
      <c r="I223" s="207"/>
      <c r="J223" s="207"/>
      <c r="K223" s="207"/>
      <c r="L223" s="122"/>
      <c r="M223" s="207"/>
      <c r="N223" s="207"/>
      <c r="O223" s="122"/>
      <c r="P223" s="205"/>
      <c r="Q223" s="205"/>
      <c r="R223" s="205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</row>
    <row r="224">
      <c r="A224" s="122"/>
      <c r="B224" s="204"/>
      <c r="C224" s="204"/>
      <c r="D224" s="204"/>
      <c r="E224" s="205"/>
      <c r="F224" s="205"/>
      <c r="G224" s="205"/>
      <c r="H224" s="206"/>
      <c r="I224" s="207"/>
      <c r="J224" s="207"/>
      <c r="K224" s="207"/>
      <c r="L224" s="122"/>
      <c r="M224" s="207"/>
      <c r="N224" s="207"/>
      <c r="O224" s="122"/>
      <c r="P224" s="205"/>
      <c r="Q224" s="205"/>
      <c r="R224" s="205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</row>
    <row r="225">
      <c r="A225" s="122"/>
      <c r="B225" s="204"/>
      <c r="C225" s="204"/>
      <c r="D225" s="204"/>
      <c r="E225" s="205"/>
      <c r="F225" s="205"/>
      <c r="G225" s="205"/>
      <c r="H225" s="206"/>
      <c r="I225" s="207"/>
      <c r="J225" s="207"/>
      <c r="K225" s="207"/>
      <c r="L225" s="122"/>
      <c r="M225" s="207"/>
      <c r="N225" s="207"/>
      <c r="O225" s="122"/>
      <c r="P225" s="205"/>
      <c r="Q225" s="205"/>
      <c r="R225" s="205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</row>
    <row r="226">
      <c r="A226" s="122"/>
      <c r="B226" s="204"/>
      <c r="C226" s="204"/>
      <c r="D226" s="204"/>
      <c r="E226" s="205"/>
      <c r="F226" s="205"/>
      <c r="G226" s="205"/>
      <c r="H226" s="206"/>
      <c r="I226" s="207"/>
      <c r="J226" s="207"/>
      <c r="K226" s="207"/>
      <c r="L226" s="122"/>
      <c r="M226" s="207"/>
      <c r="N226" s="207"/>
      <c r="O226" s="122"/>
      <c r="P226" s="205"/>
      <c r="Q226" s="205"/>
      <c r="R226" s="205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</row>
    <row r="227">
      <c r="A227" s="122"/>
      <c r="B227" s="204"/>
      <c r="C227" s="204"/>
      <c r="D227" s="204"/>
      <c r="E227" s="205"/>
      <c r="F227" s="205"/>
      <c r="G227" s="205"/>
      <c r="H227" s="206"/>
      <c r="I227" s="207"/>
      <c r="J227" s="207"/>
      <c r="K227" s="207"/>
      <c r="L227" s="122"/>
      <c r="M227" s="207"/>
      <c r="N227" s="207"/>
      <c r="O227" s="122"/>
      <c r="P227" s="205"/>
      <c r="Q227" s="205"/>
      <c r="R227" s="205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</row>
    <row r="228">
      <c r="A228" s="122"/>
      <c r="B228" s="204"/>
      <c r="C228" s="204"/>
      <c r="D228" s="204"/>
      <c r="E228" s="205"/>
      <c r="F228" s="205"/>
      <c r="G228" s="205"/>
      <c r="H228" s="206"/>
      <c r="I228" s="207"/>
      <c r="J228" s="207"/>
      <c r="K228" s="207"/>
      <c r="L228" s="122"/>
      <c r="M228" s="207"/>
      <c r="N228" s="207"/>
      <c r="O228" s="122"/>
      <c r="P228" s="205"/>
      <c r="Q228" s="205"/>
      <c r="R228" s="205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</row>
    <row r="229">
      <c r="A229" s="122"/>
      <c r="B229" s="204"/>
      <c r="C229" s="204"/>
      <c r="D229" s="204"/>
      <c r="E229" s="205"/>
      <c r="F229" s="205"/>
      <c r="G229" s="205"/>
      <c r="H229" s="206"/>
      <c r="I229" s="207"/>
      <c r="J229" s="207"/>
      <c r="K229" s="207"/>
      <c r="L229" s="122"/>
      <c r="M229" s="207"/>
      <c r="N229" s="207"/>
      <c r="O229" s="122"/>
      <c r="P229" s="205"/>
      <c r="Q229" s="205"/>
      <c r="R229" s="205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</row>
    <row r="230">
      <c r="A230" s="122"/>
      <c r="B230" s="204"/>
      <c r="C230" s="204"/>
      <c r="D230" s="204"/>
      <c r="E230" s="205"/>
      <c r="F230" s="205"/>
      <c r="G230" s="205"/>
      <c r="H230" s="206"/>
      <c r="I230" s="207"/>
      <c r="J230" s="207"/>
      <c r="K230" s="207"/>
      <c r="L230" s="122"/>
      <c r="M230" s="207"/>
      <c r="N230" s="207"/>
      <c r="O230" s="122"/>
      <c r="P230" s="205"/>
      <c r="Q230" s="205"/>
      <c r="R230" s="205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</row>
    <row r="231">
      <c r="A231" s="122"/>
      <c r="B231" s="204"/>
      <c r="C231" s="204"/>
      <c r="D231" s="204"/>
      <c r="E231" s="205"/>
      <c r="F231" s="205"/>
      <c r="G231" s="205"/>
      <c r="H231" s="206"/>
      <c r="I231" s="207"/>
      <c r="J231" s="207"/>
      <c r="K231" s="207"/>
      <c r="L231" s="122"/>
      <c r="M231" s="207"/>
      <c r="N231" s="207"/>
      <c r="O231" s="122"/>
      <c r="P231" s="205"/>
      <c r="Q231" s="205"/>
      <c r="R231" s="205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</row>
    <row r="232">
      <c r="A232" s="122"/>
      <c r="B232" s="204"/>
      <c r="C232" s="204"/>
      <c r="D232" s="204"/>
      <c r="E232" s="205"/>
      <c r="F232" s="205"/>
      <c r="G232" s="205"/>
      <c r="H232" s="206"/>
      <c r="I232" s="207"/>
      <c r="J232" s="207"/>
      <c r="K232" s="207"/>
      <c r="L232" s="122"/>
      <c r="M232" s="207"/>
      <c r="N232" s="207"/>
      <c r="O232" s="122"/>
      <c r="P232" s="205"/>
      <c r="Q232" s="205"/>
      <c r="R232" s="205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</row>
    <row r="233">
      <c r="A233" s="122"/>
      <c r="B233" s="204"/>
      <c r="C233" s="204"/>
      <c r="D233" s="204"/>
      <c r="E233" s="205"/>
      <c r="F233" s="205"/>
      <c r="G233" s="205"/>
      <c r="H233" s="206"/>
      <c r="I233" s="207"/>
      <c r="J233" s="207"/>
      <c r="K233" s="207"/>
      <c r="L233" s="122"/>
      <c r="M233" s="207"/>
      <c r="N233" s="207"/>
      <c r="O233" s="122"/>
      <c r="P233" s="205"/>
      <c r="Q233" s="205"/>
      <c r="R233" s="205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</row>
    <row r="234">
      <c r="A234" s="122"/>
      <c r="B234" s="204"/>
      <c r="C234" s="204"/>
      <c r="D234" s="204"/>
      <c r="E234" s="205"/>
      <c r="F234" s="205"/>
      <c r="G234" s="205"/>
      <c r="H234" s="206"/>
      <c r="I234" s="207"/>
      <c r="J234" s="207"/>
      <c r="K234" s="207"/>
      <c r="L234" s="122"/>
      <c r="M234" s="207"/>
      <c r="N234" s="207"/>
      <c r="O234" s="122"/>
      <c r="P234" s="205"/>
      <c r="Q234" s="205"/>
      <c r="R234" s="205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</row>
    <row r="235">
      <c r="A235" s="122"/>
      <c r="B235" s="204"/>
      <c r="C235" s="204"/>
      <c r="D235" s="204"/>
      <c r="E235" s="205"/>
      <c r="F235" s="205"/>
      <c r="G235" s="205"/>
      <c r="H235" s="206"/>
      <c r="I235" s="207"/>
      <c r="J235" s="207"/>
      <c r="K235" s="207"/>
      <c r="L235" s="122"/>
      <c r="M235" s="207"/>
      <c r="N235" s="207"/>
      <c r="O235" s="122"/>
      <c r="P235" s="205"/>
      <c r="Q235" s="205"/>
      <c r="R235" s="205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</row>
    <row r="236">
      <c r="A236" s="122"/>
      <c r="B236" s="204"/>
      <c r="C236" s="204"/>
      <c r="D236" s="204"/>
      <c r="E236" s="205"/>
      <c r="F236" s="205"/>
      <c r="G236" s="205"/>
      <c r="H236" s="206"/>
      <c r="I236" s="207"/>
      <c r="J236" s="207"/>
      <c r="K236" s="207"/>
      <c r="L236" s="122"/>
      <c r="M236" s="207"/>
      <c r="N236" s="207"/>
      <c r="O236" s="122"/>
      <c r="P236" s="205"/>
      <c r="Q236" s="205"/>
      <c r="R236" s="205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</row>
    <row r="237">
      <c r="A237" s="122"/>
      <c r="B237" s="204"/>
      <c r="C237" s="204"/>
      <c r="D237" s="204"/>
      <c r="E237" s="205"/>
      <c r="F237" s="205"/>
      <c r="G237" s="205"/>
      <c r="H237" s="206"/>
      <c r="I237" s="207"/>
      <c r="J237" s="207"/>
      <c r="K237" s="207"/>
      <c r="L237" s="122"/>
      <c r="M237" s="207"/>
      <c r="N237" s="207"/>
      <c r="O237" s="122"/>
      <c r="P237" s="205"/>
      <c r="Q237" s="205"/>
      <c r="R237" s="205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</row>
    <row r="238">
      <c r="A238" s="122"/>
      <c r="B238" s="204"/>
      <c r="C238" s="204"/>
      <c r="D238" s="204"/>
      <c r="E238" s="205"/>
      <c r="F238" s="205"/>
      <c r="G238" s="205"/>
      <c r="H238" s="206"/>
      <c r="I238" s="207"/>
      <c r="J238" s="207"/>
      <c r="K238" s="207"/>
      <c r="L238" s="122"/>
      <c r="M238" s="207"/>
      <c r="N238" s="207"/>
      <c r="O238" s="122"/>
      <c r="P238" s="205"/>
      <c r="Q238" s="205"/>
      <c r="R238" s="205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</row>
    <row r="239">
      <c r="A239" s="122"/>
      <c r="B239" s="204"/>
      <c r="C239" s="204"/>
      <c r="D239" s="204"/>
      <c r="E239" s="205"/>
      <c r="F239" s="205"/>
      <c r="G239" s="205"/>
      <c r="H239" s="206"/>
      <c r="I239" s="207"/>
      <c r="J239" s="207"/>
      <c r="K239" s="207"/>
      <c r="L239" s="122"/>
      <c r="M239" s="207"/>
      <c r="N239" s="207"/>
      <c r="O239" s="122"/>
      <c r="P239" s="205"/>
      <c r="Q239" s="205"/>
      <c r="R239" s="205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</row>
    <row r="240">
      <c r="A240" s="122"/>
      <c r="B240" s="204"/>
      <c r="C240" s="204"/>
      <c r="D240" s="204"/>
      <c r="E240" s="205"/>
      <c r="F240" s="205"/>
      <c r="G240" s="205"/>
      <c r="H240" s="206"/>
      <c r="I240" s="207"/>
      <c r="J240" s="207"/>
      <c r="K240" s="207"/>
      <c r="L240" s="122"/>
      <c r="M240" s="207"/>
      <c r="N240" s="207"/>
      <c r="O240" s="122"/>
      <c r="P240" s="205"/>
      <c r="Q240" s="205"/>
      <c r="R240" s="205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</row>
    <row r="241">
      <c r="A241" s="122"/>
      <c r="B241" s="204"/>
      <c r="C241" s="204"/>
      <c r="D241" s="204"/>
      <c r="E241" s="205"/>
      <c r="F241" s="205"/>
      <c r="G241" s="205"/>
      <c r="H241" s="206"/>
      <c r="I241" s="207"/>
      <c r="J241" s="207"/>
      <c r="K241" s="207"/>
      <c r="L241" s="122"/>
      <c r="M241" s="207"/>
      <c r="N241" s="207"/>
      <c r="O241" s="122"/>
      <c r="P241" s="205"/>
      <c r="Q241" s="205"/>
      <c r="R241" s="205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</row>
    <row r="242">
      <c r="A242" s="122"/>
      <c r="B242" s="204"/>
      <c r="C242" s="204"/>
      <c r="D242" s="204"/>
      <c r="E242" s="205"/>
      <c r="F242" s="205"/>
      <c r="G242" s="205"/>
      <c r="H242" s="206"/>
      <c r="I242" s="207"/>
      <c r="J242" s="207"/>
      <c r="K242" s="207"/>
      <c r="L242" s="122"/>
      <c r="M242" s="207"/>
      <c r="N242" s="207"/>
      <c r="O242" s="122"/>
      <c r="P242" s="205"/>
      <c r="Q242" s="205"/>
      <c r="R242" s="205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</row>
    <row r="243">
      <c r="A243" s="122"/>
      <c r="B243" s="204"/>
      <c r="C243" s="204"/>
      <c r="D243" s="204"/>
      <c r="E243" s="205"/>
      <c r="F243" s="205"/>
      <c r="G243" s="205"/>
      <c r="H243" s="206"/>
      <c r="I243" s="207"/>
      <c r="J243" s="207"/>
      <c r="K243" s="207"/>
      <c r="L243" s="122"/>
      <c r="M243" s="207"/>
      <c r="N243" s="207"/>
      <c r="O243" s="122"/>
      <c r="P243" s="205"/>
      <c r="Q243" s="205"/>
      <c r="R243" s="205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</row>
    <row r="244">
      <c r="A244" s="122"/>
      <c r="B244" s="204"/>
      <c r="C244" s="204"/>
      <c r="D244" s="204"/>
      <c r="E244" s="205"/>
      <c r="F244" s="205"/>
      <c r="G244" s="205"/>
      <c r="H244" s="206"/>
      <c r="I244" s="207"/>
      <c r="J244" s="207"/>
      <c r="K244" s="207"/>
      <c r="L244" s="122"/>
      <c r="M244" s="207"/>
      <c r="N244" s="207"/>
      <c r="O244" s="122"/>
      <c r="P244" s="205"/>
      <c r="Q244" s="205"/>
      <c r="R244" s="205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</row>
    <row r="245">
      <c r="A245" s="122"/>
      <c r="B245" s="204"/>
      <c r="C245" s="204"/>
      <c r="D245" s="204"/>
      <c r="E245" s="205"/>
      <c r="F245" s="205"/>
      <c r="G245" s="205"/>
      <c r="H245" s="206"/>
      <c r="I245" s="207"/>
      <c r="J245" s="207"/>
      <c r="K245" s="207"/>
      <c r="L245" s="122"/>
      <c r="M245" s="207"/>
      <c r="N245" s="207"/>
      <c r="O245" s="122"/>
      <c r="P245" s="205"/>
      <c r="Q245" s="205"/>
      <c r="R245" s="205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</row>
    <row r="246">
      <c r="A246" s="122"/>
      <c r="B246" s="204"/>
      <c r="C246" s="204"/>
      <c r="D246" s="204"/>
      <c r="E246" s="205"/>
      <c r="F246" s="205"/>
      <c r="G246" s="205"/>
      <c r="H246" s="206"/>
      <c r="I246" s="207"/>
      <c r="J246" s="207"/>
      <c r="K246" s="207"/>
      <c r="L246" s="122"/>
      <c r="M246" s="207"/>
      <c r="N246" s="207"/>
      <c r="O246" s="122"/>
      <c r="P246" s="205"/>
      <c r="Q246" s="205"/>
      <c r="R246" s="205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</row>
    <row r="247">
      <c r="A247" s="122"/>
      <c r="B247" s="204"/>
      <c r="C247" s="204"/>
      <c r="D247" s="204"/>
      <c r="E247" s="205"/>
      <c r="F247" s="205"/>
      <c r="G247" s="205"/>
      <c r="H247" s="206"/>
      <c r="I247" s="207"/>
      <c r="J247" s="207"/>
      <c r="K247" s="207"/>
      <c r="L247" s="122"/>
      <c r="M247" s="207"/>
      <c r="N247" s="207"/>
      <c r="O247" s="122"/>
      <c r="P247" s="205"/>
      <c r="Q247" s="205"/>
      <c r="R247" s="205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</row>
    <row r="248">
      <c r="A248" s="122"/>
      <c r="B248" s="204"/>
      <c r="C248" s="204"/>
      <c r="D248" s="204"/>
      <c r="E248" s="205"/>
      <c r="F248" s="205"/>
      <c r="G248" s="205"/>
      <c r="H248" s="206"/>
      <c r="I248" s="207"/>
      <c r="J248" s="207"/>
      <c r="K248" s="207"/>
      <c r="L248" s="122"/>
      <c r="M248" s="207"/>
      <c r="N248" s="207"/>
      <c r="O248" s="122"/>
      <c r="P248" s="205"/>
      <c r="Q248" s="205"/>
      <c r="R248" s="205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</row>
    <row r="249">
      <c r="A249" s="122"/>
      <c r="B249" s="204"/>
      <c r="C249" s="204"/>
      <c r="D249" s="204"/>
      <c r="E249" s="205"/>
      <c r="F249" s="205"/>
      <c r="G249" s="205"/>
      <c r="H249" s="206"/>
      <c r="I249" s="207"/>
      <c r="J249" s="207"/>
      <c r="K249" s="207"/>
      <c r="L249" s="122"/>
      <c r="M249" s="207"/>
      <c r="N249" s="207"/>
      <c r="O249" s="122"/>
      <c r="P249" s="205"/>
      <c r="Q249" s="205"/>
      <c r="R249" s="205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</row>
    <row r="250">
      <c r="A250" s="122"/>
      <c r="B250" s="204"/>
      <c r="C250" s="204"/>
      <c r="D250" s="204"/>
      <c r="E250" s="205"/>
      <c r="F250" s="205"/>
      <c r="G250" s="205"/>
      <c r="H250" s="206"/>
      <c r="I250" s="207"/>
      <c r="J250" s="207"/>
      <c r="K250" s="207"/>
      <c r="L250" s="122"/>
      <c r="M250" s="207"/>
      <c r="N250" s="207"/>
      <c r="O250" s="122"/>
      <c r="P250" s="205"/>
      <c r="Q250" s="205"/>
      <c r="R250" s="205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</row>
    <row r="251">
      <c r="A251" s="122"/>
      <c r="B251" s="204"/>
      <c r="C251" s="204"/>
      <c r="D251" s="204"/>
      <c r="E251" s="205"/>
      <c r="F251" s="205"/>
      <c r="G251" s="205"/>
      <c r="H251" s="206"/>
      <c r="I251" s="207"/>
      <c r="J251" s="207"/>
      <c r="K251" s="207"/>
      <c r="L251" s="122"/>
      <c r="M251" s="207"/>
      <c r="N251" s="207"/>
      <c r="O251" s="122"/>
      <c r="P251" s="205"/>
      <c r="Q251" s="205"/>
      <c r="R251" s="205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</row>
    <row r="252">
      <c r="A252" s="122"/>
      <c r="B252" s="204"/>
      <c r="C252" s="204"/>
      <c r="D252" s="204"/>
      <c r="E252" s="205"/>
      <c r="F252" s="205"/>
      <c r="G252" s="205"/>
      <c r="H252" s="206"/>
      <c r="I252" s="207"/>
      <c r="J252" s="207"/>
      <c r="K252" s="207"/>
      <c r="L252" s="122"/>
      <c r="M252" s="207"/>
      <c r="N252" s="207"/>
      <c r="O252" s="122"/>
      <c r="P252" s="205"/>
      <c r="Q252" s="205"/>
      <c r="R252" s="205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</row>
    <row r="253">
      <c r="A253" s="122"/>
      <c r="B253" s="204"/>
      <c r="C253" s="204"/>
      <c r="D253" s="204"/>
      <c r="E253" s="205"/>
      <c r="F253" s="205"/>
      <c r="G253" s="205"/>
      <c r="H253" s="206"/>
      <c r="I253" s="207"/>
      <c r="J253" s="207"/>
      <c r="K253" s="207"/>
      <c r="L253" s="122"/>
      <c r="M253" s="207"/>
      <c r="N253" s="207"/>
      <c r="O253" s="122"/>
      <c r="P253" s="205"/>
      <c r="Q253" s="205"/>
      <c r="R253" s="205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</row>
    <row r="254">
      <c r="A254" s="122"/>
      <c r="B254" s="204"/>
      <c r="C254" s="204"/>
      <c r="D254" s="204"/>
      <c r="E254" s="205"/>
      <c r="F254" s="205"/>
      <c r="G254" s="205"/>
      <c r="H254" s="206"/>
      <c r="I254" s="207"/>
      <c r="J254" s="207"/>
      <c r="K254" s="207"/>
      <c r="L254" s="122"/>
      <c r="M254" s="207"/>
      <c r="N254" s="207"/>
      <c r="O254" s="122"/>
      <c r="P254" s="205"/>
      <c r="Q254" s="205"/>
      <c r="R254" s="205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</row>
    <row r="255">
      <c r="A255" s="122"/>
      <c r="B255" s="204"/>
      <c r="C255" s="204"/>
      <c r="D255" s="204"/>
      <c r="E255" s="205"/>
      <c r="F255" s="205"/>
      <c r="G255" s="205"/>
      <c r="H255" s="206"/>
      <c r="I255" s="207"/>
      <c r="J255" s="207"/>
      <c r="K255" s="207"/>
      <c r="L255" s="122"/>
      <c r="M255" s="207"/>
      <c r="N255" s="207"/>
      <c r="O255" s="122"/>
      <c r="P255" s="205"/>
      <c r="Q255" s="205"/>
      <c r="R255" s="205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</row>
    <row r="256">
      <c r="A256" s="122"/>
      <c r="B256" s="204"/>
      <c r="C256" s="204"/>
      <c r="D256" s="204"/>
      <c r="E256" s="205"/>
      <c r="F256" s="205"/>
      <c r="G256" s="205"/>
      <c r="H256" s="206"/>
      <c r="I256" s="207"/>
      <c r="J256" s="207"/>
      <c r="K256" s="207"/>
      <c r="L256" s="122"/>
      <c r="M256" s="207"/>
      <c r="N256" s="207"/>
      <c r="O256" s="122"/>
      <c r="P256" s="205"/>
      <c r="Q256" s="205"/>
      <c r="R256" s="205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</row>
    <row r="257">
      <c r="A257" s="122"/>
      <c r="B257" s="204"/>
      <c r="C257" s="204"/>
      <c r="D257" s="204"/>
      <c r="E257" s="205"/>
      <c r="F257" s="205"/>
      <c r="G257" s="205"/>
      <c r="H257" s="206"/>
      <c r="I257" s="207"/>
      <c r="J257" s="207"/>
      <c r="K257" s="207"/>
      <c r="L257" s="122"/>
      <c r="M257" s="207"/>
      <c r="N257" s="207"/>
      <c r="O257" s="122"/>
      <c r="P257" s="205"/>
      <c r="Q257" s="205"/>
      <c r="R257" s="205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</row>
    <row r="258">
      <c r="A258" s="122"/>
      <c r="B258" s="204"/>
      <c r="C258" s="204"/>
      <c r="D258" s="204"/>
      <c r="E258" s="205"/>
      <c r="F258" s="205"/>
      <c r="G258" s="205"/>
      <c r="H258" s="206"/>
      <c r="I258" s="207"/>
      <c r="J258" s="207"/>
      <c r="K258" s="207"/>
      <c r="L258" s="122"/>
      <c r="M258" s="207"/>
      <c r="N258" s="207"/>
      <c r="O258" s="122"/>
      <c r="P258" s="205"/>
      <c r="Q258" s="205"/>
      <c r="R258" s="205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</row>
    <row r="259">
      <c r="A259" s="122"/>
      <c r="B259" s="204"/>
      <c r="C259" s="204"/>
      <c r="D259" s="204"/>
      <c r="E259" s="205"/>
      <c r="F259" s="205"/>
      <c r="G259" s="205"/>
      <c r="H259" s="206"/>
      <c r="I259" s="207"/>
      <c r="J259" s="207"/>
      <c r="K259" s="207"/>
      <c r="L259" s="122"/>
      <c r="M259" s="207"/>
      <c r="N259" s="207"/>
      <c r="O259" s="122"/>
      <c r="P259" s="205"/>
      <c r="Q259" s="205"/>
      <c r="R259" s="205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</row>
    <row r="260">
      <c r="A260" s="122"/>
      <c r="B260" s="204"/>
      <c r="C260" s="204"/>
      <c r="D260" s="204"/>
      <c r="E260" s="205"/>
      <c r="F260" s="205"/>
      <c r="G260" s="205"/>
      <c r="H260" s="206"/>
      <c r="I260" s="207"/>
      <c r="J260" s="207"/>
      <c r="K260" s="207"/>
      <c r="L260" s="122"/>
      <c r="M260" s="207"/>
      <c r="N260" s="207"/>
      <c r="O260" s="122"/>
      <c r="P260" s="205"/>
      <c r="Q260" s="205"/>
      <c r="R260" s="205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</row>
    <row r="261">
      <c r="A261" s="122"/>
      <c r="B261" s="204"/>
      <c r="C261" s="204"/>
      <c r="D261" s="204"/>
      <c r="E261" s="205"/>
      <c r="F261" s="205"/>
      <c r="G261" s="205"/>
      <c r="H261" s="206"/>
      <c r="I261" s="207"/>
      <c r="J261" s="207"/>
      <c r="K261" s="207"/>
      <c r="L261" s="122"/>
      <c r="M261" s="207"/>
      <c r="N261" s="207"/>
      <c r="O261" s="122"/>
      <c r="P261" s="205"/>
      <c r="Q261" s="205"/>
      <c r="R261" s="205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</row>
    <row r="262">
      <c r="A262" s="122"/>
      <c r="B262" s="204"/>
      <c r="C262" s="204"/>
      <c r="D262" s="204"/>
      <c r="E262" s="205"/>
      <c r="F262" s="205"/>
      <c r="G262" s="205"/>
      <c r="H262" s="206"/>
      <c r="I262" s="207"/>
      <c r="J262" s="207"/>
      <c r="K262" s="207"/>
      <c r="L262" s="122"/>
      <c r="M262" s="207"/>
      <c r="N262" s="207"/>
      <c r="O262" s="122"/>
      <c r="P262" s="205"/>
      <c r="Q262" s="205"/>
      <c r="R262" s="205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</row>
    <row r="263">
      <c r="A263" s="122"/>
      <c r="B263" s="204"/>
      <c r="C263" s="204"/>
      <c r="D263" s="204"/>
      <c r="E263" s="205"/>
      <c r="F263" s="205"/>
      <c r="G263" s="205"/>
      <c r="H263" s="206"/>
      <c r="I263" s="207"/>
      <c r="J263" s="207"/>
      <c r="K263" s="207"/>
      <c r="L263" s="122"/>
      <c r="M263" s="207"/>
      <c r="N263" s="207"/>
      <c r="O263" s="122"/>
      <c r="P263" s="205"/>
      <c r="Q263" s="205"/>
      <c r="R263" s="205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</row>
    <row r="264">
      <c r="A264" s="122"/>
      <c r="B264" s="204"/>
      <c r="C264" s="204"/>
      <c r="D264" s="204"/>
      <c r="E264" s="205"/>
      <c r="F264" s="205"/>
      <c r="G264" s="205"/>
      <c r="H264" s="206"/>
      <c r="I264" s="207"/>
      <c r="J264" s="207"/>
      <c r="K264" s="207"/>
      <c r="L264" s="122"/>
      <c r="M264" s="207"/>
      <c r="N264" s="207"/>
      <c r="O264" s="122"/>
      <c r="P264" s="205"/>
      <c r="Q264" s="205"/>
      <c r="R264" s="205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</row>
    <row r="265">
      <c r="A265" s="122"/>
      <c r="B265" s="204"/>
      <c r="C265" s="204"/>
      <c r="D265" s="204"/>
      <c r="E265" s="205"/>
      <c r="F265" s="205"/>
      <c r="G265" s="205"/>
      <c r="H265" s="206"/>
      <c r="I265" s="207"/>
      <c r="J265" s="207"/>
      <c r="K265" s="207"/>
      <c r="L265" s="122"/>
      <c r="M265" s="207"/>
      <c r="N265" s="207"/>
      <c r="O265" s="122"/>
      <c r="P265" s="205"/>
      <c r="Q265" s="205"/>
      <c r="R265" s="205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</row>
    <row r="266">
      <c r="A266" s="122"/>
      <c r="B266" s="204"/>
      <c r="C266" s="204"/>
      <c r="D266" s="204"/>
      <c r="E266" s="205"/>
      <c r="F266" s="205"/>
      <c r="G266" s="205"/>
      <c r="H266" s="206"/>
      <c r="I266" s="207"/>
      <c r="J266" s="207"/>
      <c r="K266" s="207"/>
      <c r="L266" s="122"/>
      <c r="M266" s="207"/>
      <c r="N266" s="207"/>
      <c r="O266" s="122"/>
      <c r="P266" s="205"/>
      <c r="Q266" s="205"/>
      <c r="R266" s="205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</row>
    <row r="267">
      <c r="A267" s="122"/>
      <c r="B267" s="204"/>
      <c r="C267" s="204"/>
      <c r="D267" s="204"/>
      <c r="E267" s="205"/>
      <c r="F267" s="205"/>
      <c r="G267" s="205"/>
      <c r="H267" s="206"/>
      <c r="I267" s="207"/>
      <c r="J267" s="207"/>
      <c r="K267" s="207"/>
      <c r="L267" s="122"/>
      <c r="M267" s="207"/>
      <c r="N267" s="207"/>
      <c r="O267" s="122"/>
      <c r="P267" s="205"/>
      <c r="Q267" s="205"/>
      <c r="R267" s="205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</row>
    <row r="268">
      <c r="A268" s="122"/>
      <c r="B268" s="204"/>
      <c r="C268" s="204"/>
      <c r="D268" s="204"/>
      <c r="E268" s="205"/>
      <c r="F268" s="205"/>
      <c r="G268" s="205"/>
      <c r="H268" s="206"/>
      <c r="I268" s="207"/>
      <c r="J268" s="207"/>
      <c r="K268" s="207"/>
      <c r="L268" s="122"/>
      <c r="M268" s="207"/>
      <c r="N268" s="207"/>
      <c r="O268" s="122"/>
      <c r="P268" s="205"/>
      <c r="Q268" s="205"/>
      <c r="R268" s="205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</row>
    <row r="269">
      <c r="A269" s="122"/>
      <c r="B269" s="204"/>
      <c r="C269" s="204"/>
      <c r="D269" s="204"/>
      <c r="E269" s="205"/>
      <c r="F269" s="205"/>
      <c r="G269" s="205"/>
      <c r="H269" s="206"/>
      <c r="I269" s="207"/>
      <c r="J269" s="207"/>
      <c r="K269" s="207"/>
      <c r="L269" s="122"/>
      <c r="M269" s="207"/>
      <c r="N269" s="207"/>
      <c r="O269" s="122"/>
      <c r="P269" s="205"/>
      <c r="Q269" s="205"/>
      <c r="R269" s="205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</row>
    <row r="270">
      <c r="A270" s="122"/>
      <c r="B270" s="204"/>
      <c r="C270" s="204"/>
      <c r="D270" s="204"/>
      <c r="E270" s="205"/>
      <c r="F270" s="205"/>
      <c r="G270" s="205"/>
      <c r="H270" s="206"/>
      <c r="I270" s="207"/>
      <c r="J270" s="207"/>
      <c r="K270" s="207"/>
      <c r="L270" s="122"/>
      <c r="M270" s="207"/>
      <c r="N270" s="207"/>
      <c r="O270" s="122"/>
      <c r="P270" s="205"/>
      <c r="Q270" s="205"/>
      <c r="R270" s="205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</row>
    <row r="271">
      <c r="A271" s="122"/>
      <c r="B271" s="204"/>
      <c r="C271" s="204"/>
      <c r="D271" s="204"/>
      <c r="E271" s="205"/>
      <c r="F271" s="205"/>
      <c r="G271" s="205"/>
      <c r="H271" s="206"/>
      <c r="I271" s="207"/>
      <c r="J271" s="207"/>
      <c r="K271" s="207"/>
      <c r="L271" s="122"/>
      <c r="M271" s="207"/>
      <c r="N271" s="207"/>
      <c r="O271" s="122"/>
      <c r="P271" s="205"/>
      <c r="Q271" s="205"/>
      <c r="R271" s="205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</row>
    <row r="272">
      <c r="A272" s="122"/>
      <c r="B272" s="204"/>
      <c r="C272" s="204"/>
      <c r="D272" s="204"/>
      <c r="E272" s="205"/>
      <c r="F272" s="205"/>
      <c r="G272" s="205"/>
      <c r="H272" s="206"/>
      <c r="I272" s="207"/>
      <c r="J272" s="207"/>
      <c r="K272" s="207"/>
      <c r="L272" s="122"/>
      <c r="M272" s="207"/>
      <c r="N272" s="207"/>
      <c r="O272" s="122"/>
      <c r="P272" s="205"/>
      <c r="Q272" s="205"/>
      <c r="R272" s="205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</row>
    <row r="273">
      <c r="A273" s="122"/>
      <c r="B273" s="204"/>
      <c r="C273" s="204"/>
      <c r="D273" s="204"/>
      <c r="E273" s="205"/>
      <c r="F273" s="205"/>
      <c r="G273" s="205"/>
      <c r="H273" s="206"/>
      <c r="I273" s="207"/>
      <c r="J273" s="207"/>
      <c r="K273" s="207"/>
      <c r="L273" s="122"/>
      <c r="M273" s="207"/>
      <c r="N273" s="207"/>
      <c r="O273" s="122"/>
      <c r="P273" s="205"/>
      <c r="Q273" s="205"/>
      <c r="R273" s="205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</row>
    <row r="274">
      <c r="A274" s="122"/>
      <c r="B274" s="204"/>
      <c r="C274" s="204"/>
      <c r="D274" s="204"/>
      <c r="E274" s="205"/>
      <c r="F274" s="205"/>
      <c r="G274" s="205"/>
      <c r="H274" s="206"/>
      <c r="I274" s="207"/>
      <c r="J274" s="207"/>
      <c r="K274" s="207"/>
      <c r="L274" s="122"/>
      <c r="M274" s="207"/>
      <c r="N274" s="207"/>
      <c r="O274" s="122"/>
      <c r="P274" s="205"/>
      <c r="Q274" s="205"/>
      <c r="R274" s="205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</row>
    <row r="275">
      <c r="A275" s="122"/>
      <c r="B275" s="204"/>
      <c r="C275" s="204"/>
      <c r="D275" s="204"/>
      <c r="E275" s="205"/>
      <c r="F275" s="205"/>
      <c r="G275" s="205"/>
      <c r="H275" s="206"/>
      <c r="I275" s="207"/>
      <c r="J275" s="207"/>
      <c r="K275" s="207"/>
      <c r="L275" s="122"/>
      <c r="M275" s="207"/>
      <c r="N275" s="207"/>
      <c r="O275" s="122"/>
      <c r="P275" s="205"/>
      <c r="Q275" s="205"/>
      <c r="R275" s="205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</row>
    <row r="276">
      <c r="A276" s="122"/>
      <c r="B276" s="204"/>
      <c r="C276" s="204"/>
      <c r="D276" s="204"/>
      <c r="E276" s="205"/>
      <c r="F276" s="205"/>
      <c r="G276" s="205"/>
      <c r="H276" s="206"/>
      <c r="I276" s="207"/>
      <c r="J276" s="207"/>
      <c r="K276" s="207"/>
      <c r="L276" s="122"/>
      <c r="M276" s="207"/>
      <c r="N276" s="207"/>
      <c r="O276" s="122"/>
      <c r="P276" s="205"/>
      <c r="Q276" s="205"/>
      <c r="R276" s="205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</row>
    <row r="277">
      <c r="A277" s="122"/>
      <c r="B277" s="204"/>
      <c r="C277" s="204"/>
      <c r="D277" s="204"/>
      <c r="E277" s="205"/>
      <c r="F277" s="205"/>
      <c r="G277" s="205"/>
      <c r="H277" s="206"/>
      <c r="I277" s="207"/>
      <c r="J277" s="207"/>
      <c r="K277" s="207"/>
      <c r="L277" s="122"/>
      <c r="M277" s="207"/>
      <c r="N277" s="207"/>
      <c r="O277" s="122"/>
      <c r="P277" s="205"/>
      <c r="Q277" s="205"/>
      <c r="R277" s="205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</row>
    <row r="278">
      <c r="A278" s="122"/>
      <c r="B278" s="204"/>
      <c r="C278" s="204"/>
      <c r="D278" s="204"/>
      <c r="E278" s="205"/>
      <c r="F278" s="205"/>
      <c r="G278" s="205"/>
      <c r="H278" s="206"/>
      <c r="I278" s="207"/>
      <c r="J278" s="207"/>
      <c r="K278" s="207"/>
      <c r="L278" s="122"/>
      <c r="M278" s="207"/>
      <c r="N278" s="207"/>
      <c r="O278" s="122"/>
      <c r="P278" s="205"/>
      <c r="Q278" s="205"/>
      <c r="R278" s="205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</row>
    <row r="279">
      <c r="A279" s="122"/>
      <c r="B279" s="204"/>
      <c r="C279" s="204"/>
      <c r="D279" s="204"/>
      <c r="E279" s="205"/>
      <c r="F279" s="205"/>
      <c r="G279" s="205"/>
      <c r="H279" s="206"/>
      <c r="I279" s="207"/>
      <c r="J279" s="207"/>
      <c r="K279" s="207"/>
      <c r="L279" s="122"/>
      <c r="M279" s="207"/>
      <c r="N279" s="207"/>
      <c r="O279" s="122"/>
      <c r="P279" s="205"/>
      <c r="Q279" s="205"/>
      <c r="R279" s="205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</row>
    <row r="280">
      <c r="A280" s="122"/>
      <c r="B280" s="204"/>
      <c r="C280" s="204"/>
      <c r="D280" s="204"/>
      <c r="E280" s="205"/>
      <c r="F280" s="205"/>
      <c r="G280" s="205"/>
      <c r="H280" s="206"/>
      <c r="I280" s="207"/>
      <c r="J280" s="207"/>
      <c r="K280" s="207"/>
      <c r="L280" s="122"/>
      <c r="M280" s="207"/>
      <c r="N280" s="207"/>
      <c r="O280" s="122"/>
      <c r="P280" s="205"/>
      <c r="Q280" s="205"/>
      <c r="R280" s="205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</row>
    <row r="281">
      <c r="A281" s="122"/>
      <c r="B281" s="204"/>
      <c r="C281" s="204"/>
      <c r="D281" s="204"/>
      <c r="E281" s="205"/>
      <c r="F281" s="205"/>
      <c r="G281" s="205"/>
      <c r="H281" s="206"/>
      <c r="I281" s="207"/>
      <c r="J281" s="207"/>
      <c r="K281" s="207"/>
      <c r="L281" s="122"/>
      <c r="M281" s="207"/>
      <c r="N281" s="207"/>
      <c r="O281" s="122"/>
      <c r="P281" s="205"/>
      <c r="Q281" s="205"/>
      <c r="R281" s="205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</row>
    <row r="282">
      <c r="A282" s="122"/>
      <c r="B282" s="204"/>
      <c r="C282" s="204"/>
      <c r="D282" s="204"/>
      <c r="E282" s="205"/>
      <c r="F282" s="205"/>
      <c r="G282" s="205"/>
      <c r="H282" s="206"/>
      <c r="I282" s="207"/>
      <c r="J282" s="207"/>
      <c r="K282" s="207"/>
      <c r="L282" s="122"/>
      <c r="M282" s="207"/>
      <c r="N282" s="207"/>
      <c r="O282" s="122"/>
      <c r="P282" s="205"/>
      <c r="Q282" s="205"/>
      <c r="R282" s="205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</row>
    <row r="283">
      <c r="A283" s="122"/>
      <c r="B283" s="204"/>
      <c r="C283" s="204"/>
      <c r="D283" s="204"/>
      <c r="E283" s="205"/>
      <c r="F283" s="205"/>
      <c r="G283" s="205"/>
      <c r="H283" s="206"/>
      <c r="I283" s="207"/>
      <c r="J283" s="207"/>
      <c r="K283" s="207"/>
      <c r="L283" s="122"/>
      <c r="M283" s="207"/>
      <c r="N283" s="207"/>
      <c r="O283" s="122"/>
      <c r="P283" s="205"/>
      <c r="Q283" s="205"/>
      <c r="R283" s="205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</row>
    <row r="284">
      <c r="A284" s="122"/>
      <c r="B284" s="204"/>
      <c r="C284" s="204"/>
      <c r="D284" s="204"/>
      <c r="E284" s="205"/>
      <c r="F284" s="205"/>
      <c r="G284" s="205"/>
      <c r="H284" s="206"/>
      <c r="I284" s="207"/>
      <c r="J284" s="207"/>
      <c r="K284" s="207"/>
      <c r="L284" s="122"/>
      <c r="M284" s="207"/>
      <c r="N284" s="207"/>
      <c r="O284" s="122"/>
      <c r="P284" s="205"/>
      <c r="Q284" s="205"/>
      <c r="R284" s="205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</row>
    <row r="285">
      <c r="A285" s="122"/>
      <c r="B285" s="204"/>
      <c r="C285" s="204"/>
      <c r="D285" s="204"/>
      <c r="E285" s="205"/>
      <c r="F285" s="205"/>
      <c r="G285" s="205"/>
      <c r="H285" s="206"/>
      <c r="I285" s="207"/>
      <c r="J285" s="207"/>
      <c r="K285" s="207"/>
      <c r="L285" s="122"/>
      <c r="M285" s="207"/>
      <c r="N285" s="207"/>
      <c r="O285" s="122"/>
      <c r="P285" s="205"/>
      <c r="Q285" s="205"/>
      <c r="R285" s="205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</row>
    <row r="286">
      <c r="A286" s="122"/>
      <c r="B286" s="204"/>
      <c r="C286" s="204"/>
      <c r="D286" s="204"/>
      <c r="E286" s="205"/>
      <c r="F286" s="205"/>
      <c r="G286" s="205"/>
      <c r="H286" s="206"/>
      <c r="I286" s="207"/>
      <c r="J286" s="207"/>
      <c r="K286" s="207"/>
      <c r="L286" s="122"/>
      <c r="M286" s="207"/>
      <c r="N286" s="207"/>
      <c r="O286" s="122"/>
      <c r="P286" s="205"/>
      <c r="Q286" s="205"/>
      <c r="R286" s="205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</row>
    <row r="287">
      <c r="A287" s="122"/>
      <c r="B287" s="204"/>
      <c r="C287" s="204"/>
      <c r="D287" s="204"/>
      <c r="E287" s="205"/>
      <c r="F287" s="205"/>
      <c r="G287" s="205"/>
      <c r="H287" s="206"/>
      <c r="I287" s="207"/>
      <c r="J287" s="207"/>
      <c r="K287" s="207"/>
      <c r="L287" s="122"/>
      <c r="M287" s="207"/>
      <c r="N287" s="207"/>
      <c r="O287" s="122"/>
      <c r="P287" s="205"/>
      <c r="Q287" s="205"/>
      <c r="R287" s="205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</row>
    <row r="288">
      <c r="A288" s="122"/>
      <c r="B288" s="204"/>
      <c r="C288" s="204"/>
      <c r="D288" s="204"/>
      <c r="E288" s="205"/>
      <c r="F288" s="205"/>
      <c r="G288" s="205"/>
      <c r="H288" s="206"/>
      <c r="I288" s="207"/>
      <c r="J288" s="207"/>
      <c r="K288" s="207"/>
      <c r="L288" s="122"/>
      <c r="M288" s="207"/>
      <c r="N288" s="207"/>
      <c r="O288" s="122"/>
      <c r="P288" s="205"/>
      <c r="Q288" s="205"/>
      <c r="R288" s="205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</row>
    <row r="289">
      <c r="A289" s="122"/>
      <c r="B289" s="204"/>
      <c r="C289" s="204"/>
      <c r="D289" s="204"/>
      <c r="E289" s="205"/>
      <c r="F289" s="205"/>
      <c r="G289" s="205"/>
      <c r="H289" s="206"/>
      <c r="I289" s="207"/>
      <c r="J289" s="207"/>
      <c r="K289" s="207"/>
      <c r="L289" s="122"/>
      <c r="M289" s="207"/>
      <c r="N289" s="207"/>
      <c r="O289" s="122"/>
      <c r="P289" s="205"/>
      <c r="Q289" s="205"/>
      <c r="R289" s="205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</row>
    <row r="290">
      <c r="A290" s="122"/>
      <c r="B290" s="204"/>
      <c r="C290" s="204"/>
      <c r="D290" s="204"/>
      <c r="E290" s="205"/>
      <c r="F290" s="205"/>
      <c r="G290" s="205"/>
      <c r="H290" s="206"/>
      <c r="I290" s="207"/>
      <c r="J290" s="207"/>
      <c r="K290" s="207"/>
      <c r="L290" s="122"/>
      <c r="M290" s="207"/>
      <c r="N290" s="207"/>
      <c r="O290" s="122"/>
      <c r="P290" s="205"/>
      <c r="Q290" s="205"/>
      <c r="R290" s="205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</row>
    <row r="291">
      <c r="A291" s="122"/>
      <c r="B291" s="204"/>
      <c r="C291" s="204"/>
      <c r="D291" s="204"/>
      <c r="E291" s="205"/>
      <c r="F291" s="205"/>
      <c r="G291" s="205"/>
      <c r="H291" s="206"/>
      <c r="I291" s="207"/>
      <c r="J291" s="207"/>
      <c r="K291" s="207"/>
      <c r="L291" s="122"/>
      <c r="M291" s="207"/>
      <c r="N291" s="207"/>
      <c r="O291" s="122"/>
      <c r="P291" s="205"/>
      <c r="Q291" s="205"/>
      <c r="R291" s="205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</row>
    <row r="292">
      <c r="A292" s="122"/>
      <c r="B292" s="204"/>
      <c r="C292" s="204"/>
      <c r="D292" s="204"/>
      <c r="E292" s="205"/>
      <c r="F292" s="205"/>
      <c r="G292" s="205"/>
      <c r="H292" s="206"/>
      <c r="I292" s="207"/>
      <c r="J292" s="207"/>
      <c r="K292" s="207"/>
      <c r="L292" s="122"/>
      <c r="M292" s="207"/>
      <c r="N292" s="207"/>
      <c r="O292" s="122"/>
      <c r="P292" s="205"/>
      <c r="Q292" s="205"/>
      <c r="R292" s="205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</row>
    <row r="293">
      <c r="A293" s="122"/>
      <c r="B293" s="204"/>
      <c r="C293" s="204"/>
      <c r="D293" s="204"/>
      <c r="E293" s="205"/>
      <c r="F293" s="205"/>
      <c r="G293" s="205"/>
      <c r="H293" s="206"/>
      <c r="I293" s="207"/>
      <c r="J293" s="207"/>
      <c r="K293" s="207"/>
      <c r="L293" s="122"/>
      <c r="M293" s="207"/>
      <c r="N293" s="207"/>
      <c r="O293" s="122"/>
      <c r="P293" s="205"/>
      <c r="Q293" s="205"/>
      <c r="R293" s="205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</row>
    <row r="294">
      <c r="A294" s="122"/>
      <c r="B294" s="204"/>
      <c r="C294" s="204"/>
      <c r="D294" s="204"/>
      <c r="E294" s="205"/>
      <c r="F294" s="205"/>
      <c r="G294" s="205"/>
      <c r="H294" s="206"/>
      <c r="I294" s="207"/>
      <c r="J294" s="207"/>
      <c r="K294" s="207"/>
      <c r="L294" s="122"/>
      <c r="M294" s="207"/>
      <c r="N294" s="207"/>
      <c r="O294" s="122"/>
      <c r="P294" s="205"/>
      <c r="Q294" s="205"/>
      <c r="R294" s="205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</row>
    <row r="295">
      <c r="A295" s="122"/>
      <c r="B295" s="204"/>
      <c r="C295" s="204"/>
      <c r="D295" s="204"/>
      <c r="E295" s="205"/>
      <c r="F295" s="205"/>
      <c r="G295" s="205"/>
      <c r="H295" s="206"/>
      <c r="I295" s="207"/>
      <c r="J295" s="207"/>
      <c r="K295" s="207"/>
      <c r="L295" s="122"/>
      <c r="M295" s="207"/>
      <c r="N295" s="207"/>
      <c r="O295" s="122"/>
      <c r="P295" s="205"/>
      <c r="Q295" s="205"/>
      <c r="R295" s="205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</row>
    <row r="296">
      <c r="A296" s="122"/>
      <c r="B296" s="204"/>
      <c r="C296" s="204"/>
      <c r="D296" s="204"/>
      <c r="E296" s="205"/>
      <c r="F296" s="205"/>
      <c r="G296" s="205"/>
      <c r="H296" s="206"/>
      <c r="I296" s="207"/>
      <c r="J296" s="207"/>
      <c r="K296" s="207"/>
      <c r="L296" s="122"/>
      <c r="M296" s="207"/>
      <c r="N296" s="207"/>
      <c r="O296" s="122"/>
      <c r="P296" s="205"/>
      <c r="Q296" s="205"/>
      <c r="R296" s="205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</row>
    <row r="297">
      <c r="A297" s="122"/>
      <c r="B297" s="204"/>
      <c r="C297" s="204"/>
      <c r="D297" s="204"/>
      <c r="E297" s="205"/>
      <c r="F297" s="205"/>
      <c r="G297" s="205"/>
      <c r="H297" s="206"/>
      <c r="I297" s="207"/>
      <c r="J297" s="207"/>
      <c r="K297" s="207"/>
      <c r="L297" s="122"/>
      <c r="M297" s="207"/>
      <c r="N297" s="207"/>
      <c r="O297" s="122"/>
      <c r="P297" s="205"/>
      <c r="Q297" s="205"/>
      <c r="R297" s="205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</row>
    <row r="298">
      <c r="A298" s="122"/>
      <c r="B298" s="204"/>
      <c r="C298" s="204"/>
      <c r="D298" s="204"/>
      <c r="E298" s="205"/>
      <c r="F298" s="205"/>
      <c r="G298" s="205"/>
      <c r="H298" s="206"/>
      <c r="I298" s="207"/>
      <c r="J298" s="207"/>
      <c r="K298" s="207"/>
      <c r="L298" s="122"/>
      <c r="M298" s="207"/>
      <c r="N298" s="207"/>
      <c r="O298" s="122"/>
      <c r="P298" s="205"/>
      <c r="Q298" s="205"/>
      <c r="R298" s="205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</row>
    <row r="299">
      <c r="A299" s="122"/>
      <c r="B299" s="204"/>
      <c r="C299" s="204"/>
      <c r="D299" s="204"/>
      <c r="E299" s="205"/>
      <c r="F299" s="205"/>
      <c r="G299" s="205"/>
      <c r="H299" s="206"/>
      <c r="I299" s="207"/>
      <c r="J299" s="207"/>
      <c r="K299" s="207"/>
      <c r="L299" s="122"/>
      <c r="M299" s="207"/>
      <c r="N299" s="207"/>
      <c r="O299" s="122"/>
      <c r="P299" s="205"/>
      <c r="Q299" s="205"/>
      <c r="R299" s="205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</row>
    <row r="300">
      <c r="A300" s="122"/>
      <c r="B300" s="204"/>
      <c r="C300" s="204"/>
      <c r="D300" s="204"/>
      <c r="E300" s="205"/>
      <c r="F300" s="205"/>
      <c r="G300" s="205"/>
      <c r="H300" s="206"/>
      <c r="I300" s="207"/>
      <c r="J300" s="207"/>
      <c r="K300" s="207"/>
      <c r="L300" s="122"/>
      <c r="M300" s="207"/>
      <c r="N300" s="207"/>
      <c r="O300" s="122"/>
      <c r="P300" s="205"/>
      <c r="Q300" s="205"/>
      <c r="R300" s="205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</row>
    <row r="301">
      <c r="A301" s="122"/>
      <c r="B301" s="204"/>
      <c r="C301" s="204"/>
      <c r="D301" s="204"/>
      <c r="E301" s="205"/>
      <c r="F301" s="205"/>
      <c r="G301" s="205"/>
      <c r="H301" s="206"/>
      <c r="I301" s="207"/>
      <c r="J301" s="207"/>
      <c r="K301" s="207"/>
      <c r="L301" s="122"/>
      <c r="M301" s="207"/>
      <c r="N301" s="207"/>
      <c r="O301" s="122"/>
      <c r="P301" s="205"/>
      <c r="Q301" s="205"/>
      <c r="R301" s="205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</row>
    <row r="302">
      <c r="A302" s="122"/>
      <c r="B302" s="204"/>
      <c r="C302" s="204"/>
      <c r="D302" s="204"/>
      <c r="E302" s="205"/>
      <c r="F302" s="205"/>
      <c r="G302" s="205"/>
      <c r="H302" s="206"/>
      <c r="I302" s="207"/>
      <c r="J302" s="207"/>
      <c r="K302" s="207"/>
      <c r="L302" s="122"/>
      <c r="M302" s="207"/>
      <c r="N302" s="207"/>
      <c r="O302" s="122"/>
      <c r="P302" s="205"/>
      <c r="Q302" s="205"/>
      <c r="R302" s="205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</row>
    <row r="303">
      <c r="A303" s="122"/>
      <c r="B303" s="204"/>
      <c r="C303" s="204"/>
      <c r="D303" s="204"/>
      <c r="E303" s="205"/>
      <c r="F303" s="205"/>
      <c r="G303" s="205"/>
      <c r="H303" s="206"/>
      <c r="I303" s="207"/>
      <c r="J303" s="207"/>
      <c r="K303" s="207"/>
      <c r="L303" s="122"/>
      <c r="M303" s="207"/>
      <c r="N303" s="207"/>
      <c r="O303" s="122"/>
      <c r="P303" s="205"/>
      <c r="Q303" s="205"/>
      <c r="R303" s="205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</row>
    <row r="304">
      <c r="A304" s="122"/>
      <c r="B304" s="204"/>
      <c r="C304" s="204"/>
      <c r="D304" s="204"/>
      <c r="E304" s="205"/>
      <c r="F304" s="205"/>
      <c r="G304" s="205"/>
      <c r="H304" s="206"/>
      <c r="I304" s="207"/>
      <c r="J304" s="207"/>
      <c r="K304" s="207"/>
      <c r="L304" s="122"/>
      <c r="M304" s="207"/>
      <c r="N304" s="207"/>
      <c r="O304" s="122"/>
      <c r="P304" s="205"/>
      <c r="Q304" s="205"/>
      <c r="R304" s="205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</row>
    <row r="305">
      <c r="A305" s="122"/>
      <c r="B305" s="204"/>
      <c r="C305" s="204"/>
      <c r="D305" s="204"/>
      <c r="E305" s="205"/>
      <c r="F305" s="205"/>
      <c r="G305" s="205"/>
      <c r="H305" s="206"/>
      <c r="I305" s="207"/>
      <c r="J305" s="207"/>
      <c r="K305" s="207"/>
      <c r="L305" s="122"/>
      <c r="M305" s="207"/>
      <c r="N305" s="207"/>
      <c r="O305" s="122"/>
      <c r="P305" s="205"/>
      <c r="Q305" s="205"/>
      <c r="R305" s="205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</row>
    <row r="306">
      <c r="A306" s="122"/>
      <c r="B306" s="204"/>
      <c r="C306" s="204"/>
      <c r="D306" s="204"/>
      <c r="E306" s="205"/>
      <c r="F306" s="205"/>
      <c r="G306" s="205"/>
      <c r="H306" s="206"/>
      <c r="I306" s="207"/>
      <c r="J306" s="207"/>
      <c r="K306" s="207"/>
      <c r="L306" s="122"/>
      <c r="M306" s="207"/>
      <c r="N306" s="207"/>
      <c r="O306" s="122"/>
      <c r="P306" s="205"/>
      <c r="Q306" s="205"/>
      <c r="R306" s="205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</row>
    <row r="307">
      <c r="A307" s="122"/>
      <c r="B307" s="204"/>
      <c r="C307" s="204"/>
      <c r="D307" s="204"/>
      <c r="E307" s="205"/>
      <c r="F307" s="205"/>
      <c r="G307" s="205"/>
      <c r="H307" s="206"/>
      <c r="I307" s="207"/>
      <c r="J307" s="207"/>
      <c r="K307" s="207"/>
      <c r="L307" s="122"/>
      <c r="M307" s="207"/>
      <c r="N307" s="207"/>
      <c r="O307" s="122"/>
      <c r="P307" s="205"/>
      <c r="Q307" s="205"/>
      <c r="R307" s="205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</row>
    <row r="308">
      <c r="A308" s="122"/>
      <c r="B308" s="204"/>
      <c r="C308" s="204"/>
      <c r="D308" s="204"/>
      <c r="E308" s="205"/>
      <c r="F308" s="205"/>
      <c r="G308" s="205"/>
      <c r="H308" s="206"/>
      <c r="I308" s="207"/>
      <c r="J308" s="207"/>
      <c r="K308" s="207"/>
      <c r="L308" s="122"/>
      <c r="M308" s="207"/>
      <c r="N308" s="207"/>
      <c r="O308" s="122"/>
      <c r="P308" s="205"/>
      <c r="Q308" s="205"/>
      <c r="R308" s="205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</row>
    <row r="309">
      <c r="A309" s="122"/>
      <c r="B309" s="204"/>
      <c r="C309" s="204"/>
      <c r="D309" s="204"/>
      <c r="E309" s="205"/>
      <c r="F309" s="205"/>
      <c r="G309" s="205"/>
      <c r="H309" s="206"/>
      <c r="I309" s="207"/>
      <c r="J309" s="207"/>
      <c r="K309" s="207"/>
      <c r="L309" s="122"/>
      <c r="M309" s="207"/>
      <c r="N309" s="207"/>
      <c r="O309" s="122"/>
      <c r="P309" s="205"/>
      <c r="Q309" s="205"/>
      <c r="R309" s="205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</row>
    <row r="310">
      <c r="A310" s="122"/>
      <c r="B310" s="204"/>
      <c r="C310" s="204"/>
      <c r="D310" s="204"/>
      <c r="E310" s="205"/>
      <c r="F310" s="205"/>
      <c r="G310" s="205"/>
      <c r="H310" s="206"/>
      <c r="I310" s="207"/>
      <c r="J310" s="207"/>
      <c r="K310" s="207"/>
      <c r="L310" s="122"/>
      <c r="M310" s="207"/>
      <c r="N310" s="207"/>
      <c r="O310" s="122"/>
      <c r="P310" s="205"/>
      <c r="Q310" s="205"/>
      <c r="R310" s="205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</row>
    <row r="311">
      <c r="A311" s="122"/>
      <c r="B311" s="204"/>
      <c r="C311" s="204"/>
      <c r="D311" s="204"/>
      <c r="E311" s="205"/>
      <c r="F311" s="205"/>
      <c r="G311" s="205"/>
      <c r="H311" s="206"/>
      <c r="I311" s="207"/>
      <c r="J311" s="207"/>
      <c r="K311" s="207"/>
      <c r="L311" s="122"/>
      <c r="M311" s="207"/>
      <c r="N311" s="207"/>
      <c r="O311" s="122"/>
      <c r="P311" s="205"/>
      <c r="Q311" s="205"/>
      <c r="R311" s="205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</row>
    <row r="312">
      <c r="A312" s="122"/>
      <c r="B312" s="204"/>
      <c r="C312" s="204"/>
      <c r="D312" s="204"/>
      <c r="E312" s="205"/>
      <c r="F312" s="205"/>
      <c r="G312" s="205"/>
      <c r="H312" s="206"/>
      <c r="I312" s="207"/>
      <c r="J312" s="207"/>
      <c r="K312" s="207"/>
      <c r="L312" s="122"/>
      <c r="M312" s="207"/>
      <c r="N312" s="207"/>
      <c r="O312" s="122"/>
      <c r="P312" s="205"/>
      <c r="Q312" s="205"/>
      <c r="R312" s="205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</row>
    <row r="313">
      <c r="A313" s="122"/>
      <c r="B313" s="204"/>
      <c r="C313" s="204"/>
      <c r="D313" s="204"/>
      <c r="E313" s="205"/>
      <c r="F313" s="205"/>
      <c r="G313" s="205"/>
      <c r="H313" s="206"/>
      <c r="I313" s="207"/>
      <c r="J313" s="207"/>
      <c r="K313" s="207"/>
      <c r="L313" s="122"/>
      <c r="M313" s="207"/>
      <c r="N313" s="207"/>
      <c r="O313" s="122"/>
      <c r="P313" s="205"/>
      <c r="Q313" s="205"/>
      <c r="R313" s="205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</row>
    <row r="314">
      <c r="A314" s="122"/>
      <c r="B314" s="204"/>
      <c r="C314" s="204"/>
      <c r="D314" s="204"/>
      <c r="E314" s="205"/>
      <c r="F314" s="205"/>
      <c r="G314" s="205"/>
      <c r="H314" s="206"/>
      <c r="I314" s="207"/>
      <c r="J314" s="207"/>
      <c r="K314" s="207"/>
      <c r="L314" s="122"/>
      <c r="M314" s="207"/>
      <c r="N314" s="207"/>
      <c r="O314" s="122"/>
      <c r="P314" s="205"/>
      <c r="Q314" s="205"/>
      <c r="R314" s="205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</row>
    <row r="315">
      <c r="A315" s="122"/>
      <c r="B315" s="204"/>
      <c r="C315" s="204"/>
      <c r="D315" s="204"/>
      <c r="E315" s="205"/>
      <c r="F315" s="205"/>
      <c r="G315" s="205"/>
      <c r="H315" s="206"/>
      <c r="I315" s="207"/>
      <c r="J315" s="207"/>
      <c r="K315" s="207"/>
      <c r="L315" s="122"/>
      <c r="M315" s="207"/>
      <c r="N315" s="207"/>
      <c r="O315" s="122"/>
      <c r="P315" s="205"/>
      <c r="Q315" s="205"/>
      <c r="R315" s="205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</row>
    <row r="316">
      <c r="A316" s="122"/>
      <c r="B316" s="204"/>
      <c r="C316" s="204"/>
      <c r="D316" s="204"/>
      <c r="E316" s="205"/>
      <c r="F316" s="205"/>
      <c r="G316" s="205"/>
      <c r="H316" s="206"/>
      <c r="I316" s="207"/>
      <c r="J316" s="207"/>
      <c r="K316" s="207"/>
      <c r="L316" s="122"/>
      <c r="M316" s="207"/>
      <c r="N316" s="207"/>
      <c r="O316" s="122"/>
      <c r="P316" s="205"/>
      <c r="Q316" s="205"/>
      <c r="R316" s="205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</row>
    <row r="317">
      <c r="A317" s="122"/>
      <c r="B317" s="204"/>
      <c r="C317" s="204"/>
      <c r="D317" s="204"/>
      <c r="E317" s="205"/>
      <c r="F317" s="205"/>
      <c r="G317" s="205"/>
      <c r="H317" s="206"/>
      <c r="I317" s="207"/>
      <c r="J317" s="207"/>
      <c r="K317" s="207"/>
      <c r="L317" s="122"/>
      <c r="M317" s="207"/>
      <c r="N317" s="207"/>
      <c r="O317" s="122"/>
      <c r="P317" s="205"/>
      <c r="Q317" s="205"/>
      <c r="R317" s="205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</row>
    <row r="318">
      <c r="A318" s="122"/>
      <c r="B318" s="204"/>
      <c r="C318" s="204"/>
      <c r="D318" s="204"/>
      <c r="E318" s="205"/>
      <c r="F318" s="205"/>
      <c r="G318" s="205"/>
      <c r="H318" s="206"/>
      <c r="I318" s="207"/>
      <c r="J318" s="207"/>
      <c r="K318" s="207"/>
      <c r="L318" s="122"/>
      <c r="M318" s="207"/>
      <c r="N318" s="207"/>
      <c r="O318" s="122"/>
      <c r="P318" s="205"/>
      <c r="Q318" s="205"/>
      <c r="R318" s="205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</row>
    <row r="319">
      <c r="A319" s="122"/>
      <c r="B319" s="204"/>
      <c r="C319" s="204"/>
      <c r="D319" s="204"/>
      <c r="E319" s="205"/>
      <c r="F319" s="205"/>
      <c r="G319" s="205"/>
      <c r="H319" s="206"/>
      <c r="I319" s="207"/>
      <c r="J319" s="207"/>
      <c r="K319" s="207"/>
      <c r="L319" s="122"/>
      <c r="M319" s="207"/>
      <c r="N319" s="207"/>
      <c r="O319" s="122"/>
      <c r="P319" s="205"/>
      <c r="Q319" s="205"/>
      <c r="R319" s="205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</row>
    <row r="320">
      <c r="A320" s="122"/>
      <c r="B320" s="204"/>
      <c r="C320" s="204"/>
      <c r="D320" s="204"/>
      <c r="E320" s="205"/>
      <c r="F320" s="205"/>
      <c r="G320" s="205"/>
      <c r="H320" s="206"/>
      <c r="I320" s="207"/>
      <c r="J320" s="207"/>
      <c r="K320" s="207"/>
      <c r="L320" s="122"/>
      <c r="M320" s="207"/>
      <c r="N320" s="207"/>
      <c r="O320" s="122"/>
      <c r="P320" s="205"/>
      <c r="Q320" s="205"/>
      <c r="R320" s="205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</row>
    <row r="321">
      <c r="A321" s="122"/>
      <c r="B321" s="204"/>
      <c r="C321" s="204"/>
      <c r="D321" s="204"/>
      <c r="E321" s="205"/>
      <c r="F321" s="205"/>
      <c r="G321" s="205"/>
      <c r="H321" s="206"/>
      <c r="I321" s="207"/>
      <c r="J321" s="207"/>
      <c r="K321" s="207"/>
      <c r="L321" s="122"/>
      <c r="M321" s="207"/>
      <c r="N321" s="207"/>
      <c r="O321" s="122"/>
      <c r="P321" s="205"/>
      <c r="Q321" s="205"/>
      <c r="R321" s="205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</row>
    <row r="322">
      <c r="A322" s="122"/>
      <c r="B322" s="204"/>
      <c r="C322" s="204"/>
      <c r="D322" s="204"/>
      <c r="E322" s="205"/>
      <c r="F322" s="205"/>
      <c r="G322" s="205"/>
      <c r="H322" s="206"/>
      <c r="I322" s="207"/>
      <c r="J322" s="207"/>
      <c r="K322" s="207"/>
      <c r="L322" s="122"/>
      <c r="M322" s="207"/>
      <c r="N322" s="207"/>
      <c r="O322" s="122"/>
      <c r="P322" s="205"/>
      <c r="Q322" s="205"/>
      <c r="R322" s="205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</row>
    <row r="323">
      <c r="A323" s="122"/>
      <c r="B323" s="204"/>
      <c r="C323" s="204"/>
      <c r="D323" s="204"/>
      <c r="E323" s="205"/>
      <c r="F323" s="205"/>
      <c r="G323" s="205"/>
      <c r="H323" s="206"/>
      <c r="I323" s="207"/>
      <c r="J323" s="207"/>
      <c r="K323" s="207"/>
      <c r="L323" s="122"/>
      <c r="M323" s="207"/>
      <c r="N323" s="207"/>
      <c r="O323" s="122"/>
      <c r="P323" s="205"/>
      <c r="Q323" s="205"/>
      <c r="R323" s="205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</row>
    <row r="324">
      <c r="A324" s="122"/>
      <c r="B324" s="204"/>
      <c r="C324" s="204"/>
      <c r="D324" s="204"/>
      <c r="E324" s="205"/>
      <c r="F324" s="205"/>
      <c r="G324" s="205"/>
      <c r="H324" s="206"/>
      <c r="I324" s="207"/>
      <c r="J324" s="207"/>
      <c r="K324" s="207"/>
      <c r="L324" s="122"/>
      <c r="M324" s="207"/>
      <c r="N324" s="207"/>
      <c r="O324" s="122"/>
      <c r="P324" s="205"/>
      <c r="Q324" s="205"/>
      <c r="R324" s="205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</row>
    <row r="325">
      <c r="A325" s="122"/>
      <c r="B325" s="204"/>
      <c r="C325" s="204"/>
      <c r="D325" s="204"/>
      <c r="E325" s="205"/>
      <c r="F325" s="205"/>
      <c r="G325" s="205"/>
      <c r="H325" s="206"/>
      <c r="I325" s="207"/>
      <c r="J325" s="207"/>
      <c r="K325" s="207"/>
      <c r="L325" s="122"/>
      <c r="M325" s="207"/>
      <c r="N325" s="207"/>
      <c r="O325" s="122"/>
      <c r="P325" s="205"/>
      <c r="Q325" s="205"/>
      <c r="R325" s="205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</row>
    <row r="326">
      <c r="A326" s="122"/>
      <c r="B326" s="204"/>
      <c r="C326" s="204"/>
      <c r="D326" s="204"/>
      <c r="E326" s="205"/>
      <c r="F326" s="205"/>
      <c r="G326" s="205"/>
      <c r="H326" s="206"/>
      <c r="I326" s="207"/>
      <c r="J326" s="207"/>
      <c r="K326" s="207"/>
      <c r="L326" s="122"/>
      <c r="M326" s="207"/>
      <c r="N326" s="207"/>
      <c r="O326" s="122"/>
      <c r="P326" s="205"/>
      <c r="Q326" s="205"/>
      <c r="R326" s="205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</row>
    <row r="327">
      <c r="A327" s="122"/>
      <c r="B327" s="204"/>
      <c r="C327" s="204"/>
      <c r="D327" s="204"/>
      <c r="E327" s="205"/>
      <c r="F327" s="205"/>
      <c r="G327" s="205"/>
      <c r="H327" s="206"/>
      <c r="I327" s="207"/>
      <c r="J327" s="207"/>
      <c r="K327" s="207"/>
      <c r="L327" s="122"/>
      <c r="M327" s="207"/>
      <c r="N327" s="207"/>
      <c r="O327" s="122"/>
      <c r="P327" s="205"/>
      <c r="Q327" s="205"/>
      <c r="R327" s="205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</row>
    <row r="328">
      <c r="A328" s="122"/>
      <c r="B328" s="204"/>
      <c r="C328" s="204"/>
      <c r="D328" s="204"/>
      <c r="E328" s="205"/>
      <c r="F328" s="205"/>
      <c r="G328" s="205"/>
      <c r="H328" s="206"/>
      <c r="I328" s="207"/>
      <c r="J328" s="207"/>
      <c r="K328" s="207"/>
      <c r="L328" s="122"/>
      <c r="M328" s="207"/>
      <c r="N328" s="207"/>
      <c r="O328" s="122"/>
      <c r="P328" s="205"/>
      <c r="Q328" s="205"/>
      <c r="R328" s="205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</row>
    <row r="329">
      <c r="A329" s="122"/>
      <c r="B329" s="204"/>
      <c r="C329" s="204"/>
      <c r="D329" s="204"/>
      <c r="E329" s="205"/>
      <c r="F329" s="205"/>
      <c r="G329" s="205"/>
      <c r="H329" s="206"/>
      <c r="I329" s="207"/>
      <c r="J329" s="207"/>
      <c r="K329" s="207"/>
      <c r="L329" s="122"/>
      <c r="M329" s="207"/>
      <c r="N329" s="207"/>
      <c r="O329" s="122"/>
      <c r="P329" s="205"/>
      <c r="Q329" s="205"/>
      <c r="R329" s="205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</row>
    <row r="330">
      <c r="A330" s="122"/>
      <c r="B330" s="204"/>
      <c r="C330" s="204"/>
      <c r="D330" s="204"/>
      <c r="E330" s="205"/>
      <c r="F330" s="205"/>
      <c r="G330" s="205"/>
      <c r="H330" s="206"/>
      <c r="I330" s="207"/>
      <c r="J330" s="207"/>
      <c r="K330" s="207"/>
      <c r="L330" s="122"/>
      <c r="M330" s="207"/>
      <c r="N330" s="207"/>
      <c r="O330" s="122"/>
      <c r="P330" s="205"/>
      <c r="Q330" s="205"/>
      <c r="R330" s="205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</row>
    <row r="331">
      <c r="A331" s="122"/>
      <c r="B331" s="204"/>
      <c r="C331" s="204"/>
      <c r="D331" s="204"/>
      <c r="E331" s="205"/>
      <c r="F331" s="205"/>
      <c r="G331" s="205"/>
      <c r="H331" s="206"/>
      <c r="I331" s="207"/>
      <c r="J331" s="207"/>
      <c r="K331" s="207"/>
      <c r="L331" s="122"/>
      <c r="M331" s="207"/>
      <c r="N331" s="207"/>
      <c r="O331" s="122"/>
      <c r="P331" s="205"/>
      <c r="Q331" s="205"/>
      <c r="R331" s="205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</row>
    <row r="332">
      <c r="A332" s="122"/>
      <c r="B332" s="204"/>
      <c r="C332" s="204"/>
      <c r="D332" s="204"/>
      <c r="E332" s="205"/>
      <c r="F332" s="205"/>
      <c r="G332" s="205"/>
      <c r="H332" s="206"/>
      <c r="I332" s="207"/>
      <c r="J332" s="207"/>
      <c r="K332" s="207"/>
      <c r="L332" s="122"/>
      <c r="M332" s="207"/>
      <c r="N332" s="207"/>
      <c r="O332" s="122"/>
      <c r="P332" s="205"/>
      <c r="Q332" s="205"/>
      <c r="R332" s="205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</row>
    <row r="333">
      <c r="A333" s="122"/>
      <c r="B333" s="204"/>
      <c r="C333" s="204"/>
      <c r="D333" s="204"/>
      <c r="E333" s="205"/>
      <c r="F333" s="205"/>
      <c r="G333" s="205"/>
      <c r="H333" s="206"/>
      <c r="I333" s="207"/>
      <c r="J333" s="207"/>
      <c r="K333" s="207"/>
      <c r="L333" s="122"/>
      <c r="M333" s="207"/>
      <c r="N333" s="207"/>
      <c r="O333" s="122"/>
      <c r="P333" s="205"/>
      <c r="Q333" s="205"/>
      <c r="R333" s="205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</row>
    <row r="334">
      <c r="A334" s="122"/>
      <c r="B334" s="204"/>
      <c r="C334" s="204"/>
      <c r="D334" s="204"/>
      <c r="E334" s="205"/>
      <c r="F334" s="205"/>
      <c r="G334" s="205"/>
      <c r="H334" s="206"/>
      <c r="I334" s="207"/>
      <c r="J334" s="207"/>
      <c r="K334" s="207"/>
      <c r="L334" s="122"/>
      <c r="M334" s="207"/>
      <c r="N334" s="207"/>
      <c r="O334" s="122"/>
      <c r="P334" s="205"/>
      <c r="Q334" s="205"/>
      <c r="R334" s="205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</row>
    <row r="335">
      <c r="A335" s="122"/>
      <c r="B335" s="204"/>
      <c r="C335" s="204"/>
      <c r="D335" s="204"/>
      <c r="E335" s="205"/>
      <c r="F335" s="205"/>
      <c r="G335" s="205"/>
      <c r="H335" s="206"/>
      <c r="I335" s="207"/>
      <c r="J335" s="207"/>
      <c r="K335" s="207"/>
      <c r="L335" s="122"/>
      <c r="M335" s="207"/>
      <c r="N335" s="207"/>
      <c r="O335" s="122"/>
      <c r="P335" s="205"/>
      <c r="Q335" s="205"/>
      <c r="R335" s="205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</row>
    <row r="336">
      <c r="A336" s="122"/>
      <c r="B336" s="204"/>
      <c r="C336" s="204"/>
      <c r="D336" s="204"/>
      <c r="E336" s="205"/>
      <c r="F336" s="205"/>
      <c r="G336" s="205"/>
      <c r="H336" s="206"/>
      <c r="I336" s="207"/>
      <c r="J336" s="207"/>
      <c r="K336" s="207"/>
      <c r="L336" s="122"/>
      <c r="M336" s="207"/>
      <c r="N336" s="207"/>
      <c r="O336" s="122"/>
      <c r="P336" s="205"/>
      <c r="Q336" s="205"/>
      <c r="R336" s="205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</row>
    <row r="337">
      <c r="A337" s="122"/>
      <c r="B337" s="204"/>
      <c r="C337" s="204"/>
      <c r="D337" s="204"/>
      <c r="E337" s="205"/>
      <c r="F337" s="205"/>
      <c r="G337" s="205"/>
      <c r="H337" s="206"/>
      <c r="I337" s="207"/>
      <c r="J337" s="207"/>
      <c r="K337" s="207"/>
      <c r="L337" s="122"/>
      <c r="M337" s="207"/>
      <c r="N337" s="207"/>
      <c r="O337" s="122"/>
      <c r="P337" s="205"/>
      <c r="Q337" s="205"/>
      <c r="R337" s="205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</row>
    <row r="338">
      <c r="A338" s="122"/>
      <c r="B338" s="204"/>
      <c r="C338" s="204"/>
      <c r="D338" s="204"/>
      <c r="E338" s="205"/>
      <c r="F338" s="205"/>
      <c r="G338" s="205"/>
      <c r="H338" s="206"/>
      <c r="I338" s="207"/>
      <c r="J338" s="207"/>
      <c r="K338" s="207"/>
      <c r="L338" s="122"/>
      <c r="M338" s="207"/>
      <c r="N338" s="207"/>
      <c r="O338" s="122"/>
      <c r="P338" s="205"/>
      <c r="Q338" s="205"/>
      <c r="R338" s="205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</row>
    <row r="339">
      <c r="A339" s="122"/>
      <c r="B339" s="204"/>
      <c r="C339" s="204"/>
      <c r="D339" s="204"/>
      <c r="E339" s="205"/>
      <c r="F339" s="205"/>
      <c r="G339" s="205"/>
      <c r="H339" s="206"/>
      <c r="I339" s="207"/>
      <c r="J339" s="207"/>
      <c r="K339" s="207"/>
      <c r="L339" s="122"/>
      <c r="M339" s="207"/>
      <c r="N339" s="207"/>
      <c r="O339" s="122"/>
      <c r="P339" s="205"/>
      <c r="Q339" s="205"/>
      <c r="R339" s="205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</row>
    <row r="340">
      <c r="A340" s="122"/>
      <c r="B340" s="204"/>
      <c r="C340" s="204"/>
      <c r="D340" s="204"/>
      <c r="E340" s="205"/>
      <c r="F340" s="205"/>
      <c r="G340" s="205"/>
      <c r="H340" s="206"/>
      <c r="I340" s="207"/>
      <c r="J340" s="207"/>
      <c r="K340" s="207"/>
      <c r="L340" s="122"/>
      <c r="M340" s="207"/>
      <c r="N340" s="207"/>
      <c r="O340" s="122"/>
      <c r="P340" s="205"/>
      <c r="Q340" s="205"/>
      <c r="R340" s="205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</row>
    <row r="341">
      <c r="A341" s="122"/>
      <c r="B341" s="204"/>
      <c r="C341" s="204"/>
      <c r="D341" s="204"/>
      <c r="E341" s="205"/>
      <c r="F341" s="205"/>
      <c r="G341" s="205"/>
      <c r="H341" s="206"/>
      <c r="I341" s="207"/>
      <c r="J341" s="207"/>
      <c r="K341" s="207"/>
      <c r="L341" s="122"/>
      <c r="M341" s="207"/>
      <c r="N341" s="207"/>
      <c r="O341" s="122"/>
      <c r="P341" s="205"/>
      <c r="Q341" s="205"/>
      <c r="R341" s="205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</row>
    <row r="342">
      <c r="A342" s="122"/>
      <c r="B342" s="204"/>
      <c r="C342" s="204"/>
      <c r="D342" s="204"/>
      <c r="E342" s="205"/>
      <c r="F342" s="205"/>
      <c r="G342" s="205"/>
      <c r="H342" s="206"/>
      <c r="I342" s="207"/>
      <c r="J342" s="207"/>
      <c r="K342" s="207"/>
      <c r="L342" s="122"/>
      <c r="M342" s="207"/>
      <c r="N342" s="207"/>
      <c r="O342" s="122"/>
      <c r="P342" s="205"/>
      <c r="Q342" s="205"/>
      <c r="R342" s="205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</row>
    <row r="343">
      <c r="A343" s="122"/>
      <c r="B343" s="204"/>
      <c r="C343" s="204"/>
      <c r="D343" s="204"/>
      <c r="E343" s="205"/>
      <c r="F343" s="205"/>
      <c r="G343" s="205"/>
      <c r="H343" s="206"/>
      <c r="I343" s="207"/>
      <c r="J343" s="207"/>
      <c r="K343" s="207"/>
      <c r="L343" s="122"/>
      <c r="M343" s="207"/>
      <c r="N343" s="207"/>
      <c r="O343" s="122"/>
      <c r="P343" s="205"/>
      <c r="Q343" s="205"/>
      <c r="R343" s="205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</row>
    <row r="344">
      <c r="A344" s="122"/>
      <c r="B344" s="204"/>
      <c r="C344" s="204"/>
      <c r="D344" s="204"/>
      <c r="E344" s="205"/>
      <c r="F344" s="205"/>
      <c r="G344" s="205"/>
      <c r="H344" s="206"/>
      <c r="I344" s="207"/>
      <c r="J344" s="207"/>
      <c r="K344" s="207"/>
      <c r="L344" s="122"/>
      <c r="M344" s="207"/>
      <c r="N344" s="207"/>
      <c r="O344" s="122"/>
      <c r="P344" s="205"/>
      <c r="Q344" s="205"/>
      <c r="R344" s="205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</row>
    <row r="345">
      <c r="A345" s="122"/>
      <c r="B345" s="204"/>
      <c r="C345" s="204"/>
      <c r="D345" s="204"/>
      <c r="E345" s="205"/>
      <c r="F345" s="205"/>
      <c r="G345" s="205"/>
      <c r="H345" s="206"/>
      <c r="I345" s="207"/>
      <c r="J345" s="207"/>
      <c r="K345" s="207"/>
      <c r="L345" s="122"/>
      <c r="M345" s="207"/>
      <c r="N345" s="207"/>
      <c r="O345" s="122"/>
      <c r="P345" s="205"/>
      <c r="Q345" s="205"/>
      <c r="R345" s="205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</row>
    <row r="346">
      <c r="A346" s="122"/>
      <c r="B346" s="204"/>
      <c r="C346" s="204"/>
      <c r="D346" s="204"/>
      <c r="E346" s="205"/>
      <c r="F346" s="205"/>
      <c r="G346" s="205"/>
      <c r="H346" s="206"/>
      <c r="I346" s="207"/>
      <c r="J346" s="207"/>
      <c r="K346" s="207"/>
      <c r="L346" s="122"/>
      <c r="M346" s="207"/>
      <c r="N346" s="207"/>
      <c r="O346" s="122"/>
      <c r="P346" s="205"/>
      <c r="Q346" s="205"/>
      <c r="R346" s="205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</row>
    <row r="347">
      <c r="A347" s="122"/>
      <c r="B347" s="204"/>
      <c r="C347" s="204"/>
      <c r="D347" s="204"/>
      <c r="E347" s="205"/>
      <c r="F347" s="205"/>
      <c r="G347" s="205"/>
      <c r="H347" s="206"/>
      <c r="I347" s="207"/>
      <c r="J347" s="207"/>
      <c r="K347" s="207"/>
      <c r="L347" s="122"/>
      <c r="M347" s="207"/>
      <c r="N347" s="207"/>
      <c r="O347" s="122"/>
      <c r="P347" s="205"/>
      <c r="Q347" s="205"/>
      <c r="R347" s="205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</row>
    <row r="348">
      <c r="A348" s="122"/>
      <c r="B348" s="204"/>
      <c r="C348" s="204"/>
      <c r="D348" s="204"/>
      <c r="E348" s="205"/>
      <c r="F348" s="205"/>
      <c r="G348" s="205"/>
      <c r="H348" s="206"/>
      <c r="I348" s="207"/>
      <c r="J348" s="207"/>
      <c r="K348" s="207"/>
      <c r="L348" s="122"/>
      <c r="M348" s="207"/>
      <c r="N348" s="207"/>
      <c r="O348" s="122"/>
      <c r="P348" s="205"/>
      <c r="Q348" s="205"/>
      <c r="R348" s="205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</row>
    <row r="349">
      <c r="A349" s="122"/>
      <c r="B349" s="204"/>
      <c r="C349" s="204"/>
      <c r="D349" s="204"/>
      <c r="E349" s="205"/>
      <c r="F349" s="205"/>
      <c r="G349" s="205"/>
      <c r="H349" s="206"/>
      <c r="I349" s="207"/>
      <c r="J349" s="207"/>
      <c r="K349" s="207"/>
      <c r="L349" s="122"/>
      <c r="M349" s="207"/>
      <c r="N349" s="207"/>
      <c r="O349" s="122"/>
      <c r="P349" s="205"/>
      <c r="Q349" s="205"/>
      <c r="R349" s="205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</row>
    <row r="350">
      <c r="A350" s="122"/>
      <c r="B350" s="204"/>
      <c r="C350" s="204"/>
      <c r="D350" s="204"/>
      <c r="E350" s="205"/>
      <c r="F350" s="205"/>
      <c r="G350" s="205"/>
      <c r="H350" s="206"/>
      <c r="I350" s="207"/>
      <c r="J350" s="207"/>
      <c r="K350" s="207"/>
      <c r="L350" s="122"/>
      <c r="M350" s="207"/>
      <c r="N350" s="207"/>
      <c r="O350" s="122"/>
      <c r="P350" s="205"/>
      <c r="Q350" s="205"/>
      <c r="R350" s="205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</row>
    <row r="351">
      <c r="A351" s="122"/>
      <c r="B351" s="204"/>
      <c r="C351" s="204"/>
      <c r="D351" s="204"/>
      <c r="E351" s="205"/>
      <c r="F351" s="205"/>
      <c r="G351" s="205"/>
      <c r="H351" s="206"/>
      <c r="I351" s="207"/>
      <c r="J351" s="207"/>
      <c r="K351" s="207"/>
      <c r="L351" s="122"/>
      <c r="M351" s="207"/>
      <c r="N351" s="207"/>
      <c r="O351" s="122"/>
      <c r="P351" s="205"/>
      <c r="Q351" s="205"/>
      <c r="R351" s="205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</row>
    <row r="352">
      <c r="A352" s="122"/>
      <c r="B352" s="204"/>
      <c r="C352" s="204"/>
      <c r="D352" s="204"/>
      <c r="E352" s="205"/>
      <c r="F352" s="205"/>
      <c r="G352" s="205"/>
      <c r="H352" s="206"/>
      <c r="I352" s="207"/>
      <c r="J352" s="207"/>
      <c r="K352" s="207"/>
      <c r="L352" s="122"/>
      <c r="M352" s="207"/>
      <c r="N352" s="207"/>
      <c r="O352" s="122"/>
      <c r="P352" s="205"/>
      <c r="Q352" s="205"/>
      <c r="R352" s="205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</row>
    <row r="353">
      <c r="A353" s="122"/>
      <c r="B353" s="204"/>
      <c r="C353" s="204"/>
      <c r="D353" s="204"/>
      <c r="E353" s="205"/>
      <c r="F353" s="205"/>
      <c r="G353" s="205"/>
      <c r="H353" s="206"/>
      <c r="I353" s="207"/>
      <c r="J353" s="207"/>
      <c r="K353" s="207"/>
      <c r="L353" s="122"/>
      <c r="M353" s="207"/>
      <c r="N353" s="207"/>
      <c r="O353" s="122"/>
      <c r="P353" s="205"/>
      <c r="Q353" s="205"/>
      <c r="R353" s="205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</row>
    <row r="354">
      <c r="A354" s="122"/>
      <c r="B354" s="204"/>
      <c r="C354" s="204"/>
      <c r="D354" s="204"/>
      <c r="E354" s="205"/>
      <c r="F354" s="205"/>
      <c r="G354" s="205"/>
      <c r="H354" s="206"/>
      <c r="I354" s="207"/>
      <c r="J354" s="207"/>
      <c r="K354" s="207"/>
      <c r="L354" s="122"/>
      <c r="M354" s="207"/>
      <c r="N354" s="207"/>
      <c r="O354" s="122"/>
      <c r="P354" s="205"/>
      <c r="Q354" s="205"/>
      <c r="R354" s="205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</row>
    <row r="355">
      <c r="A355" s="122"/>
      <c r="B355" s="204"/>
      <c r="C355" s="204"/>
      <c r="D355" s="204"/>
      <c r="E355" s="205"/>
      <c r="F355" s="205"/>
      <c r="G355" s="205"/>
      <c r="H355" s="206"/>
      <c r="I355" s="207"/>
      <c r="J355" s="207"/>
      <c r="K355" s="207"/>
      <c r="L355" s="122"/>
      <c r="M355" s="207"/>
      <c r="N355" s="207"/>
      <c r="O355" s="122"/>
      <c r="P355" s="205"/>
      <c r="Q355" s="205"/>
      <c r="R355" s="205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</row>
    <row r="356">
      <c r="A356" s="122"/>
      <c r="B356" s="204"/>
      <c r="C356" s="204"/>
      <c r="D356" s="204"/>
      <c r="E356" s="205"/>
      <c r="F356" s="205"/>
      <c r="G356" s="205"/>
      <c r="H356" s="206"/>
      <c r="I356" s="207"/>
      <c r="J356" s="207"/>
      <c r="K356" s="207"/>
      <c r="L356" s="122"/>
      <c r="M356" s="207"/>
      <c r="N356" s="207"/>
      <c r="O356" s="122"/>
      <c r="P356" s="205"/>
      <c r="Q356" s="205"/>
      <c r="R356" s="205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</row>
    <row r="357">
      <c r="A357" s="122"/>
      <c r="B357" s="204"/>
      <c r="C357" s="204"/>
      <c r="D357" s="204"/>
      <c r="E357" s="205"/>
      <c r="F357" s="205"/>
      <c r="G357" s="205"/>
      <c r="H357" s="206"/>
      <c r="I357" s="207"/>
      <c r="J357" s="207"/>
      <c r="K357" s="207"/>
      <c r="L357" s="122"/>
      <c r="M357" s="207"/>
      <c r="N357" s="207"/>
      <c r="O357" s="122"/>
      <c r="P357" s="205"/>
      <c r="Q357" s="205"/>
      <c r="R357" s="205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</row>
    <row r="358">
      <c r="A358" s="122"/>
      <c r="B358" s="204"/>
      <c r="C358" s="204"/>
      <c r="D358" s="204"/>
      <c r="E358" s="205"/>
      <c r="F358" s="205"/>
      <c r="G358" s="205"/>
      <c r="H358" s="206"/>
      <c r="I358" s="207"/>
      <c r="J358" s="207"/>
      <c r="K358" s="207"/>
      <c r="L358" s="122"/>
      <c r="M358" s="207"/>
      <c r="N358" s="207"/>
      <c r="O358" s="122"/>
      <c r="P358" s="205"/>
      <c r="Q358" s="205"/>
      <c r="R358" s="205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</row>
    <row r="359">
      <c r="A359" s="122"/>
      <c r="B359" s="204"/>
      <c r="C359" s="204"/>
      <c r="D359" s="204"/>
      <c r="E359" s="205"/>
      <c r="F359" s="205"/>
      <c r="G359" s="205"/>
      <c r="H359" s="206"/>
      <c r="I359" s="207"/>
      <c r="J359" s="207"/>
      <c r="K359" s="207"/>
      <c r="L359" s="122"/>
      <c r="M359" s="207"/>
      <c r="N359" s="207"/>
      <c r="O359" s="122"/>
      <c r="P359" s="205"/>
      <c r="Q359" s="205"/>
      <c r="R359" s="205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</row>
    <row r="360">
      <c r="A360" s="122"/>
      <c r="B360" s="204"/>
      <c r="C360" s="204"/>
      <c r="D360" s="204"/>
      <c r="E360" s="205"/>
      <c r="F360" s="205"/>
      <c r="G360" s="205"/>
      <c r="H360" s="206"/>
      <c r="I360" s="207"/>
      <c r="J360" s="207"/>
      <c r="K360" s="207"/>
      <c r="L360" s="122"/>
      <c r="M360" s="207"/>
      <c r="N360" s="207"/>
      <c r="O360" s="122"/>
      <c r="P360" s="205"/>
      <c r="Q360" s="205"/>
      <c r="R360" s="205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</row>
    <row r="361">
      <c r="A361" s="122"/>
      <c r="B361" s="204"/>
      <c r="C361" s="204"/>
      <c r="D361" s="204"/>
      <c r="E361" s="205"/>
      <c r="F361" s="205"/>
      <c r="G361" s="205"/>
      <c r="H361" s="206"/>
      <c r="I361" s="207"/>
      <c r="J361" s="207"/>
      <c r="K361" s="207"/>
      <c r="L361" s="122"/>
      <c r="M361" s="207"/>
      <c r="N361" s="207"/>
      <c r="O361" s="122"/>
      <c r="P361" s="205"/>
      <c r="Q361" s="205"/>
      <c r="R361" s="205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</row>
    <row r="362">
      <c r="A362" s="122"/>
      <c r="B362" s="204"/>
      <c r="C362" s="204"/>
      <c r="D362" s="204"/>
      <c r="E362" s="205"/>
      <c r="F362" s="205"/>
      <c r="G362" s="205"/>
      <c r="H362" s="206"/>
      <c r="I362" s="207"/>
      <c r="J362" s="207"/>
      <c r="K362" s="207"/>
      <c r="L362" s="122"/>
      <c r="M362" s="207"/>
      <c r="N362" s="207"/>
      <c r="O362" s="122"/>
      <c r="P362" s="205"/>
      <c r="Q362" s="205"/>
      <c r="R362" s="205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</row>
    <row r="363">
      <c r="A363" s="122"/>
      <c r="B363" s="204"/>
      <c r="C363" s="204"/>
      <c r="D363" s="204"/>
      <c r="E363" s="205"/>
      <c r="F363" s="205"/>
      <c r="G363" s="205"/>
      <c r="H363" s="206"/>
      <c r="I363" s="207"/>
      <c r="J363" s="207"/>
      <c r="K363" s="207"/>
      <c r="L363" s="122"/>
      <c r="M363" s="207"/>
      <c r="N363" s="207"/>
      <c r="O363" s="122"/>
      <c r="P363" s="205"/>
      <c r="Q363" s="205"/>
      <c r="R363" s="205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</row>
    <row r="364">
      <c r="A364" s="122"/>
      <c r="B364" s="204"/>
      <c r="C364" s="204"/>
      <c r="D364" s="204"/>
      <c r="E364" s="205"/>
      <c r="F364" s="205"/>
      <c r="G364" s="205"/>
      <c r="H364" s="206"/>
      <c r="I364" s="207"/>
      <c r="J364" s="207"/>
      <c r="K364" s="207"/>
      <c r="L364" s="122"/>
      <c r="M364" s="207"/>
      <c r="N364" s="207"/>
      <c r="O364" s="122"/>
      <c r="P364" s="205"/>
      <c r="Q364" s="205"/>
      <c r="R364" s="205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</row>
    <row r="365">
      <c r="A365" s="122"/>
      <c r="B365" s="204"/>
      <c r="C365" s="204"/>
      <c r="D365" s="204"/>
      <c r="E365" s="205"/>
      <c r="F365" s="205"/>
      <c r="G365" s="205"/>
      <c r="H365" s="206"/>
      <c r="I365" s="207"/>
      <c r="J365" s="207"/>
      <c r="K365" s="207"/>
      <c r="L365" s="122"/>
      <c r="M365" s="207"/>
      <c r="N365" s="207"/>
      <c r="O365" s="122"/>
      <c r="P365" s="205"/>
      <c r="Q365" s="205"/>
      <c r="R365" s="205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</row>
    <row r="366">
      <c r="A366" s="122"/>
      <c r="B366" s="204"/>
      <c r="C366" s="204"/>
      <c r="D366" s="204"/>
      <c r="E366" s="205"/>
      <c r="F366" s="205"/>
      <c r="G366" s="205"/>
      <c r="H366" s="206"/>
      <c r="I366" s="207"/>
      <c r="J366" s="207"/>
      <c r="K366" s="207"/>
      <c r="L366" s="122"/>
      <c r="M366" s="207"/>
      <c r="N366" s="207"/>
      <c r="O366" s="122"/>
      <c r="P366" s="205"/>
      <c r="Q366" s="205"/>
      <c r="R366" s="205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</row>
    <row r="367">
      <c r="A367" s="122"/>
      <c r="B367" s="204"/>
      <c r="C367" s="204"/>
      <c r="D367" s="204"/>
      <c r="E367" s="205"/>
      <c r="F367" s="205"/>
      <c r="G367" s="205"/>
      <c r="H367" s="206"/>
      <c r="I367" s="207"/>
      <c r="J367" s="207"/>
      <c r="K367" s="207"/>
      <c r="L367" s="122"/>
      <c r="M367" s="207"/>
      <c r="N367" s="207"/>
      <c r="O367" s="122"/>
      <c r="P367" s="205"/>
      <c r="Q367" s="205"/>
      <c r="R367" s="205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</row>
    <row r="368">
      <c r="A368" s="122"/>
      <c r="B368" s="204"/>
      <c r="C368" s="204"/>
      <c r="D368" s="204"/>
      <c r="E368" s="205"/>
      <c r="F368" s="205"/>
      <c r="G368" s="205"/>
      <c r="H368" s="206"/>
      <c r="I368" s="207"/>
      <c r="J368" s="207"/>
      <c r="K368" s="207"/>
      <c r="L368" s="122"/>
      <c r="M368" s="207"/>
      <c r="N368" s="207"/>
      <c r="O368" s="122"/>
      <c r="P368" s="205"/>
      <c r="Q368" s="205"/>
      <c r="R368" s="205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</row>
    <row r="369">
      <c r="A369" s="122"/>
      <c r="B369" s="204"/>
      <c r="C369" s="204"/>
      <c r="D369" s="204"/>
      <c r="E369" s="205"/>
      <c r="F369" s="205"/>
      <c r="G369" s="205"/>
      <c r="H369" s="206"/>
      <c r="I369" s="207"/>
      <c r="J369" s="207"/>
      <c r="K369" s="207"/>
      <c r="L369" s="122"/>
      <c r="M369" s="207"/>
      <c r="N369" s="207"/>
      <c r="O369" s="122"/>
      <c r="P369" s="205"/>
      <c r="Q369" s="205"/>
      <c r="R369" s="205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</row>
    <row r="370">
      <c r="A370" s="122"/>
      <c r="B370" s="204"/>
      <c r="C370" s="204"/>
      <c r="D370" s="204"/>
      <c r="E370" s="205"/>
      <c r="F370" s="205"/>
      <c r="G370" s="205"/>
      <c r="H370" s="206"/>
      <c r="I370" s="207"/>
      <c r="J370" s="207"/>
      <c r="K370" s="207"/>
      <c r="L370" s="122"/>
      <c r="M370" s="207"/>
      <c r="N370" s="207"/>
      <c r="O370" s="122"/>
      <c r="P370" s="205"/>
      <c r="Q370" s="205"/>
      <c r="R370" s="205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</row>
    <row r="371">
      <c r="A371" s="122"/>
      <c r="B371" s="204"/>
      <c r="C371" s="204"/>
      <c r="D371" s="204"/>
      <c r="E371" s="205"/>
      <c r="F371" s="205"/>
      <c r="G371" s="205"/>
      <c r="H371" s="206"/>
      <c r="I371" s="207"/>
      <c r="J371" s="207"/>
      <c r="K371" s="207"/>
      <c r="L371" s="122"/>
      <c r="M371" s="207"/>
      <c r="N371" s="207"/>
      <c r="O371" s="122"/>
      <c r="P371" s="205"/>
      <c r="Q371" s="205"/>
      <c r="R371" s="205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</row>
    <row r="372">
      <c r="A372" s="122"/>
      <c r="B372" s="204"/>
      <c r="C372" s="204"/>
      <c r="D372" s="204"/>
      <c r="E372" s="205"/>
      <c r="F372" s="205"/>
      <c r="G372" s="205"/>
      <c r="H372" s="206"/>
      <c r="I372" s="207"/>
      <c r="J372" s="207"/>
      <c r="K372" s="207"/>
      <c r="L372" s="122"/>
      <c r="M372" s="207"/>
      <c r="N372" s="207"/>
      <c r="O372" s="122"/>
      <c r="P372" s="205"/>
      <c r="Q372" s="205"/>
      <c r="R372" s="205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</row>
    <row r="373">
      <c r="A373" s="122"/>
      <c r="B373" s="204"/>
      <c r="C373" s="204"/>
      <c r="D373" s="204"/>
      <c r="E373" s="205"/>
      <c r="F373" s="205"/>
      <c r="G373" s="205"/>
      <c r="H373" s="206"/>
      <c r="I373" s="207"/>
      <c r="J373" s="207"/>
      <c r="K373" s="207"/>
      <c r="L373" s="122"/>
      <c r="M373" s="207"/>
      <c r="N373" s="207"/>
      <c r="O373" s="122"/>
      <c r="P373" s="205"/>
      <c r="Q373" s="205"/>
      <c r="R373" s="205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</row>
    <row r="374">
      <c r="A374" s="122"/>
      <c r="B374" s="204"/>
      <c r="C374" s="204"/>
      <c r="D374" s="204"/>
      <c r="E374" s="205"/>
      <c r="F374" s="205"/>
      <c r="G374" s="205"/>
      <c r="H374" s="206"/>
      <c r="I374" s="207"/>
      <c r="J374" s="207"/>
      <c r="K374" s="207"/>
      <c r="L374" s="122"/>
      <c r="M374" s="207"/>
      <c r="N374" s="207"/>
      <c r="O374" s="122"/>
      <c r="P374" s="205"/>
      <c r="Q374" s="205"/>
      <c r="R374" s="205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</row>
    <row r="375">
      <c r="A375" s="122"/>
      <c r="B375" s="204"/>
      <c r="C375" s="204"/>
      <c r="D375" s="204"/>
      <c r="E375" s="205"/>
      <c r="F375" s="205"/>
      <c r="G375" s="205"/>
      <c r="H375" s="206"/>
      <c r="I375" s="207"/>
      <c r="J375" s="207"/>
      <c r="K375" s="207"/>
      <c r="L375" s="122"/>
      <c r="M375" s="207"/>
      <c r="N375" s="207"/>
      <c r="O375" s="122"/>
      <c r="P375" s="205"/>
      <c r="Q375" s="205"/>
      <c r="R375" s="205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</row>
    <row r="376">
      <c r="A376" s="122"/>
      <c r="B376" s="204"/>
      <c r="C376" s="204"/>
      <c r="D376" s="204"/>
      <c r="E376" s="205"/>
      <c r="F376" s="205"/>
      <c r="G376" s="205"/>
      <c r="H376" s="206"/>
      <c r="I376" s="207"/>
      <c r="J376" s="207"/>
      <c r="K376" s="207"/>
      <c r="L376" s="122"/>
      <c r="M376" s="207"/>
      <c r="N376" s="207"/>
      <c r="O376" s="122"/>
      <c r="P376" s="205"/>
      <c r="Q376" s="205"/>
      <c r="R376" s="205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</row>
    <row r="377">
      <c r="A377" s="122"/>
      <c r="B377" s="204"/>
      <c r="C377" s="204"/>
      <c r="D377" s="204"/>
      <c r="E377" s="205"/>
      <c r="F377" s="205"/>
      <c r="G377" s="205"/>
      <c r="H377" s="206"/>
      <c r="I377" s="207"/>
      <c r="J377" s="207"/>
      <c r="K377" s="207"/>
      <c r="L377" s="122"/>
      <c r="M377" s="207"/>
      <c r="N377" s="207"/>
      <c r="O377" s="122"/>
      <c r="P377" s="205"/>
      <c r="Q377" s="205"/>
      <c r="R377" s="205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</row>
    <row r="378">
      <c r="A378" s="122"/>
      <c r="B378" s="204"/>
      <c r="C378" s="204"/>
      <c r="D378" s="204"/>
      <c r="E378" s="205"/>
      <c r="F378" s="205"/>
      <c r="G378" s="205"/>
      <c r="H378" s="206"/>
      <c r="I378" s="207"/>
      <c r="J378" s="207"/>
      <c r="K378" s="207"/>
      <c r="L378" s="122"/>
      <c r="M378" s="207"/>
      <c r="N378" s="207"/>
      <c r="O378" s="122"/>
      <c r="P378" s="205"/>
      <c r="Q378" s="205"/>
      <c r="R378" s="205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</row>
    <row r="379">
      <c r="A379" s="122"/>
      <c r="B379" s="204"/>
      <c r="C379" s="204"/>
      <c r="D379" s="204"/>
      <c r="E379" s="205"/>
      <c r="F379" s="205"/>
      <c r="G379" s="205"/>
      <c r="H379" s="206"/>
      <c r="I379" s="207"/>
      <c r="J379" s="207"/>
      <c r="K379" s="207"/>
      <c r="L379" s="122"/>
      <c r="M379" s="207"/>
      <c r="N379" s="207"/>
      <c r="O379" s="122"/>
      <c r="P379" s="205"/>
      <c r="Q379" s="205"/>
      <c r="R379" s="205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</row>
    <row r="380">
      <c r="A380" s="122"/>
      <c r="B380" s="204"/>
      <c r="C380" s="204"/>
      <c r="D380" s="204"/>
      <c r="E380" s="205"/>
      <c r="F380" s="205"/>
      <c r="G380" s="205"/>
      <c r="H380" s="206"/>
      <c r="I380" s="207"/>
      <c r="J380" s="207"/>
      <c r="K380" s="207"/>
      <c r="L380" s="122"/>
      <c r="M380" s="207"/>
      <c r="N380" s="207"/>
      <c r="O380" s="122"/>
      <c r="P380" s="205"/>
      <c r="Q380" s="205"/>
      <c r="R380" s="205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</row>
    <row r="381">
      <c r="A381" s="122"/>
      <c r="B381" s="204"/>
      <c r="C381" s="204"/>
      <c r="D381" s="204"/>
      <c r="E381" s="205"/>
      <c r="F381" s="205"/>
      <c r="G381" s="205"/>
      <c r="H381" s="206"/>
      <c r="I381" s="207"/>
      <c r="J381" s="207"/>
      <c r="K381" s="207"/>
      <c r="L381" s="122"/>
      <c r="M381" s="207"/>
      <c r="N381" s="207"/>
      <c r="O381" s="122"/>
      <c r="P381" s="205"/>
      <c r="Q381" s="205"/>
      <c r="R381" s="205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</row>
    <row r="382">
      <c r="A382" s="122"/>
      <c r="B382" s="204"/>
      <c r="C382" s="204"/>
      <c r="D382" s="204"/>
      <c r="E382" s="205"/>
      <c r="F382" s="205"/>
      <c r="G382" s="205"/>
      <c r="H382" s="206"/>
      <c r="I382" s="207"/>
      <c r="J382" s="207"/>
      <c r="K382" s="207"/>
      <c r="L382" s="122"/>
      <c r="M382" s="207"/>
      <c r="N382" s="207"/>
      <c r="O382" s="122"/>
      <c r="P382" s="205"/>
      <c r="Q382" s="205"/>
      <c r="R382" s="205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</row>
    <row r="383">
      <c r="A383" s="122"/>
      <c r="B383" s="204"/>
      <c r="C383" s="204"/>
      <c r="D383" s="204"/>
      <c r="E383" s="205"/>
      <c r="F383" s="205"/>
      <c r="G383" s="205"/>
      <c r="H383" s="206"/>
      <c r="I383" s="207"/>
      <c r="J383" s="207"/>
      <c r="K383" s="207"/>
      <c r="L383" s="122"/>
      <c r="M383" s="207"/>
      <c r="N383" s="207"/>
      <c r="O383" s="122"/>
      <c r="P383" s="205"/>
      <c r="Q383" s="205"/>
      <c r="R383" s="205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</row>
    <row r="384">
      <c r="A384" s="122"/>
      <c r="B384" s="204"/>
      <c r="C384" s="204"/>
      <c r="D384" s="204"/>
      <c r="E384" s="205"/>
      <c r="F384" s="205"/>
      <c r="G384" s="205"/>
      <c r="H384" s="206"/>
      <c r="I384" s="207"/>
      <c r="J384" s="207"/>
      <c r="K384" s="207"/>
      <c r="L384" s="122"/>
      <c r="M384" s="207"/>
      <c r="N384" s="207"/>
      <c r="O384" s="122"/>
      <c r="P384" s="205"/>
      <c r="Q384" s="205"/>
      <c r="R384" s="205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</row>
    <row r="385">
      <c r="A385" s="122"/>
      <c r="B385" s="204"/>
      <c r="C385" s="204"/>
      <c r="D385" s="204"/>
      <c r="E385" s="205"/>
      <c r="F385" s="205"/>
      <c r="G385" s="205"/>
      <c r="H385" s="206"/>
      <c r="I385" s="207"/>
      <c r="J385" s="207"/>
      <c r="K385" s="207"/>
      <c r="L385" s="122"/>
      <c r="M385" s="207"/>
      <c r="N385" s="207"/>
      <c r="O385" s="122"/>
      <c r="P385" s="205"/>
      <c r="Q385" s="205"/>
      <c r="R385" s="205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</row>
    <row r="386">
      <c r="A386" s="122"/>
      <c r="B386" s="204"/>
      <c r="C386" s="204"/>
      <c r="D386" s="204"/>
      <c r="E386" s="205"/>
      <c r="F386" s="205"/>
      <c r="G386" s="205"/>
      <c r="H386" s="206"/>
      <c r="I386" s="207"/>
      <c r="J386" s="207"/>
      <c r="K386" s="207"/>
      <c r="L386" s="122"/>
      <c r="M386" s="207"/>
      <c r="N386" s="207"/>
      <c r="O386" s="122"/>
      <c r="P386" s="205"/>
      <c r="Q386" s="205"/>
      <c r="R386" s="205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</row>
    <row r="387">
      <c r="A387" s="122"/>
      <c r="B387" s="204"/>
      <c r="C387" s="204"/>
      <c r="D387" s="204"/>
      <c r="E387" s="205"/>
      <c r="F387" s="205"/>
      <c r="G387" s="205"/>
      <c r="H387" s="206"/>
      <c r="I387" s="207"/>
      <c r="J387" s="207"/>
      <c r="K387" s="207"/>
      <c r="L387" s="122"/>
      <c r="M387" s="207"/>
      <c r="N387" s="207"/>
      <c r="O387" s="122"/>
      <c r="P387" s="205"/>
      <c r="Q387" s="205"/>
      <c r="R387" s="205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</row>
    <row r="388">
      <c r="A388" s="122"/>
      <c r="B388" s="204"/>
      <c r="C388" s="204"/>
      <c r="D388" s="204"/>
      <c r="E388" s="205"/>
      <c r="F388" s="205"/>
      <c r="G388" s="205"/>
      <c r="H388" s="206"/>
      <c r="I388" s="207"/>
      <c r="J388" s="207"/>
      <c r="K388" s="207"/>
      <c r="L388" s="122"/>
      <c r="M388" s="207"/>
      <c r="N388" s="207"/>
      <c r="O388" s="122"/>
      <c r="P388" s="205"/>
      <c r="Q388" s="205"/>
      <c r="R388" s="205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</row>
    <row r="389">
      <c r="A389" s="122"/>
      <c r="B389" s="204"/>
      <c r="C389" s="204"/>
      <c r="D389" s="204"/>
      <c r="E389" s="205"/>
      <c r="F389" s="205"/>
      <c r="G389" s="205"/>
      <c r="H389" s="206"/>
      <c r="I389" s="207"/>
      <c r="J389" s="207"/>
      <c r="K389" s="207"/>
      <c r="L389" s="122"/>
      <c r="M389" s="207"/>
      <c r="N389" s="207"/>
      <c r="O389" s="122"/>
      <c r="P389" s="205"/>
      <c r="Q389" s="205"/>
      <c r="R389" s="205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</row>
    <row r="390">
      <c r="A390" s="122"/>
      <c r="B390" s="204"/>
      <c r="C390" s="204"/>
      <c r="D390" s="204"/>
      <c r="E390" s="205"/>
      <c r="F390" s="205"/>
      <c r="G390" s="205"/>
      <c r="H390" s="206"/>
      <c r="I390" s="207"/>
      <c r="J390" s="207"/>
      <c r="K390" s="207"/>
      <c r="L390" s="122"/>
      <c r="M390" s="207"/>
      <c r="N390" s="207"/>
      <c r="O390" s="122"/>
      <c r="P390" s="205"/>
      <c r="Q390" s="205"/>
      <c r="R390" s="205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</row>
    <row r="391">
      <c r="A391" s="122"/>
      <c r="B391" s="204"/>
      <c r="C391" s="204"/>
      <c r="D391" s="204"/>
      <c r="E391" s="205"/>
      <c r="F391" s="205"/>
      <c r="G391" s="205"/>
      <c r="H391" s="206"/>
      <c r="I391" s="207"/>
      <c r="J391" s="207"/>
      <c r="K391" s="207"/>
      <c r="L391" s="122"/>
      <c r="M391" s="207"/>
      <c r="N391" s="207"/>
      <c r="O391" s="122"/>
      <c r="P391" s="205"/>
      <c r="Q391" s="205"/>
      <c r="R391" s="205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</row>
    <row r="392">
      <c r="A392" s="122"/>
      <c r="B392" s="204"/>
      <c r="C392" s="204"/>
      <c r="D392" s="204"/>
      <c r="E392" s="205"/>
      <c r="F392" s="205"/>
      <c r="G392" s="205"/>
      <c r="H392" s="206"/>
      <c r="I392" s="207"/>
      <c r="J392" s="207"/>
      <c r="K392" s="207"/>
      <c r="L392" s="122"/>
      <c r="M392" s="207"/>
      <c r="N392" s="207"/>
      <c r="O392" s="122"/>
      <c r="P392" s="205"/>
      <c r="Q392" s="205"/>
      <c r="R392" s="205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</row>
    <row r="393">
      <c r="A393" s="122"/>
      <c r="B393" s="204"/>
      <c r="C393" s="204"/>
      <c r="D393" s="204"/>
      <c r="E393" s="205"/>
      <c r="F393" s="205"/>
      <c r="G393" s="205"/>
      <c r="H393" s="206"/>
      <c r="I393" s="207"/>
      <c r="J393" s="207"/>
      <c r="K393" s="207"/>
      <c r="L393" s="122"/>
      <c r="M393" s="207"/>
      <c r="N393" s="207"/>
      <c r="O393" s="122"/>
      <c r="P393" s="205"/>
      <c r="Q393" s="205"/>
      <c r="R393" s="205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</row>
    <row r="394">
      <c r="A394" s="122"/>
      <c r="B394" s="204"/>
      <c r="C394" s="204"/>
      <c r="D394" s="204"/>
      <c r="E394" s="205"/>
      <c r="F394" s="205"/>
      <c r="G394" s="205"/>
      <c r="H394" s="206"/>
      <c r="I394" s="207"/>
      <c r="J394" s="207"/>
      <c r="K394" s="207"/>
      <c r="L394" s="122"/>
      <c r="M394" s="207"/>
      <c r="N394" s="207"/>
      <c r="O394" s="122"/>
      <c r="P394" s="205"/>
      <c r="Q394" s="205"/>
      <c r="R394" s="205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</row>
    <row r="395">
      <c r="A395" s="122"/>
      <c r="B395" s="204"/>
      <c r="C395" s="204"/>
      <c r="D395" s="204"/>
      <c r="E395" s="205"/>
      <c r="F395" s="205"/>
      <c r="G395" s="205"/>
      <c r="H395" s="206"/>
      <c r="I395" s="207"/>
      <c r="J395" s="207"/>
      <c r="K395" s="207"/>
      <c r="L395" s="122"/>
      <c r="M395" s="207"/>
      <c r="N395" s="207"/>
      <c r="O395" s="122"/>
      <c r="P395" s="205"/>
      <c r="Q395" s="205"/>
      <c r="R395" s="205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</row>
    <row r="396">
      <c r="A396" s="122"/>
      <c r="B396" s="204"/>
      <c r="C396" s="204"/>
      <c r="D396" s="204"/>
      <c r="E396" s="205"/>
      <c r="F396" s="205"/>
      <c r="G396" s="205"/>
      <c r="H396" s="206"/>
      <c r="I396" s="207"/>
      <c r="J396" s="207"/>
      <c r="K396" s="207"/>
      <c r="L396" s="122"/>
      <c r="M396" s="207"/>
      <c r="N396" s="207"/>
      <c r="O396" s="122"/>
      <c r="P396" s="205"/>
      <c r="Q396" s="205"/>
      <c r="R396" s="205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</row>
    <row r="397">
      <c r="A397" s="122"/>
      <c r="B397" s="204"/>
      <c r="C397" s="204"/>
      <c r="D397" s="204"/>
      <c r="E397" s="205"/>
      <c r="F397" s="205"/>
      <c r="G397" s="205"/>
      <c r="H397" s="206"/>
      <c r="I397" s="207"/>
      <c r="J397" s="207"/>
      <c r="K397" s="207"/>
      <c r="L397" s="122"/>
      <c r="M397" s="207"/>
      <c r="N397" s="207"/>
      <c r="O397" s="122"/>
      <c r="P397" s="205"/>
      <c r="Q397" s="205"/>
      <c r="R397" s="205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</row>
    <row r="398">
      <c r="A398" s="122"/>
      <c r="B398" s="204"/>
      <c r="C398" s="204"/>
      <c r="D398" s="204"/>
      <c r="E398" s="205"/>
      <c r="F398" s="205"/>
      <c r="G398" s="205"/>
      <c r="H398" s="206"/>
      <c r="I398" s="207"/>
      <c r="J398" s="207"/>
      <c r="K398" s="207"/>
      <c r="L398" s="122"/>
      <c r="M398" s="207"/>
      <c r="N398" s="207"/>
      <c r="O398" s="122"/>
      <c r="P398" s="205"/>
      <c r="Q398" s="205"/>
      <c r="R398" s="205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</row>
    <row r="399">
      <c r="A399" s="122"/>
      <c r="B399" s="204"/>
      <c r="C399" s="204"/>
      <c r="D399" s="204"/>
      <c r="E399" s="205"/>
      <c r="F399" s="205"/>
      <c r="G399" s="205"/>
      <c r="H399" s="206"/>
      <c r="I399" s="207"/>
      <c r="J399" s="207"/>
      <c r="K399" s="207"/>
      <c r="L399" s="122"/>
      <c r="M399" s="207"/>
      <c r="N399" s="207"/>
      <c r="O399" s="122"/>
      <c r="P399" s="205"/>
      <c r="Q399" s="205"/>
      <c r="R399" s="205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</row>
    <row r="400">
      <c r="A400" s="122"/>
      <c r="B400" s="204"/>
      <c r="C400" s="204"/>
      <c r="D400" s="204"/>
      <c r="E400" s="205"/>
      <c r="F400" s="205"/>
      <c r="G400" s="205"/>
      <c r="H400" s="206"/>
      <c r="I400" s="207"/>
      <c r="J400" s="207"/>
      <c r="K400" s="207"/>
      <c r="L400" s="122"/>
      <c r="M400" s="207"/>
      <c r="N400" s="207"/>
      <c r="O400" s="122"/>
      <c r="P400" s="205"/>
      <c r="Q400" s="205"/>
      <c r="R400" s="205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</row>
    <row r="401">
      <c r="A401" s="122"/>
      <c r="B401" s="204"/>
      <c r="C401" s="204"/>
      <c r="D401" s="204"/>
      <c r="E401" s="205"/>
      <c r="F401" s="205"/>
      <c r="G401" s="205"/>
      <c r="H401" s="206"/>
      <c r="I401" s="207"/>
      <c r="J401" s="207"/>
      <c r="K401" s="207"/>
      <c r="L401" s="122"/>
      <c r="M401" s="207"/>
      <c r="N401" s="207"/>
      <c r="O401" s="122"/>
      <c r="P401" s="205"/>
      <c r="Q401" s="205"/>
      <c r="R401" s="205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</row>
    <row r="402">
      <c r="A402" s="122"/>
      <c r="B402" s="204"/>
      <c r="C402" s="204"/>
      <c r="D402" s="204"/>
      <c r="E402" s="205"/>
      <c r="F402" s="205"/>
      <c r="G402" s="205"/>
      <c r="H402" s="206"/>
      <c r="I402" s="207"/>
      <c r="J402" s="207"/>
      <c r="K402" s="207"/>
      <c r="L402" s="122"/>
      <c r="M402" s="207"/>
      <c r="N402" s="207"/>
      <c r="O402" s="122"/>
      <c r="P402" s="205"/>
      <c r="Q402" s="205"/>
      <c r="R402" s="205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</row>
    <row r="403">
      <c r="A403" s="122"/>
      <c r="B403" s="204"/>
      <c r="C403" s="204"/>
      <c r="D403" s="204"/>
      <c r="E403" s="205"/>
      <c r="F403" s="205"/>
      <c r="G403" s="205"/>
      <c r="H403" s="206"/>
      <c r="I403" s="207"/>
      <c r="J403" s="207"/>
      <c r="K403" s="207"/>
      <c r="L403" s="122"/>
      <c r="M403" s="207"/>
      <c r="N403" s="207"/>
      <c r="O403" s="122"/>
      <c r="P403" s="205"/>
      <c r="Q403" s="205"/>
      <c r="R403" s="205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</row>
    <row r="404">
      <c r="A404" s="122"/>
      <c r="B404" s="204"/>
      <c r="C404" s="204"/>
      <c r="D404" s="204"/>
      <c r="E404" s="205"/>
      <c r="F404" s="205"/>
      <c r="G404" s="205"/>
      <c r="H404" s="206"/>
      <c r="I404" s="207"/>
      <c r="J404" s="207"/>
      <c r="K404" s="207"/>
      <c r="L404" s="122"/>
      <c r="M404" s="207"/>
      <c r="N404" s="207"/>
      <c r="O404" s="122"/>
      <c r="P404" s="205"/>
      <c r="Q404" s="205"/>
      <c r="R404" s="205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</row>
    <row r="405">
      <c r="A405" s="122"/>
      <c r="B405" s="204"/>
      <c r="C405" s="204"/>
      <c r="D405" s="204"/>
      <c r="E405" s="205"/>
      <c r="F405" s="205"/>
      <c r="G405" s="205"/>
      <c r="H405" s="206"/>
      <c r="I405" s="207"/>
      <c r="J405" s="207"/>
      <c r="K405" s="207"/>
      <c r="L405" s="122"/>
      <c r="M405" s="207"/>
      <c r="N405" s="207"/>
      <c r="O405" s="122"/>
      <c r="P405" s="205"/>
      <c r="Q405" s="205"/>
      <c r="R405" s="205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</row>
    <row r="406">
      <c r="A406" s="122"/>
      <c r="B406" s="204"/>
      <c r="C406" s="204"/>
      <c r="D406" s="204"/>
      <c r="E406" s="205"/>
      <c r="F406" s="205"/>
      <c r="G406" s="205"/>
      <c r="H406" s="206"/>
      <c r="I406" s="207"/>
      <c r="J406" s="207"/>
      <c r="K406" s="207"/>
      <c r="L406" s="122"/>
      <c r="M406" s="207"/>
      <c r="N406" s="207"/>
      <c r="O406" s="122"/>
      <c r="P406" s="205"/>
      <c r="Q406" s="205"/>
      <c r="R406" s="205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</row>
    <row r="407">
      <c r="A407" s="122"/>
      <c r="B407" s="204"/>
      <c r="C407" s="204"/>
      <c r="D407" s="204"/>
      <c r="E407" s="205"/>
      <c r="F407" s="205"/>
      <c r="G407" s="205"/>
      <c r="H407" s="206"/>
      <c r="I407" s="207"/>
      <c r="J407" s="207"/>
      <c r="K407" s="207"/>
      <c r="L407" s="122"/>
      <c r="M407" s="207"/>
      <c r="N407" s="207"/>
      <c r="O407" s="122"/>
      <c r="P407" s="205"/>
      <c r="Q407" s="205"/>
      <c r="R407" s="205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</row>
    <row r="408">
      <c r="A408" s="122"/>
      <c r="B408" s="204"/>
      <c r="C408" s="204"/>
      <c r="D408" s="204"/>
      <c r="E408" s="205"/>
      <c r="F408" s="205"/>
      <c r="G408" s="205"/>
      <c r="H408" s="206"/>
      <c r="I408" s="207"/>
      <c r="J408" s="207"/>
      <c r="K408" s="207"/>
      <c r="L408" s="122"/>
      <c r="M408" s="207"/>
      <c r="N408" s="207"/>
      <c r="O408" s="122"/>
      <c r="P408" s="205"/>
      <c r="Q408" s="205"/>
      <c r="R408" s="205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</row>
    <row r="409">
      <c r="A409" s="122"/>
      <c r="B409" s="204"/>
      <c r="C409" s="204"/>
      <c r="D409" s="204"/>
      <c r="E409" s="205"/>
      <c r="F409" s="205"/>
      <c r="G409" s="205"/>
      <c r="H409" s="206"/>
      <c r="I409" s="207"/>
      <c r="J409" s="207"/>
      <c r="K409" s="207"/>
      <c r="L409" s="122"/>
      <c r="M409" s="207"/>
      <c r="N409" s="207"/>
      <c r="O409" s="122"/>
      <c r="P409" s="205"/>
      <c r="Q409" s="205"/>
      <c r="R409" s="205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</row>
    <row r="410">
      <c r="A410" s="122"/>
      <c r="B410" s="204"/>
      <c r="C410" s="204"/>
      <c r="D410" s="204"/>
      <c r="E410" s="205"/>
      <c r="F410" s="205"/>
      <c r="G410" s="205"/>
      <c r="H410" s="206"/>
      <c r="I410" s="207"/>
      <c r="J410" s="207"/>
      <c r="K410" s="207"/>
      <c r="L410" s="122"/>
      <c r="M410" s="207"/>
      <c r="N410" s="207"/>
      <c r="O410" s="122"/>
      <c r="P410" s="205"/>
      <c r="Q410" s="205"/>
      <c r="R410" s="205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</row>
    <row r="411">
      <c r="A411" s="122"/>
      <c r="B411" s="204"/>
      <c r="C411" s="204"/>
      <c r="D411" s="204"/>
      <c r="E411" s="205"/>
      <c r="F411" s="205"/>
      <c r="G411" s="205"/>
      <c r="H411" s="206"/>
      <c r="I411" s="207"/>
      <c r="J411" s="207"/>
      <c r="K411" s="207"/>
      <c r="L411" s="122"/>
      <c r="M411" s="207"/>
      <c r="N411" s="207"/>
      <c r="O411" s="122"/>
      <c r="P411" s="205"/>
      <c r="Q411" s="205"/>
      <c r="R411" s="205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</row>
    <row r="412">
      <c r="A412" s="122"/>
      <c r="B412" s="204"/>
      <c r="C412" s="204"/>
      <c r="D412" s="204"/>
      <c r="E412" s="205"/>
      <c r="F412" s="205"/>
      <c r="G412" s="205"/>
      <c r="H412" s="206"/>
      <c r="I412" s="207"/>
      <c r="J412" s="207"/>
      <c r="K412" s="207"/>
      <c r="L412" s="122"/>
      <c r="M412" s="207"/>
      <c r="N412" s="207"/>
      <c r="O412" s="122"/>
      <c r="P412" s="205"/>
      <c r="Q412" s="205"/>
      <c r="R412" s="205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</row>
    <row r="413">
      <c r="A413" s="122"/>
      <c r="B413" s="204"/>
      <c r="C413" s="204"/>
      <c r="D413" s="204"/>
      <c r="E413" s="205"/>
      <c r="F413" s="205"/>
      <c r="G413" s="205"/>
      <c r="H413" s="206"/>
      <c r="I413" s="207"/>
      <c r="J413" s="207"/>
      <c r="K413" s="207"/>
      <c r="L413" s="122"/>
      <c r="M413" s="207"/>
      <c r="N413" s="207"/>
      <c r="O413" s="122"/>
      <c r="P413" s="205"/>
      <c r="Q413" s="205"/>
      <c r="R413" s="205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</row>
    <row r="414">
      <c r="A414" s="122"/>
      <c r="B414" s="204"/>
      <c r="C414" s="204"/>
      <c r="D414" s="204"/>
      <c r="E414" s="205"/>
      <c r="F414" s="205"/>
      <c r="G414" s="205"/>
      <c r="H414" s="206"/>
      <c r="I414" s="207"/>
      <c r="J414" s="207"/>
      <c r="K414" s="207"/>
      <c r="L414" s="122"/>
      <c r="M414" s="207"/>
      <c r="N414" s="207"/>
      <c r="O414" s="122"/>
      <c r="P414" s="205"/>
      <c r="Q414" s="205"/>
      <c r="R414" s="205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</row>
    <row r="415">
      <c r="A415" s="122"/>
      <c r="B415" s="204"/>
      <c r="C415" s="204"/>
      <c r="D415" s="204"/>
      <c r="E415" s="205"/>
      <c r="F415" s="205"/>
      <c r="G415" s="205"/>
      <c r="H415" s="206"/>
      <c r="I415" s="207"/>
      <c r="J415" s="207"/>
      <c r="K415" s="207"/>
      <c r="L415" s="122"/>
      <c r="M415" s="207"/>
      <c r="N415" s="207"/>
      <c r="O415" s="122"/>
      <c r="P415" s="205"/>
      <c r="Q415" s="205"/>
      <c r="R415" s="205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</row>
    <row r="416">
      <c r="A416" s="122"/>
      <c r="B416" s="204"/>
      <c r="C416" s="204"/>
      <c r="D416" s="204"/>
      <c r="E416" s="205"/>
      <c r="F416" s="205"/>
      <c r="G416" s="205"/>
      <c r="H416" s="206"/>
      <c r="I416" s="207"/>
      <c r="J416" s="207"/>
      <c r="K416" s="207"/>
      <c r="L416" s="122"/>
      <c r="M416" s="207"/>
      <c r="N416" s="207"/>
      <c r="O416" s="122"/>
      <c r="P416" s="205"/>
      <c r="Q416" s="205"/>
      <c r="R416" s="205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</row>
    <row r="417">
      <c r="A417" s="122"/>
      <c r="B417" s="204"/>
      <c r="C417" s="204"/>
      <c r="D417" s="204"/>
      <c r="E417" s="205"/>
      <c r="F417" s="205"/>
      <c r="G417" s="205"/>
      <c r="H417" s="206"/>
      <c r="I417" s="207"/>
      <c r="J417" s="207"/>
      <c r="K417" s="207"/>
      <c r="L417" s="122"/>
      <c r="M417" s="207"/>
      <c r="N417" s="207"/>
      <c r="O417" s="122"/>
      <c r="P417" s="205"/>
      <c r="Q417" s="205"/>
      <c r="R417" s="205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</row>
    <row r="418">
      <c r="A418" s="122"/>
      <c r="B418" s="204"/>
      <c r="C418" s="204"/>
      <c r="D418" s="204"/>
      <c r="E418" s="205"/>
      <c r="F418" s="205"/>
      <c r="G418" s="205"/>
      <c r="H418" s="206"/>
      <c r="I418" s="207"/>
      <c r="J418" s="207"/>
      <c r="K418" s="207"/>
      <c r="L418" s="122"/>
      <c r="M418" s="207"/>
      <c r="N418" s="207"/>
      <c r="O418" s="122"/>
      <c r="P418" s="205"/>
      <c r="Q418" s="205"/>
      <c r="R418" s="205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</row>
    <row r="419">
      <c r="A419" s="122"/>
      <c r="B419" s="204"/>
      <c r="C419" s="204"/>
      <c r="D419" s="204"/>
      <c r="E419" s="205"/>
      <c r="F419" s="205"/>
      <c r="G419" s="205"/>
      <c r="H419" s="206"/>
      <c r="I419" s="207"/>
      <c r="J419" s="207"/>
      <c r="K419" s="207"/>
      <c r="L419" s="122"/>
      <c r="M419" s="207"/>
      <c r="N419" s="207"/>
      <c r="O419" s="122"/>
      <c r="P419" s="205"/>
      <c r="Q419" s="205"/>
      <c r="R419" s="205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</row>
    <row r="420">
      <c r="A420" s="122"/>
      <c r="B420" s="204"/>
      <c r="C420" s="204"/>
      <c r="D420" s="204"/>
      <c r="E420" s="205"/>
      <c r="F420" s="205"/>
      <c r="G420" s="205"/>
      <c r="H420" s="206"/>
      <c r="I420" s="207"/>
      <c r="J420" s="207"/>
      <c r="K420" s="207"/>
      <c r="L420" s="122"/>
      <c r="M420" s="207"/>
      <c r="N420" s="207"/>
      <c r="O420" s="122"/>
      <c r="P420" s="205"/>
      <c r="Q420" s="205"/>
      <c r="R420" s="205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</row>
    <row r="421">
      <c r="A421" s="122"/>
      <c r="B421" s="204"/>
      <c r="C421" s="204"/>
      <c r="D421" s="204"/>
      <c r="E421" s="205"/>
      <c r="F421" s="205"/>
      <c r="G421" s="205"/>
      <c r="H421" s="206"/>
      <c r="I421" s="207"/>
      <c r="J421" s="207"/>
      <c r="K421" s="207"/>
      <c r="L421" s="122"/>
      <c r="M421" s="207"/>
      <c r="N421" s="207"/>
      <c r="O421" s="122"/>
      <c r="P421" s="205"/>
      <c r="Q421" s="205"/>
      <c r="R421" s="205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</row>
    <row r="422">
      <c r="A422" s="122"/>
      <c r="B422" s="204"/>
      <c r="C422" s="204"/>
      <c r="D422" s="204"/>
      <c r="E422" s="205"/>
      <c r="F422" s="205"/>
      <c r="G422" s="205"/>
      <c r="H422" s="206"/>
      <c r="I422" s="207"/>
      <c r="J422" s="207"/>
      <c r="K422" s="207"/>
      <c r="L422" s="122"/>
      <c r="M422" s="207"/>
      <c r="N422" s="207"/>
      <c r="O422" s="122"/>
      <c r="P422" s="205"/>
      <c r="Q422" s="205"/>
      <c r="R422" s="205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</row>
    <row r="423">
      <c r="A423" s="122"/>
      <c r="B423" s="204"/>
      <c r="C423" s="204"/>
      <c r="D423" s="204"/>
      <c r="E423" s="205"/>
      <c r="F423" s="205"/>
      <c r="G423" s="205"/>
      <c r="H423" s="206"/>
      <c r="I423" s="207"/>
      <c r="J423" s="207"/>
      <c r="K423" s="207"/>
      <c r="L423" s="122"/>
      <c r="M423" s="207"/>
      <c r="N423" s="207"/>
      <c r="O423" s="122"/>
      <c r="P423" s="205"/>
      <c r="Q423" s="205"/>
      <c r="R423" s="205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</row>
    <row r="424">
      <c r="A424" s="122"/>
      <c r="B424" s="204"/>
      <c r="C424" s="204"/>
      <c r="D424" s="204"/>
      <c r="E424" s="205"/>
      <c r="F424" s="205"/>
      <c r="G424" s="205"/>
      <c r="H424" s="206"/>
      <c r="I424" s="207"/>
      <c r="J424" s="207"/>
      <c r="K424" s="207"/>
      <c r="L424" s="122"/>
      <c r="M424" s="207"/>
      <c r="N424" s="207"/>
      <c r="O424" s="122"/>
      <c r="P424" s="205"/>
      <c r="Q424" s="205"/>
      <c r="R424" s="205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</row>
    <row r="425">
      <c r="A425" s="122"/>
      <c r="B425" s="204"/>
      <c r="C425" s="204"/>
      <c r="D425" s="204"/>
      <c r="E425" s="205"/>
      <c r="F425" s="205"/>
      <c r="G425" s="205"/>
      <c r="H425" s="206"/>
      <c r="I425" s="207"/>
      <c r="J425" s="207"/>
      <c r="K425" s="207"/>
      <c r="L425" s="122"/>
      <c r="M425" s="207"/>
      <c r="N425" s="207"/>
      <c r="O425" s="122"/>
      <c r="P425" s="205"/>
      <c r="Q425" s="205"/>
      <c r="R425" s="205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</row>
    <row r="426">
      <c r="A426" s="122"/>
      <c r="B426" s="204"/>
      <c r="C426" s="204"/>
      <c r="D426" s="204"/>
      <c r="E426" s="205"/>
      <c r="F426" s="205"/>
      <c r="G426" s="205"/>
      <c r="H426" s="206"/>
      <c r="I426" s="207"/>
      <c r="J426" s="207"/>
      <c r="K426" s="207"/>
      <c r="L426" s="122"/>
      <c r="M426" s="207"/>
      <c r="N426" s="207"/>
      <c r="O426" s="122"/>
      <c r="P426" s="205"/>
      <c r="Q426" s="205"/>
      <c r="R426" s="205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</row>
    <row r="427">
      <c r="A427" s="122"/>
      <c r="B427" s="204"/>
      <c r="C427" s="204"/>
      <c r="D427" s="204"/>
      <c r="E427" s="205"/>
      <c r="F427" s="205"/>
      <c r="G427" s="205"/>
      <c r="H427" s="206"/>
      <c r="I427" s="207"/>
      <c r="J427" s="207"/>
      <c r="K427" s="207"/>
      <c r="L427" s="122"/>
      <c r="M427" s="207"/>
      <c r="N427" s="207"/>
      <c r="O427" s="122"/>
      <c r="P427" s="205"/>
      <c r="Q427" s="205"/>
      <c r="R427" s="205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</row>
    <row r="428">
      <c r="A428" s="122"/>
      <c r="B428" s="204"/>
      <c r="C428" s="204"/>
      <c r="D428" s="204"/>
      <c r="E428" s="205"/>
      <c r="F428" s="205"/>
      <c r="G428" s="205"/>
      <c r="H428" s="206"/>
      <c r="I428" s="207"/>
      <c r="J428" s="207"/>
      <c r="K428" s="207"/>
      <c r="L428" s="122"/>
      <c r="M428" s="207"/>
      <c r="N428" s="207"/>
      <c r="O428" s="122"/>
      <c r="P428" s="205"/>
      <c r="Q428" s="205"/>
      <c r="R428" s="205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</row>
    <row r="429">
      <c r="A429" s="122"/>
      <c r="B429" s="204"/>
      <c r="C429" s="204"/>
      <c r="D429" s="204"/>
      <c r="E429" s="205"/>
      <c r="F429" s="205"/>
      <c r="G429" s="205"/>
      <c r="H429" s="206"/>
      <c r="I429" s="207"/>
      <c r="J429" s="207"/>
      <c r="K429" s="207"/>
      <c r="L429" s="122"/>
      <c r="M429" s="207"/>
      <c r="N429" s="207"/>
      <c r="O429" s="122"/>
      <c r="P429" s="205"/>
      <c r="Q429" s="205"/>
      <c r="R429" s="205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</row>
    <row r="430">
      <c r="A430" s="122"/>
      <c r="B430" s="204"/>
      <c r="C430" s="204"/>
      <c r="D430" s="204"/>
      <c r="E430" s="205"/>
      <c r="F430" s="205"/>
      <c r="G430" s="205"/>
      <c r="H430" s="206"/>
      <c r="I430" s="207"/>
      <c r="J430" s="207"/>
      <c r="K430" s="207"/>
      <c r="L430" s="122"/>
      <c r="M430" s="207"/>
      <c r="N430" s="207"/>
      <c r="O430" s="122"/>
      <c r="P430" s="205"/>
      <c r="Q430" s="205"/>
      <c r="R430" s="205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</row>
    <row r="431">
      <c r="A431" s="122"/>
      <c r="B431" s="204"/>
      <c r="C431" s="204"/>
      <c r="D431" s="204"/>
      <c r="E431" s="205"/>
      <c r="F431" s="205"/>
      <c r="G431" s="205"/>
      <c r="H431" s="206"/>
      <c r="I431" s="207"/>
      <c r="J431" s="207"/>
      <c r="K431" s="207"/>
      <c r="L431" s="122"/>
      <c r="M431" s="207"/>
      <c r="N431" s="207"/>
      <c r="O431" s="122"/>
      <c r="P431" s="205"/>
      <c r="Q431" s="205"/>
      <c r="R431" s="205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</row>
    <row r="432">
      <c r="A432" s="122"/>
      <c r="B432" s="204"/>
      <c r="C432" s="204"/>
      <c r="D432" s="204"/>
      <c r="E432" s="205"/>
      <c r="F432" s="205"/>
      <c r="G432" s="205"/>
      <c r="H432" s="206"/>
      <c r="I432" s="207"/>
      <c r="J432" s="207"/>
      <c r="K432" s="207"/>
      <c r="L432" s="122"/>
      <c r="M432" s="207"/>
      <c r="N432" s="207"/>
      <c r="O432" s="122"/>
      <c r="P432" s="205"/>
      <c r="Q432" s="205"/>
      <c r="R432" s="205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</row>
    <row r="433">
      <c r="A433" s="122"/>
      <c r="B433" s="204"/>
      <c r="C433" s="204"/>
      <c r="D433" s="204"/>
      <c r="E433" s="205"/>
      <c r="F433" s="205"/>
      <c r="G433" s="205"/>
      <c r="H433" s="206"/>
      <c r="I433" s="207"/>
      <c r="J433" s="207"/>
      <c r="K433" s="207"/>
      <c r="L433" s="122"/>
      <c r="M433" s="207"/>
      <c r="N433" s="207"/>
      <c r="O433" s="122"/>
      <c r="P433" s="205"/>
      <c r="Q433" s="205"/>
      <c r="R433" s="205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</row>
    <row r="434">
      <c r="A434" s="122"/>
      <c r="B434" s="204"/>
      <c r="C434" s="204"/>
      <c r="D434" s="204"/>
      <c r="E434" s="205"/>
      <c r="F434" s="205"/>
      <c r="G434" s="205"/>
      <c r="H434" s="206"/>
      <c r="I434" s="207"/>
      <c r="J434" s="207"/>
      <c r="K434" s="207"/>
      <c r="L434" s="122"/>
      <c r="M434" s="207"/>
      <c r="N434" s="207"/>
      <c r="O434" s="122"/>
      <c r="P434" s="205"/>
      <c r="Q434" s="205"/>
      <c r="R434" s="205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</row>
    <row r="435">
      <c r="A435" s="122"/>
      <c r="B435" s="204"/>
      <c r="C435" s="204"/>
      <c r="D435" s="204"/>
      <c r="E435" s="205"/>
      <c r="F435" s="205"/>
      <c r="G435" s="205"/>
      <c r="H435" s="206"/>
      <c r="I435" s="207"/>
      <c r="J435" s="207"/>
      <c r="K435" s="207"/>
      <c r="L435" s="122"/>
      <c r="M435" s="207"/>
      <c r="N435" s="207"/>
      <c r="O435" s="122"/>
      <c r="P435" s="205"/>
      <c r="Q435" s="205"/>
      <c r="R435" s="205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</row>
    <row r="436">
      <c r="A436" s="122"/>
      <c r="B436" s="204"/>
      <c r="C436" s="204"/>
      <c r="D436" s="204"/>
      <c r="E436" s="205"/>
      <c r="F436" s="205"/>
      <c r="G436" s="205"/>
      <c r="H436" s="206"/>
      <c r="I436" s="207"/>
      <c r="J436" s="207"/>
      <c r="K436" s="207"/>
      <c r="L436" s="122"/>
      <c r="M436" s="207"/>
      <c r="N436" s="207"/>
      <c r="O436" s="122"/>
      <c r="P436" s="205"/>
      <c r="Q436" s="205"/>
      <c r="R436" s="205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</row>
    <row r="437">
      <c r="A437" s="122"/>
      <c r="B437" s="204"/>
      <c r="C437" s="204"/>
      <c r="D437" s="204"/>
      <c r="E437" s="205"/>
      <c r="F437" s="205"/>
      <c r="G437" s="205"/>
      <c r="H437" s="206"/>
      <c r="I437" s="207"/>
      <c r="J437" s="207"/>
      <c r="K437" s="207"/>
      <c r="L437" s="122"/>
      <c r="M437" s="207"/>
      <c r="N437" s="207"/>
      <c r="O437" s="122"/>
      <c r="P437" s="205"/>
      <c r="Q437" s="205"/>
      <c r="R437" s="205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</row>
    <row r="438">
      <c r="A438" s="122"/>
      <c r="B438" s="204"/>
      <c r="C438" s="204"/>
      <c r="D438" s="204"/>
      <c r="E438" s="205"/>
      <c r="F438" s="205"/>
      <c r="G438" s="205"/>
      <c r="H438" s="206"/>
      <c r="I438" s="207"/>
      <c r="J438" s="207"/>
      <c r="K438" s="207"/>
      <c r="L438" s="122"/>
      <c r="M438" s="207"/>
      <c r="N438" s="207"/>
      <c r="O438" s="122"/>
      <c r="P438" s="205"/>
      <c r="Q438" s="205"/>
      <c r="R438" s="205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</row>
    <row r="439">
      <c r="A439" s="122"/>
      <c r="B439" s="204"/>
      <c r="C439" s="204"/>
      <c r="D439" s="204"/>
      <c r="E439" s="205"/>
      <c r="F439" s="205"/>
      <c r="G439" s="205"/>
      <c r="H439" s="206"/>
      <c r="I439" s="207"/>
      <c r="J439" s="207"/>
      <c r="K439" s="207"/>
      <c r="L439" s="122"/>
      <c r="M439" s="207"/>
      <c r="N439" s="207"/>
      <c r="O439" s="122"/>
      <c r="P439" s="205"/>
      <c r="Q439" s="205"/>
      <c r="R439" s="205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</row>
    <row r="440">
      <c r="A440" s="122"/>
      <c r="B440" s="204"/>
      <c r="C440" s="204"/>
      <c r="D440" s="204"/>
      <c r="E440" s="205"/>
      <c r="F440" s="205"/>
      <c r="G440" s="205"/>
      <c r="H440" s="206"/>
      <c r="I440" s="207"/>
      <c r="J440" s="207"/>
      <c r="K440" s="207"/>
      <c r="L440" s="122"/>
      <c r="M440" s="207"/>
      <c r="N440" s="207"/>
      <c r="O440" s="122"/>
      <c r="P440" s="205"/>
      <c r="Q440" s="205"/>
      <c r="R440" s="205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</row>
    <row r="441">
      <c r="A441" s="122"/>
      <c r="B441" s="204"/>
      <c r="C441" s="204"/>
      <c r="D441" s="204"/>
      <c r="E441" s="205"/>
      <c r="F441" s="205"/>
      <c r="G441" s="205"/>
      <c r="H441" s="206"/>
      <c r="I441" s="207"/>
      <c r="J441" s="207"/>
      <c r="K441" s="207"/>
      <c r="L441" s="122"/>
      <c r="M441" s="207"/>
      <c r="N441" s="207"/>
      <c r="O441" s="122"/>
      <c r="P441" s="205"/>
      <c r="Q441" s="205"/>
      <c r="R441" s="205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</row>
    <row r="442">
      <c r="A442" s="122"/>
      <c r="B442" s="204"/>
      <c r="C442" s="204"/>
      <c r="D442" s="204"/>
      <c r="E442" s="205"/>
      <c r="F442" s="205"/>
      <c r="G442" s="205"/>
      <c r="H442" s="206"/>
      <c r="I442" s="207"/>
      <c r="J442" s="207"/>
      <c r="K442" s="207"/>
      <c r="L442" s="122"/>
      <c r="M442" s="207"/>
      <c r="N442" s="207"/>
      <c r="O442" s="122"/>
      <c r="P442" s="205"/>
      <c r="Q442" s="205"/>
      <c r="R442" s="205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</row>
    <row r="443">
      <c r="A443" s="122"/>
      <c r="B443" s="204"/>
      <c r="C443" s="204"/>
      <c r="D443" s="204"/>
      <c r="E443" s="205"/>
      <c r="F443" s="205"/>
      <c r="G443" s="205"/>
      <c r="H443" s="206"/>
      <c r="I443" s="207"/>
      <c r="J443" s="207"/>
      <c r="K443" s="207"/>
      <c r="L443" s="122"/>
      <c r="M443" s="207"/>
      <c r="N443" s="207"/>
      <c r="O443" s="122"/>
      <c r="P443" s="205"/>
      <c r="Q443" s="205"/>
      <c r="R443" s="205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</row>
    <row r="444">
      <c r="A444" s="122"/>
      <c r="B444" s="204"/>
      <c r="C444" s="204"/>
      <c r="D444" s="204"/>
      <c r="E444" s="205"/>
      <c r="F444" s="205"/>
      <c r="G444" s="205"/>
      <c r="H444" s="206"/>
      <c r="I444" s="207"/>
      <c r="J444" s="207"/>
      <c r="K444" s="207"/>
      <c r="L444" s="122"/>
      <c r="M444" s="207"/>
      <c r="N444" s="207"/>
      <c r="O444" s="122"/>
      <c r="P444" s="205"/>
      <c r="Q444" s="205"/>
      <c r="R444" s="205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</row>
    <row r="445">
      <c r="A445" s="122"/>
      <c r="B445" s="204"/>
      <c r="C445" s="204"/>
      <c r="D445" s="204"/>
      <c r="E445" s="205"/>
      <c r="F445" s="205"/>
      <c r="G445" s="205"/>
      <c r="H445" s="206"/>
      <c r="I445" s="207"/>
      <c r="J445" s="207"/>
      <c r="K445" s="207"/>
      <c r="L445" s="122"/>
      <c r="M445" s="207"/>
      <c r="N445" s="207"/>
      <c r="O445" s="122"/>
      <c r="P445" s="205"/>
      <c r="Q445" s="205"/>
      <c r="R445" s="205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</row>
    <row r="446">
      <c r="A446" s="122"/>
      <c r="B446" s="204"/>
      <c r="C446" s="204"/>
      <c r="D446" s="204"/>
      <c r="E446" s="205"/>
      <c r="F446" s="205"/>
      <c r="G446" s="205"/>
      <c r="H446" s="206"/>
      <c r="I446" s="207"/>
      <c r="J446" s="207"/>
      <c r="K446" s="207"/>
      <c r="L446" s="122"/>
      <c r="M446" s="207"/>
      <c r="N446" s="207"/>
      <c r="O446" s="122"/>
      <c r="P446" s="205"/>
      <c r="Q446" s="205"/>
      <c r="R446" s="205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</row>
    <row r="447">
      <c r="A447" s="122"/>
      <c r="B447" s="204"/>
      <c r="C447" s="204"/>
      <c r="D447" s="204"/>
      <c r="E447" s="205"/>
      <c r="F447" s="205"/>
      <c r="G447" s="205"/>
      <c r="H447" s="206"/>
      <c r="I447" s="207"/>
      <c r="J447" s="207"/>
      <c r="K447" s="207"/>
      <c r="L447" s="122"/>
      <c r="M447" s="207"/>
      <c r="N447" s="207"/>
      <c r="O447" s="122"/>
      <c r="P447" s="205"/>
      <c r="Q447" s="205"/>
      <c r="R447" s="205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</row>
    <row r="448">
      <c r="A448" s="122"/>
      <c r="B448" s="204"/>
      <c r="C448" s="204"/>
      <c r="D448" s="204"/>
      <c r="E448" s="205"/>
      <c r="F448" s="205"/>
      <c r="G448" s="205"/>
      <c r="H448" s="206"/>
      <c r="I448" s="207"/>
      <c r="J448" s="207"/>
      <c r="K448" s="207"/>
      <c r="L448" s="122"/>
      <c r="M448" s="207"/>
      <c r="N448" s="207"/>
      <c r="O448" s="122"/>
      <c r="P448" s="205"/>
      <c r="Q448" s="205"/>
      <c r="R448" s="205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</row>
    <row r="449">
      <c r="A449" s="122"/>
      <c r="B449" s="204"/>
      <c r="C449" s="204"/>
      <c r="D449" s="204"/>
      <c r="E449" s="205"/>
      <c r="F449" s="205"/>
      <c r="G449" s="205"/>
      <c r="H449" s="206"/>
      <c r="I449" s="207"/>
      <c r="J449" s="207"/>
      <c r="K449" s="207"/>
      <c r="L449" s="122"/>
      <c r="M449" s="207"/>
      <c r="N449" s="207"/>
      <c r="O449" s="122"/>
      <c r="P449" s="205"/>
      <c r="Q449" s="205"/>
      <c r="R449" s="205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</row>
    <row r="450">
      <c r="A450" s="122"/>
      <c r="B450" s="204"/>
      <c r="C450" s="204"/>
      <c r="D450" s="204"/>
      <c r="E450" s="205"/>
      <c r="F450" s="205"/>
      <c r="G450" s="205"/>
      <c r="H450" s="206"/>
      <c r="I450" s="207"/>
      <c r="J450" s="207"/>
      <c r="K450" s="207"/>
      <c r="L450" s="122"/>
      <c r="M450" s="207"/>
      <c r="N450" s="207"/>
      <c r="O450" s="122"/>
      <c r="P450" s="205"/>
      <c r="Q450" s="205"/>
      <c r="R450" s="205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</row>
    <row r="451">
      <c r="A451" s="122"/>
      <c r="B451" s="204"/>
      <c r="C451" s="204"/>
      <c r="D451" s="204"/>
      <c r="E451" s="205"/>
      <c r="F451" s="205"/>
      <c r="G451" s="205"/>
      <c r="H451" s="206"/>
      <c r="I451" s="207"/>
      <c r="J451" s="207"/>
      <c r="K451" s="207"/>
      <c r="L451" s="122"/>
      <c r="M451" s="207"/>
      <c r="N451" s="207"/>
      <c r="O451" s="122"/>
      <c r="P451" s="205"/>
      <c r="Q451" s="205"/>
      <c r="R451" s="205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</row>
    <row r="452">
      <c r="A452" s="122"/>
      <c r="B452" s="204"/>
      <c r="C452" s="204"/>
      <c r="D452" s="204"/>
      <c r="E452" s="205"/>
      <c r="F452" s="205"/>
      <c r="G452" s="205"/>
      <c r="H452" s="206"/>
      <c r="I452" s="207"/>
      <c r="J452" s="207"/>
      <c r="K452" s="207"/>
      <c r="L452" s="122"/>
      <c r="M452" s="207"/>
      <c r="N452" s="207"/>
      <c r="O452" s="122"/>
      <c r="P452" s="205"/>
      <c r="Q452" s="205"/>
      <c r="R452" s="205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</row>
    <row r="453">
      <c r="A453" s="122"/>
      <c r="B453" s="204"/>
      <c r="C453" s="204"/>
      <c r="D453" s="204"/>
      <c r="E453" s="205"/>
      <c r="F453" s="205"/>
      <c r="G453" s="205"/>
      <c r="H453" s="206"/>
      <c r="I453" s="207"/>
      <c r="J453" s="207"/>
      <c r="K453" s="207"/>
      <c r="L453" s="122"/>
      <c r="M453" s="207"/>
      <c r="N453" s="207"/>
      <c r="O453" s="122"/>
      <c r="P453" s="205"/>
      <c r="Q453" s="205"/>
      <c r="R453" s="205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</row>
    <row r="454">
      <c r="A454" s="122"/>
      <c r="B454" s="204"/>
      <c r="C454" s="204"/>
      <c r="D454" s="204"/>
      <c r="E454" s="205"/>
      <c r="F454" s="205"/>
      <c r="G454" s="205"/>
      <c r="H454" s="206"/>
      <c r="I454" s="207"/>
      <c r="J454" s="207"/>
      <c r="K454" s="207"/>
      <c r="L454" s="122"/>
      <c r="M454" s="207"/>
      <c r="N454" s="207"/>
      <c r="O454" s="122"/>
      <c r="P454" s="205"/>
      <c r="Q454" s="205"/>
      <c r="R454" s="205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</row>
    <row r="455">
      <c r="A455" s="122"/>
      <c r="B455" s="204"/>
      <c r="C455" s="204"/>
      <c r="D455" s="204"/>
      <c r="E455" s="205"/>
      <c r="F455" s="205"/>
      <c r="G455" s="205"/>
      <c r="H455" s="206"/>
      <c r="I455" s="207"/>
      <c r="J455" s="207"/>
      <c r="K455" s="207"/>
      <c r="L455" s="122"/>
      <c r="M455" s="207"/>
      <c r="N455" s="207"/>
      <c r="O455" s="122"/>
      <c r="P455" s="205"/>
      <c r="Q455" s="205"/>
      <c r="R455" s="205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</row>
    <row r="456">
      <c r="A456" s="122"/>
      <c r="B456" s="204"/>
      <c r="C456" s="204"/>
      <c r="D456" s="204"/>
      <c r="E456" s="205"/>
      <c r="F456" s="205"/>
      <c r="G456" s="205"/>
      <c r="H456" s="206"/>
      <c r="I456" s="207"/>
      <c r="J456" s="207"/>
      <c r="K456" s="207"/>
      <c r="L456" s="122"/>
      <c r="M456" s="207"/>
      <c r="N456" s="207"/>
      <c r="O456" s="122"/>
      <c r="P456" s="205"/>
      <c r="Q456" s="205"/>
      <c r="R456" s="205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</row>
    <row r="457">
      <c r="A457" s="122"/>
      <c r="B457" s="204"/>
      <c r="C457" s="204"/>
      <c r="D457" s="204"/>
      <c r="E457" s="205"/>
      <c r="F457" s="205"/>
      <c r="G457" s="205"/>
      <c r="H457" s="206"/>
      <c r="I457" s="207"/>
      <c r="J457" s="207"/>
      <c r="K457" s="207"/>
      <c r="L457" s="122"/>
      <c r="M457" s="207"/>
      <c r="N457" s="207"/>
      <c r="O457" s="122"/>
      <c r="P457" s="205"/>
      <c r="Q457" s="205"/>
      <c r="R457" s="205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</row>
    <row r="458">
      <c r="A458" s="122"/>
      <c r="B458" s="204"/>
      <c r="C458" s="204"/>
      <c r="D458" s="204"/>
      <c r="E458" s="205"/>
      <c r="F458" s="205"/>
      <c r="G458" s="205"/>
      <c r="H458" s="206"/>
      <c r="I458" s="207"/>
      <c r="J458" s="207"/>
      <c r="K458" s="207"/>
      <c r="L458" s="122"/>
      <c r="M458" s="207"/>
      <c r="N458" s="207"/>
      <c r="O458" s="122"/>
      <c r="P458" s="205"/>
      <c r="Q458" s="205"/>
      <c r="R458" s="205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</row>
    <row r="459">
      <c r="A459" s="122"/>
      <c r="B459" s="204"/>
      <c r="C459" s="204"/>
      <c r="D459" s="204"/>
      <c r="E459" s="205"/>
      <c r="F459" s="205"/>
      <c r="G459" s="205"/>
      <c r="H459" s="206"/>
      <c r="I459" s="207"/>
      <c r="J459" s="207"/>
      <c r="K459" s="207"/>
      <c r="L459" s="122"/>
      <c r="M459" s="207"/>
      <c r="N459" s="207"/>
      <c r="O459" s="122"/>
      <c r="P459" s="205"/>
      <c r="Q459" s="205"/>
      <c r="R459" s="205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</row>
    <row r="460">
      <c r="A460" s="122"/>
      <c r="B460" s="204"/>
      <c r="C460" s="204"/>
      <c r="D460" s="204"/>
      <c r="E460" s="205"/>
      <c r="F460" s="205"/>
      <c r="G460" s="205"/>
      <c r="H460" s="206"/>
      <c r="I460" s="207"/>
      <c r="J460" s="207"/>
      <c r="K460" s="207"/>
      <c r="L460" s="122"/>
      <c r="M460" s="207"/>
      <c r="N460" s="207"/>
      <c r="O460" s="122"/>
      <c r="P460" s="205"/>
      <c r="Q460" s="205"/>
      <c r="R460" s="205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</row>
    <row r="461">
      <c r="A461" s="122"/>
      <c r="B461" s="204"/>
      <c r="C461" s="204"/>
      <c r="D461" s="204"/>
      <c r="E461" s="205"/>
      <c r="F461" s="205"/>
      <c r="G461" s="205"/>
      <c r="H461" s="206"/>
      <c r="I461" s="207"/>
      <c r="J461" s="207"/>
      <c r="K461" s="207"/>
      <c r="L461" s="122"/>
      <c r="M461" s="207"/>
      <c r="N461" s="207"/>
      <c r="O461" s="122"/>
      <c r="P461" s="205"/>
      <c r="Q461" s="205"/>
      <c r="R461" s="205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</row>
    <row r="462">
      <c r="A462" s="122"/>
      <c r="B462" s="204"/>
      <c r="C462" s="204"/>
      <c r="D462" s="204"/>
      <c r="E462" s="205"/>
      <c r="F462" s="205"/>
      <c r="G462" s="205"/>
      <c r="H462" s="206"/>
      <c r="I462" s="207"/>
      <c r="J462" s="207"/>
      <c r="K462" s="207"/>
      <c r="L462" s="122"/>
      <c r="M462" s="207"/>
      <c r="N462" s="207"/>
      <c r="O462" s="122"/>
      <c r="P462" s="205"/>
      <c r="Q462" s="205"/>
      <c r="R462" s="205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</row>
    <row r="463">
      <c r="A463" s="122"/>
      <c r="B463" s="204"/>
      <c r="C463" s="204"/>
      <c r="D463" s="204"/>
      <c r="E463" s="205"/>
      <c r="F463" s="205"/>
      <c r="G463" s="205"/>
      <c r="H463" s="206"/>
      <c r="I463" s="207"/>
      <c r="J463" s="207"/>
      <c r="K463" s="207"/>
      <c r="L463" s="122"/>
      <c r="M463" s="207"/>
      <c r="N463" s="207"/>
      <c r="O463" s="122"/>
      <c r="P463" s="205"/>
      <c r="Q463" s="205"/>
      <c r="R463" s="205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</row>
    <row r="464">
      <c r="A464" s="122"/>
      <c r="B464" s="204"/>
      <c r="C464" s="204"/>
      <c r="D464" s="204"/>
      <c r="E464" s="205"/>
      <c r="F464" s="205"/>
      <c r="G464" s="205"/>
      <c r="H464" s="206"/>
      <c r="I464" s="207"/>
      <c r="J464" s="207"/>
      <c r="K464" s="207"/>
      <c r="L464" s="122"/>
      <c r="M464" s="207"/>
      <c r="N464" s="207"/>
      <c r="O464" s="122"/>
      <c r="P464" s="205"/>
      <c r="Q464" s="205"/>
      <c r="R464" s="205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</row>
    <row r="465">
      <c r="A465" s="122"/>
      <c r="B465" s="204"/>
      <c r="C465" s="204"/>
      <c r="D465" s="204"/>
      <c r="E465" s="205"/>
      <c r="F465" s="205"/>
      <c r="G465" s="205"/>
      <c r="H465" s="206"/>
      <c r="I465" s="207"/>
      <c r="J465" s="207"/>
      <c r="K465" s="207"/>
      <c r="L465" s="122"/>
      <c r="M465" s="207"/>
      <c r="N465" s="207"/>
      <c r="O465" s="122"/>
      <c r="P465" s="205"/>
      <c r="Q465" s="205"/>
      <c r="R465" s="205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</row>
    <row r="466">
      <c r="A466" s="122"/>
      <c r="B466" s="204"/>
      <c r="C466" s="204"/>
      <c r="D466" s="204"/>
      <c r="E466" s="205"/>
      <c r="F466" s="205"/>
      <c r="G466" s="205"/>
      <c r="H466" s="206"/>
      <c r="I466" s="207"/>
      <c r="J466" s="207"/>
      <c r="K466" s="207"/>
      <c r="L466" s="122"/>
      <c r="M466" s="207"/>
      <c r="N466" s="207"/>
      <c r="O466" s="122"/>
      <c r="P466" s="205"/>
      <c r="Q466" s="205"/>
      <c r="R466" s="205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</row>
    <row r="467">
      <c r="A467" s="122"/>
      <c r="B467" s="204"/>
      <c r="C467" s="204"/>
      <c r="D467" s="204"/>
      <c r="E467" s="205"/>
      <c r="F467" s="205"/>
      <c r="G467" s="205"/>
      <c r="H467" s="206"/>
      <c r="I467" s="207"/>
      <c r="J467" s="207"/>
      <c r="K467" s="207"/>
      <c r="L467" s="122"/>
      <c r="M467" s="207"/>
      <c r="N467" s="207"/>
      <c r="O467" s="122"/>
      <c r="P467" s="205"/>
      <c r="Q467" s="205"/>
      <c r="R467" s="205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</row>
    <row r="468">
      <c r="A468" s="122"/>
      <c r="B468" s="204"/>
      <c r="C468" s="204"/>
      <c r="D468" s="204"/>
      <c r="E468" s="205"/>
      <c r="F468" s="205"/>
      <c r="G468" s="205"/>
      <c r="H468" s="206"/>
      <c r="I468" s="207"/>
      <c r="J468" s="207"/>
      <c r="K468" s="207"/>
      <c r="L468" s="122"/>
      <c r="M468" s="207"/>
      <c r="N468" s="207"/>
      <c r="O468" s="122"/>
      <c r="P468" s="205"/>
      <c r="Q468" s="205"/>
      <c r="R468" s="205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</row>
    <row r="469">
      <c r="A469" s="122"/>
      <c r="B469" s="204"/>
      <c r="C469" s="204"/>
      <c r="D469" s="204"/>
      <c r="E469" s="205"/>
      <c r="F469" s="205"/>
      <c r="G469" s="205"/>
      <c r="H469" s="206"/>
      <c r="I469" s="207"/>
      <c r="J469" s="207"/>
      <c r="K469" s="207"/>
      <c r="L469" s="122"/>
      <c r="M469" s="207"/>
      <c r="N469" s="207"/>
      <c r="O469" s="122"/>
      <c r="P469" s="205"/>
      <c r="Q469" s="205"/>
      <c r="R469" s="205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</row>
    <row r="470">
      <c r="A470" s="122"/>
      <c r="B470" s="204"/>
      <c r="C470" s="204"/>
      <c r="D470" s="204"/>
      <c r="E470" s="205"/>
      <c r="F470" s="205"/>
      <c r="G470" s="205"/>
      <c r="H470" s="206"/>
      <c r="I470" s="207"/>
      <c r="J470" s="207"/>
      <c r="K470" s="207"/>
      <c r="L470" s="122"/>
      <c r="M470" s="207"/>
      <c r="N470" s="207"/>
      <c r="O470" s="122"/>
      <c r="P470" s="205"/>
      <c r="Q470" s="205"/>
      <c r="R470" s="205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</row>
    <row r="471">
      <c r="A471" s="122"/>
      <c r="B471" s="204"/>
      <c r="C471" s="204"/>
      <c r="D471" s="204"/>
      <c r="E471" s="205"/>
      <c r="F471" s="205"/>
      <c r="G471" s="205"/>
      <c r="H471" s="206"/>
      <c r="I471" s="207"/>
      <c r="J471" s="207"/>
      <c r="K471" s="207"/>
      <c r="L471" s="122"/>
      <c r="M471" s="207"/>
      <c r="N471" s="207"/>
      <c r="O471" s="122"/>
      <c r="P471" s="205"/>
      <c r="Q471" s="205"/>
      <c r="R471" s="205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</row>
    <row r="472">
      <c r="A472" s="122"/>
      <c r="B472" s="204"/>
      <c r="C472" s="204"/>
      <c r="D472" s="204"/>
      <c r="E472" s="205"/>
      <c r="F472" s="205"/>
      <c r="G472" s="205"/>
      <c r="H472" s="206"/>
      <c r="I472" s="207"/>
      <c r="J472" s="207"/>
      <c r="K472" s="207"/>
      <c r="L472" s="122"/>
      <c r="M472" s="207"/>
      <c r="N472" s="207"/>
      <c r="O472" s="122"/>
      <c r="P472" s="205"/>
      <c r="Q472" s="205"/>
      <c r="R472" s="205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</row>
    <row r="473">
      <c r="A473" s="122"/>
      <c r="B473" s="204"/>
      <c r="C473" s="204"/>
      <c r="D473" s="204"/>
      <c r="E473" s="205"/>
      <c r="F473" s="205"/>
      <c r="G473" s="205"/>
      <c r="H473" s="206"/>
      <c r="I473" s="207"/>
      <c r="J473" s="207"/>
      <c r="K473" s="207"/>
      <c r="L473" s="122"/>
      <c r="M473" s="207"/>
      <c r="N473" s="207"/>
      <c r="O473" s="122"/>
      <c r="P473" s="205"/>
      <c r="Q473" s="205"/>
      <c r="R473" s="205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</row>
    <row r="474">
      <c r="A474" s="122"/>
      <c r="B474" s="204"/>
      <c r="C474" s="204"/>
      <c r="D474" s="204"/>
      <c r="E474" s="205"/>
      <c r="F474" s="205"/>
      <c r="G474" s="205"/>
      <c r="H474" s="206"/>
      <c r="I474" s="207"/>
      <c r="J474" s="207"/>
      <c r="K474" s="207"/>
      <c r="L474" s="122"/>
      <c r="M474" s="207"/>
      <c r="N474" s="207"/>
      <c r="O474" s="122"/>
      <c r="P474" s="205"/>
      <c r="Q474" s="205"/>
      <c r="R474" s="205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</row>
    <row r="475">
      <c r="A475" s="122"/>
      <c r="B475" s="204"/>
      <c r="C475" s="204"/>
      <c r="D475" s="204"/>
      <c r="E475" s="205"/>
      <c r="F475" s="205"/>
      <c r="G475" s="205"/>
      <c r="H475" s="206"/>
      <c r="I475" s="207"/>
      <c r="J475" s="207"/>
      <c r="K475" s="207"/>
      <c r="L475" s="122"/>
      <c r="M475" s="207"/>
      <c r="N475" s="207"/>
      <c r="O475" s="122"/>
      <c r="P475" s="205"/>
      <c r="Q475" s="205"/>
      <c r="R475" s="205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</row>
    <row r="476">
      <c r="A476" s="122"/>
      <c r="B476" s="204"/>
      <c r="C476" s="204"/>
      <c r="D476" s="204"/>
      <c r="E476" s="205"/>
      <c r="F476" s="205"/>
      <c r="G476" s="205"/>
      <c r="H476" s="206"/>
      <c r="I476" s="207"/>
      <c r="J476" s="207"/>
      <c r="K476" s="207"/>
      <c r="L476" s="122"/>
      <c r="M476" s="207"/>
      <c r="N476" s="207"/>
      <c r="O476" s="122"/>
      <c r="P476" s="205"/>
      <c r="Q476" s="205"/>
      <c r="R476" s="205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</row>
    <row r="477">
      <c r="A477" s="122"/>
      <c r="B477" s="204"/>
      <c r="C477" s="204"/>
      <c r="D477" s="204"/>
      <c r="E477" s="205"/>
      <c r="F477" s="205"/>
      <c r="G477" s="205"/>
      <c r="H477" s="206"/>
      <c r="I477" s="207"/>
      <c r="J477" s="207"/>
      <c r="K477" s="207"/>
      <c r="L477" s="122"/>
      <c r="M477" s="207"/>
      <c r="N477" s="207"/>
      <c r="O477" s="122"/>
      <c r="P477" s="205"/>
      <c r="Q477" s="205"/>
      <c r="R477" s="205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</row>
    <row r="478">
      <c r="A478" s="122"/>
      <c r="B478" s="204"/>
      <c r="C478" s="204"/>
      <c r="D478" s="204"/>
      <c r="E478" s="205"/>
      <c r="F478" s="205"/>
      <c r="G478" s="205"/>
      <c r="H478" s="206"/>
      <c r="I478" s="207"/>
      <c r="J478" s="207"/>
      <c r="K478" s="207"/>
      <c r="L478" s="122"/>
      <c r="M478" s="207"/>
      <c r="N478" s="207"/>
      <c r="O478" s="122"/>
      <c r="P478" s="205"/>
      <c r="Q478" s="205"/>
      <c r="R478" s="205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</row>
    <row r="479">
      <c r="A479" s="122"/>
      <c r="B479" s="204"/>
      <c r="C479" s="204"/>
      <c r="D479" s="204"/>
      <c r="E479" s="205"/>
      <c r="F479" s="205"/>
      <c r="G479" s="205"/>
      <c r="H479" s="206"/>
      <c r="I479" s="207"/>
      <c r="J479" s="207"/>
      <c r="K479" s="207"/>
      <c r="L479" s="122"/>
      <c r="M479" s="207"/>
      <c r="N479" s="207"/>
      <c r="O479" s="122"/>
      <c r="P479" s="205"/>
      <c r="Q479" s="205"/>
      <c r="R479" s="205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</row>
    <row r="480">
      <c r="A480" s="122"/>
      <c r="B480" s="204"/>
      <c r="C480" s="204"/>
      <c r="D480" s="204"/>
      <c r="E480" s="205"/>
      <c r="F480" s="205"/>
      <c r="G480" s="205"/>
      <c r="H480" s="206"/>
      <c r="I480" s="207"/>
      <c r="J480" s="207"/>
      <c r="K480" s="207"/>
      <c r="L480" s="122"/>
      <c r="M480" s="207"/>
      <c r="N480" s="207"/>
      <c r="O480" s="122"/>
      <c r="P480" s="205"/>
      <c r="Q480" s="205"/>
      <c r="R480" s="205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</row>
    <row r="481">
      <c r="A481" s="122"/>
      <c r="B481" s="204"/>
      <c r="C481" s="204"/>
      <c r="D481" s="204"/>
      <c r="E481" s="205"/>
      <c r="F481" s="205"/>
      <c r="G481" s="205"/>
      <c r="H481" s="206"/>
      <c r="I481" s="207"/>
      <c r="J481" s="207"/>
      <c r="K481" s="207"/>
      <c r="L481" s="122"/>
      <c r="M481" s="207"/>
      <c r="N481" s="207"/>
      <c r="O481" s="122"/>
      <c r="P481" s="205"/>
      <c r="Q481" s="205"/>
      <c r="R481" s="205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</row>
    <row r="482">
      <c r="A482" s="122"/>
      <c r="B482" s="204"/>
      <c r="C482" s="204"/>
      <c r="D482" s="204"/>
      <c r="E482" s="205"/>
      <c r="F482" s="205"/>
      <c r="G482" s="205"/>
      <c r="H482" s="206"/>
      <c r="I482" s="207"/>
      <c r="J482" s="207"/>
      <c r="K482" s="207"/>
      <c r="L482" s="122"/>
      <c r="M482" s="207"/>
      <c r="N482" s="207"/>
      <c r="O482" s="122"/>
      <c r="P482" s="205"/>
      <c r="Q482" s="205"/>
      <c r="R482" s="205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</row>
    <row r="483">
      <c r="A483" s="122"/>
      <c r="B483" s="204"/>
      <c r="C483" s="204"/>
      <c r="D483" s="204"/>
      <c r="E483" s="205"/>
      <c r="F483" s="205"/>
      <c r="G483" s="205"/>
      <c r="H483" s="206"/>
      <c r="I483" s="207"/>
      <c r="J483" s="207"/>
      <c r="K483" s="207"/>
      <c r="L483" s="122"/>
      <c r="M483" s="207"/>
      <c r="N483" s="207"/>
      <c r="O483" s="122"/>
      <c r="P483" s="205"/>
      <c r="Q483" s="205"/>
      <c r="R483" s="205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</row>
    <row r="484">
      <c r="A484" s="122"/>
      <c r="B484" s="204"/>
      <c r="C484" s="204"/>
      <c r="D484" s="204"/>
      <c r="E484" s="205"/>
      <c r="F484" s="205"/>
      <c r="G484" s="205"/>
      <c r="H484" s="206"/>
      <c r="I484" s="207"/>
      <c r="J484" s="207"/>
      <c r="K484" s="207"/>
      <c r="L484" s="122"/>
      <c r="M484" s="207"/>
      <c r="N484" s="207"/>
      <c r="O484" s="122"/>
      <c r="P484" s="205"/>
      <c r="Q484" s="205"/>
      <c r="R484" s="205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</row>
    <row r="485">
      <c r="A485" s="122"/>
      <c r="B485" s="204"/>
      <c r="C485" s="204"/>
      <c r="D485" s="204"/>
      <c r="E485" s="205"/>
      <c r="F485" s="205"/>
      <c r="G485" s="205"/>
      <c r="H485" s="206"/>
      <c r="I485" s="207"/>
      <c r="J485" s="207"/>
      <c r="K485" s="207"/>
      <c r="L485" s="122"/>
      <c r="M485" s="207"/>
      <c r="N485" s="207"/>
      <c r="O485" s="122"/>
      <c r="P485" s="205"/>
      <c r="Q485" s="205"/>
      <c r="R485" s="205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</row>
    <row r="486">
      <c r="A486" s="122"/>
      <c r="B486" s="204"/>
      <c r="C486" s="204"/>
      <c r="D486" s="204"/>
      <c r="E486" s="205"/>
      <c r="F486" s="205"/>
      <c r="G486" s="205"/>
      <c r="H486" s="206"/>
      <c r="I486" s="207"/>
      <c r="J486" s="207"/>
      <c r="K486" s="207"/>
      <c r="L486" s="122"/>
      <c r="M486" s="207"/>
      <c r="N486" s="207"/>
      <c r="O486" s="122"/>
      <c r="P486" s="205"/>
      <c r="Q486" s="205"/>
      <c r="R486" s="205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</row>
    <row r="487">
      <c r="A487" s="122"/>
      <c r="B487" s="204"/>
      <c r="C487" s="204"/>
      <c r="D487" s="204"/>
      <c r="E487" s="205"/>
      <c r="F487" s="205"/>
      <c r="G487" s="205"/>
      <c r="H487" s="206"/>
      <c r="I487" s="207"/>
      <c r="J487" s="207"/>
      <c r="K487" s="207"/>
      <c r="L487" s="122"/>
      <c r="M487" s="207"/>
      <c r="N487" s="207"/>
      <c r="O487" s="122"/>
      <c r="P487" s="205"/>
      <c r="Q487" s="205"/>
      <c r="R487" s="205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</row>
    <row r="488">
      <c r="A488" s="122"/>
      <c r="B488" s="204"/>
      <c r="C488" s="204"/>
      <c r="D488" s="204"/>
      <c r="E488" s="205"/>
      <c r="F488" s="205"/>
      <c r="G488" s="205"/>
      <c r="H488" s="206"/>
      <c r="I488" s="207"/>
      <c r="J488" s="207"/>
      <c r="K488" s="207"/>
      <c r="L488" s="122"/>
      <c r="M488" s="207"/>
      <c r="N488" s="207"/>
      <c r="O488" s="122"/>
      <c r="P488" s="205"/>
      <c r="Q488" s="205"/>
      <c r="R488" s="205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</row>
    <row r="489">
      <c r="A489" s="122"/>
      <c r="B489" s="204"/>
      <c r="C489" s="204"/>
      <c r="D489" s="204"/>
      <c r="E489" s="205"/>
      <c r="F489" s="205"/>
      <c r="G489" s="205"/>
      <c r="H489" s="206"/>
      <c r="I489" s="207"/>
      <c r="J489" s="207"/>
      <c r="K489" s="207"/>
      <c r="L489" s="122"/>
      <c r="M489" s="207"/>
      <c r="N489" s="207"/>
      <c r="O489" s="122"/>
      <c r="P489" s="205"/>
      <c r="Q489" s="205"/>
      <c r="R489" s="205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</row>
    <row r="490">
      <c r="A490" s="122"/>
      <c r="B490" s="204"/>
      <c r="C490" s="204"/>
      <c r="D490" s="204"/>
      <c r="E490" s="205"/>
      <c r="F490" s="205"/>
      <c r="G490" s="205"/>
      <c r="H490" s="206"/>
      <c r="I490" s="207"/>
      <c r="J490" s="207"/>
      <c r="K490" s="207"/>
      <c r="L490" s="122"/>
      <c r="M490" s="207"/>
      <c r="N490" s="207"/>
      <c r="O490" s="122"/>
      <c r="P490" s="205"/>
      <c r="Q490" s="205"/>
      <c r="R490" s="205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</row>
    <row r="491">
      <c r="A491" s="122"/>
      <c r="B491" s="204"/>
      <c r="C491" s="204"/>
      <c r="D491" s="204"/>
      <c r="E491" s="205"/>
      <c r="F491" s="205"/>
      <c r="G491" s="205"/>
      <c r="H491" s="206"/>
      <c r="I491" s="207"/>
      <c r="J491" s="207"/>
      <c r="K491" s="207"/>
      <c r="L491" s="122"/>
      <c r="M491" s="207"/>
      <c r="N491" s="207"/>
      <c r="O491" s="122"/>
      <c r="P491" s="205"/>
      <c r="Q491" s="205"/>
      <c r="R491" s="205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</row>
    <row r="492">
      <c r="A492" s="122"/>
      <c r="B492" s="204"/>
      <c r="C492" s="204"/>
      <c r="D492" s="204"/>
      <c r="E492" s="205"/>
      <c r="F492" s="205"/>
      <c r="G492" s="205"/>
      <c r="H492" s="206"/>
      <c r="I492" s="207"/>
      <c r="J492" s="207"/>
      <c r="K492" s="207"/>
      <c r="L492" s="122"/>
      <c r="M492" s="207"/>
      <c r="N492" s="207"/>
      <c r="O492" s="122"/>
      <c r="P492" s="205"/>
      <c r="Q492" s="205"/>
      <c r="R492" s="205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</row>
    <row r="493">
      <c r="A493" s="122"/>
      <c r="B493" s="204"/>
      <c r="C493" s="204"/>
      <c r="D493" s="204"/>
      <c r="E493" s="205"/>
      <c r="F493" s="205"/>
      <c r="G493" s="205"/>
      <c r="H493" s="206"/>
      <c r="I493" s="207"/>
      <c r="J493" s="207"/>
      <c r="K493" s="207"/>
      <c r="L493" s="122"/>
      <c r="M493" s="207"/>
      <c r="N493" s="207"/>
      <c r="O493" s="122"/>
      <c r="P493" s="205"/>
      <c r="Q493" s="205"/>
      <c r="R493" s="205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</row>
    <row r="494">
      <c r="A494" s="122"/>
      <c r="B494" s="204"/>
      <c r="C494" s="204"/>
      <c r="D494" s="204"/>
      <c r="E494" s="205"/>
      <c r="F494" s="205"/>
      <c r="G494" s="205"/>
      <c r="H494" s="206"/>
      <c r="I494" s="207"/>
      <c r="J494" s="207"/>
      <c r="K494" s="207"/>
      <c r="L494" s="122"/>
      <c r="M494" s="207"/>
      <c r="N494" s="207"/>
      <c r="O494" s="122"/>
      <c r="P494" s="205"/>
      <c r="Q494" s="205"/>
      <c r="R494" s="205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</row>
    <row r="495">
      <c r="A495" s="122"/>
      <c r="B495" s="204"/>
      <c r="C495" s="204"/>
      <c r="D495" s="204"/>
      <c r="E495" s="205"/>
      <c r="F495" s="205"/>
      <c r="G495" s="205"/>
      <c r="H495" s="206"/>
      <c r="I495" s="207"/>
      <c r="J495" s="207"/>
      <c r="K495" s="207"/>
      <c r="L495" s="122"/>
      <c r="M495" s="207"/>
      <c r="N495" s="207"/>
      <c r="O495" s="122"/>
      <c r="P495" s="205"/>
      <c r="Q495" s="205"/>
      <c r="R495" s="205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</row>
    <row r="496">
      <c r="A496" s="122"/>
      <c r="B496" s="204"/>
      <c r="C496" s="204"/>
      <c r="D496" s="204"/>
      <c r="E496" s="205"/>
      <c r="F496" s="205"/>
      <c r="G496" s="205"/>
      <c r="H496" s="206"/>
      <c r="I496" s="207"/>
      <c r="J496" s="207"/>
      <c r="K496" s="207"/>
      <c r="L496" s="122"/>
      <c r="M496" s="207"/>
      <c r="N496" s="207"/>
      <c r="O496" s="122"/>
      <c r="P496" s="205"/>
      <c r="Q496" s="205"/>
      <c r="R496" s="205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</row>
    <row r="497">
      <c r="A497" s="122"/>
      <c r="B497" s="204"/>
      <c r="C497" s="204"/>
      <c r="D497" s="204"/>
      <c r="E497" s="205"/>
      <c r="F497" s="205"/>
      <c r="G497" s="205"/>
      <c r="H497" s="206"/>
      <c r="I497" s="207"/>
      <c r="J497" s="207"/>
      <c r="K497" s="207"/>
      <c r="L497" s="122"/>
      <c r="M497" s="207"/>
      <c r="N497" s="207"/>
      <c r="O497" s="122"/>
      <c r="P497" s="205"/>
      <c r="Q497" s="205"/>
      <c r="R497" s="205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</row>
    <row r="498">
      <c r="A498" s="122"/>
      <c r="B498" s="204"/>
      <c r="C498" s="204"/>
      <c r="D498" s="204"/>
      <c r="E498" s="205"/>
      <c r="F498" s="205"/>
      <c r="G498" s="205"/>
      <c r="H498" s="206"/>
      <c r="I498" s="207"/>
      <c r="J498" s="207"/>
      <c r="K498" s="207"/>
      <c r="L498" s="122"/>
      <c r="M498" s="207"/>
      <c r="N498" s="207"/>
      <c r="O498" s="122"/>
      <c r="P498" s="205"/>
      <c r="Q498" s="205"/>
      <c r="R498" s="205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</row>
    <row r="499">
      <c r="A499" s="122"/>
      <c r="B499" s="204"/>
      <c r="C499" s="204"/>
      <c r="D499" s="204"/>
      <c r="E499" s="205"/>
      <c r="F499" s="205"/>
      <c r="G499" s="205"/>
      <c r="H499" s="206"/>
      <c r="I499" s="207"/>
      <c r="J499" s="207"/>
      <c r="K499" s="207"/>
      <c r="L499" s="122"/>
      <c r="M499" s="207"/>
      <c r="N499" s="207"/>
      <c r="O499" s="122"/>
      <c r="P499" s="205"/>
      <c r="Q499" s="205"/>
      <c r="R499" s="205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</row>
    <row r="500">
      <c r="A500" s="122"/>
      <c r="B500" s="204"/>
      <c r="C500" s="204"/>
      <c r="D500" s="204"/>
      <c r="E500" s="205"/>
      <c r="F500" s="205"/>
      <c r="G500" s="205"/>
      <c r="H500" s="206"/>
      <c r="I500" s="207"/>
      <c r="J500" s="207"/>
      <c r="K500" s="207"/>
      <c r="L500" s="122"/>
      <c r="M500" s="207"/>
      <c r="N500" s="207"/>
      <c r="O500" s="122"/>
      <c r="P500" s="205"/>
      <c r="Q500" s="205"/>
      <c r="R500" s="205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</row>
    <row r="501">
      <c r="A501" s="122"/>
      <c r="B501" s="204"/>
      <c r="C501" s="204"/>
      <c r="D501" s="204"/>
      <c r="E501" s="205"/>
      <c r="F501" s="205"/>
      <c r="G501" s="205"/>
      <c r="H501" s="206"/>
      <c r="I501" s="207"/>
      <c r="J501" s="207"/>
      <c r="K501" s="207"/>
      <c r="L501" s="122"/>
      <c r="M501" s="207"/>
      <c r="N501" s="207"/>
      <c r="O501" s="122"/>
      <c r="P501" s="205"/>
      <c r="Q501" s="205"/>
      <c r="R501" s="205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</row>
    <row r="502">
      <c r="A502" s="122"/>
      <c r="B502" s="204"/>
      <c r="C502" s="204"/>
      <c r="D502" s="204"/>
      <c r="E502" s="205"/>
      <c r="F502" s="205"/>
      <c r="G502" s="205"/>
      <c r="H502" s="206"/>
      <c r="I502" s="207"/>
      <c r="J502" s="207"/>
      <c r="K502" s="207"/>
      <c r="L502" s="122"/>
      <c r="M502" s="207"/>
      <c r="N502" s="207"/>
      <c r="O502" s="122"/>
      <c r="P502" s="205"/>
      <c r="Q502" s="205"/>
      <c r="R502" s="205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</row>
    <row r="503">
      <c r="A503" s="122"/>
      <c r="B503" s="204"/>
      <c r="C503" s="204"/>
      <c r="D503" s="204"/>
      <c r="E503" s="205"/>
      <c r="F503" s="205"/>
      <c r="G503" s="205"/>
      <c r="H503" s="206"/>
      <c r="I503" s="207"/>
      <c r="J503" s="207"/>
      <c r="K503" s="207"/>
      <c r="L503" s="122"/>
      <c r="M503" s="207"/>
      <c r="N503" s="207"/>
      <c r="O503" s="122"/>
      <c r="P503" s="205"/>
      <c r="Q503" s="205"/>
      <c r="R503" s="205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</row>
    <row r="504">
      <c r="A504" s="122"/>
      <c r="B504" s="204"/>
      <c r="C504" s="204"/>
      <c r="D504" s="204"/>
      <c r="E504" s="205"/>
      <c r="F504" s="205"/>
      <c r="G504" s="205"/>
      <c r="H504" s="206"/>
      <c r="I504" s="207"/>
      <c r="J504" s="207"/>
      <c r="K504" s="207"/>
      <c r="L504" s="122"/>
      <c r="M504" s="207"/>
      <c r="N504" s="207"/>
      <c r="O504" s="122"/>
      <c r="P504" s="205"/>
      <c r="Q504" s="205"/>
      <c r="R504" s="205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</row>
    <row r="505">
      <c r="A505" s="122"/>
      <c r="B505" s="204"/>
      <c r="C505" s="204"/>
      <c r="D505" s="204"/>
      <c r="E505" s="205"/>
      <c r="F505" s="205"/>
      <c r="G505" s="205"/>
      <c r="H505" s="206"/>
      <c r="I505" s="207"/>
      <c r="J505" s="207"/>
      <c r="K505" s="207"/>
      <c r="L505" s="122"/>
      <c r="M505" s="207"/>
      <c r="N505" s="207"/>
      <c r="O505" s="122"/>
      <c r="P505" s="205"/>
      <c r="Q505" s="205"/>
      <c r="R505" s="205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</row>
    <row r="506">
      <c r="A506" s="122"/>
      <c r="B506" s="204"/>
      <c r="C506" s="204"/>
      <c r="D506" s="204"/>
      <c r="E506" s="205"/>
      <c r="F506" s="205"/>
      <c r="G506" s="205"/>
      <c r="H506" s="206"/>
      <c r="I506" s="207"/>
      <c r="J506" s="207"/>
      <c r="K506" s="207"/>
      <c r="L506" s="122"/>
      <c r="M506" s="207"/>
      <c r="N506" s="207"/>
      <c r="O506" s="122"/>
      <c r="P506" s="205"/>
      <c r="Q506" s="205"/>
      <c r="R506" s="205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</row>
    <row r="507">
      <c r="A507" s="122"/>
      <c r="B507" s="204"/>
      <c r="C507" s="204"/>
      <c r="D507" s="204"/>
      <c r="E507" s="205"/>
      <c r="F507" s="205"/>
      <c r="G507" s="205"/>
      <c r="H507" s="206"/>
      <c r="I507" s="207"/>
      <c r="J507" s="207"/>
      <c r="K507" s="207"/>
      <c r="L507" s="122"/>
      <c r="M507" s="207"/>
      <c r="N507" s="207"/>
      <c r="O507" s="122"/>
      <c r="P507" s="205"/>
      <c r="Q507" s="205"/>
      <c r="R507" s="205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</row>
    <row r="508">
      <c r="A508" s="122"/>
      <c r="B508" s="204"/>
      <c r="C508" s="204"/>
      <c r="D508" s="204"/>
      <c r="E508" s="205"/>
      <c r="F508" s="205"/>
      <c r="G508" s="205"/>
      <c r="H508" s="206"/>
      <c r="I508" s="207"/>
      <c r="J508" s="207"/>
      <c r="K508" s="207"/>
      <c r="L508" s="122"/>
      <c r="M508" s="207"/>
      <c r="N508" s="207"/>
      <c r="O508" s="122"/>
      <c r="P508" s="205"/>
      <c r="Q508" s="205"/>
      <c r="R508" s="205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</row>
    <row r="509">
      <c r="A509" s="122"/>
      <c r="B509" s="204"/>
      <c r="C509" s="204"/>
      <c r="D509" s="204"/>
      <c r="E509" s="205"/>
      <c r="F509" s="205"/>
      <c r="G509" s="205"/>
      <c r="H509" s="206"/>
      <c r="I509" s="207"/>
      <c r="J509" s="207"/>
      <c r="K509" s="207"/>
      <c r="L509" s="122"/>
      <c r="M509" s="207"/>
      <c r="N509" s="207"/>
      <c r="O509" s="122"/>
      <c r="P509" s="205"/>
      <c r="Q509" s="205"/>
      <c r="R509" s="205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</row>
    <row r="510">
      <c r="A510" s="122"/>
      <c r="B510" s="204"/>
      <c r="C510" s="204"/>
      <c r="D510" s="204"/>
      <c r="E510" s="205"/>
      <c r="F510" s="205"/>
      <c r="G510" s="205"/>
      <c r="H510" s="206"/>
      <c r="I510" s="207"/>
      <c r="J510" s="207"/>
      <c r="K510" s="207"/>
      <c r="L510" s="122"/>
      <c r="M510" s="207"/>
      <c r="N510" s="207"/>
      <c r="O510" s="122"/>
      <c r="P510" s="205"/>
      <c r="Q510" s="205"/>
      <c r="R510" s="205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</row>
    <row r="511">
      <c r="A511" s="122"/>
      <c r="B511" s="204"/>
      <c r="C511" s="204"/>
      <c r="D511" s="204"/>
      <c r="E511" s="205"/>
      <c r="F511" s="205"/>
      <c r="G511" s="205"/>
      <c r="H511" s="206"/>
      <c r="I511" s="207"/>
      <c r="J511" s="207"/>
      <c r="K511" s="207"/>
      <c r="L511" s="122"/>
      <c r="M511" s="207"/>
      <c r="N511" s="207"/>
      <c r="O511" s="122"/>
      <c r="P511" s="205"/>
      <c r="Q511" s="205"/>
      <c r="R511" s="205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</row>
    <row r="512">
      <c r="A512" s="122"/>
      <c r="B512" s="204"/>
      <c r="C512" s="204"/>
      <c r="D512" s="204"/>
      <c r="E512" s="205"/>
      <c r="F512" s="205"/>
      <c r="G512" s="205"/>
      <c r="H512" s="206"/>
      <c r="I512" s="207"/>
      <c r="J512" s="207"/>
      <c r="K512" s="207"/>
      <c r="L512" s="122"/>
      <c r="M512" s="207"/>
      <c r="N512" s="207"/>
      <c r="O512" s="122"/>
      <c r="P512" s="205"/>
      <c r="Q512" s="205"/>
      <c r="R512" s="205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</row>
    <row r="513">
      <c r="A513" s="122"/>
      <c r="B513" s="204"/>
      <c r="C513" s="204"/>
      <c r="D513" s="204"/>
      <c r="E513" s="205"/>
      <c r="F513" s="205"/>
      <c r="G513" s="205"/>
      <c r="H513" s="206"/>
      <c r="I513" s="207"/>
      <c r="J513" s="207"/>
      <c r="K513" s="207"/>
      <c r="L513" s="122"/>
      <c r="M513" s="207"/>
      <c r="N513" s="207"/>
      <c r="O513" s="122"/>
      <c r="P513" s="205"/>
      <c r="Q513" s="205"/>
      <c r="R513" s="205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</row>
    <row r="514">
      <c r="A514" s="122"/>
      <c r="B514" s="204"/>
      <c r="C514" s="204"/>
      <c r="D514" s="204"/>
      <c r="E514" s="205"/>
      <c r="F514" s="205"/>
      <c r="G514" s="205"/>
      <c r="H514" s="206"/>
      <c r="I514" s="207"/>
      <c r="J514" s="207"/>
      <c r="K514" s="207"/>
      <c r="L514" s="122"/>
      <c r="M514" s="207"/>
      <c r="N514" s="207"/>
      <c r="O514" s="122"/>
      <c r="P514" s="205"/>
      <c r="Q514" s="205"/>
      <c r="R514" s="205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</row>
    <row r="515">
      <c r="A515" s="122"/>
      <c r="B515" s="204"/>
      <c r="C515" s="204"/>
      <c r="D515" s="204"/>
      <c r="E515" s="205"/>
      <c r="F515" s="205"/>
      <c r="G515" s="205"/>
      <c r="H515" s="206"/>
      <c r="I515" s="207"/>
      <c r="J515" s="207"/>
      <c r="K515" s="207"/>
      <c r="L515" s="122"/>
      <c r="M515" s="207"/>
      <c r="N515" s="207"/>
      <c r="O515" s="122"/>
      <c r="P515" s="205"/>
      <c r="Q515" s="205"/>
      <c r="R515" s="205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</row>
    <row r="516">
      <c r="A516" s="122"/>
      <c r="B516" s="204"/>
      <c r="C516" s="204"/>
      <c r="D516" s="204"/>
      <c r="E516" s="205"/>
      <c r="F516" s="205"/>
      <c r="G516" s="205"/>
      <c r="H516" s="206"/>
      <c r="I516" s="207"/>
      <c r="J516" s="207"/>
      <c r="K516" s="207"/>
      <c r="L516" s="122"/>
      <c r="M516" s="207"/>
      <c r="N516" s="207"/>
      <c r="O516" s="122"/>
      <c r="P516" s="205"/>
      <c r="Q516" s="205"/>
      <c r="R516" s="205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</row>
    <row r="517">
      <c r="A517" s="122"/>
      <c r="B517" s="204"/>
      <c r="C517" s="204"/>
      <c r="D517" s="204"/>
      <c r="E517" s="205"/>
      <c r="F517" s="205"/>
      <c r="G517" s="205"/>
      <c r="H517" s="206"/>
      <c r="I517" s="207"/>
      <c r="J517" s="207"/>
      <c r="K517" s="207"/>
      <c r="L517" s="122"/>
      <c r="M517" s="207"/>
      <c r="N517" s="207"/>
      <c r="O517" s="122"/>
      <c r="P517" s="205"/>
      <c r="Q517" s="205"/>
      <c r="R517" s="205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</row>
    <row r="518">
      <c r="A518" s="122"/>
      <c r="B518" s="204"/>
      <c r="C518" s="204"/>
      <c r="D518" s="204"/>
      <c r="E518" s="205"/>
      <c r="F518" s="205"/>
      <c r="G518" s="205"/>
      <c r="H518" s="206"/>
      <c r="I518" s="207"/>
      <c r="J518" s="207"/>
      <c r="K518" s="207"/>
      <c r="L518" s="122"/>
      <c r="M518" s="207"/>
      <c r="N518" s="207"/>
      <c r="O518" s="122"/>
      <c r="P518" s="205"/>
      <c r="Q518" s="205"/>
      <c r="R518" s="205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</row>
    <row r="519">
      <c r="A519" s="122"/>
      <c r="B519" s="204"/>
      <c r="C519" s="204"/>
      <c r="D519" s="204"/>
      <c r="E519" s="205"/>
      <c r="F519" s="205"/>
      <c r="G519" s="205"/>
      <c r="H519" s="206"/>
      <c r="I519" s="207"/>
      <c r="J519" s="207"/>
      <c r="K519" s="207"/>
      <c r="L519" s="122"/>
      <c r="M519" s="207"/>
      <c r="N519" s="207"/>
      <c r="O519" s="122"/>
      <c r="P519" s="205"/>
      <c r="Q519" s="205"/>
      <c r="R519" s="205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</row>
    <row r="520">
      <c r="A520" s="122"/>
      <c r="B520" s="204"/>
      <c r="C520" s="204"/>
      <c r="D520" s="204"/>
      <c r="E520" s="205"/>
      <c r="F520" s="205"/>
      <c r="G520" s="205"/>
      <c r="H520" s="206"/>
      <c r="I520" s="207"/>
      <c r="J520" s="207"/>
      <c r="K520" s="207"/>
      <c r="L520" s="122"/>
      <c r="M520" s="207"/>
      <c r="N520" s="207"/>
      <c r="O520" s="122"/>
      <c r="P520" s="205"/>
      <c r="Q520" s="205"/>
      <c r="R520" s="205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</row>
    <row r="521">
      <c r="A521" s="122"/>
      <c r="B521" s="204"/>
      <c r="C521" s="204"/>
      <c r="D521" s="204"/>
      <c r="E521" s="205"/>
      <c r="F521" s="205"/>
      <c r="G521" s="205"/>
      <c r="H521" s="206"/>
      <c r="I521" s="207"/>
      <c r="J521" s="207"/>
      <c r="K521" s="207"/>
      <c r="L521" s="122"/>
      <c r="M521" s="207"/>
      <c r="N521" s="207"/>
      <c r="O521" s="122"/>
      <c r="P521" s="205"/>
      <c r="Q521" s="205"/>
      <c r="R521" s="205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</row>
    <row r="522">
      <c r="A522" s="122"/>
      <c r="B522" s="204"/>
      <c r="C522" s="204"/>
      <c r="D522" s="204"/>
      <c r="E522" s="205"/>
      <c r="F522" s="205"/>
      <c r="G522" s="205"/>
      <c r="H522" s="206"/>
      <c r="I522" s="207"/>
      <c r="J522" s="207"/>
      <c r="K522" s="207"/>
      <c r="L522" s="122"/>
      <c r="M522" s="207"/>
      <c r="N522" s="207"/>
      <c r="O522" s="122"/>
      <c r="P522" s="205"/>
      <c r="Q522" s="205"/>
      <c r="R522" s="205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</row>
    <row r="523">
      <c r="A523" s="122"/>
      <c r="B523" s="204"/>
      <c r="C523" s="204"/>
      <c r="D523" s="204"/>
      <c r="E523" s="205"/>
      <c r="F523" s="205"/>
      <c r="G523" s="205"/>
      <c r="H523" s="206"/>
      <c r="I523" s="207"/>
      <c r="J523" s="207"/>
      <c r="K523" s="207"/>
      <c r="L523" s="122"/>
      <c r="M523" s="207"/>
      <c r="N523" s="207"/>
      <c r="O523" s="122"/>
      <c r="P523" s="205"/>
      <c r="Q523" s="205"/>
      <c r="R523" s="205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</row>
    <row r="524">
      <c r="A524" s="122"/>
      <c r="B524" s="204"/>
      <c r="C524" s="204"/>
      <c r="D524" s="204"/>
      <c r="E524" s="205"/>
      <c r="F524" s="205"/>
      <c r="G524" s="205"/>
      <c r="H524" s="206"/>
      <c r="I524" s="207"/>
      <c r="J524" s="207"/>
      <c r="K524" s="207"/>
      <c r="L524" s="122"/>
      <c r="M524" s="207"/>
      <c r="N524" s="207"/>
      <c r="O524" s="122"/>
      <c r="P524" s="205"/>
      <c r="Q524" s="205"/>
      <c r="R524" s="205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</row>
    <row r="525">
      <c r="A525" s="122"/>
      <c r="B525" s="204"/>
      <c r="C525" s="204"/>
      <c r="D525" s="204"/>
      <c r="E525" s="205"/>
      <c r="F525" s="205"/>
      <c r="G525" s="205"/>
      <c r="H525" s="206"/>
      <c r="I525" s="207"/>
      <c r="J525" s="207"/>
      <c r="K525" s="207"/>
      <c r="L525" s="122"/>
      <c r="M525" s="207"/>
      <c r="N525" s="207"/>
      <c r="O525" s="122"/>
      <c r="P525" s="205"/>
      <c r="Q525" s="205"/>
      <c r="R525" s="205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</row>
    <row r="526">
      <c r="A526" s="122"/>
      <c r="B526" s="204"/>
      <c r="C526" s="204"/>
      <c r="D526" s="204"/>
      <c r="E526" s="205"/>
      <c r="F526" s="205"/>
      <c r="G526" s="205"/>
      <c r="H526" s="206"/>
      <c r="I526" s="207"/>
      <c r="J526" s="207"/>
      <c r="K526" s="207"/>
      <c r="L526" s="122"/>
      <c r="M526" s="207"/>
      <c r="N526" s="207"/>
      <c r="O526" s="122"/>
      <c r="P526" s="205"/>
      <c r="Q526" s="205"/>
      <c r="R526" s="205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</row>
    <row r="527">
      <c r="A527" s="122"/>
      <c r="B527" s="204"/>
      <c r="C527" s="204"/>
      <c r="D527" s="204"/>
      <c r="E527" s="205"/>
      <c r="F527" s="205"/>
      <c r="G527" s="205"/>
      <c r="H527" s="206"/>
      <c r="I527" s="207"/>
      <c r="J527" s="207"/>
      <c r="K527" s="207"/>
      <c r="L527" s="122"/>
      <c r="M527" s="207"/>
      <c r="N527" s="207"/>
      <c r="O527" s="122"/>
      <c r="P527" s="205"/>
      <c r="Q527" s="205"/>
      <c r="R527" s="205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</row>
    <row r="528">
      <c r="A528" s="122"/>
      <c r="B528" s="204"/>
      <c r="C528" s="204"/>
      <c r="D528" s="204"/>
      <c r="E528" s="205"/>
      <c r="F528" s="205"/>
      <c r="G528" s="205"/>
      <c r="H528" s="206"/>
      <c r="I528" s="207"/>
      <c r="J528" s="207"/>
      <c r="K528" s="207"/>
      <c r="L528" s="122"/>
      <c r="M528" s="207"/>
      <c r="N528" s="207"/>
      <c r="O528" s="122"/>
      <c r="P528" s="205"/>
      <c r="Q528" s="205"/>
      <c r="R528" s="205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</row>
    <row r="529">
      <c r="A529" s="122"/>
      <c r="B529" s="204"/>
      <c r="C529" s="204"/>
      <c r="D529" s="204"/>
      <c r="E529" s="205"/>
      <c r="F529" s="205"/>
      <c r="G529" s="205"/>
      <c r="H529" s="206"/>
      <c r="I529" s="207"/>
      <c r="J529" s="207"/>
      <c r="K529" s="207"/>
      <c r="L529" s="122"/>
      <c r="M529" s="207"/>
      <c r="N529" s="207"/>
      <c r="O529" s="122"/>
      <c r="P529" s="205"/>
      <c r="Q529" s="205"/>
      <c r="R529" s="205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</row>
    <row r="530">
      <c r="A530" s="122"/>
      <c r="B530" s="204"/>
      <c r="C530" s="204"/>
      <c r="D530" s="204"/>
      <c r="E530" s="205"/>
      <c r="F530" s="205"/>
      <c r="G530" s="205"/>
      <c r="H530" s="206"/>
      <c r="I530" s="207"/>
      <c r="J530" s="207"/>
      <c r="K530" s="207"/>
      <c r="L530" s="122"/>
      <c r="M530" s="207"/>
      <c r="N530" s="207"/>
      <c r="O530" s="122"/>
      <c r="P530" s="205"/>
      <c r="Q530" s="205"/>
      <c r="R530" s="205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</row>
    <row r="531">
      <c r="A531" s="122"/>
      <c r="B531" s="204"/>
      <c r="C531" s="204"/>
      <c r="D531" s="204"/>
      <c r="E531" s="205"/>
      <c r="F531" s="205"/>
      <c r="G531" s="205"/>
      <c r="H531" s="206"/>
      <c r="I531" s="207"/>
      <c r="J531" s="207"/>
      <c r="K531" s="207"/>
      <c r="L531" s="122"/>
      <c r="M531" s="207"/>
      <c r="N531" s="207"/>
      <c r="O531" s="122"/>
      <c r="P531" s="205"/>
      <c r="Q531" s="205"/>
      <c r="R531" s="205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</row>
    <row r="532">
      <c r="A532" s="122"/>
      <c r="B532" s="204"/>
      <c r="C532" s="204"/>
      <c r="D532" s="204"/>
      <c r="E532" s="205"/>
      <c r="F532" s="205"/>
      <c r="G532" s="205"/>
      <c r="H532" s="206"/>
      <c r="I532" s="207"/>
      <c r="J532" s="207"/>
      <c r="K532" s="207"/>
      <c r="L532" s="122"/>
      <c r="M532" s="207"/>
      <c r="N532" s="207"/>
      <c r="O532" s="122"/>
      <c r="P532" s="205"/>
      <c r="Q532" s="205"/>
      <c r="R532" s="205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</row>
    <row r="533">
      <c r="A533" s="122"/>
      <c r="B533" s="204"/>
      <c r="C533" s="204"/>
      <c r="D533" s="204"/>
      <c r="E533" s="205"/>
      <c r="F533" s="205"/>
      <c r="G533" s="205"/>
      <c r="H533" s="206"/>
      <c r="I533" s="207"/>
      <c r="J533" s="207"/>
      <c r="K533" s="207"/>
      <c r="L533" s="122"/>
      <c r="M533" s="207"/>
      <c r="N533" s="207"/>
      <c r="O533" s="122"/>
      <c r="P533" s="205"/>
      <c r="Q533" s="205"/>
      <c r="R533" s="205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</row>
    <row r="534">
      <c r="A534" s="122"/>
      <c r="B534" s="204"/>
      <c r="C534" s="204"/>
      <c r="D534" s="204"/>
      <c r="E534" s="205"/>
      <c r="F534" s="205"/>
      <c r="G534" s="205"/>
      <c r="H534" s="206"/>
      <c r="I534" s="207"/>
      <c r="J534" s="207"/>
      <c r="K534" s="207"/>
      <c r="L534" s="122"/>
      <c r="M534" s="207"/>
      <c r="N534" s="207"/>
      <c r="O534" s="122"/>
      <c r="P534" s="205"/>
      <c r="Q534" s="205"/>
      <c r="R534" s="205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</row>
    <row r="535">
      <c r="A535" s="122"/>
      <c r="B535" s="204"/>
      <c r="C535" s="204"/>
      <c r="D535" s="204"/>
      <c r="E535" s="205"/>
      <c r="F535" s="205"/>
      <c r="G535" s="205"/>
      <c r="H535" s="206"/>
      <c r="I535" s="207"/>
      <c r="J535" s="207"/>
      <c r="K535" s="207"/>
      <c r="L535" s="122"/>
      <c r="M535" s="207"/>
      <c r="N535" s="207"/>
      <c r="O535" s="122"/>
      <c r="P535" s="205"/>
      <c r="Q535" s="205"/>
      <c r="R535" s="205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</row>
    <row r="536">
      <c r="A536" s="122"/>
      <c r="B536" s="204"/>
      <c r="C536" s="204"/>
      <c r="D536" s="204"/>
      <c r="E536" s="205"/>
      <c r="F536" s="205"/>
      <c r="G536" s="205"/>
      <c r="H536" s="206"/>
      <c r="I536" s="207"/>
      <c r="J536" s="207"/>
      <c r="K536" s="207"/>
      <c r="L536" s="122"/>
      <c r="M536" s="207"/>
      <c r="N536" s="207"/>
      <c r="O536" s="122"/>
      <c r="P536" s="205"/>
      <c r="Q536" s="205"/>
      <c r="R536" s="205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</row>
    <row r="537">
      <c r="A537" s="122"/>
      <c r="B537" s="204"/>
      <c r="C537" s="204"/>
      <c r="D537" s="204"/>
      <c r="E537" s="205"/>
      <c r="F537" s="205"/>
      <c r="G537" s="205"/>
      <c r="H537" s="206"/>
      <c r="I537" s="207"/>
      <c r="J537" s="207"/>
      <c r="K537" s="207"/>
      <c r="L537" s="122"/>
      <c r="M537" s="207"/>
      <c r="N537" s="207"/>
      <c r="O537" s="122"/>
      <c r="P537" s="205"/>
      <c r="Q537" s="205"/>
      <c r="R537" s="205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</row>
    <row r="538">
      <c r="A538" s="122"/>
      <c r="B538" s="204"/>
      <c r="C538" s="204"/>
      <c r="D538" s="204"/>
      <c r="E538" s="205"/>
      <c r="F538" s="205"/>
      <c r="G538" s="205"/>
      <c r="H538" s="206"/>
      <c r="I538" s="207"/>
      <c r="J538" s="207"/>
      <c r="K538" s="207"/>
      <c r="L538" s="122"/>
      <c r="M538" s="207"/>
      <c r="N538" s="207"/>
      <c r="O538" s="122"/>
      <c r="P538" s="205"/>
      <c r="Q538" s="205"/>
      <c r="R538" s="205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</row>
    <row r="539">
      <c r="A539" s="122"/>
      <c r="B539" s="204"/>
      <c r="C539" s="204"/>
      <c r="D539" s="204"/>
      <c r="E539" s="205"/>
      <c r="F539" s="205"/>
      <c r="G539" s="205"/>
      <c r="H539" s="206"/>
      <c r="I539" s="207"/>
      <c r="J539" s="207"/>
      <c r="K539" s="207"/>
      <c r="L539" s="122"/>
      <c r="M539" s="207"/>
      <c r="N539" s="207"/>
      <c r="O539" s="122"/>
      <c r="P539" s="205"/>
      <c r="Q539" s="205"/>
      <c r="R539" s="205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</row>
    <row r="540">
      <c r="A540" s="122"/>
      <c r="B540" s="204"/>
      <c r="C540" s="204"/>
      <c r="D540" s="204"/>
      <c r="E540" s="205"/>
      <c r="F540" s="205"/>
      <c r="G540" s="205"/>
      <c r="H540" s="206"/>
      <c r="I540" s="207"/>
      <c r="J540" s="207"/>
      <c r="K540" s="207"/>
      <c r="L540" s="122"/>
      <c r="M540" s="207"/>
      <c r="N540" s="207"/>
      <c r="O540" s="122"/>
      <c r="P540" s="205"/>
      <c r="Q540" s="205"/>
      <c r="R540" s="205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</row>
    <row r="541">
      <c r="A541" s="122"/>
      <c r="B541" s="204"/>
      <c r="C541" s="204"/>
      <c r="D541" s="204"/>
      <c r="E541" s="205"/>
      <c r="F541" s="205"/>
      <c r="G541" s="205"/>
      <c r="H541" s="206"/>
      <c r="I541" s="207"/>
      <c r="J541" s="207"/>
      <c r="K541" s="207"/>
      <c r="L541" s="122"/>
      <c r="M541" s="207"/>
      <c r="N541" s="207"/>
      <c r="O541" s="122"/>
      <c r="P541" s="205"/>
      <c r="Q541" s="205"/>
      <c r="R541" s="205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</row>
    <row r="542">
      <c r="A542" s="122"/>
      <c r="B542" s="204"/>
      <c r="C542" s="204"/>
      <c r="D542" s="204"/>
      <c r="E542" s="205"/>
      <c r="F542" s="205"/>
      <c r="G542" s="205"/>
      <c r="H542" s="206"/>
      <c r="I542" s="207"/>
      <c r="J542" s="207"/>
      <c r="K542" s="207"/>
      <c r="L542" s="122"/>
      <c r="M542" s="207"/>
      <c r="N542" s="207"/>
      <c r="O542" s="122"/>
      <c r="P542" s="205"/>
      <c r="Q542" s="205"/>
      <c r="R542" s="205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</row>
    <row r="543">
      <c r="A543" s="122"/>
      <c r="B543" s="204"/>
      <c r="C543" s="204"/>
      <c r="D543" s="204"/>
      <c r="E543" s="205"/>
      <c r="F543" s="205"/>
      <c r="G543" s="205"/>
      <c r="H543" s="206"/>
      <c r="I543" s="207"/>
      <c r="J543" s="207"/>
      <c r="K543" s="207"/>
      <c r="L543" s="122"/>
      <c r="M543" s="207"/>
      <c r="N543" s="207"/>
      <c r="O543" s="122"/>
      <c r="P543" s="205"/>
      <c r="Q543" s="205"/>
      <c r="R543" s="205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</row>
    <row r="544">
      <c r="A544" s="122"/>
      <c r="B544" s="204"/>
      <c r="C544" s="204"/>
      <c r="D544" s="204"/>
      <c r="E544" s="205"/>
      <c r="F544" s="205"/>
      <c r="G544" s="205"/>
      <c r="H544" s="206"/>
      <c r="I544" s="207"/>
      <c r="J544" s="207"/>
      <c r="K544" s="207"/>
      <c r="L544" s="122"/>
      <c r="M544" s="207"/>
      <c r="N544" s="207"/>
      <c r="O544" s="122"/>
      <c r="P544" s="205"/>
      <c r="Q544" s="205"/>
      <c r="R544" s="205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</row>
    <row r="545">
      <c r="A545" s="122"/>
      <c r="B545" s="204"/>
      <c r="C545" s="204"/>
      <c r="D545" s="204"/>
      <c r="E545" s="205"/>
      <c r="F545" s="205"/>
      <c r="G545" s="205"/>
      <c r="H545" s="206"/>
      <c r="I545" s="207"/>
      <c r="J545" s="207"/>
      <c r="K545" s="207"/>
      <c r="L545" s="122"/>
      <c r="M545" s="207"/>
      <c r="N545" s="207"/>
      <c r="O545" s="122"/>
      <c r="P545" s="205"/>
      <c r="Q545" s="205"/>
      <c r="R545" s="205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</row>
    <row r="546">
      <c r="A546" s="122"/>
      <c r="B546" s="204"/>
      <c r="C546" s="204"/>
      <c r="D546" s="204"/>
      <c r="E546" s="205"/>
      <c r="F546" s="205"/>
      <c r="G546" s="205"/>
      <c r="H546" s="206"/>
      <c r="I546" s="207"/>
      <c r="J546" s="207"/>
      <c r="K546" s="207"/>
      <c r="L546" s="122"/>
      <c r="M546" s="207"/>
      <c r="N546" s="207"/>
      <c r="O546" s="122"/>
      <c r="P546" s="205"/>
      <c r="Q546" s="205"/>
      <c r="R546" s="205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</row>
    <row r="547">
      <c r="A547" s="122"/>
      <c r="B547" s="204"/>
      <c r="C547" s="204"/>
      <c r="D547" s="204"/>
      <c r="E547" s="205"/>
      <c r="F547" s="205"/>
      <c r="G547" s="205"/>
      <c r="H547" s="206"/>
      <c r="I547" s="207"/>
      <c r="J547" s="207"/>
      <c r="K547" s="207"/>
      <c r="L547" s="122"/>
      <c r="M547" s="207"/>
      <c r="N547" s="207"/>
      <c r="O547" s="122"/>
      <c r="P547" s="205"/>
      <c r="Q547" s="205"/>
      <c r="R547" s="205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</row>
    <row r="548">
      <c r="A548" s="122"/>
      <c r="B548" s="204"/>
      <c r="C548" s="204"/>
      <c r="D548" s="204"/>
      <c r="E548" s="205"/>
      <c r="F548" s="205"/>
      <c r="G548" s="205"/>
      <c r="H548" s="206"/>
      <c r="I548" s="207"/>
      <c r="J548" s="207"/>
      <c r="K548" s="207"/>
      <c r="L548" s="122"/>
      <c r="M548" s="207"/>
      <c r="N548" s="207"/>
      <c r="O548" s="122"/>
      <c r="P548" s="205"/>
      <c r="Q548" s="205"/>
      <c r="R548" s="205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</row>
    <row r="549">
      <c r="A549" s="122"/>
      <c r="B549" s="204"/>
      <c r="C549" s="204"/>
      <c r="D549" s="204"/>
      <c r="E549" s="205"/>
      <c r="F549" s="205"/>
      <c r="G549" s="205"/>
      <c r="H549" s="206"/>
      <c r="I549" s="207"/>
      <c r="J549" s="207"/>
      <c r="K549" s="207"/>
      <c r="L549" s="122"/>
      <c r="M549" s="207"/>
      <c r="N549" s="207"/>
      <c r="O549" s="122"/>
      <c r="P549" s="205"/>
      <c r="Q549" s="205"/>
      <c r="R549" s="205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</row>
    <row r="550">
      <c r="A550" s="122"/>
      <c r="B550" s="204"/>
      <c r="C550" s="204"/>
      <c r="D550" s="204"/>
      <c r="E550" s="205"/>
      <c r="F550" s="205"/>
      <c r="G550" s="205"/>
      <c r="H550" s="206"/>
      <c r="I550" s="207"/>
      <c r="J550" s="207"/>
      <c r="K550" s="207"/>
      <c r="L550" s="122"/>
      <c r="M550" s="207"/>
      <c r="N550" s="207"/>
      <c r="O550" s="122"/>
      <c r="P550" s="205"/>
      <c r="Q550" s="205"/>
      <c r="R550" s="205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</row>
    <row r="551">
      <c r="A551" s="122"/>
      <c r="B551" s="204"/>
      <c r="C551" s="204"/>
      <c r="D551" s="204"/>
      <c r="E551" s="205"/>
      <c r="F551" s="205"/>
      <c r="G551" s="205"/>
      <c r="H551" s="206"/>
      <c r="I551" s="207"/>
      <c r="J551" s="207"/>
      <c r="K551" s="207"/>
      <c r="L551" s="122"/>
      <c r="M551" s="207"/>
      <c r="N551" s="207"/>
      <c r="O551" s="122"/>
      <c r="P551" s="205"/>
      <c r="Q551" s="205"/>
      <c r="R551" s="205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</row>
    <row r="552">
      <c r="A552" s="122"/>
      <c r="B552" s="204"/>
      <c r="C552" s="204"/>
      <c r="D552" s="204"/>
      <c r="E552" s="205"/>
      <c r="F552" s="205"/>
      <c r="G552" s="205"/>
      <c r="H552" s="206"/>
      <c r="I552" s="207"/>
      <c r="J552" s="207"/>
      <c r="K552" s="207"/>
      <c r="L552" s="122"/>
      <c r="M552" s="207"/>
      <c r="N552" s="207"/>
      <c r="O552" s="122"/>
      <c r="P552" s="205"/>
      <c r="Q552" s="205"/>
      <c r="R552" s="205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</row>
    <row r="553">
      <c r="A553" s="122"/>
      <c r="B553" s="204"/>
      <c r="C553" s="204"/>
      <c r="D553" s="204"/>
      <c r="E553" s="205"/>
      <c r="F553" s="205"/>
      <c r="G553" s="205"/>
      <c r="H553" s="206"/>
      <c r="I553" s="207"/>
      <c r="J553" s="207"/>
      <c r="K553" s="207"/>
      <c r="L553" s="122"/>
      <c r="M553" s="207"/>
      <c r="N553" s="207"/>
      <c r="O553" s="122"/>
      <c r="P553" s="205"/>
      <c r="Q553" s="205"/>
      <c r="R553" s="205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</row>
    <row r="554">
      <c r="A554" s="122"/>
      <c r="B554" s="204"/>
      <c r="C554" s="204"/>
      <c r="D554" s="204"/>
      <c r="E554" s="205"/>
      <c r="F554" s="205"/>
      <c r="G554" s="205"/>
      <c r="H554" s="206"/>
      <c r="I554" s="207"/>
      <c r="J554" s="207"/>
      <c r="K554" s="207"/>
      <c r="L554" s="122"/>
      <c r="M554" s="207"/>
      <c r="N554" s="207"/>
      <c r="O554" s="122"/>
      <c r="P554" s="205"/>
      <c r="Q554" s="205"/>
      <c r="R554" s="205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</row>
    <row r="555">
      <c r="A555" s="122"/>
      <c r="B555" s="204"/>
      <c r="C555" s="204"/>
      <c r="D555" s="204"/>
      <c r="E555" s="205"/>
      <c r="F555" s="205"/>
      <c r="G555" s="205"/>
      <c r="H555" s="206"/>
      <c r="I555" s="207"/>
      <c r="J555" s="207"/>
      <c r="K555" s="207"/>
      <c r="L555" s="122"/>
      <c r="M555" s="207"/>
      <c r="N555" s="207"/>
      <c r="O555" s="122"/>
      <c r="P555" s="205"/>
      <c r="Q555" s="205"/>
      <c r="R555" s="205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</row>
    <row r="556">
      <c r="A556" s="122"/>
      <c r="B556" s="204"/>
      <c r="C556" s="204"/>
      <c r="D556" s="204"/>
      <c r="E556" s="205"/>
      <c r="F556" s="205"/>
      <c r="G556" s="205"/>
      <c r="H556" s="206"/>
      <c r="I556" s="207"/>
      <c r="J556" s="207"/>
      <c r="K556" s="207"/>
      <c r="L556" s="122"/>
      <c r="M556" s="207"/>
      <c r="N556" s="207"/>
      <c r="O556" s="122"/>
      <c r="P556" s="205"/>
      <c r="Q556" s="205"/>
      <c r="R556" s="205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</row>
    <row r="557">
      <c r="A557" s="122"/>
      <c r="B557" s="204"/>
      <c r="C557" s="204"/>
      <c r="D557" s="204"/>
      <c r="E557" s="205"/>
      <c r="F557" s="205"/>
      <c r="G557" s="205"/>
      <c r="H557" s="206"/>
      <c r="I557" s="207"/>
      <c r="J557" s="207"/>
      <c r="K557" s="207"/>
      <c r="L557" s="122"/>
      <c r="M557" s="207"/>
      <c r="N557" s="207"/>
      <c r="O557" s="122"/>
      <c r="P557" s="205"/>
      <c r="Q557" s="205"/>
      <c r="R557" s="205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</row>
    <row r="558">
      <c r="A558" s="122"/>
      <c r="B558" s="204"/>
      <c r="C558" s="204"/>
      <c r="D558" s="204"/>
      <c r="E558" s="205"/>
      <c r="F558" s="205"/>
      <c r="G558" s="205"/>
      <c r="H558" s="206"/>
      <c r="I558" s="207"/>
      <c r="J558" s="207"/>
      <c r="K558" s="207"/>
      <c r="L558" s="122"/>
      <c r="M558" s="207"/>
      <c r="N558" s="207"/>
      <c r="O558" s="122"/>
      <c r="P558" s="205"/>
      <c r="Q558" s="205"/>
      <c r="R558" s="205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</row>
    <row r="559">
      <c r="A559" s="122"/>
      <c r="B559" s="204"/>
      <c r="C559" s="204"/>
      <c r="D559" s="204"/>
      <c r="E559" s="205"/>
      <c r="F559" s="205"/>
      <c r="G559" s="205"/>
      <c r="H559" s="206"/>
      <c r="I559" s="207"/>
      <c r="J559" s="207"/>
      <c r="K559" s="207"/>
      <c r="L559" s="122"/>
      <c r="M559" s="207"/>
      <c r="N559" s="207"/>
      <c r="O559" s="122"/>
      <c r="P559" s="205"/>
      <c r="Q559" s="205"/>
      <c r="R559" s="205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</row>
    <row r="560">
      <c r="A560" s="122"/>
      <c r="B560" s="204"/>
      <c r="C560" s="204"/>
      <c r="D560" s="204"/>
      <c r="E560" s="205"/>
      <c r="F560" s="205"/>
      <c r="G560" s="205"/>
      <c r="H560" s="206"/>
      <c r="I560" s="207"/>
      <c r="J560" s="207"/>
      <c r="K560" s="207"/>
      <c r="L560" s="122"/>
      <c r="M560" s="207"/>
      <c r="N560" s="207"/>
      <c r="O560" s="122"/>
      <c r="P560" s="205"/>
      <c r="Q560" s="205"/>
      <c r="R560" s="205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</row>
    <row r="561">
      <c r="A561" s="122"/>
      <c r="B561" s="204"/>
      <c r="C561" s="204"/>
      <c r="D561" s="204"/>
      <c r="E561" s="205"/>
      <c r="F561" s="205"/>
      <c r="G561" s="205"/>
      <c r="H561" s="206"/>
      <c r="I561" s="207"/>
      <c r="J561" s="207"/>
      <c r="K561" s="207"/>
      <c r="L561" s="122"/>
      <c r="M561" s="207"/>
      <c r="N561" s="207"/>
      <c r="O561" s="122"/>
      <c r="P561" s="205"/>
      <c r="Q561" s="205"/>
      <c r="R561" s="205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</row>
    <row r="562">
      <c r="A562" s="122"/>
      <c r="B562" s="204"/>
      <c r="C562" s="204"/>
      <c r="D562" s="204"/>
      <c r="E562" s="205"/>
      <c r="F562" s="205"/>
      <c r="G562" s="205"/>
      <c r="H562" s="206"/>
      <c r="I562" s="207"/>
      <c r="J562" s="207"/>
      <c r="K562" s="207"/>
      <c r="L562" s="122"/>
      <c r="M562" s="207"/>
      <c r="N562" s="207"/>
      <c r="O562" s="122"/>
      <c r="P562" s="205"/>
      <c r="Q562" s="205"/>
      <c r="R562" s="205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</row>
    <row r="563">
      <c r="A563" s="122"/>
      <c r="B563" s="204"/>
      <c r="C563" s="204"/>
      <c r="D563" s="204"/>
      <c r="E563" s="205"/>
      <c r="F563" s="205"/>
      <c r="G563" s="205"/>
      <c r="H563" s="206"/>
      <c r="I563" s="207"/>
      <c r="J563" s="207"/>
      <c r="K563" s="207"/>
      <c r="L563" s="122"/>
      <c r="M563" s="207"/>
      <c r="N563" s="207"/>
      <c r="O563" s="122"/>
      <c r="P563" s="205"/>
      <c r="Q563" s="205"/>
      <c r="R563" s="205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</row>
    <row r="564">
      <c r="A564" s="122"/>
      <c r="B564" s="204"/>
      <c r="C564" s="204"/>
      <c r="D564" s="204"/>
      <c r="E564" s="205"/>
      <c r="F564" s="205"/>
      <c r="G564" s="205"/>
      <c r="H564" s="206"/>
      <c r="I564" s="207"/>
      <c r="J564" s="207"/>
      <c r="K564" s="207"/>
      <c r="L564" s="122"/>
      <c r="M564" s="207"/>
      <c r="N564" s="207"/>
      <c r="O564" s="122"/>
      <c r="P564" s="205"/>
      <c r="Q564" s="205"/>
      <c r="R564" s="205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</row>
    <row r="565">
      <c r="A565" s="122"/>
      <c r="B565" s="204"/>
      <c r="C565" s="204"/>
      <c r="D565" s="204"/>
      <c r="E565" s="205"/>
      <c r="F565" s="205"/>
      <c r="G565" s="205"/>
      <c r="H565" s="206"/>
      <c r="I565" s="207"/>
      <c r="J565" s="207"/>
      <c r="K565" s="207"/>
      <c r="L565" s="122"/>
      <c r="M565" s="207"/>
      <c r="N565" s="207"/>
      <c r="O565" s="122"/>
      <c r="P565" s="205"/>
      <c r="Q565" s="205"/>
      <c r="R565" s="205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</row>
    <row r="566">
      <c r="A566" s="122"/>
      <c r="B566" s="204"/>
      <c r="C566" s="204"/>
      <c r="D566" s="204"/>
      <c r="E566" s="205"/>
      <c r="F566" s="205"/>
      <c r="G566" s="205"/>
      <c r="H566" s="206"/>
      <c r="I566" s="207"/>
      <c r="J566" s="207"/>
      <c r="K566" s="207"/>
      <c r="L566" s="122"/>
      <c r="M566" s="207"/>
      <c r="N566" s="207"/>
      <c r="O566" s="122"/>
      <c r="P566" s="205"/>
      <c r="Q566" s="205"/>
      <c r="R566" s="205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</row>
    <row r="567">
      <c r="A567" s="122"/>
      <c r="B567" s="204"/>
      <c r="C567" s="204"/>
      <c r="D567" s="204"/>
      <c r="E567" s="205"/>
      <c r="F567" s="205"/>
      <c r="G567" s="205"/>
      <c r="H567" s="206"/>
      <c r="I567" s="207"/>
      <c r="J567" s="207"/>
      <c r="K567" s="207"/>
      <c r="L567" s="122"/>
      <c r="M567" s="207"/>
      <c r="N567" s="207"/>
      <c r="O567" s="122"/>
      <c r="P567" s="205"/>
      <c r="Q567" s="205"/>
      <c r="R567" s="205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</row>
    <row r="568">
      <c r="A568" s="122"/>
      <c r="B568" s="204"/>
      <c r="C568" s="204"/>
      <c r="D568" s="204"/>
      <c r="E568" s="205"/>
      <c r="F568" s="205"/>
      <c r="G568" s="205"/>
      <c r="H568" s="206"/>
      <c r="I568" s="207"/>
      <c r="J568" s="207"/>
      <c r="K568" s="207"/>
      <c r="L568" s="122"/>
      <c r="M568" s="207"/>
      <c r="N568" s="207"/>
      <c r="O568" s="122"/>
      <c r="P568" s="205"/>
      <c r="Q568" s="205"/>
      <c r="R568" s="205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</row>
    <row r="569">
      <c r="A569" s="122"/>
      <c r="B569" s="204"/>
      <c r="C569" s="204"/>
      <c r="D569" s="204"/>
      <c r="E569" s="205"/>
      <c r="F569" s="205"/>
      <c r="G569" s="205"/>
      <c r="H569" s="206"/>
      <c r="I569" s="207"/>
      <c r="J569" s="207"/>
      <c r="K569" s="207"/>
      <c r="L569" s="122"/>
      <c r="M569" s="207"/>
      <c r="N569" s="207"/>
      <c r="O569" s="122"/>
      <c r="P569" s="205"/>
      <c r="Q569" s="205"/>
      <c r="R569" s="205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</row>
    <row r="570">
      <c r="A570" s="122"/>
      <c r="B570" s="204"/>
      <c r="C570" s="204"/>
      <c r="D570" s="204"/>
      <c r="E570" s="205"/>
      <c r="F570" s="205"/>
      <c r="G570" s="205"/>
      <c r="H570" s="206"/>
      <c r="I570" s="207"/>
      <c r="J570" s="207"/>
      <c r="K570" s="207"/>
      <c r="L570" s="122"/>
      <c r="M570" s="207"/>
      <c r="N570" s="207"/>
      <c r="O570" s="122"/>
      <c r="P570" s="205"/>
      <c r="Q570" s="205"/>
      <c r="R570" s="205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</row>
    <row r="571">
      <c r="A571" s="122"/>
      <c r="B571" s="204"/>
      <c r="C571" s="204"/>
      <c r="D571" s="204"/>
      <c r="E571" s="205"/>
      <c r="F571" s="205"/>
      <c r="G571" s="205"/>
      <c r="H571" s="206"/>
      <c r="I571" s="207"/>
      <c r="J571" s="207"/>
      <c r="K571" s="207"/>
      <c r="L571" s="122"/>
      <c r="M571" s="207"/>
      <c r="N571" s="207"/>
      <c r="O571" s="122"/>
      <c r="P571" s="205"/>
      <c r="Q571" s="205"/>
      <c r="R571" s="205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</row>
    <row r="572">
      <c r="A572" s="122"/>
      <c r="B572" s="204"/>
      <c r="C572" s="204"/>
      <c r="D572" s="204"/>
      <c r="E572" s="205"/>
      <c r="F572" s="205"/>
      <c r="G572" s="205"/>
      <c r="H572" s="206"/>
      <c r="I572" s="207"/>
      <c r="J572" s="207"/>
      <c r="K572" s="207"/>
      <c r="L572" s="122"/>
      <c r="M572" s="207"/>
      <c r="N572" s="207"/>
      <c r="O572" s="122"/>
      <c r="P572" s="205"/>
      <c r="Q572" s="205"/>
      <c r="R572" s="205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</row>
    <row r="573">
      <c r="A573" s="122"/>
      <c r="B573" s="204"/>
      <c r="C573" s="204"/>
      <c r="D573" s="204"/>
      <c r="E573" s="205"/>
      <c r="F573" s="205"/>
      <c r="G573" s="205"/>
      <c r="H573" s="206"/>
      <c r="I573" s="207"/>
      <c r="J573" s="207"/>
      <c r="K573" s="207"/>
      <c r="L573" s="122"/>
      <c r="M573" s="207"/>
      <c r="N573" s="207"/>
      <c r="O573" s="122"/>
      <c r="P573" s="205"/>
      <c r="Q573" s="205"/>
      <c r="R573" s="205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</row>
    <row r="574">
      <c r="A574" s="122"/>
      <c r="B574" s="204"/>
      <c r="C574" s="204"/>
      <c r="D574" s="204"/>
      <c r="E574" s="205"/>
      <c r="F574" s="205"/>
      <c r="G574" s="205"/>
      <c r="H574" s="206"/>
      <c r="I574" s="207"/>
      <c r="J574" s="207"/>
      <c r="K574" s="207"/>
      <c r="L574" s="122"/>
      <c r="M574" s="207"/>
      <c r="N574" s="207"/>
      <c r="O574" s="122"/>
      <c r="P574" s="205"/>
      <c r="Q574" s="205"/>
      <c r="R574" s="205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</row>
    <row r="575">
      <c r="A575" s="122"/>
      <c r="B575" s="204"/>
      <c r="C575" s="204"/>
      <c r="D575" s="204"/>
      <c r="E575" s="205"/>
      <c r="F575" s="205"/>
      <c r="G575" s="205"/>
      <c r="H575" s="206"/>
      <c r="I575" s="207"/>
      <c r="J575" s="207"/>
      <c r="K575" s="207"/>
      <c r="L575" s="122"/>
      <c r="M575" s="207"/>
      <c r="N575" s="207"/>
      <c r="O575" s="122"/>
      <c r="P575" s="205"/>
      <c r="Q575" s="205"/>
      <c r="R575" s="205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</row>
    <row r="576">
      <c r="A576" s="122"/>
      <c r="B576" s="204"/>
      <c r="C576" s="204"/>
      <c r="D576" s="204"/>
      <c r="E576" s="205"/>
      <c r="F576" s="205"/>
      <c r="G576" s="205"/>
      <c r="H576" s="206"/>
      <c r="I576" s="207"/>
      <c r="J576" s="207"/>
      <c r="K576" s="207"/>
      <c r="L576" s="122"/>
      <c r="M576" s="207"/>
      <c r="N576" s="207"/>
      <c r="O576" s="122"/>
      <c r="P576" s="205"/>
      <c r="Q576" s="205"/>
      <c r="R576" s="205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</row>
    <row r="577">
      <c r="A577" s="122"/>
      <c r="B577" s="204"/>
      <c r="C577" s="204"/>
      <c r="D577" s="204"/>
      <c r="E577" s="205"/>
      <c r="F577" s="205"/>
      <c r="G577" s="205"/>
      <c r="H577" s="206"/>
      <c r="I577" s="207"/>
      <c r="J577" s="207"/>
      <c r="K577" s="207"/>
      <c r="L577" s="122"/>
      <c r="M577" s="207"/>
      <c r="N577" s="207"/>
      <c r="O577" s="122"/>
      <c r="P577" s="205"/>
      <c r="Q577" s="205"/>
      <c r="R577" s="205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</row>
    <row r="578">
      <c r="A578" s="122"/>
      <c r="B578" s="204"/>
      <c r="C578" s="204"/>
      <c r="D578" s="204"/>
      <c r="E578" s="205"/>
      <c r="F578" s="205"/>
      <c r="G578" s="205"/>
      <c r="H578" s="206"/>
      <c r="I578" s="207"/>
      <c r="J578" s="207"/>
      <c r="K578" s="207"/>
      <c r="L578" s="122"/>
      <c r="M578" s="207"/>
      <c r="N578" s="207"/>
      <c r="O578" s="122"/>
      <c r="P578" s="205"/>
      <c r="Q578" s="205"/>
      <c r="R578" s="205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</row>
    <row r="579">
      <c r="A579" s="122"/>
      <c r="B579" s="204"/>
      <c r="C579" s="204"/>
      <c r="D579" s="204"/>
      <c r="E579" s="205"/>
      <c r="F579" s="205"/>
      <c r="G579" s="205"/>
      <c r="H579" s="206"/>
      <c r="I579" s="207"/>
      <c r="J579" s="207"/>
      <c r="K579" s="207"/>
      <c r="L579" s="122"/>
      <c r="M579" s="207"/>
      <c r="N579" s="207"/>
      <c r="O579" s="122"/>
      <c r="P579" s="205"/>
      <c r="Q579" s="205"/>
      <c r="R579" s="205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</row>
    <row r="580">
      <c r="A580" s="122"/>
      <c r="B580" s="204"/>
      <c r="C580" s="204"/>
      <c r="D580" s="204"/>
      <c r="E580" s="205"/>
      <c r="F580" s="205"/>
      <c r="G580" s="205"/>
      <c r="H580" s="206"/>
      <c r="I580" s="207"/>
      <c r="J580" s="207"/>
      <c r="K580" s="207"/>
      <c r="L580" s="122"/>
      <c r="M580" s="207"/>
      <c r="N580" s="207"/>
      <c r="O580" s="122"/>
      <c r="P580" s="205"/>
      <c r="Q580" s="205"/>
      <c r="R580" s="205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</row>
    <row r="581">
      <c r="A581" s="122"/>
      <c r="B581" s="204"/>
      <c r="C581" s="204"/>
      <c r="D581" s="204"/>
      <c r="E581" s="205"/>
      <c r="F581" s="205"/>
      <c r="G581" s="205"/>
      <c r="H581" s="206"/>
      <c r="I581" s="207"/>
      <c r="J581" s="207"/>
      <c r="K581" s="207"/>
      <c r="L581" s="122"/>
      <c r="M581" s="207"/>
      <c r="N581" s="207"/>
      <c r="O581" s="122"/>
      <c r="P581" s="205"/>
      <c r="Q581" s="205"/>
      <c r="R581" s="205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</row>
    <row r="582">
      <c r="A582" s="122"/>
      <c r="B582" s="204"/>
      <c r="C582" s="204"/>
      <c r="D582" s="204"/>
      <c r="E582" s="205"/>
      <c r="F582" s="205"/>
      <c r="G582" s="205"/>
      <c r="H582" s="206"/>
      <c r="I582" s="207"/>
      <c r="J582" s="207"/>
      <c r="K582" s="207"/>
      <c r="L582" s="122"/>
      <c r="M582" s="207"/>
      <c r="N582" s="207"/>
      <c r="O582" s="122"/>
      <c r="P582" s="205"/>
      <c r="Q582" s="205"/>
      <c r="R582" s="205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</row>
    <row r="583">
      <c r="A583" s="122"/>
      <c r="B583" s="204"/>
      <c r="C583" s="204"/>
      <c r="D583" s="204"/>
      <c r="E583" s="205"/>
      <c r="F583" s="205"/>
      <c r="G583" s="205"/>
      <c r="H583" s="206"/>
      <c r="I583" s="207"/>
      <c r="J583" s="207"/>
      <c r="K583" s="207"/>
      <c r="L583" s="122"/>
      <c r="M583" s="207"/>
      <c r="N583" s="207"/>
      <c r="O583" s="122"/>
      <c r="P583" s="205"/>
      <c r="Q583" s="205"/>
      <c r="R583" s="205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</row>
    <row r="584">
      <c r="A584" s="122"/>
      <c r="B584" s="204"/>
      <c r="C584" s="204"/>
      <c r="D584" s="204"/>
      <c r="E584" s="205"/>
      <c r="F584" s="205"/>
      <c r="G584" s="205"/>
      <c r="H584" s="206"/>
      <c r="I584" s="207"/>
      <c r="J584" s="207"/>
      <c r="K584" s="207"/>
      <c r="L584" s="122"/>
      <c r="M584" s="207"/>
      <c r="N584" s="207"/>
      <c r="O584" s="122"/>
      <c r="P584" s="205"/>
      <c r="Q584" s="205"/>
      <c r="R584" s="205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</row>
    <row r="585">
      <c r="A585" s="122"/>
      <c r="B585" s="204"/>
      <c r="C585" s="204"/>
      <c r="D585" s="204"/>
      <c r="E585" s="205"/>
      <c r="F585" s="205"/>
      <c r="G585" s="205"/>
      <c r="H585" s="206"/>
      <c r="I585" s="207"/>
      <c r="J585" s="207"/>
      <c r="K585" s="207"/>
      <c r="L585" s="122"/>
      <c r="M585" s="207"/>
      <c r="N585" s="207"/>
      <c r="O585" s="122"/>
      <c r="P585" s="205"/>
      <c r="Q585" s="205"/>
      <c r="R585" s="205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</row>
    <row r="586">
      <c r="A586" s="122"/>
      <c r="B586" s="204"/>
      <c r="C586" s="204"/>
      <c r="D586" s="204"/>
      <c r="E586" s="205"/>
      <c r="F586" s="205"/>
      <c r="G586" s="205"/>
      <c r="H586" s="206"/>
      <c r="I586" s="207"/>
      <c r="J586" s="207"/>
      <c r="K586" s="207"/>
      <c r="L586" s="122"/>
      <c r="M586" s="207"/>
      <c r="N586" s="207"/>
      <c r="O586" s="122"/>
      <c r="P586" s="205"/>
      <c r="Q586" s="205"/>
      <c r="R586" s="205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</row>
    <row r="587">
      <c r="A587" s="122"/>
      <c r="B587" s="204"/>
      <c r="C587" s="204"/>
      <c r="D587" s="204"/>
      <c r="E587" s="205"/>
      <c r="F587" s="205"/>
      <c r="G587" s="205"/>
      <c r="H587" s="206"/>
      <c r="I587" s="207"/>
      <c r="J587" s="207"/>
      <c r="K587" s="207"/>
      <c r="L587" s="122"/>
      <c r="M587" s="207"/>
      <c r="N587" s="207"/>
      <c r="O587" s="122"/>
      <c r="P587" s="205"/>
      <c r="Q587" s="205"/>
      <c r="R587" s="205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</row>
    <row r="588">
      <c r="A588" s="122"/>
      <c r="B588" s="204"/>
      <c r="C588" s="204"/>
      <c r="D588" s="204"/>
      <c r="E588" s="205"/>
      <c r="F588" s="205"/>
      <c r="G588" s="205"/>
      <c r="H588" s="206"/>
      <c r="I588" s="207"/>
      <c r="J588" s="207"/>
      <c r="K588" s="207"/>
      <c r="L588" s="122"/>
      <c r="M588" s="207"/>
      <c r="N588" s="207"/>
      <c r="O588" s="122"/>
      <c r="P588" s="205"/>
      <c r="Q588" s="205"/>
      <c r="R588" s="205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</row>
    <row r="589">
      <c r="A589" s="122"/>
      <c r="B589" s="204"/>
      <c r="C589" s="204"/>
      <c r="D589" s="204"/>
      <c r="E589" s="205"/>
      <c r="F589" s="205"/>
      <c r="G589" s="205"/>
      <c r="H589" s="206"/>
      <c r="I589" s="207"/>
      <c r="J589" s="207"/>
      <c r="K589" s="207"/>
      <c r="L589" s="122"/>
      <c r="M589" s="207"/>
      <c r="N589" s="207"/>
      <c r="O589" s="122"/>
      <c r="P589" s="205"/>
      <c r="Q589" s="205"/>
      <c r="R589" s="205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</row>
    <row r="590">
      <c r="A590" s="122"/>
      <c r="B590" s="204"/>
      <c r="C590" s="204"/>
      <c r="D590" s="204"/>
      <c r="E590" s="205"/>
      <c r="F590" s="205"/>
      <c r="G590" s="205"/>
      <c r="H590" s="206"/>
      <c r="I590" s="207"/>
      <c r="J590" s="207"/>
      <c r="K590" s="207"/>
      <c r="L590" s="122"/>
      <c r="M590" s="207"/>
      <c r="N590" s="207"/>
      <c r="O590" s="122"/>
      <c r="P590" s="205"/>
      <c r="Q590" s="205"/>
      <c r="R590" s="205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</row>
    <row r="591">
      <c r="A591" s="122"/>
      <c r="B591" s="204"/>
      <c r="C591" s="204"/>
      <c r="D591" s="204"/>
      <c r="E591" s="205"/>
      <c r="F591" s="205"/>
      <c r="G591" s="205"/>
      <c r="H591" s="206"/>
      <c r="I591" s="207"/>
      <c r="J591" s="207"/>
      <c r="K591" s="207"/>
      <c r="L591" s="122"/>
      <c r="M591" s="207"/>
      <c r="N591" s="207"/>
      <c r="O591" s="122"/>
      <c r="P591" s="205"/>
      <c r="Q591" s="205"/>
      <c r="R591" s="205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</row>
    <row r="592">
      <c r="A592" s="122"/>
      <c r="B592" s="204"/>
      <c r="C592" s="204"/>
      <c r="D592" s="204"/>
      <c r="E592" s="205"/>
      <c r="F592" s="205"/>
      <c r="G592" s="205"/>
      <c r="H592" s="206"/>
      <c r="I592" s="207"/>
      <c r="J592" s="207"/>
      <c r="K592" s="207"/>
      <c r="L592" s="122"/>
      <c r="M592" s="207"/>
      <c r="N592" s="207"/>
      <c r="O592" s="122"/>
      <c r="P592" s="205"/>
      <c r="Q592" s="205"/>
      <c r="R592" s="205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</row>
    <row r="593">
      <c r="A593" s="122"/>
      <c r="B593" s="204"/>
      <c r="C593" s="204"/>
      <c r="D593" s="204"/>
      <c r="E593" s="205"/>
      <c r="F593" s="205"/>
      <c r="G593" s="205"/>
      <c r="H593" s="206"/>
      <c r="I593" s="207"/>
      <c r="J593" s="207"/>
      <c r="K593" s="207"/>
      <c r="L593" s="122"/>
      <c r="M593" s="207"/>
      <c r="N593" s="207"/>
      <c r="O593" s="122"/>
      <c r="P593" s="205"/>
      <c r="Q593" s="205"/>
      <c r="R593" s="205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</row>
    <row r="594">
      <c r="A594" s="122"/>
      <c r="B594" s="204"/>
      <c r="C594" s="204"/>
      <c r="D594" s="204"/>
      <c r="E594" s="205"/>
      <c r="F594" s="205"/>
      <c r="G594" s="205"/>
      <c r="H594" s="206"/>
      <c r="I594" s="207"/>
      <c r="J594" s="207"/>
      <c r="K594" s="207"/>
      <c r="L594" s="122"/>
      <c r="M594" s="207"/>
      <c r="N594" s="207"/>
      <c r="O594" s="122"/>
      <c r="P594" s="205"/>
      <c r="Q594" s="205"/>
      <c r="R594" s="205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</row>
    <row r="595">
      <c r="A595" s="122"/>
      <c r="B595" s="204"/>
      <c r="C595" s="204"/>
      <c r="D595" s="204"/>
      <c r="E595" s="205"/>
      <c r="F595" s="205"/>
      <c r="G595" s="205"/>
      <c r="H595" s="206"/>
      <c r="I595" s="207"/>
      <c r="J595" s="207"/>
      <c r="K595" s="207"/>
      <c r="L595" s="122"/>
      <c r="M595" s="207"/>
      <c r="N595" s="207"/>
      <c r="O595" s="122"/>
      <c r="P595" s="205"/>
      <c r="Q595" s="205"/>
      <c r="R595" s="205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</row>
    <row r="596">
      <c r="A596" s="122"/>
      <c r="B596" s="204"/>
      <c r="C596" s="204"/>
      <c r="D596" s="204"/>
      <c r="E596" s="205"/>
      <c r="F596" s="205"/>
      <c r="G596" s="205"/>
      <c r="H596" s="206"/>
      <c r="I596" s="207"/>
      <c r="J596" s="207"/>
      <c r="K596" s="207"/>
      <c r="L596" s="122"/>
      <c r="M596" s="207"/>
      <c r="N596" s="207"/>
      <c r="O596" s="122"/>
      <c r="P596" s="205"/>
      <c r="Q596" s="205"/>
      <c r="R596" s="205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</row>
    <row r="597">
      <c r="A597" s="122"/>
      <c r="B597" s="204"/>
      <c r="C597" s="204"/>
      <c r="D597" s="204"/>
      <c r="E597" s="205"/>
      <c r="F597" s="205"/>
      <c r="G597" s="205"/>
      <c r="H597" s="206"/>
      <c r="I597" s="207"/>
      <c r="J597" s="207"/>
      <c r="K597" s="207"/>
      <c r="L597" s="122"/>
      <c r="M597" s="207"/>
      <c r="N597" s="207"/>
      <c r="O597" s="122"/>
      <c r="P597" s="205"/>
      <c r="Q597" s="205"/>
      <c r="R597" s="205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</row>
    <row r="598">
      <c r="A598" s="122"/>
      <c r="B598" s="204"/>
      <c r="C598" s="204"/>
      <c r="D598" s="204"/>
      <c r="E598" s="205"/>
      <c r="F598" s="205"/>
      <c r="G598" s="205"/>
      <c r="H598" s="206"/>
      <c r="I598" s="207"/>
      <c r="J598" s="207"/>
      <c r="K598" s="207"/>
      <c r="L598" s="122"/>
      <c r="M598" s="207"/>
      <c r="N598" s="207"/>
      <c r="O598" s="122"/>
      <c r="P598" s="205"/>
      <c r="Q598" s="205"/>
      <c r="R598" s="205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</row>
    <row r="599">
      <c r="A599" s="122"/>
      <c r="B599" s="204"/>
      <c r="C599" s="204"/>
      <c r="D599" s="204"/>
      <c r="E599" s="205"/>
      <c r="F599" s="205"/>
      <c r="G599" s="205"/>
      <c r="H599" s="206"/>
      <c r="I599" s="207"/>
      <c r="J599" s="207"/>
      <c r="K599" s="207"/>
      <c r="L599" s="122"/>
      <c r="M599" s="207"/>
      <c r="N599" s="207"/>
      <c r="O599" s="122"/>
      <c r="P599" s="205"/>
      <c r="Q599" s="205"/>
      <c r="R599" s="205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</row>
    <row r="600">
      <c r="A600" s="122"/>
      <c r="B600" s="204"/>
      <c r="C600" s="204"/>
      <c r="D600" s="204"/>
      <c r="E600" s="205"/>
      <c r="F600" s="205"/>
      <c r="G600" s="205"/>
      <c r="H600" s="206"/>
      <c r="I600" s="207"/>
      <c r="J600" s="207"/>
      <c r="K600" s="207"/>
      <c r="L600" s="122"/>
      <c r="M600" s="207"/>
      <c r="N600" s="207"/>
      <c r="O600" s="122"/>
      <c r="P600" s="205"/>
      <c r="Q600" s="205"/>
      <c r="R600" s="205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</row>
    <row r="601">
      <c r="A601" s="122"/>
      <c r="B601" s="204"/>
      <c r="C601" s="204"/>
      <c r="D601" s="204"/>
      <c r="E601" s="205"/>
      <c r="F601" s="205"/>
      <c r="G601" s="205"/>
      <c r="H601" s="206"/>
      <c r="I601" s="207"/>
      <c r="J601" s="207"/>
      <c r="K601" s="207"/>
      <c r="L601" s="122"/>
      <c r="M601" s="207"/>
      <c r="N601" s="207"/>
      <c r="O601" s="122"/>
      <c r="P601" s="205"/>
      <c r="Q601" s="205"/>
      <c r="R601" s="205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</row>
    <row r="602">
      <c r="A602" s="122"/>
      <c r="B602" s="204"/>
      <c r="C602" s="204"/>
      <c r="D602" s="204"/>
      <c r="E602" s="205"/>
      <c r="F602" s="205"/>
      <c r="G602" s="205"/>
      <c r="H602" s="206"/>
      <c r="I602" s="207"/>
      <c r="J602" s="207"/>
      <c r="K602" s="207"/>
      <c r="L602" s="122"/>
      <c r="M602" s="207"/>
      <c r="N602" s="207"/>
      <c r="O602" s="122"/>
      <c r="P602" s="205"/>
      <c r="Q602" s="205"/>
      <c r="R602" s="205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</row>
    <row r="603">
      <c r="A603" s="122"/>
      <c r="B603" s="204"/>
      <c r="C603" s="204"/>
      <c r="D603" s="204"/>
      <c r="E603" s="205"/>
      <c r="F603" s="205"/>
      <c r="G603" s="205"/>
      <c r="H603" s="206"/>
      <c r="I603" s="207"/>
      <c r="J603" s="207"/>
      <c r="K603" s="207"/>
      <c r="L603" s="122"/>
      <c r="M603" s="207"/>
      <c r="N603" s="207"/>
      <c r="O603" s="122"/>
      <c r="P603" s="205"/>
      <c r="Q603" s="205"/>
      <c r="R603" s="205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</row>
    <row r="604">
      <c r="A604" s="122"/>
      <c r="B604" s="204"/>
      <c r="C604" s="204"/>
      <c r="D604" s="204"/>
      <c r="E604" s="205"/>
      <c r="F604" s="205"/>
      <c r="G604" s="205"/>
      <c r="H604" s="206"/>
      <c r="I604" s="207"/>
      <c r="J604" s="207"/>
      <c r="K604" s="207"/>
      <c r="L604" s="122"/>
      <c r="M604" s="207"/>
      <c r="N604" s="207"/>
      <c r="O604" s="122"/>
      <c r="P604" s="205"/>
      <c r="Q604" s="205"/>
      <c r="R604" s="205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</row>
    <row r="605">
      <c r="A605" s="122"/>
      <c r="B605" s="204"/>
      <c r="C605" s="204"/>
      <c r="D605" s="204"/>
      <c r="E605" s="205"/>
      <c r="F605" s="205"/>
      <c r="G605" s="205"/>
      <c r="H605" s="206"/>
      <c r="I605" s="207"/>
      <c r="J605" s="207"/>
      <c r="K605" s="207"/>
      <c r="L605" s="122"/>
      <c r="M605" s="207"/>
      <c r="N605" s="207"/>
      <c r="O605" s="122"/>
      <c r="P605" s="205"/>
      <c r="Q605" s="205"/>
      <c r="R605" s="205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</row>
    <row r="606">
      <c r="A606" s="122"/>
      <c r="B606" s="204"/>
      <c r="C606" s="204"/>
      <c r="D606" s="204"/>
      <c r="E606" s="205"/>
      <c r="F606" s="205"/>
      <c r="G606" s="205"/>
      <c r="H606" s="206"/>
      <c r="I606" s="207"/>
      <c r="J606" s="207"/>
      <c r="K606" s="207"/>
      <c r="L606" s="122"/>
      <c r="M606" s="207"/>
      <c r="N606" s="207"/>
      <c r="O606" s="122"/>
      <c r="P606" s="205"/>
      <c r="Q606" s="205"/>
      <c r="R606" s="205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</row>
    <row r="607">
      <c r="A607" s="122"/>
      <c r="B607" s="204"/>
      <c r="C607" s="204"/>
      <c r="D607" s="204"/>
      <c r="E607" s="205"/>
      <c r="F607" s="205"/>
      <c r="G607" s="205"/>
      <c r="H607" s="206"/>
      <c r="I607" s="207"/>
      <c r="J607" s="207"/>
      <c r="K607" s="207"/>
      <c r="L607" s="122"/>
      <c r="M607" s="207"/>
      <c r="N607" s="207"/>
      <c r="O607" s="122"/>
      <c r="P607" s="205"/>
      <c r="Q607" s="205"/>
      <c r="R607" s="205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</row>
    <row r="608">
      <c r="A608" s="122"/>
      <c r="B608" s="204"/>
      <c r="C608" s="204"/>
      <c r="D608" s="204"/>
      <c r="E608" s="205"/>
      <c r="F608" s="205"/>
      <c r="G608" s="205"/>
      <c r="H608" s="206"/>
      <c r="I608" s="207"/>
      <c r="J608" s="207"/>
      <c r="K608" s="207"/>
      <c r="L608" s="122"/>
      <c r="M608" s="207"/>
      <c r="N608" s="207"/>
      <c r="O608" s="122"/>
      <c r="P608" s="205"/>
      <c r="Q608" s="205"/>
      <c r="R608" s="205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</row>
    <row r="609">
      <c r="A609" s="122"/>
      <c r="B609" s="204"/>
      <c r="C609" s="204"/>
      <c r="D609" s="204"/>
      <c r="E609" s="205"/>
      <c r="F609" s="205"/>
      <c r="G609" s="205"/>
      <c r="H609" s="206"/>
      <c r="I609" s="207"/>
      <c r="J609" s="207"/>
      <c r="K609" s="207"/>
      <c r="L609" s="122"/>
      <c r="M609" s="207"/>
      <c r="N609" s="207"/>
      <c r="O609" s="122"/>
      <c r="P609" s="205"/>
      <c r="Q609" s="205"/>
      <c r="R609" s="205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</row>
    <row r="610">
      <c r="A610" s="122"/>
      <c r="B610" s="204"/>
      <c r="C610" s="204"/>
      <c r="D610" s="204"/>
      <c r="E610" s="205"/>
      <c r="F610" s="205"/>
      <c r="G610" s="205"/>
      <c r="H610" s="206"/>
      <c r="I610" s="207"/>
      <c r="J610" s="207"/>
      <c r="K610" s="207"/>
      <c r="L610" s="122"/>
      <c r="M610" s="207"/>
      <c r="N610" s="207"/>
      <c r="O610" s="122"/>
      <c r="P610" s="205"/>
      <c r="Q610" s="205"/>
      <c r="R610" s="205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</row>
    <row r="611">
      <c r="A611" s="122"/>
      <c r="B611" s="204"/>
      <c r="C611" s="204"/>
      <c r="D611" s="204"/>
      <c r="E611" s="205"/>
      <c r="F611" s="205"/>
      <c r="G611" s="205"/>
      <c r="H611" s="206"/>
      <c r="I611" s="207"/>
      <c r="J611" s="207"/>
      <c r="K611" s="207"/>
      <c r="L611" s="122"/>
      <c r="M611" s="207"/>
      <c r="N611" s="207"/>
      <c r="O611" s="122"/>
      <c r="P611" s="205"/>
      <c r="Q611" s="205"/>
      <c r="R611" s="205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</row>
    <row r="612">
      <c r="A612" s="122"/>
      <c r="B612" s="204"/>
      <c r="C612" s="204"/>
      <c r="D612" s="204"/>
      <c r="E612" s="205"/>
      <c r="F612" s="205"/>
      <c r="G612" s="205"/>
      <c r="H612" s="206"/>
      <c r="I612" s="207"/>
      <c r="J612" s="207"/>
      <c r="K612" s="207"/>
      <c r="L612" s="122"/>
      <c r="M612" s="207"/>
      <c r="N612" s="207"/>
      <c r="O612" s="122"/>
      <c r="P612" s="205"/>
      <c r="Q612" s="205"/>
      <c r="R612" s="205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</row>
    <row r="613">
      <c r="A613" s="122"/>
      <c r="B613" s="204"/>
      <c r="C613" s="204"/>
      <c r="D613" s="204"/>
      <c r="E613" s="205"/>
      <c r="F613" s="205"/>
      <c r="G613" s="205"/>
      <c r="H613" s="206"/>
      <c r="I613" s="207"/>
      <c r="J613" s="207"/>
      <c r="K613" s="207"/>
      <c r="L613" s="122"/>
      <c r="M613" s="207"/>
      <c r="N613" s="207"/>
      <c r="O613" s="122"/>
      <c r="P613" s="205"/>
      <c r="Q613" s="205"/>
      <c r="R613" s="205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</row>
    <row r="614">
      <c r="A614" s="122"/>
      <c r="B614" s="204"/>
      <c r="C614" s="204"/>
      <c r="D614" s="204"/>
      <c r="E614" s="205"/>
      <c r="F614" s="205"/>
      <c r="G614" s="205"/>
      <c r="H614" s="206"/>
      <c r="I614" s="207"/>
      <c r="J614" s="207"/>
      <c r="K614" s="207"/>
      <c r="L614" s="122"/>
      <c r="M614" s="207"/>
      <c r="N614" s="207"/>
      <c r="O614" s="122"/>
      <c r="P614" s="205"/>
      <c r="Q614" s="205"/>
      <c r="R614" s="205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</row>
    <row r="615">
      <c r="A615" s="122"/>
      <c r="B615" s="204"/>
      <c r="C615" s="204"/>
      <c r="D615" s="204"/>
      <c r="E615" s="205"/>
      <c r="F615" s="205"/>
      <c r="G615" s="205"/>
      <c r="H615" s="206"/>
      <c r="I615" s="207"/>
      <c r="J615" s="207"/>
      <c r="K615" s="207"/>
      <c r="L615" s="122"/>
      <c r="M615" s="207"/>
      <c r="N615" s="207"/>
      <c r="O615" s="122"/>
      <c r="P615" s="205"/>
      <c r="Q615" s="205"/>
      <c r="R615" s="205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</row>
    <row r="616">
      <c r="A616" s="122"/>
      <c r="B616" s="204"/>
      <c r="C616" s="204"/>
      <c r="D616" s="204"/>
      <c r="E616" s="205"/>
      <c r="F616" s="205"/>
      <c r="G616" s="205"/>
      <c r="H616" s="206"/>
      <c r="I616" s="207"/>
      <c r="J616" s="207"/>
      <c r="K616" s="207"/>
      <c r="L616" s="122"/>
      <c r="M616" s="207"/>
      <c r="N616" s="207"/>
      <c r="O616" s="122"/>
      <c r="P616" s="205"/>
      <c r="Q616" s="205"/>
      <c r="R616" s="205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</row>
    <row r="617">
      <c r="A617" s="122"/>
      <c r="B617" s="204"/>
      <c r="C617" s="204"/>
      <c r="D617" s="204"/>
      <c r="E617" s="205"/>
      <c r="F617" s="205"/>
      <c r="G617" s="205"/>
      <c r="H617" s="206"/>
      <c r="I617" s="207"/>
      <c r="J617" s="207"/>
      <c r="K617" s="207"/>
      <c r="L617" s="122"/>
      <c r="M617" s="207"/>
      <c r="N617" s="207"/>
      <c r="O617" s="122"/>
      <c r="P617" s="205"/>
      <c r="Q617" s="205"/>
      <c r="R617" s="205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</row>
    <row r="618">
      <c r="A618" s="122"/>
      <c r="B618" s="204"/>
      <c r="C618" s="204"/>
      <c r="D618" s="204"/>
      <c r="E618" s="205"/>
      <c r="F618" s="205"/>
      <c r="G618" s="205"/>
      <c r="H618" s="206"/>
      <c r="I618" s="207"/>
      <c r="J618" s="207"/>
      <c r="K618" s="207"/>
      <c r="L618" s="122"/>
      <c r="M618" s="207"/>
      <c r="N618" s="207"/>
      <c r="O618" s="122"/>
      <c r="P618" s="205"/>
      <c r="Q618" s="205"/>
      <c r="R618" s="205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</row>
    <row r="619">
      <c r="A619" s="122"/>
      <c r="B619" s="204"/>
      <c r="C619" s="204"/>
      <c r="D619" s="204"/>
      <c r="E619" s="205"/>
      <c r="F619" s="205"/>
      <c r="G619" s="205"/>
      <c r="H619" s="206"/>
      <c r="I619" s="207"/>
      <c r="J619" s="207"/>
      <c r="K619" s="207"/>
      <c r="L619" s="122"/>
      <c r="M619" s="207"/>
      <c r="N619" s="207"/>
      <c r="O619" s="122"/>
      <c r="P619" s="205"/>
      <c r="Q619" s="205"/>
      <c r="R619" s="205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</row>
    <row r="620">
      <c r="A620" s="122"/>
      <c r="B620" s="204"/>
      <c r="C620" s="204"/>
      <c r="D620" s="204"/>
      <c r="E620" s="205"/>
      <c r="F620" s="205"/>
      <c r="G620" s="205"/>
      <c r="H620" s="206"/>
      <c r="I620" s="207"/>
      <c r="J620" s="207"/>
      <c r="K620" s="207"/>
      <c r="L620" s="122"/>
      <c r="M620" s="207"/>
      <c r="N620" s="207"/>
      <c r="O620" s="122"/>
      <c r="P620" s="205"/>
      <c r="Q620" s="205"/>
      <c r="R620" s="205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</row>
    <row r="621">
      <c r="A621" s="122"/>
      <c r="B621" s="204"/>
      <c r="C621" s="204"/>
      <c r="D621" s="204"/>
      <c r="E621" s="205"/>
      <c r="F621" s="205"/>
      <c r="G621" s="205"/>
      <c r="H621" s="206"/>
      <c r="I621" s="207"/>
      <c r="J621" s="207"/>
      <c r="K621" s="207"/>
      <c r="L621" s="122"/>
      <c r="M621" s="207"/>
      <c r="N621" s="207"/>
      <c r="O621" s="122"/>
      <c r="P621" s="205"/>
      <c r="Q621" s="205"/>
      <c r="R621" s="205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</row>
    <row r="622">
      <c r="A622" s="122"/>
      <c r="B622" s="204"/>
      <c r="C622" s="204"/>
      <c r="D622" s="204"/>
      <c r="E622" s="205"/>
      <c r="F622" s="205"/>
      <c r="G622" s="205"/>
      <c r="H622" s="206"/>
      <c r="I622" s="207"/>
      <c r="J622" s="207"/>
      <c r="K622" s="207"/>
      <c r="L622" s="122"/>
      <c r="M622" s="207"/>
      <c r="N622" s="207"/>
      <c r="O622" s="122"/>
      <c r="P622" s="205"/>
      <c r="Q622" s="205"/>
      <c r="R622" s="205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</row>
    <row r="623">
      <c r="A623" s="122"/>
      <c r="B623" s="204"/>
      <c r="C623" s="204"/>
      <c r="D623" s="204"/>
      <c r="E623" s="205"/>
      <c r="F623" s="205"/>
      <c r="G623" s="205"/>
      <c r="H623" s="206"/>
      <c r="I623" s="207"/>
      <c r="J623" s="207"/>
      <c r="K623" s="207"/>
      <c r="L623" s="122"/>
      <c r="M623" s="207"/>
      <c r="N623" s="207"/>
      <c r="O623" s="122"/>
      <c r="P623" s="205"/>
      <c r="Q623" s="205"/>
      <c r="R623" s="205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</row>
    <row r="624">
      <c r="A624" s="122"/>
      <c r="B624" s="204"/>
      <c r="C624" s="204"/>
      <c r="D624" s="204"/>
      <c r="E624" s="205"/>
      <c r="F624" s="205"/>
      <c r="G624" s="205"/>
      <c r="H624" s="206"/>
      <c r="I624" s="207"/>
      <c r="J624" s="207"/>
      <c r="K624" s="207"/>
      <c r="L624" s="122"/>
      <c r="M624" s="207"/>
      <c r="N624" s="207"/>
      <c r="O624" s="122"/>
      <c r="P624" s="205"/>
      <c r="Q624" s="205"/>
      <c r="R624" s="205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</row>
    <row r="625">
      <c r="A625" s="122"/>
      <c r="B625" s="204"/>
      <c r="C625" s="204"/>
      <c r="D625" s="204"/>
      <c r="E625" s="205"/>
      <c r="F625" s="205"/>
      <c r="G625" s="205"/>
      <c r="H625" s="206"/>
      <c r="I625" s="207"/>
      <c r="J625" s="207"/>
      <c r="K625" s="207"/>
      <c r="L625" s="122"/>
      <c r="M625" s="207"/>
      <c r="N625" s="207"/>
      <c r="O625" s="122"/>
      <c r="P625" s="205"/>
      <c r="Q625" s="205"/>
      <c r="R625" s="205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</row>
    <row r="626">
      <c r="A626" s="122"/>
      <c r="B626" s="204"/>
      <c r="C626" s="204"/>
      <c r="D626" s="204"/>
      <c r="E626" s="205"/>
      <c r="F626" s="205"/>
      <c r="G626" s="205"/>
      <c r="H626" s="206"/>
      <c r="I626" s="207"/>
      <c r="J626" s="207"/>
      <c r="K626" s="207"/>
      <c r="L626" s="122"/>
      <c r="M626" s="207"/>
      <c r="N626" s="207"/>
      <c r="O626" s="122"/>
      <c r="P626" s="205"/>
      <c r="Q626" s="205"/>
      <c r="R626" s="205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</row>
    <row r="627">
      <c r="A627" s="122"/>
      <c r="B627" s="204"/>
      <c r="C627" s="204"/>
      <c r="D627" s="204"/>
      <c r="E627" s="205"/>
      <c r="F627" s="205"/>
      <c r="G627" s="205"/>
      <c r="H627" s="206"/>
      <c r="I627" s="207"/>
      <c r="J627" s="207"/>
      <c r="K627" s="207"/>
      <c r="L627" s="122"/>
      <c r="M627" s="207"/>
      <c r="N627" s="207"/>
      <c r="O627" s="122"/>
      <c r="P627" s="205"/>
      <c r="Q627" s="205"/>
      <c r="R627" s="205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</row>
    <row r="628">
      <c r="A628" s="122"/>
      <c r="B628" s="204"/>
      <c r="C628" s="204"/>
      <c r="D628" s="204"/>
      <c r="E628" s="205"/>
      <c r="F628" s="205"/>
      <c r="G628" s="205"/>
      <c r="H628" s="206"/>
      <c r="I628" s="207"/>
      <c r="J628" s="207"/>
      <c r="K628" s="207"/>
      <c r="L628" s="122"/>
      <c r="M628" s="207"/>
      <c r="N628" s="207"/>
      <c r="O628" s="122"/>
      <c r="P628" s="205"/>
      <c r="Q628" s="205"/>
      <c r="R628" s="205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</row>
    <row r="629">
      <c r="A629" s="122"/>
      <c r="B629" s="204"/>
      <c r="C629" s="204"/>
      <c r="D629" s="204"/>
      <c r="E629" s="205"/>
      <c r="F629" s="205"/>
      <c r="G629" s="205"/>
      <c r="H629" s="206"/>
      <c r="I629" s="207"/>
      <c r="J629" s="207"/>
      <c r="K629" s="207"/>
      <c r="L629" s="122"/>
      <c r="M629" s="207"/>
      <c r="N629" s="207"/>
      <c r="O629" s="122"/>
      <c r="P629" s="205"/>
      <c r="Q629" s="205"/>
      <c r="R629" s="205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</row>
    <row r="630">
      <c r="A630" s="122"/>
      <c r="B630" s="204"/>
      <c r="C630" s="204"/>
      <c r="D630" s="204"/>
      <c r="E630" s="205"/>
      <c r="F630" s="205"/>
      <c r="G630" s="205"/>
      <c r="H630" s="206"/>
      <c r="I630" s="207"/>
      <c r="J630" s="207"/>
      <c r="K630" s="207"/>
      <c r="L630" s="122"/>
      <c r="M630" s="207"/>
      <c r="N630" s="207"/>
      <c r="O630" s="122"/>
      <c r="P630" s="205"/>
      <c r="Q630" s="205"/>
      <c r="R630" s="205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</row>
    <row r="631">
      <c r="A631" s="122"/>
      <c r="B631" s="204"/>
      <c r="C631" s="204"/>
      <c r="D631" s="204"/>
      <c r="E631" s="205"/>
      <c r="F631" s="205"/>
      <c r="G631" s="205"/>
      <c r="H631" s="206"/>
      <c r="I631" s="207"/>
      <c r="J631" s="207"/>
      <c r="K631" s="207"/>
      <c r="L631" s="122"/>
      <c r="M631" s="207"/>
      <c r="N631" s="207"/>
      <c r="O631" s="122"/>
      <c r="P631" s="205"/>
      <c r="Q631" s="205"/>
      <c r="R631" s="205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</row>
    <row r="632">
      <c r="A632" s="122"/>
      <c r="B632" s="204"/>
      <c r="C632" s="204"/>
      <c r="D632" s="204"/>
      <c r="E632" s="205"/>
      <c r="F632" s="205"/>
      <c r="G632" s="205"/>
      <c r="H632" s="206"/>
      <c r="I632" s="207"/>
      <c r="J632" s="207"/>
      <c r="K632" s="207"/>
      <c r="L632" s="122"/>
      <c r="M632" s="207"/>
      <c r="N632" s="207"/>
      <c r="O632" s="122"/>
      <c r="P632" s="205"/>
      <c r="Q632" s="205"/>
      <c r="R632" s="205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</row>
    <row r="633">
      <c r="A633" s="122"/>
      <c r="B633" s="204"/>
      <c r="C633" s="204"/>
      <c r="D633" s="204"/>
      <c r="E633" s="205"/>
      <c r="F633" s="205"/>
      <c r="G633" s="205"/>
      <c r="H633" s="206"/>
      <c r="I633" s="207"/>
      <c r="J633" s="207"/>
      <c r="K633" s="207"/>
      <c r="L633" s="122"/>
      <c r="M633" s="207"/>
      <c r="N633" s="207"/>
      <c r="O633" s="122"/>
      <c r="P633" s="205"/>
      <c r="Q633" s="205"/>
      <c r="R633" s="205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</row>
    <row r="634">
      <c r="A634" s="122"/>
      <c r="B634" s="204"/>
      <c r="C634" s="204"/>
      <c r="D634" s="204"/>
      <c r="E634" s="205"/>
      <c r="F634" s="205"/>
      <c r="G634" s="205"/>
      <c r="H634" s="206"/>
      <c r="I634" s="207"/>
      <c r="J634" s="207"/>
      <c r="K634" s="207"/>
      <c r="L634" s="122"/>
      <c r="M634" s="207"/>
      <c r="N634" s="207"/>
      <c r="O634" s="122"/>
      <c r="P634" s="205"/>
      <c r="Q634" s="205"/>
      <c r="R634" s="205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</row>
    <row r="635">
      <c r="A635" s="122"/>
      <c r="B635" s="204"/>
      <c r="C635" s="204"/>
      <c r="D635" s="204"/>
      <c r="E635" s="205"/>
      <c r="F635" s="205"/>
      <c r="G635" s="205"/>
      <c r="H635" s="206"/>
      <c r="I635" s="207"/>
      <c r="J635" s="207"/>
      <c r="K635" s="207"/>
      <c r="L635" s="122"/>
      <c r="M635" s="207"/>
      <c r="N635" s="207"/>
      <c r="O635" s="122"/>
      <c r="P635" s="205"/>
      <c r="Q635" s="205"/>
      <c r="R635" s="205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</row>
    <row r="636">
      <c r="A636" s="122"/>
      <c r="B636" s="204"/>
      <c r="C636" s="204"/>
      <c r="D636" s="204"/>
      <c r="E636" s="205"/>
      <c r="F636" s="205"/>
      <c r="G636" s="205"/>
      <c r="H636" s="206"/>
      <c r="I636" s="207"/>
      <c r="J636" s="207"/>
      <c r="K636" s="207"/>
      <c r="L636" s="122"/>
      <c r="M636" s="207"/>
      <c r="N636" s="207"/>
      <c r="O636" s="122"/>
      <c r="P636" s="205"/>
      <c r="Q636" s="205"/>
      <c r="R636" s="205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</row>
    <row r="637">
      <c r="A637" s="122"/>
      <c r="B637" s="204"/>
      <c r="C637" s="204"/>
      <c r="D637" s="204"/>
      <c r="E637" s="205"/>
      <c r="F637" s="205"/>
      <c r="G637" s="205"/>
      <c r="H637" s="206"/>
      <c r="I637" s="207"/>
      <c r="J637" s="207"/>
      <c r="K637" s="207"/>
      <c r="L637" s="122"/>
      <c r="M637" s="207"/>
      <c r="N637" s="207"/>
      <c r="O637" s="122"/>
      <c r="P637" s="205"/>
      <c r="Q637" s="205"/>
      <c r="R637" s="205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</row>
    <row r="638">
      <c r="A638" s="122"/>
      <c r="B638" s="204"/>
      <c r="C638" s="204"/>
      <c r="D638" s="204"/>
      <c r="E638" s="205"/>
      <c r="F638" s="205"/>
      <c r="G638" s="205"/>
      <c r="H638" s="206"/>
      <c r="I638" s="207"/>
      <c r="J638" s="207"/>
      <c r="K638" s="207"/>
      <c r="L638" s="122"/>
      <c r="M638" s="207"/>
      <c r="N638" s="207"/>
      <c r="O638" s="122"/>
      <c r="P638" s="205"/>
      <c r="Q638" s="205"/>
      <c r="R638" s="205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</row>
    <row r="639">
      <c r="A639" s="122"/>
      <c r="B639" s="204"/>
      <c r="C639" s="204"/>
      <c r="D639" s="204"/>
      <c r="E639" s="205"/>
      <c r="F639" s="205"/>
      <c r="G639" s="205"/>
      <c r="H639" s="206"/>
      <c r="I639" s="207"/>
      <c r="J639" s="207"/>
      <c r="K639" s="207"/>
      <c r="L639" s="122"/>
      <c r="M639" s="207"/>
      <c r="N639" s="207"/>
      <c r="O639" s="122"/>
      <c r="P639" s="205"/>
      <c r="Q639" s="205"/>
      <c r="R639" s="205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</row>
    <row r="640">
      <c r="A640" s="122"/>
      <c r="B640" s="204"/>
      <c r="C640" s="204"/>
      <c r="D640" s="204"/>
      <c r="E640" s="205"/>
      <c r="F640" s="205"/>
      <c r="G640" s="205"/>
      <c r="H640" s="206"/>
      <c r="I640" s="207"/>
      <c r="J640" s="207"/>
      <c r="K640" s="207"/>
      <c r="L640" s="122"/>
      <c r="M640" s="207"/>
      <c r="N640" s="207"/>
      <c r="O640" s="122"/>
      <c r="P640" s="205"/>
      <c r="Q640" s="205"/>
      <c r="R640" s="205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</row>
    <row r="641">
      <c r="A641" s="122"/>
      <c r="B641" s="204"/>
      <c r="C641" s="204"/>
      <c r="D641" s="204"/>
      <c r="E641" s="205"/>
      <c r="F641" s="205"/>
      <c r="G641" s="205"/>
      <c r="H641" s="206"/>
      <c r="I641" s="207"/>
      <c r="J641" s="207"/>
      <c r="K641" s="207"/>
      <c r="L641" s="122"/>
      <c r="M641" s="207"/>
      <c r="N641" s="207"/>
      <c r="O641" s="122"/>
      <c r="P641" s="205"/>
      <c r="Q641" s="205"/>
      <c r="R641" s="205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</row>
    <row r="642">
      <c r="A642" s="122"/>
      <c r="B642" s="204"/>
      <c r="C642" s="204"/>
      <c r="D642" s="204"/>
      <c r="E642" s="205"/>
      <c r="F642" s="205"/>
      <c r="G642" s="205"/>
      <c r="H642" s="206"/>
      <c r="I642" s="207"/>
      <c r="J642" s="207"/>
      <c r="K642" s="207"/>
      <c r="L642" s="122"/>
      <c r="M642" s="207"/>
      <c r="N642" s="207"/>
      <c r="O642" s="122"/>
      <c r="P642" s="205"/>
      <c r="Q642" s="205"/>
      <c r="R642" s="205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</row>
    <row r="643">
      <c r="A643" s="122"/>
      <c r="B643" s="204"/>
      <c r="C643" s="204"/>
      <c r="D643" s="204"/>
      <c r="E643" s="205"/>
      <c r="F643" s="205"/>
      <c r="G643" s="205"/>
      <c r="H643" s="206"/>
      <c r="I643" s="207"/>
      <c r="J643" s="207"/>
      <c r="K643" s="207"/>
      <c r="L643" s="122"/>
      <c r="M643" s="207"/>
      <c r="N643" s="207"/>
      <c r="O643" s="122"/>
      <c r="P643" s="205"/>
      <c r="Q643" s="205"/>
      <c r="R643" s="205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</row>
    <row r="644">
      <c r="A644" s="122"/>
      <c r="B644" s="204"/>
      <c r="C644" s="204"/>
      <c r="D644" s="204"/>
      <c r="E644" s="205"/>
      <c r="F644" s="205"/>
      <c r="G644" s="205"/>
      <c r="H644" s="206"/>
      <c r="I644" s="207"/>
      <c r="J644" s="207"/>
      <c r="K644" s="207"/>
      <c r="L644" s="122"/>
      <c r="M644" s="207"/>
      <c r="N644" s="207"/>
      <c r="O644" s="122"/>
      <c r="P644" s="205"/>
      <c r="Q644" s="205"/>
      <c r="R644" s="205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</row>
    <row r="645">
      <c r="A645" s="122"/>
      <c r="B645" s="204"/>
      <c r="C645" s="204"/>
      <c r="D645" s="204"/>
      <c r="E645" s="205"/>
      <c r="F645" s="205"/>
      <c r="G645" s="205"/>
      <c r="H645" s="206"/>
      <c r="I645" s="207"/>
      <c r="J645" s="207"/>
      <c r="K645" s="207"/>
      <c r="L645" s="122"/>
      <c r="M645" s="207"/>
      <c r="N645" s="207"/>
      <c r="O645" s="122"/>
      <c r="P645" s="205"/>
      <c r="Q645" s="205"/>
      <c r="R645" s="205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</row>
    <row r="646">
      <c r="A646" s="122"/>
      <c r="B646" s="204"/>
      <c r="C646" s="204"/>
      <c r="D646" s="204"/>
      <c r="E646" s="205"/>
      <c r="F646" s="205"/>
      <c r="G646" s="205"/>
      <c r="H646" s="206"/>
      <c r="I646" s="207"/>
      <c r="J646" s="207"/>
      <c r="K646" s="207"/>
      <c r="L646" s="122"/>
      <c r="M646" s="207"/>
      <c r="N646" s="207"/>
      <c r="O646" s="122"/>
      <c r="P646" s="205"/>
      <c r="Q646" s="205"/>
      <c r="R646" s="205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</row>
    <row r="647">
      <c r="A647" s="122"/>
      <c r="B647" s="204"/>
      <c r="C647" s="204"/>
      <c r="D647" s="204"/>
      <c r="E647" s="205"/>
      <c r="F647" s="205"/>
      <c r="G647" s="205"/>
      <c r="H647" s="206"/>
      <c r="I647" s="207"/>
      <c r="J647" s="207"/>
      <c r="K647" s="207"/>
      <c r="L647" s="122"/>
      <c r="M647" s="207"/>
      <c r="N647" s="207"/>
      <c r="O647" s="122"/>
      <c r="P647" s="205"/>
      <c r="Q647" s="205"/>
      <c r="R647" s="205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</row>
    <row r="648">
      <c r="A648" s="122"/>
      <c r="B648" s="204"/>
      <c r="C648" s="204"/>
      <c r="D648" s="204"/>
      <c r="E648" s="205"/>
      <c r="F648" s="205"/>
      <c r="G648" s="205"/>
      <c r="H648" s="206"/>
      <c r="I648" s="207"/>
      <c r="J648" s="207"/>
      <c r="K648" s="207"/>
      <c r="L648" s="122"/>
      <c r="M648" s="207"/>
      <c r="N648" s="207"/>
      <c r="O648" s="122"/>
      <c r="P648" s="205"/>
      <c r="Q648" s="205"/>
      <c r="R648" s="205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</row>
    <row r="649">
      <c r="A649" s="122"/>
      <c r="B649" s="204"/>
      <c r="C649" s="204"/>
      <c r="D649" s="204"/>
      <c r="E649" s="205"/>
      <c r="F649" s="205"/>
      <c r="G649" s="205"/>
      <c r="H649" s="206"/>
      <c r="I649" s="207"/>
      <c r="J649" s="207"/>
      <c r="K649" s="207"/>
      <c r="L649" s="122"/>
      <c r="M649" s="207"/>
      <c r="N649" s="207"/>
      <c r="O649" s="122"/>
      <c r="P649" s="205"/>
      <c r="Q649" s="205"/>
      <c r="R649" s="205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</row>
    <row r="650">
      <c r="A650" s="122"/>
      <c r="B650" s="204"/>
      <c r="C650" s="204"/>
      <c r="D650" s="204"/>
      <c r="E650" s="205"/>
      <c r="F650" s="205"/>
      <c r="G650" s="205"/>
      <c r="H650" s="206"/>
      <c r="I650" s="207"/>
      <c r="J650" s="207"/>
      <c r="K650" s="207"/>
      <c r="L650" s="122"/>
      <c r="M650" s="207"/>
      <c r="N650" s="207"/>
      <c r="O650" s="122"/>
      <c r="P650" s="205"/>
      <c r="Q650" s="205"/>
      <c r="R650" s="205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</row>
    <row r="651">
      <c r="A651" s="122"/>
      <c r="B651" s="204"/>
      <c r="C651" s="204"/>
      <c r="D651" s="204"/>
      <c r="E651" s="205"/>
      <c r="F651" s="205"/>
      <c r="G651" s="205"/>
      <c r="H651" s="206"/>
      <c r="I651" s="207"/>
      <c r="J651" s="207"/>
      <c r="K651" s="207"/>
      <c r="L651" s="122"/>
      <c r="M651" s="207"/>
      <c r="N651" s="207"/>
      <c r="O651" s="122"/>
      <c r="P651" s="205"/>
      <c r="Q651" s="205"/>
      <c r="R651" s="205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</row>
    <row r="652">
      <c r="A652" s="122"/>
      <c r="B652" s="204"/>
      <c r="C652" s="204"/>
      <c r="D652" s="204"/>
      <c r="E652" s="205"/>
      <c r="F652" s="205"/>
      <c r="G652" s="205"/>
      <c r="H652" s="206"/>
      <c r="I652" s="207"/>
      <c r="J652" s="207"/>
      <c r="K652" s="207"/>
      <c r="L652" s="122"/>
      <c r="M652" s="207"/>
      <c r="N652" s="207"/>
      <c r="O652" s="122"/>
      <c r="P652" s="205"/>
      <c r="Q652" s="205"/>
      <c r="R652" s="205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</row>
    <row r="653">
      <c r="A653" s="122"/>
      <c r="B653" s="204"/>
      <c r="C653" s="204"/>
      <c r="D653" s="204"/>
      <c r="E653" s="205"/>
      <c r="F653" s="205"/>
      <c r="G653" s="205"/>
      <c r="H653" s="206"/>
      <c r="I653" s="207"/>
      <c r="J653" s="207"/>
      <c r="K653" s="207"/>
      <c r="L653" s="122"/>
      <c r="M653" s="207"/>
      <c r="N653" s="207"/>
      <c r="O653" s="122"/>
      <c r="P653" s="205"/>
      <c r="Q653" s="205"/>
      <c r="R653" s="205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</row>
    <row r="654">
      <c r="A654" s="122"/>
      <c r="B654" s="204"/>
      <c r="C654" s="204"/>
      <c r="D654" s="204"/>
      <c r="E654" s="205"/>
      <c r="F654" s="205"/>
      <c r="G654" s="205"/>
      <c r="H654" s="206"/>
      <c r="I654" s="207"/>
      <c r="J654" s="207"/>
      <c r="K654" s="207"/>
      <c r="L654" s="122"/>
      <c r="M654" s="207"/>
      <c r="N654" s="207"/>
      <c r="O654" s="122"/>
      <c r="P654" s="205"/>
      <c r="Q654" s="205"/>
      <c r="R654" s="205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</row>
    <row r="655">
      <c r="A655" s="122"/>
      <c r="B655" s="204"/>
      <c r="C655" s="204"/>
      <c r="D655" s="204"/>
      <c r="E655" s="205"/>
      <c r="F655" s="205"/>
      <c r="G655" s="205"/>
      <c r="H655" s="206"/>
      <c r="I655" s="207"/>
      <c r="J655" s="207"/>
      <c r="K655" s="207"/>
      <c r="L655" s="122"/>
      <c r="M655" s="207"/>
      <c r="N655" s="207"/>
      <c r="O655" s="122"/>
      <c r="P655" s="205"/>
      <c r="Q655" s="205"/>
      <c r="R655" s="205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</row>
    <row r="656">
      <c r="A656" s="122"/>
      <c r="B656" s="204"/>
      <c r="C656" s="204"/>
      <c r="D656" s="204"/>
      <c r="E656" s="205"/>
      <c r="F656" s="205"/>
      <c r="G656" s="205"/>
      <c r="H656" s="206"/>
      <c r="I656" s="207"/>
      <c r="J656" s="207"/>
      <c r="K656" s="207"/>
      <c r="L656" s="122"/>
      <c r="M656" s="207"/>
      <c r="N656" s="207"/>
      <c r="O656" s="122"/>
      <c r="P656" s="205"/>
      <c r="Q656" s="205"/>
      <c r="R656" s="205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</row>
    <row r="657">
      <c r="A657" s="122"/>
      <c r="B657" s="204"/>
      <c r="C657" s="204"/>
      <c r="D657" s="204"/>
      <c r="E657" s="205"/>
      <c r="F657" s="205"/>
      <c r="G657" s="205"/>
      <c r="H657" s="206"/>
      <c r="I657" s="207"/>
      <c r="J657" s="207"/>
      <c r="K657" s="207"/>
      <c r="L657" s="122"/>
      <c r="M657" s="207"/>
      <c r="N657" s="207"/>
      <c r="O657" s="122"/>
      <c r="P657" s="205"/>
      <c r="Q657" s="205"/>
      <c r="R657" s="205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</row>
    <row r="658">
      <c r="A658" s="122"/>
      <c r="B658" s="204"/>
      <c r="C658" s="204"/>
      <c r="D658" s="204"/>
      <c r="E658" s="205"/>
      <c r="F658" s="205"/>
      <c r="G658" s="205"/>
      <c r="H658" s="206"/>
      <c r="I658" s="207"/>
      <c r="J658" s="207"/>
      <c r="K658" s="207"/>
      <c r="L658" s="122"/>
      <c r="M658" s="207"/>
      <c r="N658" s="207"/>
      <c r="O658" s="122"/>
      <c r="P658" s="205"/>
      <c r="Q658" s="205"/>
      <c r="R658" s="205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</row>
    <row r="659">
      <c r="A659" s="122"/>
      <c r="B659" s="204"/>
      <c r="C659" s="204"/>
      <c r="D659" s="204"/>
      <c r="E659" s="205"/>
      <c r="F659" s="205"/>
      <c r="G659" s="205"/>
      <c r="H659" s="206"/>
      <c r="I659" s="207"/>
      <c r="J659" s="207"/>
      <c r="K659" s="207"/>
      <c r="L659" s="122"/>
      <c r="M659" s="207"/>
      <c r="N659" s="207"/>
      <c r="O659" s="122"/>
      <c r="P659" s="205"/>
      <c r="Q659" s="205"/>
      <c r="R659" s="205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</row>
    <row r="660">
      <c r="A660" s="122"/>
      <c r="B660" s="204"/>
      <c r="C660" s="204"/>
      <c r="D660" s="204"/>
      <c r="E660" s="205"/>
      <c r="F660" s="205"/>
      <c r="G660" s="205"/>
      <c r="H660" s="206"/>
      <c r="I660" s="207"/>
      <c r="J660" s="207"/>
      <c r="K660" s="207"/>
      <c r="L660" s="122"/>
      <c r="M660" s="207"/>
      <c r="N660" s="207"/>
      <c r="O660" s="122"/>
      <c r="P660" s="205"/>
      <c r="Q660" s="205"/>
      <c r="R660" s="205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</row>
    <row r="661">
      <c r="A661" s="122"/>
      <c r="B661" s="204"/>
      <c r="C661" s="204"/>
      <c r="D661" s="204"/>
      <c r="E661" s="205"/>
      <c r="F661" s="205"/>
      <c r="G661" s="205"/>
      <c r="H661" s="206"/>
      <c r="I661" s="207"/>
      <c r="J661" s="207"/>
      <c r="K661" s="207"/>
      <c r="L661" s="122"/>
      <c r="M661" s="207"/>
      <c r="N661" s="207"/>
      <c r="O661" s="122"/>
      <c r="P661" s="205"/>
      <c r="Q661" s="205"/>
      <c r="R661" s="205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</row>
    <row r="662">
      <c r="A662" s="122"/>
      <c r="B662" s="204"/>
      <c r="C662" s="204"/>
      <c r="D662" s="204"/>
      <c r="E662" s="205"/>
      <c r="F662" s="205"/>
      <c r="G662" s="205"/>
      <c r="H662" s="206"/>
      <c r="I662" s="207"/>
      <c r="J662" s="207"/>
      <c r="K662" s="207"/>
      <c r="L662" s="122"/>
      <c r="M662" s="207"/>
      <c r="N662" s="207"/>
      <c r="O662" s="122"/>
      <c r="P662" s="205"/>
      <c r="Q662" s="205"/>
      <c r="R662" s="205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</row>
    <row r="663">
      <c r="A663" s="122"/>
      <c r="B663" s="204"/>
      <c r="C663" s="204"/>
      <c r="D663" s="204"/>
      <c r="E663" s="205"/>
      <c r="F663" s="205"/>
      <c r="G663" s="205"/>
      <c r="H663" s="206"/>
      <c r="I663" s="207"/>
      <c r="J663" s="207"/>
      <c r="K663" s="207"/>
      <c r="L663" s="122"/>
      <c r="M663" s="207"/>
      <c r="N663" s="207"/>
      <c r="O663" s="122"/>
      <c r="P663" s="205"/>
      <c r="Q663" s="205"/>
      <c r="R663" s="205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</row>
    <row r="664">
      <c r="A664" s="122"/>
      <c r="B664" s="204"/>
      <c r="C664" s="204"/>
      <c r="D664" s="204"/>
      <c r="E664" s="205"/>
      <c r="F664" s="205"/>
      <c r="G664" s="205"/>
      <c r="H664" s="206"/>
      <c r="I664" s="207"/>
      <c r="J664" s="207"/>
      <c r="K664" s="207"/>
      <c r="L664" s="122"/>
      <c r="M664" s="207"/>
      <c r="N664" s="207"/>
      <c r="O664" s="122"/>
      <c r="P664" s="205"/>
      <c r="Q664" s="205"/>
      <c r="R664" s="205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</row>
    <row r="665">
      <c r="A665" s="122"/>
      <c r="B665" s="204"/>
      <c r="C665" s="204"/>
      <c r="D665" s="204"/>
      <c r="E665" s="205"/>
      <c r="F665" s="205"/>
      <c r="G665" s="205"/>
      <c r="H665" s="206"/>
      <c r="I665" s="207"/>
      <c r="J665" s="207"/>
      <c r="K665" s="207"/>
      <c r="L665" s="122"/>
      <c r="M665" s="207"/>
      <c r="N665" s="207"/>
      <c r="O665" s="122"/>
      <c r="P665" s="205"/>
      <c r="Q665" s="205"/>
      <c r="R665" s="205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</row>
    <row r="666">
      <c r="A666" s="122"/>
      <c r="B666" s="204"/>
      <c r="C666" s="204"/>
      <c r="D666" s="204"/>
      <c r="E666" s="205"/>
      <c r="F666" s="205"/>
      <c r="G666" s="205"/>
      <c r="H666" s="206"/>
      <c r="I666" s="207"/>
      <c r="J666" s="207"/>
      <c r="K666" s="207"/>
      <c r="L666" s="122"/>
      <c r="M666" s="207"/>
      <c r="N666" s="207"/>
      <c r="O666" s="122"/>
      <c r="P666" s="205"/>
      <c r="Q666" s="205"/>
      <c r="R666" s="205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</row>
    <row r="667">
      <c r="A667" s="122"/>
      <c r="B667" s="204"/>
      <c r="C667" s="204"/>
      <c r="D667" s="204"/>
      <c r="E667" s="205"/>
      <c r="F667" s="205"/>
      <c r="G667" s="205"/>
      <c r="H667" s="206"/>
      <c r="I667" s="207"/>
      <c r="J667" s="207"/>
      <c r="K667" s="207"/>
      <c r="L667" s="122"/>
      <c r="M667" s="207"/>
      <c r="N667" s="207"/>
      <c r="O667" s="122"/>
      <c r="P667" s="205"/>
      <c r="Q667" s="205"/>
      <c r="R667" s="205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</row>
    <row r="668">
      <c r="A668" s="122"/>
      <c r="B668" s="204"/>
      <c r="C668" s="204"/>
      <c r="D668" s="204"/>
      <c r="E668" s="205"/>
      <c r="F668" s="205"/>
      <c r="G668" s="205"/>
      <c r="H668" s="206"/>
      <c r="I668" s="207"/>
      <c r="J668" s="207"/>
      <c r="K668" s="207"/>
      <c r="L668" s="122"/>
      <c r="M668" s="207"/>
      <c r="N668" s="207"/>
      <c r="O668" s="122"/>
      <c r="P668" s="205"/>
      <c r="Q668" s="205"/>
      <c r="R668" s="205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</row>
    <row r="669">
      <c r="A669" s="122"/>
      <c r="B669" s="204"/>
      <c r="C669" s="204"/>
      <c r="D669" s="204"/>
      <c r="E669" s="205"/>
      <c r="F669" s="205"/>
      <c r="G669" s="205"/>
      <c r="H669" s="206"/>
      <c r="I669" s="207"/>
      <c r="J669" s="207"/>
      <c r="K669" s="207"/>
      <c r="L669" s="122"/>
      <c r="M669" s="207"/>
      <c r="N669" s="207"/>
      <c r="O669" s="122"/>
      <c r="P669" s="205"/>
      <c r="Q669" s="205"/>
      <c r="R669" s="205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</row>
    <row r="670">
      <c r="A670" s="122"/>
      <c r="B670" s="204"/>
      <c r="C670" s="204"/>
      <c r="D670" s="204"/>
      <c r="E670" s="205"/>
      <c r="F670" s="205"/>
      <c r="G670" s="205"/>
      <c r="H670" s="206"/>
      <c r="I670" s="207"/>
      <c r="J670" s="207"/>
      <c r="K670" s="207"/>
      <c r="L670" s="122"/>
      <c r="M670" s="207"/>
      <c r="N670" s="207"/>
      <c r="O670" s="122"/>
      <c r="P670" s="205"/>
      <c r="Q670" s="205"/>
      <c r="R670" s="205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</row>
    <row r="671">
      <c r="A671" s="122"/>
      <c r="B671" s="204"/>
      <c r="C671" s="204"/>
      <c r="D671" s="204"/>
      <c r="E671" s="205"/>
      <c r="F671" s="205"/>
      <c r="G671" s="205"/>
      <c r="H671" s="206"/>
      <c r="I671" s="207"/>
      <c r="J671" s="207"/>
      <c r="K671" s="207"/>
      <c r="L671" s="122"/>
      <c r="M671" s="207"/>
      <c r="N671" s="207"/>
      <c r="O671" s="122"/>
      <c r="P671" s="205"/>
      <c r="Q671" s="205"/>
      <c r="R671" s="205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</row>
    <row r="672">
      <c r="A672" s="122"/>
      <c r="B672" s="204"/>
      <c r="C672" s="204"/>
      <c r="D672" s="204"/>
      <c r="E672" s="205"/>
      <c r="F672" s="205"/>
      <c r="G672" s="205"/>
      <c r="H672" s="206"/>
      <c r="I672" s="207"/>
      <c r="J672" s="207"/>
      <c r="K672" s="207"/>
      <c r="L672" s="122"/>
      <c r="M672" s="207"/>
      <c r="N672" s="207"/>
      <c r="O672" s="122"/>
      <c r="P672" s="205"/>
      <c r="Q672" s="205"/>
      <c r="R672" s="205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</row>
    <row r="673">
      <c r="A673" s="122"/>
      <c r="B673" s="204"/>
      <c r="C673" s="204"/>
      <c r="D673" s="204"/>
      <c r="E673" s="205"/>
      <c r="F673" s="205"/>
      <c r="G673" s="205"/>
      <c r="H673" s="206"/>
      <c r="I673" s="207"/>
      <c r="J673" s="207"/>
      <c r="K673" s="207"/>
      <c r="L673" s="122"/>
      <c r="M673" s="207"/>
      <c r="N673" s="207"/>
      <c r="O673" s="122"/>
      <c r="P673" s="205"/>
      <c r="Q673" s="205"/>
      <c r="R673" s="205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</row>
    <row r="674">
      <c r="A674" s="122"/>
      <c r="B674" s="204"/>
      <c r="C674" s="204"/>
      <c r="D674" s="204"/>
      <c r="E674" s="205"/>
      <c r="F674" s="205"/>
      <c r="G674" s="205"/>
      <c r="H674" s="206"/>
      <c r="I674" s="207"/>
      <c r="J674" s="207"/>
      <c r="K674" s="207"/>
      <c r="L674" s="122"/>
      <c r="M674" s="207"/>
      <c r="N674" s="207"/>
      <c r="O674" s="122"/>
      <c r="P674" s="205"/>
      <c r="Q674" s="205"/>
      <c r="R674" s="205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</row>
    <row r="675">
      <c r="A675" s="122"/>
      <c r="B675" s="204"/>
      <c r="C675" s="204"/>
      <c r="D675" s="204"/>
      <c r="E675" s="205"/>
      <c r="F675" s="205"/>
      <c r="G675" s="205"/>
      <c r="H675" s="206"/>
      <c r="I675" s="207"/>
      <c r="J675" s="207"/>
      <c r="K675" s="207"/>
      <c r="L675" s="122"/>
      <c r="M675" s="207"/>
      <c r="N675" s="207"/>
      <c r="O675" s="122"/>
      <c r="P675" s="205"/>
      <c r="Q675" s="205"/>
      <c r="R675" s="205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</row>
    <row r="676">
      <c r="A676" s="122"/>
      <c r="B676" s="204"/>
      <c r="C676" s="204"/>
      <c r="D676" s="204"/>
      <c r="E676" s="205"/>
      <c r="F676" s="205"/>
      <c r="G676" s="205"/>
      <c r="H676" s="206"/>
      <c r="I676" s="207"/>
      <c r="J676" s="207"/>
      <c r="K676" s="207"/>
      <c r="L676" s="122"/>
      <c r="M676" s="207"/>
      <c r="N676" s="207"/>
      <c r="O676" s="122"/>
      <c r="P676" s="205"/>
      <c r="Q676" s="205"/>
      <c r="R676" s="205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</row>
    <row r="677">
      <c r="A677" s="122"/>
      <c r="B677" s="204"/>
      <c r="C677" s="204"/>
      <c r="D677" s="204"/>
      <c r="E677" s="205"/>
      <c r="F677" s="205"/>
      <c r="G677" s="205"/>
      <c r="H677" s="206"/>
      <c r="I677" s="207"/>
      <c r="J677" s="207"/>
      <c r="K677" s="207"/>
      <c r="L677" s="122"/>
      <c r="M677" s="207"/>
      <c r="N677" s="207"/>
      <c r="O677" s="122"/>
      <c r="P677" s="205"/>
      <c r="Q677" s="205"/>
      <c r="R677" s="205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</row>
    <row r="678">
      <c r="A678" s="122"/>
      <c r="B678" s="204"/>
      <c r="C678" s="204"/>
      <c r="D678" s="204"/>
      <c r="E678" s="205"/>
      <c r="F678" s="205"/>
      <c r="G678" s="205"/>
      <c r="H678" s="206"/>
      <c r="I678" s="207"/>
      <c r="J678" s="207"/>
      <c r="K678" s="207"/>
      <c r="L678" s="122"/>
      <c r="M678" s="207"/>
      <c r="N678" s="207"/>
      <c r="O678" s="122"/>
      <c r="P678" s="205"/>
      <c r="Q678" s="205"/>
      <c r="R678" s="205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</row>
    <row r="679">
      <c r="A679" s="122"/>
      <c r="B679" s="204"/>
      <c r="C679" s="204"/>
      <c r="D679" s="204"/>
      <c r="E679" s="205"/>
      <c r="F679" s="205"/>
      <c r="G679" s="205"/>
      <c r="H679" s="206"/>
      <c r="I679" s="207"/>
      <c r="J679" s="207"/>
      <c r="K679" s="207"/>
      <c r="L679" s="122"/>
      <c r="M679" s="207"/>
      <c r="N679" s="207"/>
      <c r="O679" s="122"/>
      <c r="P679" s="205"/>
      <c r="Q679" s="205"/>
      <c r="R679" s="205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</row>
    <row r="680">
      <c r="A680" s="122"/>
      <c r="B680" s="204"/>
      <c r="C680" s="204"/>
      <c r="D680" s="204"/>
      <c r="E680" s="205"/>
      <c r="F680" s="205"/>
      <c r="G680" s="205"/>
      <c r="H680" s="206"/>
      <c r="I680" s="207"/>
      <c r="J680" s="207"/>
      <c r="K680" s="207"/>
      <c r="L680" s="122"/>
      <c r="M680" s="207"/>
      <c r="N680" s="207"/>
      <c r="O680" s="122"/>
      <c r="P680" s="205"/>
      <c r="Q680" s="205"/>
      <c r="R680" s="205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</row>
    <row r="681">
      <c r="A681" s="122"/>
      <c r="B681" s="204"/>
      <c r="C681" s="204"/>
      <c r="D681" s="204"/>
      <c r="E681" s="205"/>
      <c r="F681" s="205"/>
      <c r="G681" s="205"/>
      <c r="H681" s="206"/>
      <c r="I681" s="207"/>
      <c r="J681" s="207"/>
      <c r="K681" s="207"/>
      <c r="L681" s="122"/>
      <c r="M681" s="207"/>
      <c r="N681" s="207"/>
      <c r="O681" s="122"/>
      <c r="P681" s="205"/>
      <c r="Q681" s="205"/>
      <c r="R681" s="205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</row>
    <row r="682">
      <c r="A682" s="122"/>
      <c r="B682" s="204"/>
      <c r="C682" s="204"/>
      <c r="D682" s="204"/>
      <c r="E682" s="205"/>
      <c r="F682" s="205"/>
      <c r="G682" s="205"/>
      <c r="H682" s="206"/>
      <c r="I682" s="207"/>
      <c r="J682" s="207"/>
      <c r="K682" s="207"/>
      <c r="L682" s="122"/>
      <c r="M682" s="207"/>
      <c r="N682" s="207"/>
      <c r="O682" s="122"/>
      <c r="P682" s="205"/>
      <c r="Q682" s="205"/>
      <c r="R682" s="205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</row>
    <row r="683">
      <c r="A683" s="122"/>
      <c r="B683" s="204"/>
      <c r="C683" s="204"/>
      <c r="D683" s="204"/>
      <c r="E683" s="205"/>
      <c r="F683" s="205"/>
      <c r="G683" s="205"/>
      <c r="H683" s="206"/>
      <c r="I683" s="207"/>
      <c r="J683" s="207"/>
      <c r="K683" s="207"/>
      <c r="L683" s="122"/>
      <c r="M683" s="207"/>
      <c r="N683" s="207"/>
      <c r="O683" s="122"/>
      <c r="P683" s="205"/>
      <c r="Q683" s="205"/>
      <c r="R683" s="205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</row>
    <row r="684">
      <c r="A684" s="122"/>
      <c r="B684" s="204"/>
      <c r="C684" s="204"/>
      <c r="D684" s="204"/>
      <c r="E684" s="205"/>
      <c r="F684" s="205"/>
      <c r="G684" s="205"/>
      <c r="H684" s="206"/>
      <c r="I684" s="207"/>
      <c r="J684" s="207"/>
      <c r="K684" s="207"/>
      <c r="L684" s="122"/>
      <c r="M684" s="207"/>
      <c r="N684" s="207"/>
      <c r="O684" s="122"/>
      <c r="P684" s="205"/>
      <c r="Q684" s="205"/>
      <c r="R684" s="205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</row>
    <row r="685">
      <c r="A685" s="122"/>
      <c r="B685" s="204"/>
      <c r="C685" s="204"/>
      <c r="D685" s="204"/>
      <c r="E685" s="205"/>
      <c r="F685" s="205"/>
      <c r="G685" s="205"/>
      <c r="H685" s="206"/>
      <c r="I685" s="207"/>
      <c r="J685" s="207"/>
      <c r="K685" s="207"/>
      <c r="L685" s="122"/>
      <c r="M685" s="207"/>
      <c r="N685" s="207"/>
      <c r="O685" s="122"/>
      <c r="P685" s="205"/>
      <c r="Q685" s="205"/>
      <c r="R685" s="205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</row>
    <row r="686">
      <c r="A686" s="122"/>
      <c r="B686" s="204"/>
      <c r="C686" s="204"/>
      <c r="D686" s="204"/>
      <c r="E686" s="205"/>
      <c r="F686" s="205"/>
      <c r="G686" s="205"/>
      <c r="H686" s="206"/>
      <c r="I686" s="207"/>
      <c r="J686" s="207"/>
      <c r="K686" s="207"/>
      <c r="L686" s="122"/>
      <c r="M686" s="207"/>
      <c r="N686" s="207"/>
      <c r="O686" s="122"/>
      <c r="P686" s="205"/>
      <c r="Q686" s="205"/>
      <c r="R686" s="205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</row>
    <row r="687">
      <c r="A687" s="122"/>
      <c r="B687" s="204"/>
      <c r="C687" s="204"/>
      <c r="D687" s="204"/>
      <c r="E687" s="205"/>
      <c r="F687" s="205"/>
      <c r="G687" s="205"/>
      <c r="H687" s="206"/>
      <c r="I687" s="207"/>
      <c r="J687" s="207"/>
      <c r="K687" s="207"/>
      <c r="L687" s="122"/>
      <c r="M687" s="207"/>
      <c r="N687" s="207"/>
      <c r="O687" s="122"/>
      <c r="P687" s="205"/>
      <c r="Q687" s="205"/>
      <c r="R687" s="205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</row>
    <row r="688">
      <c r="A688" s="122"/>
      <c r="B688" s="204"/>
      <c r="C688" s="204"/>
      <c r="D688" s="204"/>
      <c r="E688" s="205"/>
      <c r="F688" s="205"/>
      <c r="G688" s="205"/>
      <c r="H688" s="206"/>
      <c r="I688" s="207"/>
      <c r="J688" s="207"/>
      <c r="K688" s="207"/>
      <c r="L688" s="122"/>
      <c r="M688" s="207"/>
      <c r="N688" s="207"/>
      <c r="O688" s="122"/>
      <c r="P688" s="205"/>
      <c r="Q688" s="205"/>
      <c r="R688" s="205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</row>
    <row r="689">
      <c r="A689" s="122"/>
      <c r="B689" s="204"/>
      <c r="C689" s="204"/>
      <c r="D689" s="204"/>
      <c r="E689" s="205"/>
      <c r="F689" s="205"/>
      <c r="G689" s="205"/>
      <c r="H689" s="206"/>
      <c r="I689" s="207"/>
      <c r="J689" s="207"/>
      <c r="K689" s="207"/>
      <c r="L689" s="122"/>
      <c r="M689" s="207"/>
      <c r="N689" s="207"/>
      <c r="O689" s="122"/>
      <c r="P689" s="205"/>
      <c r="Q689" s="205"/>
      <c r="R689" s="205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</row>
    <row r="690">
      <c r="A690" s="122"/>
      <c r="B690" s="204"/>
      <c r="C690" s="204"/>
      <c r="D690" s="204"/>
      <c r="E690" s="205"/>
      <c r="F690" s="205"/>
      <c r="G690" s="205"/>
      <c r="H690" s="206"/>
      <c r="I690" s="207"/>
      <c r="J690" s="207"/>
      <c r="K690" s="207"/>
      <c r="L690" s="122"/>
      <c r="M690" s="207"/>
      <c r="N690" s="207"/>
      <c r="O690" s="122"/>
      <c r="P690" s="205"/>
      <c r="Q690" s="205"/>
      <c r="R690" s="205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</row>
    <row r="691">
      <c r="A691" s="122"/>
      <c r="B691" s="204"/>
      <c r="C691" s="204"/>
      <c r="D691" s="204"/>
      <c r="E691" s="205"/>
      <c r="F691" s="205"/>
      <c r="G691" s="205"/>
      <c r="H691" s="206"/>
      <c r="I691" s="207"/>
      <c r="J691" s="207"/>
      <c r="K691" s="207"/>
      <c r="L691" s="122"/>
      <c r="M691" s="207"/>
      <c r="N691" s="207"/>
      <c r="O691" s="122"/>
      <c r="P691" s="205"/>
      <c r="Q691" s="205"/>
      <c r="R691" s="205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</row>
    <row r="692">
      <c r="A692" s="122"/>
      <c r="B692" s="204"/>
      <c r="C692" s="204"/>
      <c r="D692" s="204"/>
      <c r="E692" s="205"/>
      <c r="F692" s="205"/>
      <c r="G692" s="205"/>
      <c r="H692" s="206"/>
      <c r="I692" s="207"/>
      <c r="J692" s="207"/>
      <c r="K692" s="207"/>
      <c r="L692" s="122"/>
      <c r="M692" s="207"/>
      <c r="N692" s="207"/>
      <c r="O692" s="122"/>
      <c r="P692" s="205"/>
      <c r="Q692" s="205"/>
      <c r="R692" s="205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</row>
    <row r="693">
      <c r="A693" s="122"/>
      <c r="B693" s="204"/>
      <c r="C693" s="204"/>
      <c r="D693" s="204"/>
      <c r="E693" s="205"/>
      <c r="F693" s="205"/>
      <c r="G693" s="205"/>
      <c r="H693" s="206"/>
      <c r="I693" s="207"/>
      <c r="J693" s="207"/>
      <c r="K693" s="207"/>
      <c r="L693" s="122"/>
      <c r="M693" s="207"/>
      <c r="N693" s="207"/>
      <c r="O693" s="122"/>
      <c r="P693" s="205"/>
      <c r="Q693" s="205"/>
      <c r="R693" s="205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</row>
    <row r="694">
      <c r="A694" s="122"/>
      <c r="B694" s="204"/>
      <c r="C694" s="204"/>
      <c r="D694" s="204"/>
      <c r="E694" s="205"/>
      <c r="F694" s="205"/>
      <c r="G694" s="205"/>
      <c r="H694" s="206"/>
      <c r="I694" s="207"/>
      <c r="J694" s="207"/>
      <c r="K694" s="207"/>
      <c r="L694" s="122"/>
      <c r="M694" s="207"/>
      <c r="N694" s="207"/>
      <c r="O694" s="122"/>
      <c r="P694" s="205"/>
      <c r="Q694" s="205"/>
      <c r="R694" s="205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</row>
    <row r="695">
      <c r="A695" s="122"/>
      <c r="B695" s="204"/>
      <c r="C695" s="204"/>
      <c r="D695" s="204"/>
      <c r="E695" s="205"/>
      <c r="F695" s="205"/>
      <c r="G695" s="205"/>
      <c r="H695" s="206"/>
      <c r="I695" s="207"/>
      <c r="J695" s="207"/>
      <c r="K695" s="207"/>
      <c r="L695" s="122"/>
      <c r="M695" s="207"/>
      <c r="N695" s="207"/>
      <c r="O695" s="122"/>
      <c r="P695" s="205"/>
      <c r="Q695" s="205"/>
      <c r="R695" s="205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</row>
    <row r="696">
      <c r="A696" s="122"/>
      <c r="B696" s="204"/>
      <c r="C696" s="204"/>
      <c r="D696" s="204"/>
      <c r="E696" s="205"/>
      <c r="F696" s="205"/>
      <c r="G696" s="205"/>
      <c r="H696" s="206"/>
      <c r="I696" s="207"/>
      <c r="J696" s="207"/>
      <c r="K696" s="207"/>
      <c r="L696" s="122"/>
      <c r="M696" s="207"/>
      <c r="N696" s="207"/>
      <c r="O696" s="122"/>
      <c r="P696" s="205"/>
      <c r="Q696" s="205"/>
      <c r="R696" s="205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</row>
    <row r="697">
      <c r="A697" s="122"/>
      <c r="B697" s="204"/>
      <c r="C697" s="204"/>
      <c r="D697" s="204"/>
      <c r="E697" s="205"/>
      <c r="F697" s="205"/>
      <c r="G697" s="205"/>
      <c r="H697" s="206"/>
      <c r="I697" s="207"/>
      <c r="J697" s="207"/>
      <c r="K697" s="207"/>
      <c r="L697" s="122"/>
      <c r="M697" s="207"/>
      <c r="N697" s="207"/>
      <c r="O697" s="122"/>
      <c r="P697" s="205"/>
      <c r="Q697" s="205"/>
      <c r="R697" s="205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</row>
    <row r="698">
      <c r="A698" s="122"/>
      <c r="B698" s="204"/>
      <c r="C698" s="204"/>
      <c r="D698" s="204"/>
      <c r="E698" s="205"/>
      <c r="F698" s="205"/>
      <c r="G698" s="205"/>
      <c r="H698" s="206"/>
      <c r="I698" s="207"/>
      <c r="J698" s="207"/>
      <c r="K698" s="207"/>
      <c r="L698" s="122"/>
      <c r="M698" s="207"/>
      <c r="N698" s="207"/>
      <c r="O698" s="122"/>
      <c r="P698" s="205"/>
      <c r="Q698" s="205"/>
      <c r="R698" s="205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</row>
    <row r="699">
      <c r="A699" s="122"/>
      <c r="B699" s="204"/>
      <c r="C699" s="204"/>
      <c r="D699" s="204"/>
      <c r="E699" s="205"/>
      <c r="F699" s="205"/>
      <c r="G699" s="205"/>
      <c r="H699" s="206"/>
      <c r="I699" s="207"/>
      <c r="J699" s="207"/>
      <c r="K699" s="207"/>
      <c r="L699" s="122"/>
      <c r="M699" s="207"/>
      <c r="N699" s="207"/>
      <c r="O699" s="122"/>
      <c r="P699" s="205"/>
      <c r="Q699" s="205"/>
      <c r="R699" s="205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</row>
    <row r="700">
      <c r="A700" s="122"/>
      <c r="B700" s="204"/>
      <c r="C700" s="204"/>
      <c r="D700" s="204"/>
      <c r="E700" s="205"/>
      <c r="F700" s="205"/>
      <c r="G700" s="205"/>
      <c r="H700" s="206"/>
      <c r="I700" s="207"/>
      <c r="J700" s="207"/>
      <c r="K700" s="207"/>
      <c r="L700" s="122"/>
      <c r="M700" s="207"/>
      <c r="N700" s="207"/>
      <c r="O700" s="122"/>
      <c r="P700" s="205"/>
      <c r="Q700" s="205"/>
      <c r="R700" s="205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</row>
    <row r="701">
      <c r="A701" s="122"/>
      <c r="B701" s="204"/>
      <c r="C701" s="204"/>
      <c r="D701" s="204"/>
      <c r="E701" s="205"/>
      <c r="F701" s="205"/>
      <c r="G701" s="205"/>
      <c r="H701" s="206"/>
      <c r="I701" s="207"/>
      <c r="J701" s="207"/>
      <c r="K701" s="207"/>
      <c r="L701" s="122"/>
      <c r="M701" s="207"/>
      <c r="N701" s="207"/>
      <c r="O701" s="122"/>
      <c r="P701" s="205"/>
      <c r="Q701" s="205"/>
      <c r="R701" s="205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</row>
    <row r="702">
      <c r="A702" s="122"/>
      <c r="B702" s="204"/>
      <c r="C702" s="204"/>
      <c r="D702" s="204"/>
      <c r="E702" s="205"/>
      <c r="F702" s="205"/>
      <c r="G702" s="205"/>
      <c r="H702" s="206"/>
      <c r="I702" s="207"/>
      <c r="J702" s="207"/>
      <c r="K702" s="207"/>
      <c r="L702" s="122"/>
      <c r="M702" s="207"/>
      <c r="N702" s="207"/>
      <c r="O702" s="122"/>
      <c r="P702" s="205"/>
      <c r="Q702" s="205"/>
      <c r="R702" s="205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</row>
    <row r="703">
      <c r="A703" s="122"/>
      <c r="B703" s="204"/>
      <c r="C703" s="204"/>
      <c r="D703" s="204"/>
      <c r="E703" s="205"/>
      <c r="F703" s="205"/>
      <c r="G703" s="205"/>
      <c r="H703" s="206"/>
      <c r="I703" s="207"/>
      <c r="J703" s="207"/>
      <c r="K703" s="207"/>
      <c r="L703" s="122"/>
      <c r="M703" s="207"/>
      <c r="N703" s="207"/>
      <c r="O703" s="122"/>
      <c r="P703" s="205"/>
      <c r="Q703" s="205"/>
      <c r="R703" s="205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</row>
    <row r="704">
      <c r="A704" s="122"/>
      <c r="B704" s="204"/>
      <c r="C704" s="204"/>
      <c r="D704" s="204"/>
      <c r="E704" s="205"/>
      <c r="F704" s="205"/>
      <c r="G704" s="205"/>
      <c r="H704" s="206"/>
      <c r="I704" s="207"/>
      <c r="J704" s="207"/>
      <c r="K704" s="207"/>
      <c r="L704" s="122"/>
      <c r="M704" s="207"/>
      <c r="N704" s="207"/>
      <c r="O704" s="122"/>
      <c r="P704" s="205"/>
      <c r="Q704" s="205"/>
      <c r="R704" s="205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</row>
    <row r="705">
      <c r="A705" s="122"/>
      <c r="B705" s="204"/>
      <c r="C705" s="204"/>
      <c r="D705" s="204"/>
      <c r="E705" s="205"/>
      <c r="F705" s="205"/>
      <c r="G705" s="205"/>
      <c r="H705" s="206"/>
      <c r="I705" s="207"/>
      <c r="J705" s="207"/>
      <c r="K705" s="207"/>
      <c r="L705" s="122"/>
      <c r="M705" s="207"/>
      <c r="N705" s="207"/>
      <c r="O705" s="122"/>
      <c r="P705" s="205"/>
      <c r="Q705" s="205"/>
      <c r="R705" s="205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</row>
    <row r="706">
      <c r="A706" s="122"/>
      <c r="B706" s="204"/>
      <c r="C706" s="204"/>
      <c r="D706" s="204"/>
      <c r="E706" s="205"/>
      <c r="F706" s="205"/>
      <c r="G706" s="205"/>
      <c r="H706" s="206"/>
      <c r="I706" s="207"/>
      <c r="J706" s="207"/>
      <c r="K706" s="207"/>
      <c r="L706" s="122"/>
      <c r="M706" s="207"/>
      <c r="N706" s="207"/>
      <c r="O706" s="122"/>
      <c r="P706" s="205"/>
      <c r="Q706" s="205"/>
      <c r="R706" s="205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</row>
    <row r="707">
      <c r="A707" s="122"/>
      <c r="B707" s="204"/>
      <c r="C707" s="204"/>
      <c r="D707" s="204"/>
      <c r="E707" s="205"/>
      <c r="F707" s="205"/>
      <c r="G707" s="205"/>
      <c r="H707" s="206"/>
      <c r="I707" s="207"/>
      <c r="J707" s="207"/>
      <c r="K707" s="207"/>
      <c r="L707" s="122"/>
      <c r="M707" s="207"/>
      <c r="N707" s="207"/>
      <c r="O707" s="122"/>
      <c r="P707" s="205"/>
      <c r="Q707" s="205"/>
      <c r="R707" s="205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</row>
    <row r="708">
      <c r="A708" s="122"/>
      <c r="B708" s="204"/>
      <c r="C708" s="204"/>
      <c r="D708" s="204"/>
      <c r="E708" s="205"/>
      <c r="F708" s="205"/>
      <c r="G708" s="205"/>
      <c r="H708" s="206"/>
      <c r="I708" s="207"/>
      <c r="J708" s="207"/>
      <c r="K708" s="207"/>
      <c r="L708" s="122"/>
      <c r="M708" s="207"/>
      <c r="N708" s="207"/>
      <c r="O708" s="122"/>
      <c r="P708" s="205"/>
      <c r="Q708" s="205"/>
      <c r="R708" s="205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</row>
    <row r="709">
      <c r="A709" s="122"/>
      <c r="B709" s="204"/>
      <c r="C709" s="204"/>
      <c r="D709" s="204"/>
      <c r="E709" s="205"/>
      <c r="F709" s="205"/>
      <c r="G709" s="205"/>
      <c r="H709" s="206"/>
      <c r="I709" s="207"/>
      <c r="J709" s="207"/>
      <c r="K709" s="207"/>
      <c r="L709" s="122"/>
      <c r="M709" s="207"/>
      <c r="N709" s="207"/>
      <c r="O709" s="122"/>
      <c r="P709" s="205"/>
      <c r="Q709" s="205"/>
      <c r="R709" s="205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</row>
    <row r="710">
      <c r="A710" s="122"/>
      <c r="B710" s="204"/>
      <c r="C710" s="204"/>
      <c r="D710" s="204"/>
      <c r="E710" s="205"/>
      <c r="F710" s="205"/>
      <c r="G710" s="205"/>
      <c r="H710" s="206"/>
      <c r="I710" s="207"/>
      <c r="J710" s="207"/>
      <c r="K710" s="207"/>
      <c r="L710" s="122"/>
      <c r="M710" s="207"/>
      <c r="N710" s="207"/>
      <c r="O710" s="122"/>
      <c r="P710" s="205"/>
      <c r="Q710" s="205"/>
      <c r="R710" s="205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</row>
    <row r="711">
      <c r="A711" s="122"/>
      <c r="B711" s="204"/>
      <c r="C711" s="204"/>
      <c r="D711" s="204"/>
      <c r="E711" s="205"/>
      <c r="F711" s="205"/>
      <c r="G711" s="205"/>
      <c r="H711" s="206"/>
      <c r="I711" s="207"/>
      <c r="J711" s="207"/>
      <c r="K711" s="207"/>
      <c r="L711" s="122"/>
      <c r="M711" s="207"/>
      <c r="N711" s="207"/>
      <c r="O711" s="122"/>
      <c r="P711" s="205"/>
      <c r="Q711" s="205"/>
      <c r="R711" s="205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</row>
    <row r="712">
      <c r="A712" s="122"/>
      <c r="B712" s="204"/>
      <c r="C712" s="204"/>
      <c r="D712" s="204"/>
      <c r="E712" s="205"/>
      <c r="F712" s="205"/>
      <c r="G712" s="205"/>
      <c r="H712" s="206"/>
      <c r="I712" s="207"/>
      <c r="J712" s="207"/>
      <c r="K712" s="207"/>
      <c r="L712" s="122"/>
      <c r="M712" s="207"/>
      <c r="N712" s="207"/>
      <c r="O712" s="122"/>
      <c r="P712" s="205"/>
      <c r="Q712" s="205"/>
      <c r="R712" s="205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</row>
    <row r="713">
      <c r="A713" s="122"/>
      <c r="B713" s="204"/>
      <c r="C713" s="204"/>
      <c r="D713" s="204"/>
      <c r="E713" s="205"/>
      <c r="F713" s="205"/>
      <c r="G713" s="205"/>
      <c r="H713" s="206"/>
      <c r="I713" s="207"/>
      <c r="J713" s="207"/>
      <c r="K713" s="207"/>
      <c r="L713" s="122"/>
      <c r="M713" s="207"/>
      <c r="N713" s="207"/>
      <c r="O713" s="122"/>
      <c r="P713" s="205"/>
      <c r="Q713" s="205"/>
      <c r="R713" s="205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</row>
    <row r="714">
      <c r="A714" s="122"/>
      <c r="B714" s="204"/>
      <c r="C714" s="204"/>
      <c r="D714" s="204"/>
      <c r="E714" s="205"/>
      <c r="F714" s="205"/>
      <c r="G714" s="205"/>
      <c r="H714" s="206"/>
      <c r="I714" s="207"/>
      <c r="J714" s="207"/>
      <c r="K714" s="207"/>
      <c r="L714" s="122"/>
      <c r="M714" s="207"/>
      <c r="N714" s="207"/>
      <c r="O714" s="122"/>
      <c r="P714" s="205"/>
      <c r="Q714" s="205"/>
      <c r="R714" s="205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</row>
    <row r="715">
      <c r="A715" s="122"/>
      <c r="B715" s="204"/>
      <c r="C715" s="204"/>
      <c r="D715" s="204"/>
      <c r="E715" s="205"/>
      <c r="F715" s="205"/>
      <c r="G715" s="205"/>
      <c r="H715" s="206"/>
      <c r="I715" s="207"/>
      <c r="J715" s="207"/>
      <c r="K715" s="207"/>
      <c r="L715" s="122"/>
      <c r="M715" s="207"/>
      <c r="N715" s="207"/>
      <c r="O715" s="122"/>
      <c r="P715" s="205"/>
      <c r="Q715" s="205"/>
      <c r="R715" s="205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</row>
    <row r="716">
      <c r="A716" s="122"/>
      <c r="B716" s="204"/>
      <c r="C716" s="204"/>
      <c r="D716" s="204"/>
      <c r="E716" s="205"/>
      <c r="F716" s="205"/>
      <c r="G716" s="205"/>
      <c r="H716" s="206"/>
      <c r="I716" s="207"/>
      <c r="J716" s="207"/>
      <c r="K716" s="207"/>
      <c r="L716" s="122"/>
      <c r="M716" s="207"/>
      <c r="N716" s="207"/>
      <c r="O716" s="122"/>
      <c r="P716" s="205"/>
      <c r="Q716" s="205"/>
      <c r="R716" s="205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</row>
    <row r="717">
      <c r="A717" s="122"/>
      <c r="B717" s="204"/>
      <c r="C717" s="204"/>
      <c r="D717" s="204"/>
      <c r="E717" s="205"/>
      <c r="F717" s="205"/>
      <c r="G717" s="205"/>
      <c r="H717" s="206"/>
      <c r="I717" s="207"/>
      <c r="J717" s="207"/>
      <c r="K717" s="207"/>
      <c r="L717" s="122"/>
      <c r="M717" s="207"/>
      <c r="N717" s="207"/>
      <c r="O717" s="122"/>
      <c r="P717" s="205"/>
      <c r="Q717" s="205"/>
      <c r="R717" s="205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</row>
    <row r="718">
      <c r="A718" s="122"/>
      <c r="B718" s="204"/>
      <c r="C718" s="204"/>
      <c r="D718" s="204"/>
      <c r="E718" s="205"/>
      <c r="F718" s="205"/>
      <c r="G718" s="205"/>
      <c r="H718" s="206"/>
      <c r="I718" s="207"/>
      <c r="J718" s="207"/>
      <c r="K718" s="207"/>
      <c r="L718" s="122"/>
      <c r="M718" s="207"/>
      <c r="N718" s="207"/>
      <c r="O718" s="122"/>
      <c r="P718" s="205"/>
      <c r="Q718" s="205"/>
      <c r="R718" s="205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</row>
    <row r="719">
      <c r="A719" s="122"/>
      <c r="B719" s="204"/>
      <c r="C719" s="204"/>
      <c r="D719" s="204"/>
      <c r="E719" s="205"/>
      <c r="F719" s="205"/>
      <c r="G719" s="205"/>
      <c r="H719" s="206"/>
      <c r="I719" s="207"/>
      <c r="J719" s="207"/>
      <c r="K719" s="207"/>
      <c r="L719" s="122"/>
      <c r="M719" s="207"/>
      <c r="N719" s="207"/>
      <c r="O719" s="122"/>
      <c r="P719" s="205"/>
      <c r="Q719" s="205"/>
      <c r="R719" s="205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</row>
    <row r="720">
      <c r="A720" s="122"/>
      <c r="B720" s="204"/>
      <c r="C720" s="204"/>
      <c r="D720" s="204"/>
      <c r="E720" s="205"/>
      <c r="F720" s="205"/>
      <c r="G720" s="205"/>
      <c r="H720" s="206"/>
      <c r="I720" s="207"/>
      <c r="J720" s="207"/>
      <c r="K720" s="207"/>
      <c r="L720" s="122"/>
      <c r="M720" s="207"/>
      <c r="N720" s="207"/>
      <c r="O720" s="122"/>
      <c r="P720" s="205"/>
      <c r="Q720" s="205"/>
      <c r="R720" s="205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</row>
    <row r="721">
      <c r="A721" s="122"/>
      <c r="B721" s="204"/>
      <c r="C721" s="204"/>
      <c r="D721" s="204"/>
      <c r="E721" s="205"/>
      <c r="F721" s="205"/>
      <c r="G721" s="205"/>
      <c r="H721" s="206"/>
      <c r="I721" s="207"/>
      <c r="J721" s="207"/>
      <c r="K721" s="207"/>
      <c r="L721" s="122"/>
      <c r="M721" s="207"/>
      <c r="N721" s="207"/>
      <c r="O721" s="122"/>
      <c r="P721" s="205"/>
      <c r="Q721" s="205"/>
      <c r="R721" s="205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</row>
    <row r="722">
      <c r="A722" s="122"/>
      <c r="B722" s="204"/>
      <c r="C722" s="204"/>
      <c r="D722" s="204"/>
      <c r="E722" s="205"/>
      <c r="F722" s="205"/>
      <c r="G722" s="205"/>
      <c r="H722" s="206"/>
      <c r="I722" s="207"/>
      <c r="J722" s="207"/>
      <c r="K722" s="207"/>
      <c r="L722" s="122"/>
      <c r="M722" s="207"/>
      <c r="N722" s="207"/>
      <c r="O722" s="122"/>
      <c r="P722" s="205"/>
      <c r="Q722" s="205"/>
      <c r="R722" s="205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</row>
    <row r="723">
      <c r="A723" s="122"/>
      <c r="B723" s="204"/>
      <c r="C723" s="204"/>
      <c r="D723" s="204"/>
      <c r="E723" s="205"/>
      <c r="F723" s="205"/>
      <c r="G723" s="205"/>
      <c r="H723" s="206"/>
      <c r="I723" s="207"/>
      <c r="J723" s="207"/>
      <c r="K723" s="207"/>
      <c r="L723" s="122"/>
      <c r="M723" s="207"/>
      <c r="N723" s="207"/>
      <c r="O723" s="122"/>
      <c r="P723" s="205"/>
      <c r="Q723" s="205"/>
      <c r="R723" s="205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</row>
    <row r="724">
      <c r="A724" s="122"/>
      <c r="B724" s="204"/>
      <c r="C724" s="204"/>
      <c r="D724" s="204"/>
      <c r="E724" s="205"/>
      <c r="F724" s="205"/>
      <c r="G724" s="205"/>
      <c r="H724" s="206"/>
      <c r="I724" s="207"/>
      <c r="J724" s="207"/>
      <c r="K724" s="207"/>
      <c r="L724" s="122"/>
      <c r="M724" s="207"/>
      <c r="N724" s="207"/>
      <c r="O724" s="122"/>
      <c r="P724" s="205"/>
      <c r="Q724" s="205"/>
      <c r="R724" s="205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</row>
    <row r="725">
      <c r="A725" s="122"/>
      <c r="B725" s="204"/>
      <c r="C725" s="204"/>
      <c r="D725" s="204"/>
      <c r="E725" s="205"/>
      <c r="F725" s="205"/>
      <c r="G725" s="205"/>
      <c r="H725" s="206"/>
      <c r="I725" s="207"/>
      <c r="J725" s="207"/>
      <c r="K725" s="207"/>
      <c r="L725" s="122"/>
      <c r="M725" s="207"/>
      <c r="N725" s="207"/>
      <c r="O725" s="122"/>
      <c r="P725" s="205"/>
      <c r="Q725" s="205"/>
      <c r="R725" s="205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</row>
    <row r="726">
      <c r="A726" s="122"/>
      <c r="B726" s="204"/>
      <c r="C726" s="204"/>
      <c r="D726" s="204"/>
      <c r="E726" s="205"/>
      <c r="F726" s="205"/>
      <c r="G726" s="205"/>
      <c r="H726" s="206"/>
      <c r="I726" s="207"/>
      <c r="J726" s="207"/>
      <c r="K726" s="207"/>
      <c r="L726" s="122"/>
      <c r="M726" s="207"/>
      <c r="N726" s="207"/>
      <c r="O726" s="122"/>
      <c r="P726" s="205"/>
      <c r="Q726" s="205"/>
      <c r="R726" s="205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</row>
    <row r="727">
      <c r="A727" s="122"/>
      <c r="B727" s="204"/>
      <c r="C727" s="204"/>
      <c r="D727" s="204"/>
      <c r="E727" s="205"/>
      <c r="F727" s="205"/>
      <c r="G727" s="205"/>
      <c r="H727" s="206"/>
      <c r="I727" s="207"/>
      <c r="J727" s="207"/>
      <c r="K727" s="207"/>
      <c r="L727" s="122"/>
      <c r="M727" s="207"/>
      <c r="N727" s="207"/>
      <c r="O727" s="122"/>
      <c r="P727" s="205"/>
      <c r="Q727" s="205"/>
      <c r="R727" s="205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</row>
    <row r="728">
      <c r="A728" s="122"/>
      <c r="B728" s="204"/>
      <c r="C728" s="204"/>
      <c r="D728" s="204"/>
      <c r="E728" s="205"/>
      <c r="F728" s="205"/>
      <c r="G728" s="205"/>
      <c r="H728" s="206"/>
      <c r="I728" s="207"/>
      <c r="J728" s="207"/>
      <c r="K728" s="207"/>
      <c r="L728" s="122"/>
      <c r="M728" s="207"/>
      <c r="N728" s="207"/>
      <c r="O728" s="122"/>
      <c r="P728" s="205"/>
      <c r="Q728" s="205"/>
      <c r="R728" s="205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</row>
    <row r="729">
      <c r="A729" s="122"/>
      <c r="B729" s="204"/>
      <c r="C729" s="204"/>
      <c r="D729" s="204"/>
      <c r="E729" s="205"/>
      <c r="F729" s="205"/>
      <c r="G729" s="205"/>
      <c r="H729" s="206"/>
      <c r="I729" s="207"/>
      <c r="J729" s="207"/>
      <c r="K729" s="207"/>
      <c r="L729" s="122"/>
      <c r="M729" s="207"/>
      <c r="N729" s="207"/>
      <c r="O729" s="122"/>
      <c r="P729" s="205"/>
      <c r="Q729" s="205"/>
      <c r="R729" s="205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</row>
    <row r="730">
      <c r="A730" s="122"/>
      <c r="B730" s="204"/>
      <c r="C730" s="204"/>
      <c r="D730" s="204"/>
      <c r="E730" s="205"/>
      <c r="F730" s="205"/>
      <c r="G730" s="205"/>
      <c r="H730" s="206"/>
      <c r="I730" s="207"/>
      <c r="J730" s="207"/>
      <c r="K730" s="207"/>
      <c r="L730" s="122"/>
      <c r="M730" s="207"/>
      <c r="N730" s="207"/>
      <c r="O730" s="122"/>
      <c r="P730" s="205"/>
      <c r="Q730" s="205"/>
      <c r="R730" s="205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</row>
    <row r="731">
      <c r="A731" s="122"/>
      <c r="B731" s="204"/>
      <c r="C731" s="204"/>
      <c r="D731" s="204"/>
      <c r="E731" s="205"/>
      <c r="F731" s="205"/>
      <c r="G731" s="205"/>
      <c r="H731" s="206"/>
      <c r="I731" s="207"/>
      <c r="J731" s="207"/>
      <c r="K731" s="207"/>
      <c r="L731" s="122"/>
      <c r="M731" s="207"/>
      <c r="N731" s="207"/>
      <c r="O731" s="122"/>
      <c r="P731" s="205"/>
      <c r="Q731" s="205"/>
      <c r="R731" s="205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</row>
    <row r="732">
      <c r="A732" s="122"/>
      <c r="B732" s="204"/>
      <c r="C732" s="204"/>
      <c r="D732" s="204"/>
      <c r="E732" s="205"/>
      <c r="F732" s="205"/>
      <c r="G732" s="205"/>
      <c r="H732" s="206"/>
      <c r="I732" s="207"/>
      <c r="J732" s="207"/>
      <c r="K732" s="207"/>
      <c r="L732" s="122"/>
      <c r="M732" s="207"/>
      <c r="N732" s="207"/>
      <c r="O732" s="122"/>
      <c r="P732" s="205"/>
      <c r="Q732" s="205"/>
      <c r="R732" s="205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</row>
    <row r="733">
      <c r="A733" s="122"/>
      <c r="B733" s="204"/>
      <c r="C733" s="204"/>
      <c r="D733" s="204"/>
      <c r="E733" s="205"/>
      <c r="F733" s="205"/>
      <c r="G733" s="205"/>
      <c r="H733" s="206"/>
      <c r="I733" s="207"/>
      <c r="J733" s="207"/>
      <c r="K733" s="207"/>
      <c r="L733" s="122"/>
      <c r="M733" s="207"/>
      <c r="N733" s="207"/>
      <c r="O733" s="122"/>
      <c r="P733" s="205"/>
      <c r="Q733" s="205"/>
      <c r="R733" s="205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</row>
    <row r="734">
      <c r="A734" s="122"/>
      <c r="B734" s="204"/>
      <c r="C734" s="204"/>
      <c r="D734" s="204"/>
      <c r="E734" s="205"/>
      <c r="F734" s="205"/>
      <c r="G734" s="205"/>
      <c r="H734" s="206"/>
      <c r="I734" s="207"/>
      <c r="J734" s="207"/>
      <c r="K734" s="207"/>
      <c r="L734" s="122"/>
      <c r="M734" s="207"/>
      <c r="N734" s="207"/>
      <c r="O734" s="122"/>
      <c r="P734" s="205"/>
      <c r="Q734" s="205"/>
      <c r="R734" s="205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</row>
    <row r="735">
      <c r="A735" s="122"/>
      <c r="B735" s="204"/>
      <c r="C735" s="204"/>
      <c r="D735" s="204"/>
      <c r="E735" s="205"/>
      <c r="F735" s="205"/>
      <c r="G735" s="205"/>
      <c r="H735" s="206"/>
      <c r="I735" s="207"/>
      <c r="J735" s="207"/>
      <c r="K735" s="207"/>
      <c r="L735" s="122"/>
      <c r="M735" s="207"/>
      <c r="N735" s="207"/>
      <c r="O735" s="122"/>
      <c r="P735" s="205"/>
      <c r="Q735" s="205"/>
      <c r="R735" s="205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</row>
    <row r="736">
      <c r="A736" s="122"/>
      <c r="B736" s="204"/>
      <c r="C736" s="204"/>
      <c r="D736" s="204"/>
      <c r="E736" s="205"/>
      <c r="F736" s="205"/>
      <c r="G736" s="205"/>
      <c r="H736" s="206"/>
      <c r="I736" s="207"/>
      <c r="J736" s="207"/>
      <c r="K736" s="207"/>
      <c r="L736" s="122"/>
      <c r="M736" s="207"/>
      <c r="N736" s="207"/>
      <c r="O736" s="122"/>
      <c r="P736" s="205"/>
      <c r="Q736" s="205"/>
      <c r="R736" s="205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</row>
    <row r="737">
      <c r="A737" s="122"/>
      <c r="B737" s="204"/>
      <c r="C737" s="204"/>
      <c r="D737" s="204"/>
      <c r="E737" s="205"/>
      <c r="F737" s="205"/>
      <c r="G737" s="205"/>
      <c r="H737" s="206"/>
      <c r="I737" s="207"/>
      <c r="J737" s="207"/>
      <c r="K737" s="207"/>
      <c r="L737" s="122"/>
      <c r="M737" s="207"/>
      <c r="N737" s="207"/>
      <c r="O737" s="122"/>
      <c r="P737" s="205"/>
      <c r="Q737" s="205"/>
      <c r="R737" s="205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</row>
    <row r="738">
      <c r="A738" s="122"/>
      <c r="B738" s="204"/>
      <c r="C738" s="204"/>
      <c r="D738" s="204"/>
      <c r="E738" s="205"/>
      <c r="F738" s="205"/>
      <c r="G738" s="205"/>
      <c r="H738" s="206"/>
      <c r="I738" s="207"/>
      <c r="J738" s="207"/>
      <c r="K738" s="207"/>
      <c r="L738" s="122"/>
      <c r="M738" s="207"/>
      <c r="N738" s="207"/>
      <c r="O738" s="122"/>
      <c r="P738" s="205"/>
      <c r="Q738" s="205"/>
      <c r="R738" s="205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</row>
    <row r="739">
      <c r="A739" s="122"/>
      <c r="B739" s="204"/>
      <c r="C739" s="204"/>
      <c r="D739" s="204"/>
      <c r="E739" s="205"/>
      <c r="F739" s="205"/>
      <c r="G739" s="205"/>
      <c r="H739" s="206"/>
      <c r="I739" s="207"/>
      <c r="J739" s="207"/>
      <c r="K739" s="207"/>
      <c r="L739" s="122"/>
      <c r="M739" s="207"/>
      <c r="N739" s="207"/>
      <c r="O739" s="122"/>
      <c r="P739" s="205"/>
      <c r="Q739" s="205"/>
      <c r="R739" s="205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</row>
    <row r="740">
      <c r="A740" s="122"/>
      <c r="B740" s="204"/>
      <c r="C740" s="204"/>
      <c r="D740" s="204"/>
      <c r="E740" s="205"/>
      <c r="F740" s="205"/>
      <c r="G740" s="205"/>
      <c r="H740" s="206"/>
      <c r="I740" s="207"/>
      <c r="J740" s="207"/>
      <c r="K740" s="207"/>
      <c r="L740" s="122"/>
      <c r="M740" s="207"/>
      <c r="N740" s="207"/>
      <c r="O740" s="122"/>
      <c r="P740" s="205"/>
      <c r="Q740" s="205"/>
      <c r="R740" s="205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</row>
    <row r="741">
      <c r="A741" s="122"/>
      <c r="B741" s="204"/>
      <c r="C741" s="204"/>
      <c r="D741" s="204"/>
      <c r="E741" s="205"/>
      <c r="F741" s="205"/>
      <c r="G741" s="205"/>
      <c r="H741" s="206"/>
      <c r="I741" s="207"/>
      <c r="J741" s="207"/>
      <c r="K741" s="207"/>
      <c r="L741" s="122"/>
      <c r="M741" s="207"/>
      <c r="N741" s="207"/>
      <c r="O741" s="122"/>
      <c r="P741" s="205"/>
      <c r="Q741" s="205"/>
      <c r="R741" s="205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</row>
    <row r="742">
      <c r="A742" s="122"/>
      <c r="B742" s="204"/>
      <c r="C742" s="204"/>
      <c r="D742" s="204"/>
      <c r="E742" s="205"/>
      <c r="F742" s="205"/>
      <c r="G742" s="205"/>
      <c r="H742" s="206"/>
      <c r="I742" s="207"/>
      <c r="J742" s="207"/>
      <c r="K742" s="207"/>
      <c r="L742" s="122"/>
      <c r="M742" s="207"/>
      <c r="N742" s="207"/>
      <c r="O742" s="122"/>
      <c r="P742" s="205"/>
      <c r="Q742" s="205"/>
      <c r="R742" s="205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</row>
    <row r="743">
      <c r="A743" s="122"/>
      <c r="B743" s="204"/>
      <c r="C743" s="204"/>
      <c r="D743" s="204"/>
      <c r="E743" s="205"/>
      <c r="F743" s="205"/>
      <c r="G743" s="205"/>
      <c r="H743" s="206"/>
      <c r="I743" s="207"/>
      <c r="J743" s="207"/>
      <c r="K743" s="207"/>
      <c r="L743" s="122"/>
      <c r="M743" s="207"/>
      <c r="N743" s="207"/>
      <c r="O743" s="122"/>
      <c r="P743" s="205"/>
      <c r="Q743" s="205"/>
      <c r="R743" s="205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</row>
    <row r="744">
      <c r="A744" s="122"/>
      <c r="B744" s="204"/>
      <c r="C744" s="204"/>
      <c r="D744" s="204"/>
      <c r="E744" s="205"/>
      <c r="F744" s="205"/>
      <c r="G744" s="205"/>
      <c r="H744" s="206"/>
      <c r="I744" s="207"/>
      <c r="J744" s="207"/>
      <c r="K744" s="207"/>
      <c r="L744" s="122"/>
      <c r="M744" s="207"/>
      <c r="N744" s="207"/>
      <c r="O744" s="122"/>
      <c r="P744" s="205"/>
      <c r="Q744" s="205"/>
      <c r="R744" s="205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</row>
    <row r="745">
      <c r="A745" s="122"/>
      <c r="B745" s="204"/>
      <c r="C745" s="204"/>
      <c r="D745" s="204"/>
      <c r="E745" s="205"/>
      <c r="F745" s="205"/>
      <c r="G745" s="205"/>
      <c r="H745" s="206"/>
      <c r="I745" s="207"/>
      <c r="J745" s="207"/>
      <c r="K745" s="207"/>
      <c r="L745" s="122"/>
      <c r="M745" s="207"/>
      <c r="N745" s="207"/>
      <c r="O745" s="122"/>
      <c r="P745" s="205"/>
      <c r="Q745" s="205"/>
      <c r="R745" s="205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</row>
    <row r="746">
      <c r="A746" s="122"/>
      <c r="B746" s="204"/>
      <c r="C746" s="204"/>
      <c r="D746" s="204"/>
      <c r="E746" s="205"/>
      <c r="F746" s="205"/>
      <c r="G746" s="205"/>
      <c r="H746" s="206"/>
      <c r="I746" s="207"/>
      <c r="J746" s="207"/>
      <c r="K746" s="207"/>
      <c r="L746" s="122"/>
      <c r="M746" s="207"/>
      <c r="N746" s="207"/>
      <c r="O746" s="122"/>
      <c r="P746" s="205"/>
      <c r="Q746" s="205"/>
      <c r="R746" s="205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</row>
    <row r="747">
      <c r="A747" s="122"/>
      <c r="B747" s="204"/>
      <c r="C747" s="204"/>
      <c r="D747" s="204"/>
      <c r="E747" s="205"/>
      <c r="F747" s="205"/>
      <c r="G747" s="205"/>
      <c r="H747" s="206"/>
      <c r="I747" s="207"/>
      <c r="J747" s="207"/>
      <c r="K747" s="207"/>
      <c r="L747" s="122"/>
      <c r="M747" s="207"/>
      <c r="N747" s="207"/>
      <c r="O747" s="122"/>
      <c r="P747" s="205"/>
      <c r="Q747" s="205"/>
      <c r="R747" s="205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</row>
    <row r="748">
      <c r="A748" s="122"/>
      <c r="B748" s="204"/>
      <c r="C748" s="204"/>
      <c r="D748" s="204"/>
      <c r="E748" s="205"/>
      <c r="F748" s="205"/>
      <c r="G748" s="205"/>
      <c r="H748" s="206"/>
      <c r="I748" s="207"/>
      <c r="J748" s="207"/>
      <c r="K748" s="207"/>
      <c r="L748" s="122"/>
      <c r="M748" s="207"/>
      <c r="N748" s="207"/>
      <c r="O748" s="122"/>
      <c r="P748" s="205"/>
      <c r="Q748" s="205"/>
      <c r="R748" s="205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</row>
    <row r="749">
      <c r="A749" s="122"/>
      <c r="B749" s="204"/>
      <c r="C749" s="204"/>
      <c r="D749" s="204"/>
      <c r="E749" s="205"/>
      <c r="F749" s="205"/>
      <c r="G749" s="205"/>
      <c r="H749" s="206"/>
      <c r="I749" s="207"/>
      <c r="J749" s="207"/>
      <c r="K749" s="207"/>
      <c r="L749" s="122"/>
      <c r="M749" s="207"/>
      <c r="N749" s="207"/>
      <c r="O749" s="122"/>
      <c r="P749" s="205"/>
      <c r="Q749" s="205"/>
      <c r="R749" s="205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</row>
    <row r="750">
      <c r="A750" s="122"/>
      <c r="B750" s="204"/>
      <c r="C750" s="204"/>
      <c r="D750" s="204"/>
      <c r="E750" s="205"/>
      <c r="F750" s="205"/>
      <c r="G750" s="205"/>
      <c r="H750" s="206"/>
      <c r="I750" s="207"/>
      <c r="J750" s="207"/>
      <c r="K750" s="207"/>
      <c r="L750" s="122"/>
      <c r="M750" s="207"/>
      <c r="N750" s="207"/>
      <c r="O750" s="122"/>
      <c r="P750" s="205"/>
      <c r="Q750" s="205"/>
      <c r="R750" s="205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</row>
    <row r="751">
      <c r="A751" s="122"/>
      <c r="B751" s="204"/>
      <c r="C751" s="204"/>
      <c r="D751" s="204"/>
      <c r="E751" s="205"/>
      <c r="F751" s="205"/>
      <c r="G751" s="205"/>
      <c r="H751" s="206"/>
      <c r="I751" s="207"/>
      <c r="J751" s="207"/>
      <c r="K751" s="207"/>
      <c r="L751" s="122"/>
      <c r="M751" s="207"/>
      <c r="N751" s="207"/>
      <c r="O751" s="122"/>
      <c r="P751" s="205"/>
      <c r="Q751" s="205"/>
      <c r="R751" s="205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</row>
    <row r="752">
      <c r="A752" s="122"/>
      <c r="B752" s="204"/>
      <c r="C752" s="204"/>
      <c r="D752" s="204"/>
      <c r="E752" s="205"/>
      <c r="F752" s="205"/>
      <c r="G752" s="205"/>
      <c r="H752" s="206"/>
      <c r="I752" s="207"/>
      <c r="J752" s="207"/>
      <c r="K752" s="207"/>
      <c r="L752" s="122"/>
      <c r="M752" s="207"/>
      <c r="N752" s="207"/>
      <c r="O752" s="122"/>
      <c r="P752" s="205"/>
      <c r="Q752" s="205"/>
      <c r="R752" s="205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</row>
    <row r="753">
      <c r="A753" s="122"/>
      <c r="B753" s="204"/>
      <c r="C753" s="204"/>
      <c r="D753" s="204"/>
      <c r="E753" s="205"/>
      <c r="F753" s="205"/>
      <c r="G753" s="205"/>
      <c r="H753" s="206"/>
      <c r="I753" s="207"/>
      <c r="J753" s="207"/>
      <c r="K753" s="207"/>
      <c r="L753" s="122"/>
      <c r="M753" s="207"/>
      <c r="N753" s="207"/>
      <c r="O753" s="122"/>
      <c r="P753" s="205"/>
      <c r="Q753" s="205"/>
      <c r="R753" s="205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</row>
    <row r="754">
      <c r="A754" s="122"/>
      <c r="B754" s="204"/>
      <c r="C754" s="204"/>
      <c r="D754" s="204"/>
      <c r="E754" s="205"/>
      <c r="F754" s="205"/>
      <c r="G754" s="205"/>
      <c r="H754" s="206"/>
      <c r="I754" s="207"/>
      <c r="J754" s="207"/>
      <c r="K754" s="207"/>
      <c r="L754" s="122"/>
      <c r="M754" s="207"/>
      <c r="N754" s="207"/>
      <c r="O754" s="122"/>
      <c r="P754" s="205"/>
      <c r="Q754" s="205"/>
      <c r="R754" s="205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</row>
    <row r="755">
      <c r="A755" s="122"/>
      <c r="B755" s="204"/>
      <c r="C755" s="204"/>
      <c r="D755" s="204"/>
      <c r="E755" s="205"/>
      <c r="F755" s="205"/>
      <c r="G755" s="205"/>
      <c r="H755" s="206"/>
      <c r="I755" s="207"/>
      <c r="J755" s="207"/>
      <c r="K755" s="207"/>
      <c r="L755" s="122"/>
      <c r="M755" s="207"/>
      <c r="N755" s="207"/>
      <c r="O755" s="122"/>
      <c r="P755" s="205"/>
      <c r="Q755" s="205"/>
      <c r="R755" s="205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</row>
    <row r="756">
      <c r="A756" s="122"/>
      <c r="B756" s="204"/>
      <c r="C756" s="204"/>
      <c r="D756" s="204"/>
      <c r="E756" s="205"/>
      <c r="F756" s="205"/>
      <c r="G756" s="205"/>
      <c r="H756" s="206"/>
      <c r="I756" s="207"/>
      <c r="J756" s="207"/>
      <c r="K756" s="207"/>
      <c r="L756" s="122"/>
      <c r="M756" s="207"/>
      <c r="N756" s="207"/>
      <c r="O756" s="122"/>
      <c r="P756" s="205"/>
      <c r="Q756" s="205"/>
      <c r="R756" s="205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</row>
    <row r="757">
      <c r="A757" s="122"/>
      <c r="B757" s="204"/>
      <c r="C757" s="204"/>
      <c r="D757" s="204"/>
      <c r="E757" s="205"/>
      <c r="F757" s="205"/>
      <c r="G757" s="205"/>
      <c r="H757" s="206"/>
      <c r="I757" s="207"/>
      <c r="J757" s="207"/>
      <c r="K757" s="207"/>
      <c r="L757" s="122"/>
      <c r="M757" s="207"/>
      <c r="N757" s="207"/>
      <c r="O757" s="122"/>
      <c r="P757" s="205"/>
      <c r="Q757" s="205"/>
      <c r="R757" s="205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</row>
    <row r="758">
      <c r="A758" s="122"/>
      <c r="B758" s="204"/>
      <c r="C758" s="204"/>
      <c r="D758" s="204"/>
      <c r="E758" s="205"/>
      <c r="F758" s="205"/>
      <c r="G758" s="205"/>
      <c r="H758" s="206"/>
      <c r="I758" s="207"/>
      <c r="J758" s="207"/>
      <c r="K758" s="207"/>
      <c r="L758" s="122"/>
      <c r="M758" s="207"/>
      <c r="N758" s="207"/>
      <c r="O758" s="122"/>
      <c r="P758" s="205"/>
      <c r="Q758" s="205"/>
      <c r="R758" s="205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</row>
    <row r="759">
      <c r="A759" s="122"/>
      <c r="B759" s="204"/>
      <c r="C759" s="204"/>
      <c r="D759" s="204"/>
      <c r="E759" s="205"/>
      <c r="F759" s="205"/>
      <c r="G759" s="205"/>
      <c r="H759" s="206"/>
      <c r="I759" s="207"/>
      <c r="J759" s="207"/>
      <c r="K759" s="207"/>
      <c r="L759" s="122"/>
      <c r="M759" s="207"/>
      <c r="N759" s="207"/>
      <c r="O759" s="122"/>
      <c r="P759" s="205"/>
      <c r="Q759" s="205"/>
      <c r="R759" s="205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</row>
    <row r="760">
      <c r="A760" s="122"/>
      <c r="B760" s="204"/>
      <c r="C760" s="204"/>
      <c r="D760" s="204"/>
      <c r="E760" s="205"/>
      <c r="F760" s="205"/>
      <c r="G760" s="205"/>
      <c r="H760" s="206"/>
      <c r="I760" s="207"/>
      <c r="J760" s="207"/>
      <c r="K760" s="207"/>
      <c r="L760" s="122"/>
      <c r="M760" s="207"/>
      <c r="N760" s="207"/>
      <c r="O760" s="122"/>
      <c r="P760" s="205"/>
      <c r="Q760" s="205"/>
      <c r="R760" s="205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</row>
    <row r="761">
      <c r="A761" s="122"/>
      <c r="B761" s="204"/>
      <c r="C761" s="204"/>
      <c r="D761" s="204"/>
      <c r="E761" s="205"/>
      <c r="F761" s="205"/>
      <c r="G761" s="205"/>
      <c r="H761" s="206"/>
      <c r="I761" s="207"/>
      <c r="J761" s="207"/>
      <c r="K761" s="207"/>
      <c r="L761" s="122"/>
      <c r="M761" s="207"/>
      <c r="N761" s="207"/>
      <c r="O761" s="122"/>
      <c r="P761" s="205"/>
      <c r="Q761" s="205"/>
      <c r="R761" s="205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</row>
    <row r="762">
      <c r="A762" s="122"/>
      <c r="B762" s="204"/>
      <c r="C762" s="204"/>
      <c r="D762" s="204"/>
      <c r="E762" s="205"/>
      <c r="F762" s="205"/>
      <c r="G762" s="205"/>
      <c r="H762" s="206"/>
      <c r="I762" s="207"/>
      <c r="J762" s="207"/>
      <c r="K762" s="207"/>
      <c r="L762" s="122"/>
      <c r="M762" s="207"/>
      <c r="N762" s="207"/>
      <c r="O762" s="122"/>
      <c r="P762" s="205"/>
      <c r="Q762" s="205"/>
      <c r="R762" s="205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</row>
    <row r="763">
      <c r="A763" s="122"/>
      <c r="B763" s="204"/>
      <c r="C763" s="204"/>
      <c r="D763" s="204"/>
      <c r="E763" s="205"/>
      <c r="F763" s="205"/>
      <c r="G763" s="205"/>
      <c r="H763" s="206"/>
      <c r="I763" s="207"/>
      <c r="J763" s="207"/>
      <c r="K763" s="207"/>
      <c r="L763" s="122"/>
      <c r="M763" s="207"/>
      <c r="N763" s="207"/>
      <c r="O763" s="122"/>
      <c r="P763" s="205"/>
      <c r="Q763" s="205"/>
      <c r="R763" s="205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</row>
    <row r="764">
      <c r="A764" s="122"/>
      <c r="B764" s="204"/>
      <c r="C764" s="204"/>
      <c r="D764" s="204"/>
      <c r="E764" s="205"/>
      <c r="F764" s="205"/>
      <c r="G764" s="205"/>
      <c r="H764" s="206"/>
      <c r="I764" s="207"/>
      <c r="J764" s="207"/>
      <c r="K764" s="207"/>
      <c r="L764" s="122"/>
      <c r="M764" s="207"/>
      <c r="N764" s="207"/>
      <c r="O764" s="122"/>
      <c r="P764" s="205"/>
      <c r="Q764" s="205"/>
      <c r="R764" s="205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</row>
    <row r="765">
      <c r="A765" s="122"/>
      <c r="B765" s="204"/>
      <c r="C765" s="204"/>
      <c r="D765" s="204"/>
      <c r="E765" s="205"/>
      <c r="F765" s="205"/>
      <c r="G765" s="205"/>
      <c r="H765" s="206"/>
      <c r="I765" s="207"/>
      <c r="J765" s="207"/>
      <c r="K765" s="207"/>
      <c r="L765" s="122"/>
      <c r="M765" s="207"/>
      <c r="N765" s="207"/>
      <c r="O765" s="122"/>
      <c r="P765" s="205"/>
      <c r="Q765" s="205"/>
      <c r="R765" s="205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</row>
    <row r="766">
      <c r="A766" s="122"/>
      <c r="B766" s="204"/>
      <c r="C766" s="204"/>
      <c r="D766" s="204"/>
      <c r="E766" s="205"/>
      <c r="F766" s="205"/>
      <c r="G766" s="205"/>
      <c r="H766" s="206"/>
      <c r="I766" s="207"/>
      <c r="J766" s="207"/>
      <c r="K766" s="207"/>
      <c r="L766" s="122"/>
      <c r="M766" s="207"/>
      <c r="N766" s="207"/>
      <c r="O766" s="122"/>
      <c r="P766" s="205"/>
      <c r="Q766" s="205"/>
      <c r="R766" s="205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</row>
    <row r="767">
      <c r="A767" s="122"/>
      <c r="B767" s="204"/>
      <c r="C767" s="204"/>
      <c r="D767" s="204"/>
      <c r="E767" s="205"/>
      <c r="F767" s="205"/>
      <c r="G767" s="205"/>
      <c r="H767" s="206"/>
      <c r="I767" s="207"/>
      <c r="J767" s="207"/>
      <c r="K767" s="207"/>
      <c r="L767" s="122"/>
      <c r="M767" s="207"/>
      <c r="N767" s="207"/>
      <c r="O767" s="122"/>
      <c r="P767" s="205"/>
      <c r="Q767" s="205"/>
      <c r="R767" s="205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</row>
    <row r="768">
      <c r="A768" s="122"/>
      <c r="B768" s="204"/>
      <c r="C768" s="204"/>
      <c r="D768" s="204"/>
      <c r="E768" s="205"/>
      <c r="F768" s="205"/>
      <c r="G768" s="205"/>
      <c r="H768" s="206"/>
      <c r="I768" s="207"/>
      <c r="J768" s="207"/>
      <c r="K768" s="207"/>
      <c r="L768" s="122"/>
      <c r="M768" s="207"/>
      <c r="N768" s="207"/>
      <c r="O768" s="122"/>
      <c r="P768" s="205"/>
      <c r="Q768" s="205"/>
      <c r="R768" s="205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</row>
    <row r="769">
      <c r="A769" s="122"/>
      <c r="B769" s="204"/>
      <c r="C769" s="204"/>
      <c r="D769" s="204"/>
      <c r="E769" s="205"/>
      <c r="F769" s="205"/>
      <c r="G769" s="205"/>
      <c r="H769" s="206"/>
      <c r="I769" s="207"/>
      <c r="J769" s="207"/>
      <c r="K769" s="207"/>
      <c r="L769" s="122"/>
      <c r="M769" s="207"/>
      <c r="N769" s="207"/>
      <c r="O769" s="122"/>
      <c r="P769" s="205"/>
      <c r="Q769" s="205"/>
      <c r="R769" s="205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</row>
    <row r="770">
      <c r="A770" s="122"/>
      <c r="B770" s="204"/>
      <c r="C770" s="204"/>
      <c r="D770" s="204"/>
      <c r="E770" s="205"/>
      <c r="F770" s="205"/>
      <c r="G770" s="205"/>
      <c r="H770" s="206"/>
      <c r="I770" s="207"/>
      <c r="J770" s="207"/>
      <c r="K770" s="207"/>
      <c r="L770" s="122"/>
      <c r="M770" s="207"/>
      <c r="N770" s="207"/>
      <c r="O770" s="122"/>
      <c r="P770" s="205"/>
      <c r="Q770" s="205"/>
      <c r="R770" s="205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</row>
    <row r="771">
      <c r="A771" s="122"/>
      <c r="B771" s="204"/>
      <c r="C771" s="204"/>
      <c r="D771" s="204"/>
      <c r="E771" s="205"/>
      <c r="F771" s="205"/>
      <c r="G771" s="205"/>
      <c r="H771" s="206"/>
      <c r="I771" s="207"/>
      <c r="J771" s="207"/>
      <c r="K771" s="207"/>
      <c r="L771" s="122"/>
      <c r="M771" s="207"/>
      <c r="N771" s="207"/>
      <c r="O771" s="122"/>
      <c r="P771" s="205"/>
      <c r="Q771" s="205"/>
      <c r="R771" s="205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</row>
    <row r="772">
      <c r="A772" s="122"/>
      <c r="B772" s="204"/>
      <c r="C772" s="204"/>
      <c r="D772" s="204"/>
      <c r="E772" s="205"/>
      <c r="F772" s="205"/>
      <c r="G772" s="205"/>
      <c r="H772" s="206"/>
      <c r="I772" s="207"/>
      <c r="J772" s="207"/>
      <c r="K772" s="207"/>
      <c r="L772" s="122"/>
      <c r="M772" s="207"/>
      <c r="N772" s="207"/>
      <c r="O772" s="122"/>
      <c r="P772" s="205"/>
      <c r="Q772" s="205"/>
      <c r="R772" s="205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</row>
    <row r="773">
      <c r="A773" s="122"/>
      <c r="B773" s="204"/>
      <c r="C773" s="204"/>
      <c r="D773" s="204"/>
      <c r="E773" s="205"/>
      <c r="F773" s="205"/>
      <c r="G773" s="205"/>
      <c r="H773" s="206"/>
      <c r="I773" s="207"/>
      <c r="J773" s="207"/>
      <c r="K773" s="207"/>
      <c r="L773" s="122"/>
      <c r="M773" s="207"/>
      <c r="N773" s="207"/>
      <c r="O773" s="122"/>
      <c r="P773" s="205"/>
      <c r="Q773" s="205"/>
      <c r="R773" s="205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</row>
    <row r="774">
      <c r="A774" s="122"/>
      <c r="B774" s="204"/>
      <c r="C774" s="204"/>
      <c r="D774" s="204"/>
      <c r="E774" s="205"/>
      <c r="F774" s="205"/>
      <c r="G774" s="205"/>
      <c r="H774" s="206"/>
      <c r="I774" s="207"/>
      <c r="J774" s="207"/>
      <c r="K774" s="207"/>
      <c r="L774" s="122"/>
      <c r="M774" s="207"/>
      <c r="N774" s="207"/>
      <c r="O774" s="122"/>
      <c r="P774" s="205"/>
      <c r="Q774" s="205"/>
      <c r="R774" s="205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</row>
    <row r="775">
      <c r="A775" s="122"/>
      <c r="B775" s="204"/>
      <c r="C775" s="204"/>
      <c r="D775" s="204"/>
      <c r="E775" s="205"/>
      <c r="F775" s="205"/>
      <c r="G775" s="205"/>
      <c r="H775" s="206"/>
      <c r="I775" s="207"/>
      <c r="J775" s="207"/>
      <c r="K775" s="207"/>
      <c r="L775" s="122"/>
      <c r="M775" s="207"/>
      <c r="N775" s="207"/>
      <c r="O775" s="122"/>
      <c r="P775" s="205"/>
      <c r="Q775" s="205"/>
      <c r="R775" s="205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</row>
    <row r="776">
      <c r="A776" s="122"/>
      <c r="B776" s="204"/>
      <c r="C776" s="204"/>
      <c r="D776" s="204"/>
      <c r="E776" s="205"/>
      <c r="F776" s="205"/>
      <c r="G776" s="205"/>
      <c r="H776" s="206"/>
      <c r="I776" s="207"/>
      <c r="J776" s="207"/>
      <c r="K776" s="207"/>
      <c r="L776" s="122"/>
      <c r="M776" s="207"/>
      <c r="N776" s="207"/>
      <c r="O776" s="122"/>
      <c r="P776" s="205"/>
      <c r="Q776" s="205"/>
      <c r="R776" s="205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</row>
    <row r="777">
      <c r="A777" s="122"/>
      <c r="B777" s="204"/>
      <c r="C777" s="204"/>
      <c r="D777" s="204"/>
      <c r="E777" s="205"/>
      <c r="F777" s="205"/>
      <c r="G777" s="205"/>
      <c r="H777" s="206"/>
      <c r="I777" s="207"/>
      <c r="J777" s="207"/>
      <c r="K777" s="207"/>
      <c r="L777" s="122"/>
      <c r="M777" s="207"/>
      <c r="N777" s="207"/>
      <c r="O777" s="122"/>
      <c r="P777" s="205"/>
      <c r="Q777" s="205"/>
      <c r="R777" s="205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</row>
    <row r="778">
      <c r="A778" s="122"/>
      <c r="B778" s="204"/>
      <c r="C778" s="204"/>
      <c r="D778" s="204"/>
      <c r="E778" s="205"/>
      <c r="F778" s="205"/>
      <c r="G778" s="205"/>
      <c r="H778" s="206"/>
      <c r="I778" s="207"/>
      <c r="J778" s="207"/>
      <c r="K778" s="207"/>
      <c r="L778" s="122"/>
      <c r="M778" s="207"/>
      <c r="N778" s="207"/>
      <c r="O778" s="122"/>
      <c r="P778" s="205"/>
      <c r="Q778" s="205"/>
      <c r="R778" s="205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</row>
    <row r="779">
      <c r="A779" s="122"/>
      <c r="B779" s="204"/>
      <c r="C779" s="204"/>
      <c r="D779" s="204"/>
      <c r="E779" s="205"/>
      <c r="F779" s="205"/>
      <c r="G779" s="205"/>
      <c r="H779" s="206"/>
      <c r="I779" s="207"/>
      <c r="J779" s="207"/>
      <c r="K779" s="207"/>
      <c r="L779" s="122"/>
      <c r="M779" s="207"/>
      <c r="N779" s="207"/>
      <c r="O779" s="122"/>
      <c r="P779" s="205"/>
      <c r="Q779" s="205"/>
      <c r="R779" s="205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</row>
    <row r="780">
      <c r="A780" s="122"/>
      <c r="B780" s="204"/>
      <c r="C780" s="204"/>
      <c r="D780" s="204"/>
      <c r="E780" s="205"/>
      <c r="F780" s="205"/>
      <c r="G780" s="205"/>
      <c r="H780" s="206"/>
      <c r="I780" s="207"/>
      <c r="J780" s="207"/>
      <c r="K780" s="207"/>
      <c r="L780" s="122"/>
      <c r="M780" s="207"/>
      <c r="N780" s="207"/>
      <c r="O780" s="122"/>
      <c r="P780" s="205"/>
      <c r="Q780" s="205"/>
      <c r="R780" s="205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</row>
    <row r="781">
      <c r="A781" s="122"/>
      <c r="B781" s="204"/>
      <c r="C781" s="204"/>
      <c r="D781" s="204"/>
      <c r="E781" s="205"/>
      <c r="F781" s="205"/>
      <c r="G781" s="205"/>
      <c r="H781" s="206"/>
      <c r="I781" s="207"/>
      <c r="J781" s="207"/>
      <c r="K781" s="207"/>
      <c r="L781" s="122"/>
      <c r="M781" s="207"/>
      <c r="N781" s="207"/>
      <c r="O781" s="122"/>
      <c r="P781" s="205"/>
      <c r="Q781" s="205"/>
      <c r="R781" s="205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</row>
    <row r="782">
      <c r="A782" s="122"/>
      <c r="B782" s="204"/>
      <c r="C782" s="204"/>
      <c r="D782" s="204"/>
      <c r="E782" s="205"/>
      <c r="F782" s="205"/>
      <c r="G782" s="205"/>
      <c r="H782" s="206"/>
      <c r="I782" s="207"/>
      <c r="J782" s="207"/>
      <c r="K782" s="207"/>
      <c r="L782" s="122"/>
      <c r="M782" s="207"/>
      <c r="N782" s="207"/>
      <c r="O782" s="122"/>
      <c r="P782" s="205"/>
      <c r="Q782" s="205"/>
      <c r="R782" s="205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</row>
    <row r="783">
      <c r="A783" s="122"/>
      <c r="B783" s="204"/>
      <c r="C783" s="204"/>
      <c r="D783" s="204"/>
      <c r="E783" s="205"/>
      <c r="F783" s="205"/>
      <c r="G783" s="205"/>
      <c r="H783" s="206"/>
      <c r="I783" s="207"/>
      <c r="J783" s="207"/>
      <c r="K783" s="207"/>
      <c r="L783" s="122"/>
      <c r="M783" s="207"/>
      <c r="N783" s="207"/>
      <c r="O783" s="122"/>
      <c r="P783" s="205"/>
      <c r="Q783" s="205"/>
      <c r="R783" s="205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</row>
    <row r="784">
      <c r="A784" s="122"/>
      <c r="B784" s="204"/>
      <c r="C784" s="204"/>
      <c r="D784" s="204"/>
      <c r="E784" s="205"/>
      <c r="F784" s="205"/>
      <c r="G784" s="205"/>
      <c r="H784" s="206"/>
      <c r="I784" s="207"/>
      <c r="J784" s="207"/>
      <c r="K784" s="207"/>
      <c r="L784" s="122"/>
      <c r="M784" s="207"/>
      <c r="N784" s="207"/>
      <c r="O784" s="122"/>
      <c r="P784" s="205"/>
      <c r="Q784" s="205"/>
      <c r="R784" s="205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</row>
    <row r="785">
      <c r="A785" s="122"/>
      <c r="B785" s="204"/>
      <c r="C785" s="204"/>
      <c r="D785" s="204"/>
      <c r="E785" s="205"/>
      <c r="F785" s="205"/>
      <c r="G785" s="205"/>
      <c r="H785" s="206"/>
      <c r="I785" s="207"/>
      <c r="J785" s="207"/>
      <c r="K785" s="207"/>
      <c r="L785" s="122"/>
      <c r="M785" s="207"/>
      <c r="N785" s="207"/>
      <c r="O785" s="122"/>
      <c r="P785" s="205"/>
      <c r="Q785" s="205"/>
      <c r="R785" s="205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</row>
    <row r="786">
      <c r="A786" s="122"/>
      <c r="B786" s="204"/>
      <c r="C786" s="204"/>
      <c r="D786" s="204"/>
      <c r="E786" s="205"/>
      <c r="F786" s="205"/>
      <c r="G786" s="205"/>
      <c r="H786" s="206"/>
      <c r="I786" s="207"/>
      <c r="J786" s="207"/>
      <c r="K786" s="207"/>
      <c r="L786" s="122"/>
      <c r="M786" s="207"/>
      <c r="N786" s="207"/>
      <c r="O786" s="122"/>
      <c r="P786" s="205"/>
      <c r="Q786" s="205"/>
      <c r="R786" s="205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</row>
    <row r="787">
      <c r="A787" s="122"/>
      <c r="B787" s="204"/>
      <c r="C787" s="204"/>
      <c r="D787" s="204"/>
      <c r="E787" s="205"/>
      <c r="F787" s="205"/>
      <c r="G787" s="205"/>
      <c r="H787" s="206"/>
      <c r="I787" s="207"/>
      <c r="J787" s="207"/>
      <c r="K787" s="207"/>
      <c r="L787" s="122"/>
      <c r="M787" s="207"/>
      <c r="N787" s="207"/>
      <c r="O787" s="122"/>
      <c r="P787" s="205"/>
      <c r="Q787" s="205"/>
      <c r="R787" s="205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</row>
    <row r="788">
      <c r="A788" s="122"/>
      <c r="B788" s="204"/>
      <c r="C788" s="204"/>
      <c r="D788" s="204"/>
      <c r="E788" s="205"/>
      <c r="F788" s="205"/>
      <c r="G788" s="205"/>
      <c r="H788" s="206"/>
      <c r="I788" s="207"/>
      <c r="J788" s="207"/>
      <c r="K788" s="207"/>
      <c r="L788" s="122"/>
      <c r="M788" s="207"/>
      <c r="N788" s="207"/>
      <c r="O788" s="122"/>
      <c r="P788" s="205"/>
      <c r="Q788" s="205"/>
      <c r="R788" s="205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</row>
    <row r="789">
      <c r="A789" s="122"/>
      <c r="B789" s="204"/>
      <c r="C789" s="204"/>
      <c r="D789" s="204"/>
      <c r="E789" s="205"/>
      <c r="F789" s="205"/>
      <c r="G789" s="205"/>
      <c r="H789" s="206"/>
      <c r="I789" s="207"/>
      <c r="J789" s="207"/>
      <c r="K789" s="207"/>
      <c r="L789" s="122"/>
      <c r="M789" s="207"/>
      <c r="N789" s="207"/>
      <c r="O789" s="122"/>
      <c r="P789" s="205"/>
      <c r="Q789" s="205"/>
      <c r="R789" s="205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</row>
    <row r="790">
      <c r="A790" s="122"/>
      <c r="B790" s="204"/>
      <c r="C790" s="204"/>
      <c r="D790" s="204"/>
      <c r="E790" s="205"/>
      <c r="F790" s="205"/>
      <c r="G790" s="205"/>
      <c r="H790" s="206"/>
      <c r="I790" s="207"/>
      <c r="J790" s="207"/>
      <c r="K790" s="207"/>
      <c r="L790" s="122"/>
      <c r="M790" s="207"/>
      <c r="N790" s="207"/>
      <c r="O790" s="122"/>
      <c r="P790" s="205"/>
      <c r="Q790" s="205"/>
      <c r="R790" s="205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</row>
    <row r="791">
      <c r="A791" s="122"/>
      <c r="B791" s="204"/>
      <c r="C791" s="204"/>
      <c r="D791" s="204"/>
      <c r="E791" s="205"/>
      <c r="F791" s="205"/>
      <c r="G791" s="205"/>
      <c r="H791" s="206"/>
      <c r="I791" s="207"/>
      <c r="J791" s="207"/>
      <c r="K791" s="207"/>
      <c r="L791" s="122"/>
      <c r="M791" s="207"/>
      <c r="N791" s="207"/>
      <c r="O791" s="122"/>
      <c r="P791" s="205"/>
      <c r="Q791" s="205"/>
      <c r="R791" s="205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</row>
    <row r="792">
      <c r="A792" s="122"/>
      <c r="B792" s="204"/>
      <c r="C792" s="204"/>
      <c r="D792" s="204"/>
      <c r="E792" s="205"/>
      <c r="F792" s="205"/>
      <c r="G792" s="205"/>
      <c r="H792" s="206"/>
      <c r="I792" s="207"/>
      <c r="J792" s="207"/>
      <c r="K792" s="207"/>
      <c r="L792" s="122"/>
      <c r="M792" s="207"/>
      <c r="N792" s="207"/>
      <c r="O792" s="122"/>
      <c r="P792" s="205"/>
      <c r="Q792" s="205"/>
      <c r="R792" s="205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</row>
    <row r="793">
      <c r="A793" s="122"/>
      <c r="B793" s="204"/>
      <c r="C793" s="204"/>
      <c r="D793" s="204"/>
      <c r="E793" s="205"/>
      <c r="F793" s="205"/>
      <c r="G793" s="205"/>
      <c r="H793" s="206"/>
      <c r="I793" s="207"/>
      <c r="J793" s="207"/>
      <c r="K793" s="207"/>
      <c r="L793" s="122"/>
      <c r="M793" s="207"/>
      <c r="N793" s="207"/>
      <c r="O793" s="122"/>
      <c r="P793" s="205"/>
      <c r="Q793" s="205"/>
      <c r="R793" s="205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</row>
    <row r="794">
      <c r="A794" s="122"/>
      <c r="B794" s="204"/>
      <c r="C794" s="204"/>
      <c r="D794" s="204"/>
      <c r="E794" s="205"/>
      <c r="F794" s="205"/>
      <c r="G794" s="205"/>
      <c r="H794" s="206"/>
      <c r="I794" s="207"/>
      <c r="J794" s="207"/>
      <c r="K794" s="207"/>
      <c r="L794" s="122"/>
      <c r="M794" s="207"/>
      <c r="N794" s="207"/>
      <c r="O794" s="122"/>
      <c r="P794" s="205"/>
      <c r="Q794" s="205"/>
      <c r="R794" s="205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</row>
    <row r="795">
      <c r="A795" s="122"/>
      <c r="B795" s="204"/>
      <c r="C795" s="204"/>
      <c r="D795" s="204"/>
      <c r="E795" s="205"/>
      <c r="F795" s="205"/>
      <c r="G795" s="205"/>
      <c r="H795" s="206"/>
      <c r="I795" s="207"/>
      <c r="J795" s="207"/>
      <c r="K795" s="207"/>
      <c r="L795" s="122"/>
      <c r="M795" s="207"/>
      <c r="N795" s="207"/>
      <c r="O795" s="122"/>
      <c r="P795" s="205"/>
      <c r="Q795" s="205"/>
      <c r="R795" s="205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</row>
    <row r="796">
      <c r="A796" s="122"/>
      <c r="B796" s="204"/>
      <c r="C796" s="204"/>
      <c r="D796" s="204"/>
      <c r="E796" s="205"/>
      <c r="F796" s="205"/>
      <c r="G796" s="205"/>
      <c r="H796" s="206"/>
      <c r="I796" s="207"/>
      <c r="J796" s="207"/>
      <c r="K796" s="207"/>
      <c r="L796" s="122"/>
      <c r="M796" s="207"/>
      <c r="N796" s="207"/>
      <c r="O796" s="122"/>
      <c r="P796" s="205"/>
      <c r="Q796" s="205"/>
      <c r="R796" s="205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</row>
    <row r="797">
      <c r="A797" s="122"/>
      <c r="B797" s="204"/>
      <c r="C797" s="204"/>
      <c r="D797" s="204"/>
      <c r="E797" s="205"/>
      <c r="F797" s="205"/>
      <c r="G797" s="205"/>
      <c r="H797" s="206"/>
      <c r="I797" s="207"/>
      <c r="J797" s="207"/>
      <c r="K797" s="207"/>
      <c r="L797" s="122"/>
      <c r="M797" s="207"/>
      <c r="N797" s="207"/>
      <c r="O797" s="122"/>
      <c r="P797" s="205"/>
      <c r="Q797" s="205"/>
      <c r="R797" s="205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</row>
    <row r="798">
      <c r="A798" s="122"/>
      <c r="B798" s="204"/>
      <c r="C798" s="204"/>
      <c r="D798" s="204"/>
      <c r="E798" s="205"/>
      <c r="F798" s="205"/>
      <c r="G798" s="205"/>
      <c r="H798" s="206"/>
      <c r="I798" s="207"/>
      <c r="J798" s="207"/>
      <c r="K798" s="207"/>
      <c r="L798" s="122"/>
      <c r="M798" s="207"/>
      <c r="N798" s="207"/>
      <c r="O798" s="122"/>
      <c r="P798" s="205"/>
      <c r="Q798" s="205"/>
      <c r="R798" s="205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</row>
    <row r="799">
      <c r="A799" s="122"/>
      <c r="B799" s="204"/>
      <c r="C799" s="204"/>
      <c r="D799" s="204"/>
      <c r="E799" s="205"/>
      <c r="F799" s="205"/>
      <c r="G799" s="205"/>
      <c r="H799" s="206"/>
      <c r="I799" s="207"/>
      <c r="J799" s="207"/>
      <c r="K799" s="207"/>
      <c r="L799" s="122"/>
      <c r="M799" s="207"/>
      <c r="N799" s="207"/>
      <c r="O799" s="122"/>
      <c r="P799" s="205"/>
      <c r="Q799" s="205"/>
      <c r="R799" s="205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</row>
    <row r="800">
      <c r="A800" s="122"/>
      <c r="B800" s="204"/>
      <c r="C800" s="204"/>
      <c r="D800" s="204"/>
      <c r="E800" s="205"/>
      <c r="F800" s="205"/>
      <c r="G800" s="205"/>
      <c r="H800" s="206"/>
      <c r="I800" s="207"/>
      <c r="J800" s="207"/>
      <c r="K800" s="207"/>
      <c r="L800" s="122"/>
      <c r="M800" s="207"/>
      <c r="N800" s="207"/>
      <c r="O800" s="122"/>
      <c r="P800" s="205"/>
      <c r="Q800" s="205"/>
      <c r="R800" s="205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</row>
    <row r="801">
      <c r="A801" s="122"/>
      <c r="B801" s="204"/>
      <c r="C801" s="204"/>
      <c r="D801" s="204"/>
      <c r="E801" s="205"/>
      <c r="F801" s="205"/>
      <c r="G801" s="205"/>
      <c r="H801" s="206"/>
      <c r="I801" s="207"/>
      <c r="J801" s="207"/>
      <c r="K801" s="207"/>
      <c r="L801" s="122"/>
      <c r="M801" s="207"/>
      <c r="N801" s="207"/>
      <c r="O801" s="122"/>
      <c r="P801" s="205"/>
      <c r="Q801" s="205"/>
      <c r="R801" s="205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</row>
    <row r="802">
      <c r="A802" s="122"/>
      <c r="B802" s="204"/>
      <c r="C802" s="204"/>
      <c r="D802" s="204"/>
      <c r="E802" s="205"/>
      <c r="F802" s="205"/>
      <c r="G802" s="205"/>
      <c r="H802" s="206"/>
      <c r="I802" s="207"/>
      <c r="J802" s="207"/>
      <c r="K802" s="207"/>
      <c r="L802" s="122"/>
      <c r="M802" s="207"/>
      <c r="N802" s="207"/>
      <c r="O802" s="122"/>
      <c r="P802" s="205"/>
      <c r="Q802" s="205"/>
      <c r="R802" s="205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</row>
    <row r="803">
      <c r="A803" s="122"/>
      <c r="B803" s="204"/>
      <c r="C803" s="204"/>
      <c r="D803" s="204"/>
      <c r="E803" s="205"/>
      <c r="F803" s="205"/>
      <c r="G803" s="205"/>
      <c r="H803" s="206"/>
      <c r="I803" s="207"/>
      <c r="J803" s="207"/>
      <c r="K803" s="207"/>
      <c r="L803" s="122"/>
      <c r="M803" s="207"/>
      <c r="N803" s="207"/>
      <c r="O803" s="122"/>
      <c r="P803" s="205"/>
      <c r="Q803" s="205"/>
      <c r="R803" s="205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</row>
    <row r="804">
      <c r="A804" s="122"/>
      <c r="B804" s="204"/>
      <c r="C804" s="204"/>
      <c r="D804" s="204"/>
      <c r="E804" s="205"/>
      <c r="F804" s="205"/>
      <c r="G804" s="205"/>
      <c r="H804" s="206"/>
      <c r="I804" s="207"/>
      <c r="J804" s="207"/>
      <c r="K804" s="207"/>
      <c r="L804" s="122"/>
      <c r="M804" s="207"/>
      <c r="N804" s="207"/>
      <c r="O804" s="122"/>
      <c r="P804" s="205"/>
      <c r="Q804" s="205"/>
      <c r="R804" s="205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</row>
    <row r="805">
      <c r="A805" s="122"/>
      <c r="B805" s="204"/>
      <c r="C805" s="204"/>
      <c r="D805" s="204"/>
      <c r="E805" s="205"/>
      <c r="F805" s="205"/>
      <c r="G805" s="205"/>
      <c r="H805" s="206"/>
      <c r="I805" s="207"/>
      <c r="J805" s="207"/>
      <c r="K805" s="207"/>
      <c r="L805" s="122"/>
      <c r="M805" s="207"/>
      <c r="N805" s="207"/>
      <c r="O805" s="122"/>
      <c r="P805" s="205"/>
      <c r="Q805" s="205"/>
      <c r="R805" s="205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</row>
    <row r="806">
      <c r="A806" s="122"/>
      <c r="B806" s="204"/>
      <c r="C806" s="204"/>
      <c r="D806" s="204"/>
      <c r="E806" s="205"/>
      <c r="F806" s="205"/>
      <c r="G806" s="205"/>
      <c r="H806" s="206"/>
      <c r="I806" s="207"/>
      <c r="J806" s="207"/>
      <c r="K806" s="207"/>
      <c r="L806" s="122"/>
      <c r="M806" s="207"/>
      <c r="N806" s="207"/>
      <c r="O806" s="122"/>
      <c r="P806" s="205"/>
      <c r="Q806" s="205"/>
      <c r="R806" s="205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</row>
    <row r="807">
      <c r="A807" s="122"/>
      <c r="B807" s="204"/>
      <c r="C807" s="204"/>
      <c r="D807" s="204"/>
      <c r="E807" s="205"/>
      <c r="F807" s="205"/>
      <c r="G807" s="205"/>
      <c r="H807" s="206"/>
      <c r="I807" s="207"/>
      <c r="J807" s="207"/>
      <c r="K807" s="207"/>
      <c r="L807" s="122"/>
      <c r="M807" s="207"/>
      <c r="N807" s="207"/>
      <c r="O807" s="122"/>
      <c r="P807" s="205"/>
      <c r="Q807" s="205"/>
      <c r="R807" s="205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</row>
    <row r="808">
      <c r="A808" s="122"/>
      <c r="B808" s="204"/>
      <c r="C808" s="204"/>
      <c r="D808" s="204"/>
      <c r="E808" s="205"/>
      <c r="F808" s="205"/>
      <c r="G808" s="205"/>
      <c r="H808" s="206"/>
      <c r="I808" s="207"/>
      <c r="J808" s="207"/>
      <c r="K808" s="207"/>
      <c r="L808" s="122"/>
      <c r="M808" s="207"/>
      <c r="N808" s="207"/>
      <c r="O808" s="122"/>
      <c r="P808" s="205"/>
      <c r="Q808" s="205"/>
      <c r="R808" s="205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</row>
    <row r="809">
      <c r="A809" s="122"/>
      <c r="B809" s="204"/>
      <c r="C809" s="204"/>
      <c r="D809" s="204"/>
      <c r="E809" s="205"/>
      <c r="F809" s="205"/>
      <c r="G809" s="205"/>
      <c r="H809" s="206"/>
      <c r="I809" s="207"/>
      <c r="J809" s="207"/>
      <c r="K809" s="207"/>
      <c r="L809" s="122"/>
      <c r="M809" s="207"/>
      <c r="N809" s="207"/>
      <c r="O809" s="122"/>
      <c r="P809" s="205"/>
      <c r="Q809" s="205"/>
      <c r="R809" s="205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</row>
    <row r="810">
      <c r="A810" s="122"/>
      <c r="B810" s="204"/>
      <c r="C810" s="204"/>
      <c r="D810" s="204"/>
      <c r="E810" s="205"/>
      <c r="F810" s="205"/>
      <c r="G810" s="205"/>
      <c r="H810" s="206"/>
      <c r="I810" s="207"/>
      <c r="J810" s="207"/>
      <c r="K810" s="207"/>
      <c r="L810" s="122"/>
      <c r="M810" s="207"/>
      <c r="N810" s="207"/>
      <c r="O810" s="122"/>
      <c r="P810" s="205"/>
      <c r="Q810" s="205"/>
      <c r="R810" s="205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</row>
    <row r="811">
      <c r="A811" s="122"/>
      <c r="B811" s="204"/>
      <c r="C811" s="204"/>
      <c r="D811" s="204"/>
      <c r="E811" s="205"/>
      <c r="F811" s="205"/>
      <c r="G811" s="205"/>
      <c r="H811" s="206"/>
      <c r="I811" s="207"/>
      <c r="J811" s="207"/>
      <c r="K811" s="207"/>
      <c r="L811" s="122"/>
      <c r="M811" s="207"/>
      <c r="N811" s="207"/>
      <c r="O811" s="122"/>
      <c r="P811" s="205"/>
      <c r="Q811" s="205"/>
      <c r="R811" s="205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</row>
    <row r="812">
      <c r="A812" s="122"/>
      <c r="B812" s="204"/>
      <c r="C812" s="204"/>
      <c r="D812" s="204"/>
      <c r="E812" s="205"/>
      <c r="F812" s="205"/>
      <c r="G812" s="205"/>
      <c r="H812" s="206"/>
      <c r="I812" s="207"/>
      <c r="J812" s="207"/>
      <c r="K812" s="207"/>
      <c r="L812" s="122"/>
      <c r="M812" s="207"/>
      <c r="N812" s="207"/>
      <c r="O812" s="122"/>
      <c r="P812" s="205"/>
      <c r="Q812" s="205"/>
      <c r="R812" s="205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</row>
    <row r="813">
      <c r="A813" s="122"/>
      <c r="B813" s="204"/>
      <c r="C813" s="204"/>
      <c r="D813" s="204"/>
      <c r="E813" s="205"/>
      <c r="F813" s="205"/>
      <c r="G813" s="205"/>
      <c r="H813" s="206"/>
      <c r="I813" s="207"/>
      <c r="J813" s="207"/>
      <c r="K813" s="207"/>
      <c r="L813" s="122"/>
      <c r="M813" s="207"/>
      <c r="N813" s="207"/>
      <c r="O813" s="122"/>
      <c r="P813" s="205"/>
      <c r="Q813" s="205"/>
      <c r="R813" s="205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</row>
    <row r="814">
      <c r="A814" s="122"/>
      <c r="B814" s="204"/>
      <c r="C814" s="204"/>
      <c r="D814" s="204"/>
      <c r="E814" s="205"/>
      <c r="F814" s="205"/>
      <c r="G814" s="205"/>
      <c r="H814" s="206"/>
      <c r="I814" s="207"/>
      <c r="J814" s="207"/>
      <c r="K814" s="207"/>
      <c r="L814" s="122"/>
      <c r="M814" s="207"/>
      <c r="N814" s="207"/>
      <c r="O814" s="122"/>
      <c r="P814" s="205"/>
      <c r="Q814" s="205"/>
      <c r="R814" s="205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</row>
    <row r="815">
      <c r="A815" s="122"/>
      <c r="B815" s="204"/>
      <c r="C815" s="204"/>
      <c r="D815" s="204"/>
      <c r="E815" s="205"/>
      <c r="F815" s="205"/>
      <c r="G815" s="205"/>
      <c r="H815" s="206"/>
      <c r="I815" s="207"/>
      <c r="J815" s="207"/>
      <c r="K815" s="207"/>
      <c r="L815" s="122"/>
      <c r="M815" s="207"/>
      <c r="N815" s="207"/>
      <c r="O815" s="122"/>
      <c r="P815" s="205"/>
      <c r="Q815" s="205"/>
      <c r="R815" s="205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</row>
    <row r="816">
      <c r="A816" s="122"/>
      <c r="B816" s="204"/>
      <c r="C816" s="204"/>
      <c r="D816" s="204"/>
      <c r="E816" s="205"/>
      <c r="F816" s="205"/>
      <c r="G816" s="205"/>
      <c r="H816" s="206"/>
      <c r="I816" s="207"/>
      <c r="J816" s="207"/>
      <c r="K816" s="207"/>
      <c r="L816" s="122"/>
      <c r="M816" s="207"/>
      <c r="N816" s="207"/>
      <c r="O816" s="122"/>
      <c r="P816" s="205"/>
      <c r="Q816" s="205"/>
      <c r="R816" s="205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</row>
    <row r="817">
      <c r="A817" s="122"/>
      <c r="B817" s="204"/>
      <c r="C817" s="204"/>
      <c r="D817" s="204"/>
      <c r="E817" s="205"/>
      <c r="F817" s="205"/>
      <c r="G817" s="205"/>
      <c r="H817" s="206"/>
      <c r="I817" s="207"/>
      <c r="J817" s="207"/>
      <c r="K817" s="207"/>
      <c r="L817" s="122"/>
      <c r="M817" s="207"/>
      <c r="N817" s="207"/>
      <c r="O817" s="122"/>
      <c r="P817" s="205"/>
      <c r="Q817" s="205"/>
      <c r="R817" s="205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</row>
    <row r="818">
      <c r="A818" s="122"/>
      <c r="B818" s="204"/>
      <c r="C818" s="204"/>
      <c r="D818" s="204"/>
      <c r="E818" s="205"/>
      <c r="F818" s="205"/>
      <c r="G818" s="205"/>
      <c r="H818" s="206"/>
      <c r="I818" s="207"/>
      <c r="J818" s="207"/>
      <c r="K818" s="207"/>
      <c r="L818" s="122"/>
      <c r="M818" s="207"/>
      <c r="N818" s="207"/>
      <c r="O818" s="122"/>
      <c r="P818" s="205"/>
      <c r="Q818" s="205"/>
      <c r="R818" s="205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</row>
    <row r="819">
      <c r="A819" s="122"/>
      <c r="B819" s="204"/>
      <c r="C819" s="204"/>
      <c r="D819" s="204"/>
      <c r="E819" s="205"/>
      <c r="F819" s="205"/>
      <c r="G819" s="205"/>
      <c r="H819" s="206"/>
      <c r="I819" s="207"/>
      <c r="J819" s="207"/>
      <c r="K819" s="207"/>
      <c r="L819" s="122"/>
      <c r="M819" s="207"/>
      <c r="N819" s="207"/>
      <c r="O819" s="122"/>
      <c r="P819" s="205"/>
      <c r="Q819" s="205"/>
      <c r="R819" s="205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</row>
    <row r="820">
      <c r="A820" s="122"/>
      <c r="B820" s="204"/>
      <c r="C820" s="204"/>
      <c r="D820" s="204"/>
      <c r="E820" s="205"/>
      <c r="F820" s="205"/>
      <c r="G820" s="205"/>
      <c r="H820" s="206"/>
      <c r="I820" s="207"/>
      <c r="J820" s="207"/>
      <c r="K820" s="207"/>
      <c r="L820" s="122"/>
      <c r="M820" s="207"/>
      <c r="N820" s="207"/>
      <c r="O820" s="122"/>
      <c r="P820" s="205"/>
      <c r="Q820" s="205"/>
      <c r="R820" s="205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</row>
    <row r="821">
      <c r="A821" s="122"/>
      <c r="B821" s="204"/>
      <c r="C821" s="204"/>
      <c r="D821" s="204"/>
      <c r="E821" s="205"/>
      <c r="F821" s="205"/>
      <c r="G821" s="205"/>
      <c r="H821" s="206"/>
      <c r="I821" s="207"/>
      <c r="J821" s="207"/>
      <c r="K821" s="207"/>
      <c r="L821" s="122"/>
      <c r="M821" s="207"/>
      <c r="N821" s="207"/>
      <c r="O821" s="122"/>
      <c r="P821" s="205"/>
      <c r="Q821" s="205"/>
      <c r="R821" s="205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</row>
    <row r="822">
      <c r="A822" s="122"/>
      <c r="B822" s="204"/>
      <c r="C822" s="204"/>
      <c r="D822" s="204"/>
      <c r="E822" s="205"/>
      <c r="F822" s="205"/>
      <c r="G822" s="205"/>
      <c r="H822" s="206"/>
      <c r="I822" s="207"/>
      <c r="J822" s="207"/>
      <c r="K822" s="207"/>
      <c r="L822" s="122"/>
      <c r="M822" s="207"/>
      <c r="N822" s="207"/>
      <c r="O822" s="122"/>
      <c r="P822" s="205"/>
      <c r="Q822" s="205"/>
      <c r="R822" s="205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</row>
    <row r="823">
      <c r="A823" s="122"/>
      <c r="B823" s="204"/>
      <c r="C823" s="204"/>
      <c r="D823" s="204"/>
      <c r="E823" s="205"/>
      <c r="F823" s="205"/>
      <c r="G823" s="205"/>
      <c r="H823" s="206"/>
      <c r="I823" s="207"/>
      <c r="J823" s="207"/>
      <c r="K823" s="207"/>
      <c r="L823" s="122"/>
      <c r="M823" s="207"/>
      <c r="N823" s="207"/>
      <c r="O823" s="122"/>
      <c r="P823" s="205"/>
      <c r="Q823" s="205"/>
      <c r="R823" s="205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</row>
    <row r="824">
      <c r="A824" s="122"/>
      <c r="B824" s="204"/>
      <c r="C824" s="204"/>
      <c r="D824" s="204"/>
      <c r="E824" s="205"/>
      <c r="F824" s="205"/>
      <c r="G824" s="205"/>
      <c r="H824" s="206"/>
      <c r="I824" s="207"/>
      <c r="J824" s="207"/>
      <c r="K824" s="207"/>
      <c r="L824" s="122"/>
      <c r="M824" s="207"/>
      <c r="N824" s="207"/>
      <c r="O824" s="122"/>
      <c r="P824" s="205"/>
      <c r="Q824" s="205"/>
      <c r="R824" s="205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</row>
    <row r="825">
      <c r="A825" s="122"/>
      <c r="B825" s="204"/>
      <c r="C825" s="204"/>
      <c r="D825" s="204"/>
      <c r="E825" s="205"/>
      <c r="F825" s="205"/>
      <c r="G825" s="205"/>
      <c r="H825" s="206"/>
      <c r="I825" s="207"/>
      <c r="J825" s="207"/>
      <c r="K825" s="207"/>
      <c r="L825" s="122"/>
      <c r="M825" s="207"/>
      <c r="N825" s="207"/>
      <c r="O825" s="122"/>
      <c r="P825" s="205"/>
      <c r="Q825" s="205"/>
      <c r="R825" s="205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</row>
    <row r="826">
      <c r="A826" s="122"/>
      <c r="B826" s="204"/>
      <c r="C826" s="204"/>
      <c r="D826" s="204"/>
      <c r="E826" s="205"/>
      <c r="F826" s="205"/>
      <c r="G826" s="205"/>
      <c r="H826" s="206"/>
      <c r="I826" s="207"/>
      <c r="J826" s="207"/>
      <c r="K826" s="207"/>
      <c r="L826" s="122"/>
      <c r="M826" s="207"/>
      <c r="N826" s="207"/>
      <c r="O826" s="122"/>
      <c r="P826" s="205"/>
      <c r="Q826" s="205"/>
      <c r="R826" s="205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</row>
    <row r="827">
      <c r="A827" s="122"/>
      <c r="B827" s="204"/>
      <c r="C827" s="204"/>
      <c r="D827" s="204"/>
      <c r="E827" s="205"/>
      <c r="F827" s="205"/>
      <c r="G827" s="205"/>
      <c r="H827" s="206"/>
      <c r="I827" s="207"/>
      <c r="J827" s="207"/>
      <c r="K827" s="207"/>
      <c r="L827" s="122"/>
      <c r="M827" s="207"/>
      <c r="N827" s="207"/>
      <c r="O827" s="122"/>
      <c r="P827" s="205"/>
      <c r="Q827" s="205"/>
      <c r="R827" s="205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</row>
    <row r="828">
      <c r="A828" s="122"/>
      <c r="B828" s="204"/>
      <c r="C828" s="204"/>
      <c r="D828" s="204"/>
      <c r="E828" s="205"/>
      <c r="F828" s="205"/>
      <c r="G828" s="205"/>
      <c r="H828" s="206"/>
      <c r="I828" s="207"/>
      <c r="J828" s="207"/>
      <c r="K828" s="207"/>
      <c r="L828" s="122"/>
      <c r="M828" s="207"/>
      <c r="N828" s="207"/>
      <c r="O828" s="122"/>
      <c r="P828" s="205"/>
      <c r="Q828" s="205"/>
      <c r="R828" s="205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</row>
    <row r="829">
      <c r="A829" s="122"/>
      <c r="B829" s="204"/>
      <c r="C829" s="204"/>
      <c r="D829" s="204"/>
      <c r="E829" s="205"/>
      <c r="F829" s="205"/>
      <c r="G829" s="205"/>
      <c r="H829" s="206"/>
      <c r="I829" s="207"/>
      <c r="J829" s="207"/>
      <c r="K829" s="207"/>
      <c r="L829" s="122"/>
      <c r="M829" s="207"/>
      <c r="N829" s="207"/>
      <c r="O829" s="122"/>
      <c r="P829" s="205"/>
      <c r="Q829" s="205"/>
      <c r="R829" s="205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</row>
    <row r="830">
      <c r="A830" s="122"/>
      <c r="B830" s="204"/>
      <c r="C830" s="204"/>
      <c r="D830" s="204"/>
      <c r="E830" s="205"/>
      <c r="F830" s="205"/>
      <c r="G830" s="205"/>
      <c r="H830" s="206"/>
      <c r="I830" s="207"/>
      <c r="J830" s="207"/>
      <c r="K830" s="207"/>
      <c r="L830" s="122"/>
      <c r="M830" s="207"/>
      <c r="N830" s="207"/>
      <c r="O830" s="122"/>
      <c r="P830" s="205"/>
      <c r="Q830" s="205"/>
      <c r="R830" s="205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</row>
    <row r="831">
      <c r="A831" s="122"/>
      <c r="B831" s="204"/>
      <c r="C831" s="204"/>
      <c r="D831" s="204"/>
      <c r="E831" s="205"/>
      <c r="F831" s="205"/>
      <c r="G831" s="205"/>
      <c r="H831" s="206"/>
      <c r="I831" s="207"/>
      <c r="J831" s="207"/>
      <c r="K831" s="207"/>
      <c r="L831" s="122"/>
      <c r="M831" s="207"/>
      <c r="N831" s="207"/>
      <c r="O831" s="122"/>
      <c r="P831" s="205"/>
      <c r="Q831" s="205"/>
      <c r="R831" s="205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</row>
    <row r="832">
      <c r="A832" s="122"/>
      <c r="B832" s="204"/>
      <c r="C832" s="204"/>
      <c r="D832" s="204"/>
      <c r="E832" s="205"/>
      <c r="F832" s="205"/>
      <c r="G832" s="205"/>
      <c r="H832" s="206"/>
      <c r="I832" s="207"/>
      <c r="J832" s="207"/>
      <c r="K832" s="207"/>
      <c r="L832" s="122"/>
      <c r="M832" s="207"/>
      <c r="N832" s="207"/>
      <c r="O832" s="122"/>
      <c r="P832" s="205"/>
      <c r="Q832" s="205"/>
      <c r="R832" s="205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</row>
    <row r="833">
      <c r="A833" s="122"/>
      <c r="B833" s="204"/>
      <c r="C833" s="204"/>
      <c r="D833" s="204"/>
      <c r="E833" s="205"/>
      <c r="F833" s="205"/>
      <c r="G833" s="205"/>
      <c r="H833" s="206"/>
      <c r="I833" s="207"/>
      <c r="J833" s="207"/>
      <c r="K833" s="207"/>
      <c r="L833" s="122"/>
      <c r="M833" s="207"/>
      <c r="N833" s="207"/>
      <c r="O833" s="122"/>
      <c r="P833" s="205"/>
      <c r="Q833" s="205"/>
      <c r="R833" s="205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</row>
    <row r="834">
      <c r="A834" s="122"/>
      <c r="B834" s="204"/>
      <c r="C834" s="204"/>
      <c r="D834" s="204"/>
      <c r="E834" s="205"/>
      <c r="F834" s="205"/>
      <c r="G834" s="205"/>
      <c r="H834" s="206"/>
      <c r="I834" s="207"/>
      <c r="J834" s="207"/>
      <c r="K834" s="207"/>
      <c r="L834" s="122"/>
      <c r="M834" s="207"/>
      <c r="N834" s="207"/>
      <c r="O834" s="122"/>
      <c r="P834" s="205"/>
      <c r="Q834" s="205"/>
      <c r="R834" s="205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</row>
    <row r="835">
      <c r="A835" s="122"/>
      <c r="B835" s="204"/>
      <c r="C835" s="204"/>
      <c r="D835" s="204"/>
      <c r="E835" s="205"/>
      <c r="F835" s="205"/>
      <c r="G835" s="205"/>
      <c r="H835" s="206"/>
      <c r="I835" s="207"/>
      <c r="J835" s="207"/>
      <c r="K835" s="207"/>
      <c r="L835" s="122"/>
      <c r="M835" s="207"/>
      <c r="N835" s="207"/>
      <c r="O835" s="122"/>
      <c r="P835" s="205"/>
      <c r="Q835" s="205"/>
      <c r="R835" s="205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</row>
    <row r="836">
      <c r="A836" s="122"/>
      <c r="B836" s="204"/>
      <c r="C836" s="204"/>
      <c r="D836" s="204"/>
      <c r="E836" s="205"/>
      <c r="F836" s="205"/>
      <c r="G836" s="205"/>
      <c r="H836" s="206"/>
      <c r="I836" s="207"/>
      <c r="J836" s="207"/>
      <c r="K836" s="207"/>
      <c r="L836" s="122"/>
      <c r="M836" s="207"/>
      <c r="N836" s="207"/>
      <c r="O836" s="122"/>
      <c r="P836" s="205"/>
      <c r="Q836" s="205"/>
      <c r="R836" s="205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</row>
    <row r="837">
      <c r="A837" s="122"/>
      <c r="B837" s="204"/>
      <c r="C837" s="204"/>
      <c r="D837" s="204"/>
      <c r="E837" s="205"/>
      <c r="F837" s="205"/>
      <c r="G837" s="205"/>
      <c r="H837" s="206"/>
      <c r="I837" s="207"/>
      <c r="J837" s="207"/>
      <c r="K837" s="207"/>
      <c r="L837" s="122"/>
      <c r="M837" s="207"/>
      <c r="N837" s="207"/>
      <c r="O837" s="122"/>
      <c r="P837" s="205"/>
      <c r="Q837" s="205"/>
      <c r="R837" s="205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</row>
    <row r="838">
      <c r="A838" s="122"/>
      <c r="B838" s="204"/>
      <c r="C838" s="204"/>
      <c r="D838" s="204"/>
      <c r="E838" s="205"/>
      <c r="F838" s="205"/>
      <c r="G838" s="205"/>
      <c r="H838" s="206"/>
      <c r="I838" s="207"/>
      <c r="J838" s="207"/>
      <c r="K838" s="207"/>
      <c r="L838" s="122"/>
      <c r="M838" s="207"/>
      <c r="N838" s="207"/>
      <c r="O838" s="122"/>
      <c r="P838" s="205"/>
      <c r="Q838" s="205"/>
      <c r="R838" s="205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</row>
    <row r="839">
      <c r="A839" s="122"/>
      <c r="B839" s="204"/>
      <c r="C839" s="204"/>
      <c r="D839" s="204"/>
      <c r="E839" s="205"/>
      <c r="F839" s="205"/>
      <c r="G839" s="205"/>
      <c r="H839" s="206"/>
      <c r="I839" s="207"/>
      <c r="J839" s="207"/>
      <c r="K839" s="207"/>
      <c r="L839" s="122"/>
      <c r="M839" s="207"/>
      <c r="N839" s="207"/>
      <c r="O839" s="122"/>
      <c r="P839" s="205"/>
      <c r="Q839" s="205"/>
      <c r="R839" s="205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</row>
    <row r="840">
      <c r="A840" s="122"/>
      <c r="B840" s="204"/>
      <c r="C840" s="204"/>
      <c r="D840" s="204"/>
      <c r="E840" s="205"/>
      <c r="F840" s="205"/>
      <c r="G840" s="205"/>
      <c r="H840" s="206"/>
      <c r="I840" s="207"/>
      <c r="J840" s="207"/>
      <c r="K840" s="207"/>
      <c r="L840" s="122"/>
      <c r="M840" s="207"/>
      <c r="N840" s="207"/>
      <c r="O840" s="122"/>
      <c r="P840" s="205"/>
      <c r="Q840" s="205"/>
      <c r="R840" s="205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</row>
    <row r="841">
      <c r="A841" s="122"/>
      <c r="B841" s="204"/>
      <c r="C841" s="204"/>
      <c r="D841" s="204"/>
      <c r="E841" s="205"/>
      <c r="F841" s="205"/>
      <c r="G841" s="205"/>
      <c r="H841" s="206"/>
      <c r="I841" s="207"/>
      <c r="J841" s="207"/>
      <c r="K841" s="207"/>
      <c r="L841" s="122"/>
      <c r="M841" s="207"/>
      <c r="N841" s="207"/>
      <c r="O841" s="122"/>
      <c r="P841" s="205"/>
      <c r="Q841" s="205"/>
      <c r="R841" s="205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</row>
    <row r="842">
      <c r="A842" s="122"/>
      <c r="B842" s="204"/>
      <c r="C842" s="204"/>
      <c r="D842" s="204"/>
      <c r="E842" s="205"/>
      <c r="F842" s="205"/>
      <c r="G842" s="205"/>
      <c r="H842" s="206"/>
      <c r="I842" s="207"/>
      <c r="J842" s="207"/>
      <c r="K842" s="207"/>
      <c r="L842" s="122"/>
      <c r="M842" s="207"/>
      <c r="N842" s="207"/>
      <c r="O842" s="122"/>
      <c r="P842" s="205"/>
      <c r="Q842" s="205"/>
      <c r="R842" s="205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</row>
    <row r="843">
      <c r="A843" s="122"/>
      <c r="B843" s="204"/>
      <c r="C843" s="204"/>
      <c r="D843" s="204"/>
      <c r="E843" s="205"/>
      <c r="F843" s="205"/>
      <c r="G843" s="205"/>
      <c r="H843" s="206"/>
      <c r="I843" s="207"/>
      <c r="J843" s="207"/>
      <c r="K843" s="207"/>
      <c r="L843" s="122"/>
      <c r="M843" s="207"/>
      <c r="N843" s="207"/>
      <c r="O843" s="122"/>
      <c r="P843" s="205"/>
      <c r="Q843" s="205"/>
      <c r="R843" s="205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</row>
    <row r="844">
      <c r="A844" s="122"/>
      <c r="B844" s="204"/>
      <c r="C844" s="204"/>
      <c r="D844" s="204"/>
      <c r="E844" s="205"/>
      <c r="F844" s="205"/>
      <c r="G844" s="205"/>
      <c r="H844" s="206"/>
      <c r="I844" s="207"/>
      <c r="J844" s="207"/>
      <c r="K844" s="207"/>
      <c r="L844" s="122"/>
      <c r="M844" s="207"/>
      <c r="N844" s="207"/>
      <c r="O844" s="122"/>
      <c r="P844" s="205"/>
      <c r="Q844" s="205"/>
      <c r="R844" s="205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</row>
    <row r="845">
      <c r="A845" s="122"/>
      <c r="B845" s="204"/>
      <c r="C845" s="204"/>
      <c r="D845" s="204"/>
      <c r="E845" s="205"/>
      <c r="F845" s="205"/>
      <c r="G845" s="205"/>
      <c r="H845" s="206"/>
      <c r="I845" s="207"/>
      <c r="J845" s="207"/>
      <c r="K845" s="207"/>
      <c r="L845" s="122"/>
      <c r="M845" s="207"/>
      <c r="N845" s="207"/>
      <c r="O845" s="122"/>
      <c r="P845" s="205"/>
      <c r="Q845" s="205"/>
      <c r="R845" s="205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</row>
    <row r="846">
      <c r="A846" s="122"/>
      <c r="B846" s="204"/>
      <c r="C846" s="204"/>
      <c r="D846" s="204"/>
      <c r="E846" s="205"/>
      <c r="F846" s="205"/>
      <c r="G846" s="205"/>
      <c r="H846" s="206"/>
      <c r="I846" s="207"/>
      <c r="J846" s="207"/>
      <c r="K846" s="207"/>
      <c r="L846" s="122"/>
      <c r="M846" s="207"/>
      <c r="N846" s="207"/>
      <c r="O846" s="122"/>
      <c r="P846" s="205"/>
      <c r="Q846" s="205"/>
      <c r="R846" s="205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</row>
    <row r="847">
      <c r="A847" s="122"/>
      <c r="B847" s="204"/>
      <c r="C847" s="204"/>
      <c r="D847" s="204"/>
      <c r="E847" s="205"/>
      <c r="F847" s="205"/>
      <c r="G847" s="205"/>
      <c r="H847" s="206"/>
      <c r="I847" s="207"/>
      <c r="J847" s="207"/>
      <c r="K847" s="207"/>
      <c r="L847" s="122"/>
      <c r="M847" s="207"/>
      <c r="N847" s="207"/>
      <c r="O847" s="122"/>
      <c r="P847" s="205"/>
      <c r="Q847" s="205"/>
      <c r="R847" s="205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</row>
    <row r="848">
      <c r="A848" s="122"/>
      <c r="B848" s="204"/>
      <c r="C848" s="204"/>
      <c r="D848" s="204"/>
      <c r="E848" s="205"/>
      <c r="F848" s="205"/>
      <c r="G848" s="205"/>
      <c r="H848" s="206"/>
      <c r="I848" s="207"/>
      <c r="J848" s="207"/>
      <c r="K848" s="207"/>
      <c r="L848" s="122"/>
      <c r="M848" s="207"/>
      <c r="N848" s="207"/>
      <c r="O848" s="122"/>
      <c r="P848" s="205"/>
      <c r="Q848" s="205"/>
      <c r="R848" s="205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</row>
    <row r="849">
      <c r="A849" s="122"/>
      <c r="B849" s="204"/>
      <c r="C849" s="204"/>
      <c r="D849" s="204"/>
      <c r="E849" s="205"/>
      <c r="F849" s="205"/>
      <c r="G849" s="205"/>
      <c r="H849" s="206"/>
      <c r="I849" s="207"/>
      <c r="J849" s="207"/>
      <c r="K849" s="207"/>
      <c r="L849" s="122"/>
      <c r="M849" s="207"/>
      <c r="N849" s="207"/>
      <c r="O849" s="122"/>
      <c r="P849" s="205"/>
      <c r="Q849" s="205"/>
      <c r="R849" s="205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</row>
    <row r="850">
      <c r="A850" s="122"/>
      <c r="B850" s="204"/>
      <c r="C850" s="204"/>
      <c r="D850" s="204"/>
      <c r="E850" s="205"/>
      <c r="F850" s="205"/>
      <c r="G850" s="205"/>
      <c r="H850" s="206"/>
      <c r="I850" s="207"/>
      <c r="J850" s="207"/>
      <c r="K850" s="207"/>
      <c r="L850" s="122"/>
      <c r="M850" s="207"/>
      <c r="N850" s="207"/>
      <c r="O850" s="122"/>
      <c r="P850" s="205"/>
      <c r="Q850" s="205"/>
      <c r="R850" s="205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</row>
    <row r="851">
      <c r="A851" s="122"/>
      <c r="B851" s="204"/>
      <c r="C851" s="204"/>
      <c r="D851" s="204"/>
      <c r="E851" s="205"/>
      <c r="F851" s="205"/>
      <c r="G851" s="205"/>
      <c r="H851" s="206"/>
      <c r="I851" s="207"/>
      <c r="J851" s="207"/>
      <c r="K851" s="207"/>
      <c r="L851" s="122"/>
      <c r="M851" s="207"/>
      <c r="N851" s="207"/>
      <c r="O851" s="122"/>
      <c r="P851" s="205"/>
      <c r="Q851" s="205"/>
      <c r="R851" s="205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</row>
    <row r="852">
      <c r="A852" s="122"/>
      <c r="B852" s="204"/>
      <c r="C852" s="204"/>
      <c r="D852" s="204"/>
      <c r="E852" s="205"/>
      <c r="F852" s="205"/>
      <c r="G852" s="205"/>
      <c r="H852" s="206"/>
      <c r="I852" s="207"/>
      <c r="J852" s="207"/>
      <c r="K852" s="207"/>
      <c r="L852" s="122"/>
      <c r="M852" s="207"/>
      <c r="N852" s="207"/>
      <c r="O852" s="122"/>
      <c r="P852" s="205"/>
      <c r="Q852" s="205"/>
      <c r="R852" s="205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</row>
    <row r="853">
      <c r="A853" s="122"/>
      <c r="B853" s="204"/>
      <c r="C853" s="204"/>
      <c r="D853" s="204"/>
      <c r="E853" s="205"/>
      <c r="F853" s="205"/>
      <c r="G853" s="205"/>
      <c r="H853" s="206"/>
      <c r="I853" s="207"/>
      <c r="J853" s="207"/>
      <c r="K853" s="207"/>
      <c r="L853" s="122"/>
      <c r="M853" s="207"/>
      <c r="N853" s="207"/>
      <c r="O853" s="122"/>
      <c r="P853" s="205"/>
      <c r="Q853" s="205"/>
      <c r="R853" s="205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</row>
    <row r="854">
      <c r="A854" s="122"/>
      <c r="B854" s="204"/>
      <c r="C854" s="204"/>
      <c r="D854" s="204"/>
      <c r="E854" s="205"/>
      <c r="F854" s="205"/>
      <c r="G854" s="205"/>
      <c r="H854" s="206"/>
      <c r="I854" s="207"/>
      <c r="J854" s="207"/>
      <c r="K854" s="207"/>
      <c r="L854" s="122"/>
      <c r="M854" s="207"/>
      <c r="N854" s="207"/>
      <c r="O854" s="122"/>
      <c r="P854" s="205"/>
      <c r="Q854" s="205"/>
      <c r="R854" s="205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</row>
    <row r="855">
      <c r="A855" s="122"/>
      <c r="B855" s="204"/>
      <c r="C855" s="204"/>
      <c r="D855" s="204"/>
      <c r="E855" s="205"/>
      <c r="F855" s="205"/>
      <c r="G855" s="205"/>
      <c r="H855" s="206"/>
      <c r="I855" s="207"/>
      <c r="J855" s="207"/>
      <c r="K855" s="207"/>
      <c r="L855" s="122"/>
      <c r="M855" s="207"/>
      <c r="N855" s="207"/>
      <c r="O855" s="122"/>
      <c r="P855" s="205"/>
      <c r="Q855" s="205"/>
      <c r="R855" s="205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</row>
    <row r="856">
      <c r="A856" s="122"/>
      <c r="B856" s="204"/>
      <c r="C856" s="204"/>
      <c r="D856" s="204"/>
      <c r="E856" s="205"/>
      <c r="F856" s="205"/>
      <c r="G856" s="205"/>
      <c r="H856" s="206"/>
      <c r="I856" s="207"/>
      <c r="J856" s="207"/>
      <c r="K856" s="207"/>
      <c r="L856" s="122"/>
      <c r="M856" s="207"/>
      <c r="N856" s="207"/>
      <c r="O856" s="122"/>
      <c r="P856" s="205"/>
      <c r="Q856" s="205"/>
      <c r="R856" s="205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</row>
    <row r="857">
      <c r="A857" s="122"/>
      <c r="B857" s="204"/>
      <c r="C857" s="204"/>
      <c r="D857" s="204"/>
      <c r="E857" s="205"/>
      <c r="F857" s="205"/>
      <c r="G857" s="205"/>
      <c r="H857" s="206"/>
      <c r="I857" s="207"/>
      <c r="J857" s="207"/>
      <c r="K857" s="207"/>
      <c r="L857" s="122"/>
      <c r="M857" s="207"/>
      <c r="N857" s="207"/>
      <c r="O857" s="122"/>
      <c r="P857" s="205"/>
      <c r="Q857" s="205"/>
      <c r="R857" s="205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</row>
    <row r="858">
      <c r="A858" s="122"/>
      <c r="B858" s="204"/>
      <c r="C858" s="204"/>
      <c r="D858" s="204"/>
      <c r="E858" s="205"/>
      <c r="F858" s="205"/>
      <c r="G858" s="205"/>
      <c r="H858" s="206"/>
      <c r="I858" s="207"/>
      <c r="J858" s="207"/>
      <c r="K858" s="207"/>
      <c r="L858" s="122"/>
      <c r="M858" s="207"/>
      <c r="N858" s="207"/>
      <c r="O858" s="122"/>
      <c r="P858" s="205"/>
      <c r="Q858" s="205"/>
      <c r="R858" s="205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</row>
    <row r="859">
      <c r="A859" s="122"/>
      <c r="B859" s="204"/>
      <c r="C859" s="204"/>
      <c r="D859" s="204"/>
      <c r="E859" s="205"/>
      <c r="F859" s="205"/>
      <c r="G859" s="205"/>
      <c r="H859" s="206"/>
      <c r="I859" s="207"/>
      <c r="J859" s="207"/>
      <c r="K859" s="207"/>
      <c r="L859" s="122"/>
      <c r="M859" s="207"/>
      <c r="N859" s="207"/>
      <c r="O859" s="122"/>
      <c r="P859" s="205"/>
      <c r="Q859" s="205"/>
      <c r="R859" s="205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</row>
    <row r="860">
      <c r="A860" s="122"/>
      <c r="B860" s="204"/>
      <c r="C860" s="204"/>
      <c r="D860" s="204"/>
      <c r="E860" s="205"/>
      <c r="F860" s="205"/>
      <c r="G860" s="205"/>
      <c r="H860" s="206"/>
      <c r="I860" s="207"/>
      <c r="J860" s="207"/>
      <c r="K860" s="207"/>
      <c r="L860" s="122"/>
      <c r="M860" s="207"/>
      <c r="N860" s="207"/>
      <c r="O860" s="122"/>
      <c r="P860" s="205"/>
      <c r="Q860" s="205"/>
      <c r="R860" s="205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</row>
    <row r="861">
      <c r="A861" s="122"/>
      <c r="B861" s="204"/>
      <c r="C861" s="204"/>
      <c r="D861" s="204"/>
      <c r="E861" s="205"/>
      <c r="F861" s="205"/>
      <c r="G861" s="205"/>
      <c r="H861" s="206"/>
      <c r="I861" s="207"/>
      <c r="J861" s="207"/>
      <c r="K861" s="207"/>
      <c r="L861" s="122"/>
      <c r="M861" s="207"/>
      <c r="N861" s="207"/>
      <c r="O861" s="122"/>
      <c r="P861" s="205"/>
      <c r="Q861" s="205"/>
      <c r="R861" s="205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</row>
    <row r="862">
      <c r="A862" s="122"/>
      <c r="B862" s="204"/>
      <c r="C862" s="204"/>
      <c r="D862" s="204"/>
      <c r="E862" s="205"/>
      <c r="F862" s="205"/>
      <c r="G862" s="205"/>
      <c r="H862" s="206"/>
      <c r="I862" s="207"/>
      <c r="J862" s="207"/>
      <c r="K862" s="207"/>
      <c r="L862" s="122"/>
      <c r="M862" s="207"/>
      <c r="N862" s="207"/>
      <c r="O862" s="122"/>
      <c r="P862" s="205"/>
      <c r="Q862" s="205"/>
      <c r="R862" s="205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</row>
    <row r="863">
      <c r="A863" s="122"/>
      <c r="B863" s="204"/>
      <c r="C863" s="204"/>
      <c r="D863" s="204"/>
      <c r="E863" s="205"/>
      <c r="F863" s="205"/>
      <c r="G863" s="205"/>
      <c r="H863" s="206"/>
      <c r="I863" s="207"/>
      <c r="J863" s="207"/>
      <c r="K863" s="207"/>
      <c r="L863" s="122"/>
      <c r="M863" s="207"/>
      <c r="N863" s="207"/>
      <c r="O863" s="122"/>
      <c r="P863" s="205"/>
      <c r="Q863" s="205"/>
      <c r="R863" s="205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</row>
    <row r="864">
      <c r="A864" s="122"/>
      <c r="B864" s="204"/>
      <c r="C864" s="204"/>
      <c r="D864" s="204"/>
      <c r="E864" s="205"/>
      <c r="F864" s="205"/>
      <c r="G864" s="205"/>
      <c r="H864" s="206"/>
      <c r="I864" s="207"/>
      <c r="J864" s="207"/>
      <c r="K864" s="207"/>
      <c r="L864" s="122"/>
      <c r="M864" s="207"/>
      <c r="N864" s="207"/>
      <c r="O864" s="122"/>
      <c r="P864" s="205"/>
      <c r="Q864" s="205"/>
      <c r="R864" s="205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</row>
    <row r="865">
      <c r="A865" s="122"/>
      <c r="B865" s="204"/>
      <c r="C865" s="204"/>
      <c r="D865" s="204"/>
      <c r="E865" s="205"/>
      <c r="F865" s="205"/>
      <c r="G865" s="205"/>
      <c r="H865" s="206"/>
      <c r="I865" s="207"/>
      <c r="J865" s="207"/>
      <c r="K865" s="207"/>
      <c r="L865" s="122"/>
      <c r="M865" s="207"/>
      <c r="N865" s="207"/>
      <c r="O865" s="122"/>
      <c r="P865" s="205"/>
      <c r="Q865" s="205"/>
      <c r="R865" s="205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</row>
    <row r="866">
      <c r="A866" s="122"/>
      <c r="B866" s="204"/>
      <c r="C866" s="204"/>
      <c r="D866" s="204"/>
      <c r="E866" s="205"/>
      <c r="F866" s="205"/>
      <c r="G866" s="205"/>
      <c r="H866" s="206"/>
      <c r="I866" s="207"/>
      <c r="J866" s="207"/>
      <c r="K866" s="207"/>
      <c r="L866" s="122"/>
      <c r="M866" s="207"/>
      <c r="N866" s="207"/>
      <c r="O866" s="122"/>
      <c r="P866" s="205"/>
      <c r="Q866" s="205"/>
      <c r="R866" s="205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</row>
    <row r="867">
      <c r="A867" s="122"/>
      <c r="B867" s="204"/>
      <c r="C867" s="204"/>
      <c r="D867" s="204"/>
      <c r="E867" s="205"/>
      <c r="F867" s="205"/>
      <c r="G867" s="205"/>
      <c r="H867" s="206"/>
      <c r="I867" s="207"/>
      <c r="J867" s="207"/>
      <c r="K867" s="207"/>
      <c r="L867" s="122"/>
      <c r="M867" s="207"/>
      <c r="N867" s="207"/>
      <c r="O867" s="122"/>
      <c r="P867" s="205"/>
      <c r="Q867" s="205"/>
      <c r="R867" s="205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</row>
    <row r="868">
      <c r="A868" s="122"/>
      <c r="B868" s="204"/>
      <c r="C868" s="204"/>
      <c r="D868" s="204"/>
      <c r="E868" s="205"/>
      <c r="F868" s="205"/>
      <c r="G868" s="205"/>
      <c r="H868" s="206"/>
      <c r="I868" s="207"/>
      <c r="J868" s="207"/>
      <c r="K868" s="207"/>
      <c r="L868" s="122"/>
      <c r="M868" s="207"/>
      <c r="N868" s="207"/>
      <c r="O868" s="122"/>
      <c r="P868" s="205"/>
      <c r="Q868" s="205"/>
      <c r="R868" s="205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</row>
    <row r="869">
      <c r="A869" s="122"/>
      <c r="B869" s="204"/>
      <c r="C869" s="204"/>
      <c r="D869" s="204"/>
      <c r="E869" s="205"/>
      <c r="F869" s="205"/>
      <c r="G869" s="205"/>
      <c r="H869" s="206"/>
      <c r="I869" s="207"/>
      <c r="J869" s="207"/>
      <c r="K869" s="207"/>
      <c r="L869" s="122"/>
      <c r="M869" s="207"/>
      <c r="N869" s="207"/>
      <c r="O869" s="122"/>
      <c r="P869" s="205"/>
      <c r="Q869" s="205"/>
      <c r="R869" s="205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</row>
    <row r="870">
      <c r="A870" s="122"/>
      <c r="B870" s="204"/>
      <c r="C870" s="204"/>
      <c r="D870" s="204"/>
      <c r="E870" s="205"/>
      <c r="F870" s="205"/>
      <c r="G870" s="205"/>
      <c r="H870" s="206"/>
      <c r="I870" s="207"/>
      <c r="J870" s="207"/>
      <c r="K870" s="207"/>
      <c r="L870" s="122"/>
      <c r="M870" s="207"/>
      <c r="N870" s="207"/>
      <c r="O870" s="122"/>
      <c r="P870" s="205"/>
      <c r="Q870" s="205"/>
      <c r="R870" s="205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</row>
    <row r="871">
      <c r="A871" s="122"/>
      <c r="B871" s="204"/>
      <c r="C871" s="204"/>
      <c r="D871" s="204"/>
      <c r="E871" s="205"/>
      <c r="F871" s="205"/>
      <c r="G871" s="205"/>
      <c r="H871" s="206"/>
      <c r="I871" s="207"/>
      <c r="J871" s="207"/>
      <c r="K871" s="207"/>
      <c r="L871" s="122"/>
      <c r="M871" s="207"/>
      <c r="N871" s="207"/>
      <c r="O871" s="122"/>
      <c r="P871" s="205"/>
      <c r="Q871" s="205"/>
      <c r="R871" s="205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</row>
    <row r="872">
      <c r="A872" s="122"/>
      <c r="B872" s="204"/>
      <c r="C872" s="204"/>
      <c r="D872" s="204"/>
      <c r="E872" s="205"/>
      <c r="F872" s="205"/>
      <c r="G872" s="205"/>
      <c r="H872" s="206"/>
      <c r="I872" s="207"/>
      <c r="J872" s="207"/>
      <c r="K872" s="207"/>
      <c r="L872" s="122"/>
      <c r="M872" s="207"/>
      <c r="N872" s="207"/>
      <c r="O872" s="122"/>
      <c r="P872" s="205"/>
      <c r="Q872" s="205"/>
      <c r="R872" s="205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</row>
    <row r="873">
      <c r="A873" s="122"/>
      <c r="B873" s="204"/>
      <c r="C873" s="204"/>
      <c r="D873" s="204"/>
      <c r="E873" s="205"/>
      <c r="F873" s="205"/>
      <c r="G873" s="205"/>
      <c r="H873" s="206"/>
      <c r="I873" s="207"/>
      <c r="J873" s="207"/>
      <c r="K873" s="207"/>
      <c r="L873" s="122"/>
      <c r="M873" s="207"/>
      <c r="N873" s="207"/>
      <c r="O873" s="122"/>
      <c r="P873" s="205"/>
      <c r="Q873" s="205"/>
      <c r="R873" s="205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</row>
    <row r="874">
      <c r="A874" s="122"/>
      <c r="B874" s="204"/>
      <c r="C874" s="204"/>
      <c r="D874" s="204"/>
      <c r="E874" s="205"/>
      <c r="F874" s="205"/>
      <c r="G874" s="205"/>
      <c r="H874" s="206"/>
      <c r="I874" s="207"/>
      <c r="J874" s="207"/>
      <c r="K874" s="207"/>
      <c r="L874" s="122"/>
      <c r="M874" s="207"/>
      <c r="N874" s="207"/>
      <c r="O874" s="122"/>
      <c r="P874" s="205"/>
      <c r="Q874" s="205"/>
      <c r="R874" s="205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</row>
    <row r="875">
      <c r="A875" s="122"/>
      <c r="B875" s="204"/>
      <c r="C875" s="204"/>
      <c r="D875" s="204"/>
      <c r="E875" s="205"/>
      <c r="F875" s="205"/>
      <c r="G875" s="205"/>
      <c r="H875" s="206"/>
      <c r="I875" s="207"/>
      <c r="J875" s="207"/>
      <c r="K875" s="207"/>
      <c r="L875" s="122"/>
      <c r="M875" s="207"/>
      <c r="N875" s="207"/>
      <c r="O875" s="122"/>
      <c r="P875" s="205"/>
      <c r="Q875" s="205"/>
      <c r="R875" s="205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</row>
    <row r="876">
      <c r="A876" s="122"/>
      <c r="B876" s="204"/>
      <c r="C876" s="204"/>
      <c r="D876" s="204"/>
      <c r="E876" s="205"/>
      <c r="F876" s="205"/>
      <c r="G876" s="205"/>
      <c r="H876" s="206"/>
      <c r="I876" s="207"/>
      <c r="J876" s="207"/>
      <c r="K876" s="207"/>
      <c r="L876" s="122"/>
      <c r="M876" s="207"/>
      <c r="N876" s="207"/>
      <c r="O876" s="122"/>
      <c r="P876" s="205"/>
      <c r="Q876" s="205"/>
      <c r="R876" s="205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</row>
    <row r="877">
      <c r="A877" s="122"/>
      <c r="B877" s="204"/>
      <c r="C877" s="204"/>
      <c r="D877" s="204"/>
      <c r="E877" s="205"/>
      <c r="F877" s="205"/>
      <c r="G877" s="205"/>
      <c r="H877" s="206"/>
      <c r="I877" s="207"/>
      <c r="J877" s="207"/>
      <c r="K877" s="207"/>
      <c r="L877" s="122"/>
      <c r="M877" s="207"/>
      <c r="N877" s="207"/>
      <c r="O877" s="122"/>
      <c r="P877" s="205"/>
      <c r="Q877" s="205"/>
      <c r="R877" s="205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</row>
    <row r="878">
      <c r="A878" s="122"/>
      <c r="B878" s="204"/>
      <c r="C878" s="204"/>
      <c r="D878" s="204"/>
      <c r="E878" s="205"/>
      <c r="F878" s="205"/>
      <c r="G878" s="205"/>
      <c r="H878" s="206"/>
      <c r="I878" s="207"/>
      <c r="J878" s="207"/>
      <c r="K878" s="207"/>
      <c r="L878" s="122"/>
      <c r="M878" s="207"/>
      <c r="N878" s="207"/>
      <c r="O878" s="122"/>
      <c r="P878" s="205"/>
      <c r="Q878" s="205"/>
      <c r="R878" s="205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</row>
    <row r="879">
      <c r="A879" s="122"/>
      <c r="B879" s="204"/>
      <c r="C879" s="204"/>
      <c r="D879" s="204"/>
      <c r="E879" s="205"/>
      <c r="F879" s="205"/>
      <c r="G879" s="205"/>
      <c r="H879" s="206"/>
      <c r="I879" s="207"/>
      <c r="J879" s="207"/>
      <c r="K879" s="207"/>
      <c r="L879" s="122"/>
      <c r="M879" s="207"/>
      <c r="N879" s="207"/>
      <c r="O879" s="122"/>
      <c r="P879" s="205"/>
      <c r="Q879" s="205"/>
      <c r="R879" s="205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</row>
    <row r="880">
      <c r="A880" s="122"/>
      <c r="B880" s="204"/>
      <c r="C880" s="204"/>
      <c r="D880" s="204"/>
      <c r="E880" s="205"/>
      <c r="F880" s="205"/>
      <c r="G880" s="205"/>
      <c r="H880" s="206"/>
      <c r="I880" s="207"/>
      <c r="J880" s="207"/>
      <c r="K880" s="207"/>
      <c r="L880" s="122"/>
      <c r="M880" s="207"/>
      <c r="N880" s="207"/>
      <c r="O880" s="122"/>
      <c r="P880" s="205"/>
      <c r="Q880" s="205"/>
      <c r="R880" s="205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</row>
    <row r="881">
      <c r="A881" s="122"/>
      <c r="B881" s="204"/>
      <c r="C881" s="204"/>
      <c r="D881" s="204"/>
      <c r="E881" s="205"/>
      <c r="F881" s="205"/>
      <c r="G881" s="205"/>
      <c r="H881" s="206"/>
      <c r="I881" s="207"/>
      <c r="J881" s="207"/>
      <c r="K881" s="207"/>
      <c r="L881" s="122"/>
      <c r="M881" s="207"/>
      <c r="N881" s="207"/>
      <c r="O881" s="122"/>
      <c r="P881" s="205"/>
      <c r="Q881" s="205"/>
      <c r="R881" s="205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</row>
    <row r="882">
      <c r="A882" s="122"/>
      <c r="B882" s="204"/>
      <c r="C882" s="204"/>
      <c r="D882" s="204"/>
      <c r="E882" s="205"/>
      <c r="F882" s="205"/>
      <c r="G882" s="205"/>
      <c r="H882" s="206"/>
      <c r="I882" s="207"/>
      <c r="J882" s="207"/>
      <c r="K882" s="207"/>
      <c r="L882" s="122"/>
      <c r="M882" s="207"/>
      <c r="N882" s="207"/>
      <c r="O882" s="122"/>
      <c r="P882" s="205"/>
      <c r="Q882" s="205"/>
      <c r="R882" s="205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</row>
    <row r="883">
      <c r="A883" s="122"/>
      <c r="B883" s="204"/>
      <c r="C883" s="204"/>
      <c r="D883" s="204"/>
      <c r="E883" s="205"/>
      <c r="F883" s="205"/>
      <c r="G883" s="205"/>
      <c r="H883" s="206"/>
      <c r="I883" s="207"/>
      <c r="J883" s="207"/>
      <c r="K883" s="207"/>
      <c r="L883" s="122"/>
      <c r="M883" s="207"/>
      <c r="N883" s="207"/>
      <c r="O883" s="122"/>
      <c r="P883" s="205"/>
      <c r="Q883" s="205"/>
      <c r="R883" s="205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</row>
    <row r="884">
      <c r="A884" s="122"/>
      <c r="B884" s="204"/>
      <c r="C884" s="204"/>
      <c r="D884" s="204"/>
      <c r="E884" s="205"/>
      <c r="F884" s="205"/>
      <c r="G884" s="205"/>
      <c r="H884" s="206"/>
      <c r="I884" s="207"/>
      <c r="J884" s="207"/>
      <c r="K884" s="207"/>
      <c r="L884" s="122"/>
      <c r="M884" s="207"/>
      <c r="N884" s="207"/>
      <c r="O884" s="122"/>
      <c r="P884" s="205"/>
      <c r="Q884" s="205"/>
      <c r="R884" s="205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</row>
    <row r="885">
      <c r="A885" s="122"/>
      <c r="B885" s="204"/>
      <c r="C885" s="204"/>
      <c r="D885" s="204"/>
      <c r="E885" s="205"/>
      <c r="F885" s="205"/>
      <c r="G885" s="205"/>
      <c r="H885" s="206"/>
      <c r="I885" s="207"/>
      <c r="J885" s="207"/>
      <c r="K885" s="207"/>
      <c r="L885" s="122"/>
      <c r="M885" s="207"/>
      <c r="N885" s="207"/>
      <c r="O885" s="122"/>
      <c r="P885" s="205"/>
      <c r="Q885" s="205"/>
      <c r="R885" s="205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</row>
    <row r="886">
      <c r="A886" s="122"/>
      <c r="B886" s="204"/>
      <c r="C886" s="204"/>
      <c r="D886" s="204"/>
      <c r="E886" s="205"/>
      <c r="F886" s="205"/>
      <c r="G886" s="205"/>
      <c r="H886" s="206"/>
      <c r="I886" s="207"/>
      <c r="J886" s="207"/>
      <c r="K886" s="207"/>
      <c r="L886" s="122"/>
      <c r="M886" s="207"/>
      <c r="N886" s="207"/>
      <c r="O886" s="122"/>
      <c r="P886" s="205"/>
      <c r="Q886" s="205"/>
      <c r="R886" s="205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</row>
    <row r="887">
      <c r="A887" s="122"/>
      <c r="B887" s="204"/>
      <c r="C887" s="204"/>
      <c r="D887" s="204"/>
      <c r="E887" s="205"/>
      <c r="F887" s="205"/>
      <c r="G887" s="205"/>
      <c r="H887" s="206"/>
      <c r="I887" s="207"/>
      <c r="J887" s="207"/>
      <c r="K887" s="207"/>
      <c r="L887" s="122"/>
      <c r="M887" s="207"/>
      <c r="N887" s="207"/>
      <c r="O887" s="122"/>
      <c r="P887" s="205"/>
      <c r="Q887" s="205"/>
      <c r="R887" s="205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</row>
    <row r="888">
      <c r="A888" s="122"/>
      <c r="B888" s="204"/>
      <c r="C888" s="204"/>
      <c r="D888" s="204"/>
      <c r="E888" s="205"/>
      <c r="F888" s="205"/>
      <c r="G888" s="205"/>
      <c r="H888" s="206"/>
      <c r="I888" s="207"/>
      <c r="J888" s="207"/>
      <c r="K888" s="207"/>
      <c r="L888" s="122"/>
      <c r="M888" s="207"/>
      <c r="N888" s="207"/>
      <c r="O888" s="122"/>
      <c r="P888" s="205"/>
      <c r="Q888" s="205"/>
      <c r="R888" s="205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</row>
    <row r="889">
      <c r="A889" s="122"/>
      <c r="B889" s="204"/>
      <c r="C889" s="204"/>
      <c r="D889" s="204"/>
      <c r="E889" s="205"/>
      <c r="F889" s="205"/>
      <c r="G889" s="205"/>
      <c r="H889" s="206"/>
      <c r="I889" s="207"/>
      <c r="J889" s="207"/>
      <c r="K889" s="207"/>
      <c r="L889" s="122"/>
      <c r="M889" s="207"/>
      <c r="N889" s="207"/>
      <c r="O889" s="122"/>
      <c r="P889" s="205"/>
      <c r="Q889" s="205"/>
      <c r="R889" s="205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</row>
    <row r="890">
      <c r="A890" s="122"/>
      <c r="B890" s="204"/>
      <c r="C890" s="204"/>
      <c r="D890" s="204"/>
      <c r="E890" s="205"/>
      <c r="F890" s="205"/>
      <c r="G890" s="205"/>
      <c r="H890" s="206"/>
      <c r="I890" s="207"/>
      <c r="J890" s="207"/>
      <c r="K890" s="207"/>
      <c r="L890" s="122"/>
      <c r="M890" s="207"/>
      <c r="N890" s="207"/>
      <c r="O890" s="122"/>
      <c r="P890" s="205"/>
      <c r="Q890" s="205"/>
      <c r="R890" s="205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</row>
    <row r="891">
      <c r="A891" s="122"/>
      <c r="B891" s="204"/>
      <c r="C891" s="204"/>
      <c r="D891" s="204"/>
      <c r="E891" s="205"/>
      <c r="F891" s="205"/>
      <c r="G891" s="205"/>
      <c r="H891" s="206"/>
      <c r="I891" s="207"/>
      <c r="J891" s="207"/>
      <c r="K891" s="207"/>
      <c r="L891" s="122"/>
      <c r="M891" s="207"/>
      <c r="N891" s="207"/>
      <c r="O891" s="122"/>
      <c r="P891" s="205"/>
      <c r="Q891" s="205"/>
      <c r="R891" s="205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</row>
    <row r="892">
      <c r="A892" s="122"/>
      <c r="B892" s="204"/>
      <c r="C892" s="204"/>
      <c r="D892" s="204"/>
      <c r="E892" s="205"/>
      <c r="F892" s="205"/>
      <c r="G892" s="205"/>
      <c r="H892" s="206"/>
      <c r="I892" s="207"/>
      <c r="J892" s="207"/>
      <c r="K892" s="207"/>
      <c r="L892" s="122"/>
      <c r="M892" s="207"/>
      <c r="N892" s="207"/>
      <c r="O892" s="122"/>
      <c r="P892" s="205"/>
      <c r="Q892" s="205"/>
      <c r="R892" s="205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</row>
    <row r="893">
      <c r="A893" s="122"/>
      <c r="B893" s="204"/>
      <c r="C893" s="204"/>
      <c r="D893" s="204"/>
      <c r="E893" s="205"/>
      <c r="F893" s="205"/>
      <c r="G893" s="205"/>
      <c r="H893" s="206"/>
      <c r="I893" s="207"/>
      <c r="J893" s="207"/>
      <c r="K893" s="207"/>
      <c r="L893" s="122"/>
      <c r="M893" s="207"/>
      <c r="N893" s="207"/>
      <c r="O893" s="122"/>
      <c r="P893" s="205"/>
      <c r="Q893" s="205"/>
      <c r="R893" s="205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</row>
    <row r="894">
      <c r="A894" s="122"/>
      <c r="B894" s="204"/>
      <c r="C894" s="204"/>
      <c r="D894" s="204"/>
      <c r="E894" s="205"/>
      <c r="F894" s="205"/>
      <c r="G894" s="205"/>
      <c r="H894" s="206"/>
      <c r="I894" s="207"/>
      <c r="J894" s="207"/>
      <c r="K894" s="207"/>
      <c r="L894" s="122"/>
      <c r="M894" s="207"/>
      <c r="N894" s="207"/>
      <c r="O894" s="122"/>
      <c r="P894" s="205"/>
      <c r="Q894" s="205"/>
      <c r="R894" s="205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</row>
    <row r="895">
      <c r="A895" s="122"/>
      <c r="B895" s="204"/>
      <c r="C895" s="204"/>
      <c r="D895" s="204"/>
      <c r="E895" s="205"/>
      <c r="F895" s="205"/>
      <c r="G895" s="205"/>
      <c r="H895" s="206"/>
      <c r="I895" s="207"/>
      <c r="J895" s="207"/>
      <c r="K895" s="207"/>
      <c r="L895" s="122"/>
      <c r="M895" s="207"/>
      <c r="N895" s="207"/>
      <c r="O895" s="122"/>
      <c r="P895" s="205"/>
      <c r="Q895" s="205"/>
      <c r="R895" s="205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</row>
    <row r="896">
      <c r="A896" s="122"/>
      <c r="B896" s="204"/>
      <c r="C896" s="204"/>
      <c r="D896" s="204"/>
      <c r="E896" s="205"/>
      <c r="F896" s="205"/>
      <c r="G896" s="205"/>
      <c r="H896" s="206"/>
      <c r="I896" s="207"/>
      <c r="J896" s="207"/>
      <c r="K896" s="207"/>
      <c r="L896" s="122"/>
      <c r="M896" s="207"/>
      <c r="N896" s="207"/>
      <c r="O896" s="122"/>
      <c r="P896" s="205"/>
      <c r="Q896" s="205"/>
      <c r="R896" s="205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</row>
    <row r="897">
      <c r="A897" s="122"/>
      <c r="B897" s="204"/>
      <c r="C897" s="204"/>
      <c r="D897" s="204"/>
      <c r="E897" s="205"/>
      <c r="F897" s="205"/>
      <c r="G897" s="205"/>
      <c r="H897" s="206"/>
      <c r="I897" s="207"/>
      <c r="J897" s="207"/>
      <c r="K897" s="207"/>
      <c r="L897" s="122"/>
      <c r="M897" s="207"/>
      <c r="N897" s="207"/>
      <c r="O897" s="122"/>
      <c r="P897" s="205"/>
      <c r="Q897" s="205"/>
      <c r="R897" s="205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</row>
    <row r="898">
      <c r="A898" s="122"/>
      <c r="B898" s="204"/>
      <c r="C898" s="204"/>
      <c r="D898" s="204"/>
      <c r="E898" s="205"/>
      <c r="F898" s="205"/>
      <c r="G898" s="205"/>
      <c r="H898" s="206"/>
      <c r="I898" s="207"/>
      <c r="J898" s="207"/>
      <c r="K898" s="207"/>
      <c r="L898" s="122"/>
      <c r="M898" s="207"/>
      <c r="N898" s="207"/>
      <c r="O898" s="122"/>
      <c r="P898" s="205"/>
      <c r="Q898" s="205"/>
      <c r="R898" s="205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</row>
    <row r="899">
      <c r="A899" s="122"/>
      <c r="B899" s="204"/>
      <c r="C899" s="204"/>
      <c r="D899" s="204"/>
      <c r="E899" s="205"/>
      <c r="F899" s="205"/>
      <c r="G899" s="205"/>
      <c r="H899" s="206"/>
      <c r="I899" s="207"/>
      <c r="J899" s="207"/>
      <c r="K899" s="207"/>
      <c r="L899" s="122"/>
      <c r="M899" s="207"/>
      <c r="N899" s="207"/>
      <c r="O899" s="122"/>
      <c r="P899" s="205"/>
      <c r="Q899" s="205"/>
      <c r="R899" s="205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</row>
    <row r="900">
      <c r="A900" s="122"/>
      <c r="B900" s="204"/>
      <c r="C900" s="204"/>
      <c r="D900" s="204"/>
      <c r="E900" s="205"/>
      <c r="F900" s="205"/>
      <c r="G900" s="205"/>
      <c r="H900" s="206"/>
      <c r="I900" s="207"/>
      <c r="J900" s="207"/>
      <c r="K900" s="207"/>
      <c r="L900" s="122"/>
      <c r="M900" s="207"/>
      <c r="N900" s="207"/>
      <c r="O900" s="122"/>
      <c r="P900" s="205"/>
      <c r="Q900" s="205"/>
      <c r="R900" s="205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</row>
    <row r="901">
      <c r="A901" s="122"/>
      <c r="B901" s="204"/>
      <c r="C901" s="204"/>
      <c r="D901" s="204"/>
      <c r="E901" s="205"/>
      <c r="F901" s="205"/>
      <c r="G901" s="205"/>
      <c r="H901" s="206"/>
      <c r="I901" s="207"/>
      <c r="J901" s="207"/>
      <c r="K901" s="207"/>
      <c r="L901" s="122"/>
      <c r="M901" s="207"/>
      <c r="N901" s="207"/>
      <c r="O901" s="122"/>
      <c r="P901" s="205"/>
      <c r="Q901" s="205"/>
      <c r="R901" s="205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</row>
    <row r="902">
      <c r="A902" s="122"/>
      <c r="B902" s="204"/>
      <c r="C902" s="204"/>
      <c r="D902" s="204"/>
      <c r="E902" s="205"/>
      <c r="F902" s="205"/>
      <c r="G902" s="205"/>
      <c r="H902" s="206"/>
      <c r="I902" s="207"/>
      <c r="J902" s="207"/>
      <c r="K902" s="207"/>
      <c r="L902" s="122"/>
      <c r="M902" s="207"/>
      <c r="N902" s="207"/>
      <c r="O902" s="122"/>
      <c r="P902" s="205"/>
      <c r="Q902" s="205"/>
      <c r="R902" s="205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</row>
    <row r="903">
      <c r="A903" s="122"/>
      <c r="B903" s="204"/>
      <c r="C903" s="204"/>
      <c r="D903" s="204"/>
      <c r="E903" s="205"/>
      <c r="F903" s="205"/>
      <c r="G903" s="205"/>
      <c r="H903" s="206"/>
      <c r="I903" s="207"/>
      <c r="J903" s="207"/>
      <c r="K903" s="207"/>
      <c r="L903" s="122"/>
      <c r="M903" s="207"/>
      <c r="N903" s="207"/>
      <c r="O903" s="122"/>
      <c r="P903" s="205"/>
      <c r="Q903" s="205"/>
      <c r="R903" s="205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</row>
    <row r="904">
      <c r="A904" s="122"/>
      <c r="B904" s="204"/>
      <c r="C904" s="204"/>
      <c r="D904" s="204"/>
      <c r="E904" s="205"/>
      <c r="F904" s="205"/>
      <c r="G904" s="205"/>
      <c r="H904" s="206"/>
      <c r="I904" s="207"/>
      <c r="J904" s="207"/>
      <c r="K904" s="207"/>
      <c r="L904" s="122"/>
      <c r="M904" s="207"/>
      <c r="N904" s="207"/>
      <c r="O904" s="122"/>
      <c r="P904" s="205"/>
      <c r="Q904" s="205"/>
      <c r="R904" s="205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</row>
    <row r="905">
      <c r="A905" s="122"/>
      <c r="B905" s="204"/>
      <c r="C905" s="204"/>
      <c r="D905" s="204"/>
      <c r="E905" s="205"/>
      <c r="F905" s="205"/>
      <c r="G905" s="205"/>
      <c r="H905" s="206"/>
      <c r="I905" s="207"/>
      <c r="J905" s="207"/>
      <c r="K905" s="207"/>
      <c r="L905" s="122"/>
      <c r="M905" s="207"/>
      <c r="N905" s="207"/>
      <c r="O905" s="122"/>
      <c r="P905" s="205"/>
      <c r="Q905" s="205"/>
      <c r="R905" s="205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</row>
    <row r="906">
      <c r="A906" s="122"/>
      <c r="B906" s="204"/>
      <c r="C906" s="204"/>
      <c r="D906" s="204"/>
      <c r="E906" s="205"/>
      <c r="F906" s="205"/>
      <c r="G906" s="205"/>
      <c r="H906" s="206"/>
      <c r="I906" s="207"/>
      <c r="J906" s="207"/>
      <c r="K906" s="207"/>
      <c r="L906" s="122"/>
      <c r="M906" s="207"/>
      <c r="N906" s="207"/>
      <c r="O906" s="122"/>
      <c r="P906" s="205"/>
      <c r="Q906" s="205"/>
      <c r="R906" s="205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</row>
    <row r="907">
      <c r="A907" s="122"/>
      <c r="B907" s="204"/>
      <c r="C907" s="204"/>
      <c r="D907" s="204"/>
      <c r="E907" s="205"/>
      <c r="F907" s="205"/>
      <c r="G907" s="205"/>
      <c r="H907" s="206"/>
      <c r="I907" s="207"/>
      <c r="J907" s="207"/>
      <c r="K907" s="207"/>
      <c r="L907" s="122"/>
      <c r="M907" s="207"/>
      <c r="N907" s="207"/>
      <c r="O907" s="122"/>
      <c r="P907" s="205"/>
      <c r="Q907" s="205"/>
      <c r="R907" s="205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</row>
    <row r="908">
      <c r="A908" s="122"/>
      <c r="B908" s="204"/>
      <c r="C908" s="204"/>
      <c r="D908" s="204"/>
      <c r="E908" s="205"/>
      <c r="F908" s="205"/>
      <c r="G908" s="205"/>
      <c r="H908" s="206"/>
      <c r="I908" s="207"/>
      <c r="J908" s="207"/>
      <c r="K908" s="207"/>
      <c r="L908" s="122"/>
      <c r="M908" s="207"/>
      <c r="N908" s="207"/>
      <c r="O908" s="122"/>
      <c r="P908" s="205"/>
      <c r="Q908" s="205"/>
      <c r="R908" s="205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</row>
    <row r="909">
      <c r="A909" s="122"/>
      <c r="B909" s="204"/>
      <c r="C909" s="204"/>
      <c r="D909" s="204"/>
      <c r="E909" s="205"/>
      <c r="F909" s="205"/>
      <c r="G909" s="205"/>
      <c r="H909" s="206"/>
      <c r="I909" s="207"/>
      <c r="J909" s="207"/>
      <c r="K909" s="207"/>
      <c r="L909" s="122"/>
      <c r="M909" s="207"/>
      <c r="N909" s="207"/>
      <c r="O909" s="122"/>
      <c r="P909" s="205"/>
      <c r="Q909" s="205"/>
      <c r="R909" s="205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</row>
    <row r="910">
      <c r="A910" s="122"/>
      <c r="B910" s="204"/>
      <c r="C910" s="204"/>
      <c r="D910" s="204"/>
      <c r="E910" s="205"/>
      <c r="F910" s="205"/>
      <c r="G910" s="205"/>
      <c r="H910" s="206"/>
      <c r="I910" s="207"/>
      <c r="J910" s="207"/>
      <c r="K910" s="207"/>
      <c r="L910" s="122"/>
      <c r="M910" s="207"/>
      <c r="N910" s="207"/>
      <c r="O910" s="122"/>
      <c r="P910" s="205"/>
      <c r="Q910" s="205"/>
      <c r="R910" s="205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</row>
    <row r="911">
      <c r="A911" s="122"/>
      <c r="B911" s="204"/>
      <c r="C911" s="204"/>
      <c r="D911" s="204"/>
      <c r="E911" s="205"/>
      <c r="F911" s="205"/>
      <c r="G911" s="205"/>
      <c r="H911" s="206"/>
      <c r="I911" s="207"/>
      <c r="J911" s="207"/>
      <c r="K911" s="207"/>
      <c r="L911" s="122"/>
      <c r="M911" s="207"/>
      <c r="N911" s="207"/>
      <c r="O911" s="122"/>
      <c r="P911" s="205"/>
      <c r="Q911" s="205"/>
      <c r="R911" s="205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</row>
    <row r="912">
      <c r="A912" s="122"/>
      <c r="B912" s="204"/>
      <c r="C912" s="204"/>
      <c r="D912" s="204"/>
      <c r="E912" s="205"/>
      <c r="F912" s="205"/>
      <c r="G912" s="205"/>
      <c r="H912" s="206"/>
      <c r="I912" s="207"/>
      <c r="J912" s="207"/>
      <c r="K912" s="207"/>
      <c r="L912" s="122"/>
      <c r="M912" s="207"/>
      <c r="N912" s="207"/>
      <c r="O912" s="122"/>
      <c r="P912" s="205"/>
      <c r="Q912" s="205"/>
      <c r="R912" s="205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</row>
    <row r="913">
      <c r="A913" s="122"/>
      <c r="B913" s="204"/>
      <c r="C913" s="204"/>
      <c r="D913" s="204"/>
      <c r="E913" s="205"/>
      <c r="F913" s="205"/>
      <c r="G913" s="205"/>
      <c r="H913" s="206"/>
      <c r="I913" s="207"/>
      <c r="J913" s="207"/>
      <c r="K913" s="207"/>
      <c r="L913" s="122"/>
      <c r="M913" s="207"/>
      <c r="N913" s="207"/>
      <c r="O913" s="122"/>
      <c r="P913" s="205"/>
      <c r="Q913" s="205"/>
      <c r="R913" s="205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</row>
    <row r="914">
      <c r="A914" s="122"/>
      <c r="B914" s="204"/>
      <c r="C914" s="204"/>
      <c r="D914" s="204"/>
      <c r="E914" s="205"/>
      <c r="F914" s="205"/>
      <c r="G914" s="205"/>
      <c r="H914" s="206"/>
      <c r="I914" s="207"/>
      <c r="J914" s="207"/>
      <c r="K914" s="207"/>
      <c r="L914" s="122"/>
      <c r="M914" s="207"/>
      <c r="N914" s="207"/>
      <c r="O914" s="122"/>
      <c r="P914" s="205"/>
      <c r="Q914" s="205"/>
      <c r="R914" s="205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</row>
    <row r="915">
      <c r="A915" s="122"/>
      <c r="B915" s="204"/>
      <c r="C915" s="204"/>
      <c r="D915" s="204"/>
      <c r="E915" s="205"/>
      <c r="F915" s="205"/>
      <c r="G915" s="205"/>
      <c r="H915" s="206"/>
      <c r="I915" s="207"/>
      <c r="J915" s="207"/>
      <c r="K915" s="207"/>
      <c r="L915" s="122"/>
      <c r="M915" s="207"/>
      <c r="N915" s="207"/>
      <c r="O915" s="122"/>
      <c r="P915" s="205"/>
      <c r="Q915" s="205"/>
      <c r="R915" s="205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</row>
    <row r="916">
      <c r="A916" s="122"/>
      <c r="B916" s="204"/>
      <c r="C916" s="204"/>
      <c r="D916" s="204"/>
      <c r="E916" s="205"/>
      <c r="F916" s="205"/>
      <c r="G916" s="205"/>
      <c r="H916" s="206"/>
      <c r="I916" s="207"/>
      <c r="J916" s="207"/>
      <c r="K916" s="207"/>
      <c r="L916" s="122"/>
      <c r="M916" s="207"/>
      <c r="N916" s="207"/>
      <c r="O916" s="122"/>
      <c r="P916" s="205"/>
      <c r="Q916" s="205"/>
      <c r="R916" s="205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</row>
    <row r="917">
      <c r="A917" s="122"/>
      <c r="B917" s="204"/>
      <c r="C917" s="204"/>
      <c r="D917" s="204"/>
      <c r="E917" s="205"/>
      <c r="F917" s="205"/>
      <c r="G917" s="205"/>
      <c r="H917" s="206"/>
      <c r="I917" s="207"/>
      <c r="J917" s="207"/>
      <c r="K917" s="207"/>
      <c r="L917" s="122"/>
      <c r="M917" s="207"/>
      <c r="N917" s="207"/>
      <c r="O917" s="122"/>
      <c r="P917" s="205"/>
      <c r="Q917" s="205"/>
      <c r="R917" s="205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</row>
    <row r="918">
      <c r="A918" s="122"/>
      <c r="B918" s="204"/>
      <c r="C918" s="204"/>
      <c r="D918" s="204"/>
      <c r="E918" s="205"/>
      <c r="F918" s="205"/>
      <c r="G918" s="205"/>
      <c r="H918" s="206"/>
      <c r="I918" s="207"/>
      <c r="J918" s="207"/>
      <c r="K918" s="207"/>
      <c r="L918" s="122"/>
      <c r="M918" s="207"/>
      <c r="N918" s="207"/>
      <c r="O918" s="122"/>
      <c r="P918" s="205"/>
      <c r="Q918" s="205"/>
      <c r="R918" s="205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</row>
    <row r="919">
      <c r="A919" s="122"/>
      <c r="B919" s="204"/>
      <c r="C919" s="204"/>
      <c r="D919" s="204"/>
      <c r="E919" s="205"/>
      <c r="F919" s="205"/>
      <c r="G919" s="205"/>
      <c r="H919" s="206"/>
      <c r="I919" s="207"/>
      <c r="J919" s="207"/>
      <c r="K919" s="207"/>
      <c r="L919" s="122"/>
      <c r="M919" s="207"/>
      <c r="N919" s="207"/>
      <c r="O919" s="122"/>
      <c r="P919" s="205"/>
      <c r="Q919" s="205"/>
      <c r="R919" s="205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</row>
    <row r="920">
      <c r="A920" s="122"/>
      <c r="B920" s="204"/>
      <c r="C920" s="204"/>
      <c r="D920" s="204"/>
      <c r="E920" s="205"/>
      <c r="F920" s="205"/>
      <c r="G920" s="205"/>
      <c r="H920" s="206"/>
      <c r="I920" s="207"/>
      <c r="J920" s="207"/>
      <c r="K920" s="207"/>
      <c r="L920" s="122"/>
      <c r="M920" s="207"/>
      <c r="N920" s="207"/>
      <c r="O920" s="122"/>
      <c r="P920" s="205"/>
      <c r="Q920" s="205"/>
      <c r="R920" s="205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</row>
    <row r="921">
      <c r="A921" s="122"/>
      <c r="B921" s="204"/>
      <c r="C921" s="204"/>
      <c r="D921" s="204"/>
      <c r="E921" s="205"/>
      <c r="F921" s="205"/>
      <c r="G921" s="205"/>
      <c r="H921" s="206"/>
      <c r="I921" s="207"/>
      <c r="J921" s="207"/>
      <c r="K921" s="207"/>
      <c r="L921" s="122"/>
      <c r="M921" s="207"/>
      <c r="N921" s="207"/>
      <c r="O921" s="122"/>
      <c r="P921" s="205"/>
      <c r="Q921" s="205"/>
      <c r="R921" s="205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</row>
    <row r="922">
      <c r="A922" s="122"/>
      <c r="B922" s="204"/>
      <c r="C922" s="204"/>
      <c r="D922" s="204"/>
      <c r="E922" s="205"/>
      <c r="F922" s="205"/>
      <c r="G922" s="205"/>
      <c r="H922" s="206"/>
      <c r="I922" s="207"/>
      <c r="J922" s="207"/>
      <c r="K922" s="207"/>
      <c r="L922" s="122"/>
      <c r="M922" s="207"/>
      <c r="N922" s="207"/>
      <c r="O922" s="122"/>
      <c r="P922" s="205"/>
      <c r="Q922" s="205"/>
      <c r="R922" s="205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</row>
    <row r="923">
      <c r="A923" s="122"/>
      <c r="B923" s="204"/>
      <c r="C923" s="204"/>
      <c r="D923" s="204"/>
      <c r="E923" s="205"/>
      <c r="F923" s="205"/>
      <c r="G923" s="205"/>
      <c r="H923" s="206"/>
      <c r="I923" s="207"/>
      <c r="J923" s="207"/>
      <c r="K923" s="207"/>
      <c r="L923" s="122"/>
      <c r="M923" s="207"/>
      <c r="N923" s="207"/>
      <c r="O923" s="122"/>
      <c r="P923" s="205"/>
      <c r="Q923" s="205"/>
      <c r="R923" s="205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</row>
    <row r="924">
      <c r="A924" s="122"/>
      <c r="B924" s="204"/>
      <c r="C924" s="204"/>
      <c r="D924" s="204"/>
      <c r="E924" s="205"/>
      <c r="F924" s="205"/>
      <c r="G924" s="205"/>
      <c r="H924" s="206"/>
      <c r="I924" s="207"/>
      <c r="J924" s="207"/>
      <c r="K924" s="207"/>
      <c r="L924" s="122"/>
      <c r="M924" s="207"/>
      <c r="N924" s="207"/>
      <c r="O924" s="122"/>
      <c r="P924" s="205"/>
      <c r="Q924" s="205"/>
      <c r="R924" s="205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</row>
    <row r="925">
      <c r="A925" s="122"/>
      <c r="B925" s="204"/>
      <c r="C925" s="204"/>
      <c r="D925" s="204"/>
      <c r="E925" s="205"/>
      <c r="F925" s="205"/>
      <c r="G925" s="205"/>
      <c r="H925" s="206"/>
      <c r="I925" s="207"/>
      <c r="J925" s="207"/>
      <c r="K925" s="207"/>
      <c r="L925" s="122"/>
      <c r="M925" s="207"/>
      <c r="N925" s="207"/>
      <c r="O925" s="122"/>
      <c r="P925" s="205"/>
      <c r="Q925" s="205"/>
      <c r="R925" s="205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</row>
    <row r="926">
      <c r="A926" s="122"/>
      <c r="B926" s="204"/>
      <c r="C926" s="204"/>
      <c r="D926" s="204"/>
      <c r="E926" s="205"/>
      <c r="F926" s="205"/>
      <c r="G926" s="205"/>
      <c r="H926" s="206"/>
      <c r="I926" s="207"/>
      <c r="J926" s="207"/>
      <c r="K926" s="207"/>
      <c r="L926" s="122"/>
      <c r="M926" s="207"/>
      <c r="N926" s="207"/>
      <c r="O926" s="122"/>
      <c r="P926" s="205"/>
      <c r="Q926" s="205"/>
      <c r="R926" s="205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</row>
    <row r="927">
      <c r="A927" s="122"/>
      <c r="B927" s="204"/>
      <c r="C927" s="204"/>
      <c r="D927" s="204"/>
      <c r="E927" s="205"/>
      <c r="F927" s="205"/>
      <c r="G927" s="205"/>
      <c r="H927" s="206"/>
      <c r="I927" s="207"/>
      <c r="J927" s="207"/>
      <c r="K927" s="207"/>
      <c r="L927" s="122"/>
      <c r="M927" s="207"/>
      <c r="N927" s="207"/>
      <c r="O927" s="122"/>
      <c r="P927" s="205"/>
      <c r="Q927" s="205"/>
      <c r="R927" s="205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</row>
    <row r="928">
      <c r="A928" s="122"/>
      <c r="B928" s="204"/>
      <c r="C928" s="204"/>
      <c r="D928" s="204"/>
      <c r="E928" s="205"/>
      <c r="F928" s="205"/>
      <c r="G928" s="205"/>
      <c r="H928" s="206"/>
      <c r="I928" s="207"/>
      <c r="J928" s="207"/>
      <c r="K928" s="207"/>
      <c r="L928" s="122"/>
      <c r="M928" s="207"/>
      <c r="N928" s="207"/>
      <c r="O928" s="122"/>
      <c r="P928" s="205"/>
      <c r="Q928" s="205"/>
      <c r="R928" s="205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</row>
    <row r="929">
      <c r="A929" s="122"/>
      <c r="B929" s="204"/>
      <c r="C929" s="204"/>
      <c r="D929" s="204"/>
      <c r="E929" s="205"/>
      <c r="F929" s="205"/>
      <c r="G929" s="205"/>
      <c r="H929" s="206"/>
      <c r="I929" s="207"/>
      <c r="J929" s="207"/>
      <c r="K929" s="207"/>
      <c r="L929" s="122"/>
      <c r="M929" s="207"/>
      <c r="N929" s="207"/>
      <c r="O929" s="122"/>
      <c r="P929" s="205"/>
      <c r="Q929" s="205"/>
      <c r="R929" s="205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</row>
    <row r="930">
      <c r="A930" s="122"/>
      <c r="B930" s="204"/>
      <c r="C930" s="204"/>
      <c r="D930" s="204"/>
      <c r="E930" s="205"/>
      <c r="F930" s="205"/>
      <c r="G930" s="205"/>
      <c r="H930" s="206"/>
      <c r="I930" s="207"/>
      <c r="J930" s="207"/>
      <c r="K930" s="207"/>
      <c r="L930" s="122"/>
      <c r="M930" s="207"/>
      <c r="N930" s="207"/>
      <c r="O930" s="122"/>
      <c r="P930" s="205"/>
      <c r="Q930" s="205"/>
      <c r="R930" s="205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</row>
    <row r="931">
      <c r="A931" s="122"/>
      <c r="B931" s="204"/>
      <c r="C931" s="204"/>
      <c r="D931" s="204"/>
      <c r="E931" s="205"/>
      <c r="F931" s="205"/>
      <c r="G931" s="205"/>
      <c r="H931" s="206"/>
      <c r="I931" s="207"/>
      <c r="J931" s="207"/>
      <c r="K931" s="207"/>
      <c r="L931" s="122"/>
      <c r="M931" s="207"/>
      <c r="N931" s="207"/>
      <c r="O931" s="122"/>
      <c r="P931" s="205"/>
      <c r="Q931" s="205"/>
      <c r="R931" s="205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</row>
    <row r="932">
      <c r="A932" s="122"/>
      <c r="B932" s="204"/>
      <c r="C932" s="204"/>
      <c r="D932" s="204"/>
      <c r="E932" s="205"/>
      <c r="F932" s="205"/>
      <c r="G932" s="205"/>
      <c r="H932" s="206"/>
      <c r="I932" s="207"/>
      <c r="J932" s="207"/>
      <c r="K932" s="207"/>
      <c r="L932" s="122"/>
      <c r="M932" s="207"/>
      <c r="N932" s="207"/>
      <c r="O932" s="122"/>
      <c r="P932" s="205"/>
      <c r="Q932" s="205"/>
      <c r="R932" s="205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</row>
    <row r="933">
      <c r="A933" s="122"/>
      <c r="B933" s="204"/>
      <c r="C933" s="204"/>
      <c r="D933" s="204"/>
      <c r="E933" s="205"/>
      <c r="F933" s="205"/>
      <c r="G933" s="205"/>
      <c r="H933" s="206"/>
      <c r="I933" s="207"/>
      <c r="J933" s="207"/>
      <c r="K933" s="207"/>
      <c r="L933" s="122"/>
      <c r="M933" s="207"/>
      <c r="N933" s="207"/>
      <c r="O933" s="122"/>
      <c r="P933" s="205"/>
      <c r="Q933" s="205"/>
      <c r="R933" s="205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</row>
    <row r="934">
      <c r="A934" s="122"/>
      <c r="B934" s="204"/>
      <c r="C934" s="204"/>
      <c r="D934" s="204"/>
      <c r="E934" s="205"/>
      <c r="F934" s="205"/>
      <c r="G934" s="205"/>
      <c r="H934" s="206"/>
      <c r="I934" s="207"/>
      <c r="J934" s="207"/>
      <c r="K934" s="207"/>
      <c r="L934" s="122"/>
      <c r="M934" s="207"/>
      <c r="N934" s="207"/>
      <c r="O934" s="122"/>
      <c r="P934" s="205"/>
      <c r="Q934" s="205"/>
      <c r="R934" s="205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</row>
    <row r="935">
      <c r="A935" s="122"/>
      <c r="B935" s="204"/>
      <c r="C935" s="204"/>
      <c r="D935" s="204"/>
      <c r="E935" s="205"/>
      <c r="F935" s="205"/>
      <c r="G935" s="205"/>
      <c r="H935" s="206"/>
      <c r="I935" s="207"/>
      <c r="J935" s="207"/>
      <c r="K935" s="207"/>
      <c r="L935" s="122"/>
      <c r="M935" s="207"/>
      <c r="N935" s="207"/>
      <c r="O935" s="122"/>
      <c r="P935" s="205"/>
      <c r="Q935" s="205"/>
      <c r="R935" s="205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</row>
    <row r="936">
      <c r="A936" s="122"/>
      <c r="B936" s="204"/>
      <c r="C936" s="204"/>
      <c r="D936" s="204"/>
      <c r="E936" s="205"/>
      <c r="F936" s="205"/>
      <c r="G936" s="205"/>
      <c r="H936" s="206"/>
      <c r="I936" s="207"/>
      <c r="J936" s="207"/>
      <c r="K936" s="207"/>
      <c r="L936" s="122"/>
      <c r="M936" s="207"/>
      <c r="N936" s="207"/>
      <c r="O936" s="122"/>
      <c r="P936" s="205"/>
      <c r="Q936" s="205"/>
      <c r="R936" s="205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</row>
    <row r="937">
      <c r="A937" s="122"/>
      <c r="B937" s="204"/>
      <c r="C937" s="204"/>
      <c r="D937" s="204"/>
      <c r="E937" s="205"/>
      <c r="F937" s="205"/>
      <c r="G937" s="205"/>
      <c r="H937" s="206"/>
      <c r="I937" s="207"/>
      <c r="J937" s="207"/>
      <c r="K937" s="207"/>
      <c r="L937" s="122"/>
      <c r="M937" s="207"/>
      <c r="N937" s="207"/>
      <c r="O937" s="122"/>
      <c r="P937" s="205"/>
      <c r="Q937" s="205"/>
      <c r="R937" s="205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</row>
    <row r="938">
      <c r="A938" s="122"/>
      <c r="B938" s="204"/>
      <c r="C938" s="204"/>
      <c r="D938" s="204"/>
      <c r="E938" s="205"/>
      <c r="F938" s="205"/>
      <c r="G938" s="205"/>
      <c r="H938" s="206"/>
      <c r="I938" s="207"/>
      <c r="J938" s="207"/>
      <c r="K938" s="207"/>
      <c r="L938" s="122"/>
      <c r="M938" s="207"/>
      <c r="N938" s="207"/>
      <c r="O938" s="122"/>
      <c r="P938" s="205"/>
      <c r="Q938" s="205"/>
      <c r="R938" s="205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</row>
    <row r="939">
      <c r="A939" s="122"/>
      <c r="B939" s="204"/>
      <c r="C939" s="204"/>
      <c r="D939" s="204"/>
      <c r="E939" s="205"/>
      <c r="F939" s="205"/>
      <c r="G939" s="205"/>
      <c r="H939" s="206"/>
      <c r="I939" s="207"/>
      <c r="J939" s="207"/>
      <c r="K939" s="207"/>
      <c r="L939" s="122"/>
      <c r="M939" s="207"/>
      <c r="N939" s="207"/>
      <c r="O939" s="122"/>
      <c r="P939" s="205"/>
      <c r="Q939" s="205"/>
      <c r="R939" s="205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</row>
    <row r="940">
      <c r="A940" s="122"/>
      <c r="B940" s="204"/>
      <c r="C940" s="204"/>
      <c r="D940" s="204"/>
      <c r="E940" s="205"/>
      <c r="F940" s="205"/>
      <c r="G940" s="205"/>
      <c r="H940" s="206"/>
      <c r="I940" s="207"/>
      <c r="J940" s="207"/>
      <c r="K940" s="207"/>
      <c r="L940" s="122"/>
      <c r="M940" s="207"/>
      <c r="N940" s="207"/>
      <c r="O940" s="122"/>
      <c r="P940" s="205"/>
      <c r="Q940" s="205"/>
      <c r="R940" s="205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</row>
    <row r="941">
      <c r="A941" s="122"/>
      <c r="B941" s="204"/>
      <c r="C941" s="204"/>
      <c r="D941" s="204"/>
      <c r="E941" s="205"/>
      <c r="F941" s="205"/>
      <c r="G941" s="205"/>
      <c r="H941" s="206"/>
      <c r="I941" s="207"/>
      <c r="J941" s="207"/>
      <c r="K941" s="207"/>
      <c r="L941" s="122"/>
      <c r="M941" s="207"/>
      <c r="N941" s="207"/>
      <c r="O941" s="122"/>
      <c r="P941" s="205"/>
      <c r="Q941" s="205"/>
      <c r="R941" s="205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</row>
    <row r="942">
      <c r="A942" s="122"/>
      <c r="B942" s="204"/>
      <c r="C942" s="204"/>
      <c r="D942" s="204"/>
      <c r="E942" s="205"/>
      <c r="F942" s="205"/>
      <c r="G942" s="205"/>
      <c r="H942" s="206"/>
      <c r="I942" s="207"/>
      <c r="J942" s="207"/>
      <c r="K942" s="207"/>
      <c r="L942" s="122"/>
      <c r="M942" s="207"/>
      <c r="N942" s="207"/>
      <c r="O942" s="122"/>
      <c r="P942" s="205"/>
      <c r="Q942" s="205"/>
      <c r="R942" s="205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</row>
    <row r="943">
      <c r="A943" s="122"/>
      <c r="B943" s="204"/>
      <c r="C943" s="204"/>
      <c r="D943" s="204"/>
      <c r="E943" s="205"/>
      <c r="F943" s="205"/>
      <c r="G943" s="205"/>
      <c r="H943" s="206"/>
      <c r="I943" s="207"/>
      <c r="J943" s="207"/>
      <c r="K943" s="207"/>
      <c r="L943" s="122"/>
      <c r="M943" s="207"/>
      <c r="N943" s="207"/>
      <c r="O943" s="122"/>
      <c r="P943" s="205"/>
      <c r="Q943" s="205"/>
      <c r="R943" s="205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</row>
    <row r="944">
      <c r="A944" s="122"/>
      <c r="B944" s="204"/>
      <c r="C944" s="204"/>
      <c r="D944" s="204"/>
      <c r="E944" s="205"/>
      <c r="F944" s="205"/>
      <c r="G944" s="205"/>
      <c r="H944" s="206"/>
      <c r="I944" s="207"/>
      <c r="J944" s="207"/>
      <c r="K944" s="207"/>
      <c r="L944" s="122"/>
      <c r="M944" s="207"/>
      <c r="N944" s="207"/>
      <c r="O944" s="122"/>
      <c r="P944" s="205"/>
      <c r="Q944" s="205"/>
      <c r="R944" s="205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</row>
    <row r="945">
      <c r="A945" s="122"/>
      <c r="B945" s="204"/>
      <c r="C945" s="204"/>
      <c r="D945" s="204"/>
      <c r="E945" s="205"/>
      <c r="F945" s="205"/>
      <c r="G945" s="205"/>
      <c r="H945" s="206"/>
      <c r="I945" s="207"/>
      <c r="J945" s="207"/>
      <c r="K945" s="207"/>
      <c r="L945" s="122"/>
      <c r="M945" s="207"/>
      <c r="N945" s="207"/>
      <c r="O945" s="122"/>
      <c r="P945" s="205"/>
      <c r="Q945" s="205"/>
      <c r="R945" s="205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</row>
    <row r="946">
      <c r="A946" s="122"/>
      <c r="B946" s="204"/>
      <c r="C946" s="204"/>
      <c r="D946" s="204"/>
      <c r="E946" s="205"/>
      <c r="F946" s="205"/>
      <c r="G946" s="205"/>
      <c r="H946" s="206"/>
      <c r="I946" s="207"/>
      <c r="J946" s="207"/>
      <c r="K946" s="207"/>
      <c r="L946" s="122"/>
      <c r="M946" s="207"/>
      <c r="N946" s="207"/>
      <c r="O946" s="122"/>
      <c r="P946" s="205"/>
      <c r="Q946" s="205"/>
      <c r="R946" s="205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</row>
    <row r="947">
      <c r="A947" s="122"/>
      <c r="B947" s="204"/>
      <c r="C947" s="204"/>
      <c r="D947" s="204"/>
      <c r="E947" s="205"/>
      <c r="F947" s="205"/>
      <c r="G947" s="205"/>
      <c r="H947" s="206"/>
      <c r="I947" s="207"/>
      <c r="J947" s="207"/>
      <c r="K947" s="207"/>
      <c r="L947" s="122"/>
      <c r="M947" s="207"/>
      <c r="N947" s="207"/>
      <c r="O947" s="122"/>
      <c r="P947" s="205"/>
      <c r="Q947" s="205"/>
      <c r="R947" s="205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</row>
    <row r="948">
      <c r="A948" s="122"/>
      <c r="B948" s="204"/>
      <c r="C948" s="204"/>
      <c r="D948" s="204"/>
      <c r="E948" s="205"/>
      <c r="F948" s="205"/>
      <c r="G948" s="205"/>
      <c r="H948" s="206"/>
      <c r="I948" s="207"/>
      <c r="J948" s="207"/>
      <c r="K948" s="207"/>
      <c r="L948" s="122"/>
      <c r="M948" s="207"/>
      <c r="N948" s="207"/>
      <c r="O948" s="122"/>
      <c r="P948" s="205"/>
      <c r="Q948" s="205"/>
      <c r="R948" s="205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</row>
    <row r="949">
      <c r="A949" s="122"/>
      <c r="B949" s="204"/>
      <c r="C949" s="204"/>
      <c r="D949" s="204"/>
      <c r="E949" s="205"/>
      <c r="F949" s="205"/>
      <c r="G949" s="205"/>
      <c r="H949" s="206"/>
      <c r="I949" s="207"/>
      <c r="J949" s="207"/>
      <c r="K949" s="207"/>
      <c r="L949" s="122"/>
      <c r="M949" s="207"/>
      <c r="N949" s="207"/>
      <c r="O949" s="122"/>
      <c r="P949" s="205"/>
      <c r="Q949" s="205"/>
      <c r="R949" s="205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</row>
    <row r="950">
      <c r="A950" s="122"/>
      <c r="B950" s="204"/>
      <c r="C950" s="204"/>
      <c r="D950" s="204"/>
      <c r="E950" s="205"/>
      <c r="F950" s="205"/>
      <c r="G950" s="205"/>
      <c r="H950" s="206"/>
      <c r="I950" s="207"/>
      <c r="J950" s="207"/>
      <c r="K950" s="207"/>
      <c r="L950" s="122"/>
      <c r="M950" s="207"/>
      <c r="N950" s="207"/>
      <c r="O950" s="122"/>
      <c r="P950" s="205"/>
      <c r="Q950" s="205"/>
      <c r="R950" s="205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</row>
    <row r="951">
      <c r="A951" s="122"/>
      <c r="B951" s="204"/>
      <c r="C951" s="204"/>
      <c r="D951" s="204"/>
      <c r="E951" s="205"/>
      <c r="F951" s="205"/>
      <c r="G951" s="205"/>
      <c r="H951" s="206"/>
      <c r="I951" s="207"/>
      <c r="J951" s="207"/>
      <c r="K951" s="207"/>
      <c r="L951" s="122"/>
      <c r="M951" s="207"/>
      <c r="N951" s="207"/>
      <c r="O951" s="122"/>
      <c r="P951" s="205"/>
      <c r="Q951" s="205"/>
      <c r="R951" s="205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</row>
    <row r="952">
      <c r="A952" s="122"/>
      <c r="B952" s="204"/>
      <c r="C952" s="204"/>
      <c r="D952" s="204"/>
      <c r="E952" s="205"/>
      <c r="F952" s="205"/>
      <c r="G952" s="205"/>
      <c r="H952" s="206"/>
      <c r="I952" s="207"/>
      <c r="J952" s="207"/>
      <c r="K952" s="207"/>
      <c r="L952" s="122"/>
      <c r="M952" s="207"/>
      <c r="N952" s="207"/>
      <c r="O952" s="122"/>
      <c r="P952" s="205"/>
      <c r="Q952" s="205"/>
      <c r="R952" s="205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</row>
    <row r="953">
      <c r="A953" s="122"/>
      <c r="B953" s="204"/>
      <c r="C953" s="204"/>
      <c r="D953" s="204"/>
      <c r="E953" s="205"/>
      <c r="F953" s="205"/>
      <c r="G953" s="205"/>
      <c r="H953" s="206"/>
      <c r="I953" s="207"/>
      <c r="J953" s="207"/>
      <c r="K953" s="207"/>
      <c r="L953" s="122"/>
      <c r="M953" s="207"/>
      <c r="N953" s="207"/>
      <c r="O953" s="122"/>
      <c r="P953" s="205"/>
      <c r="Q953" s="205"/>
      <c r="R953" s="205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</row>
    <row r="954">
      <c r="A954" s="122"/>
      <c r="B954" s="204"/>
      <c r="C954" s="204"/>
      <c r="D954" s="204"/>
      <c r="E954" s="205"/>
      <c r="F954" s="205"/>
      <c r="G954" s="205"/>
      <c r="H954" s="206"/>
      <c r="I954" s="207"/>
      <c r="J954" s="207"/>
      <c r="K954" s="207"/>
      <c r="L954" s="122"/>
      <c r="M954" s="207"/>
      <c r="N954" s="207"/>
      <c r="O954" s="122"/>
      <c r="P954" s="205"/>
      <c r="Q954" s="205"/>
      <c r="R954" s="205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</row>
    <row r="955">
      <c r="A955" s="122"/>
      <c r="B955" s="204"/>
      <c r="C955" s="204"/>
      <c r="D955" s="204"/>
      <c r="E955" s="205"/>
      <c r="F955" s="205"/>
      <c r="G955" s="205"/>
      <c r="H955" s="206"/>
      <c r="I955" s="207"/>
      <c r="J955" s="207"/>
      <c r="K955" s="207"/>
      <c r="L955" s="122"/>
      <c r="M955" s="207"/>
      <c r="N955" s="207"/>
      <c r="O955" s="122"/>
      <c r="P955" s="205"/>
      <c r="Q955" s="205"/>
      <c r="R955" s="205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</row>
    <row r="956">
      <c r="A956" s="122"/>
      <c r="B956" s="204"/>
      <c r="C956" s="204"/>
      <c r="D956" s="204"/>
      <c r="E956" s="205"/>
      <c r="F956" s="205"/>
      <c r="G956" s="205"/>
      <c r="H956" s="206"/>
      <c r="I956" s="207"/>
      <c r="J956" s="207"/>
      <c r="K956" s="207"/>
      <c r="L956" s="122"/>
      <c r="M956" s="207"/>
      <c r="N956" s="207"/>
      <c r="O956" s="122"/>
      <c r="P956" s="205"/>
      <c r="Q956" s="205"/>
      <c r="R956" s="205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</row>
    <row r="957">
      <c r="A957" s="122"/>
      <c r="B957" s="204"/>
      <c r="C957" s="204"/>
      <c r="D957" s="204"/>
      <c r="E957" s="205"/>
      <c r="F957" s="205"/>
      <c r="G957" s="205"/>
      <c r="H957" s="206"/>
      <c r="I957" s="207"/>
      <c r="J957" s="207"/>
      <c r="K957" s="207"/>
      <c r="L957" s="122"/>
      <c r="M957" s="207"/>
      <c r="N957" s="207"/>
      <c r="O957" s="122"/>
      <c r="P957" s="205"/>
      <c r="Q957" s="205"/>
      <c r="R957" s="205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</row>
    <row r="958">
      <c r="A958" s="122"/>
      <c r="B958" s="204"/>
      <c r="C958" s="204"/>
      <c r="D958" s="204"/>
      <c r="E958" s="205"/>
      <c r="F958" s="205"/>
      <c r="G958" s="205"/>
      <c r="H958" s="206"/>
      <c r="I958" s="207"/>
      <c r="J958" s="207"/>
      <c r="K958" s="207"/>
      <c r="L958" s="122"/>
      <c r="M958" s="207"/>
      <c r="N958" s="207"/>
      <c r="O958" s="122"/>
      <c r="P958" s="205"/>
      <c r="Q958" s="205"/>
      <c r="R958" s="205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</row>
    <row r="959">
      <c r="A959" s="122"/>
      <c r="B959" s="204"/>
      <c r="C959" s="204"/>
      <c r="D959" s="204"/>
      <c r="E959" s="205"/>
      <c r="F959" s="205"/>
      <c r="G959" s="205"/>
      <c r="H959" s="206"/>
      <c r="I959" s="207"/>
      <c r="J959" s="207"/>
      <c r="K959" s="207"/>
      <c r="L959" s="122"/>
      <c r="M959" s="207"/>
      <c r="N959" s="207"/>
      <c r="O959" s="122"/>
      <c r="P959" s="205"/>
      <c r="Q959" s="205"/>
      <c r="R959" s="205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</row>
    <row r="960">
      <c r="A960" s="122"/>
      <c r="B960" s="204"/>
      <c r="C960" s="204"/>
      <c r="D960" s="204"/>
      <c r="E960" s="205"/>
      <c r="F960" s="205"/>
      <c r="G960" s="205"/>
      <c r="H960" s="206"/>
      <c r="I960" s="207"/>
      <c r="J960" s="207"/>
      <c r="K960" s="207"/>
      <c r="L960" s="122"/>
      <c r="M960" s="207"/>
      <c r="N960" s="207"/>
      <c r="O960" s="122"/>
      <c r="P960" s="205"/>
      <c r="Q960" s="205"/>
      <c r="R960" s="205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</row>
    <row r="961">
      <c r="A961" s="122"/>
      <c r="B961" s="204"/>
      <c r="C961" s="204"/>
      <c r="D961" s="204"/>
      <c r="E961" s="205"/>
      <c r="F961" s="205"/>
      <c r="G961" s="205"/>
      <c r="H961" s="206"/>
      <c r="I961" s="207"/>
      <c r="J961" s="207"/>
      <c r="K961" s="207"/>
      <c r="L961" s="122"/>
      <c r="M961" s="207"/>
      <c r="N961" s="207"/>
      <c r="O961" s="122"/>
      <c r="P961" s="205"/>
      <c r="Q961" s="205"/>
      <c r="R961" s="205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</row>
    <row r="962">
      <c r="A962" s="122"/>
      <c r="B962" s="204"/>
      <c r="C962" s="204"/>
      <c r="D962" s="204"/>
      <c r="E962" s="205"/>
      <c r="F962" s="205"/>
      <c r="G962" s="205"/>
      <c r="H962" s="206"/>
      <c r="I962" s="207"/>
      <c r="J962" s="207"/>
      <c r="K962" s="207"/>
      <c r="L962" s="122"/>
      <c r="M962" s="207"/>
      <c r="N962" s="207"/>
      <c r="O962" s="122"/>
      <c r="P962" s="205"/>
      <c r="Q962" s="205"/>
      <c r="R962" s="205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</row>
    <row r="963">
      <c r="A963" s="122"/>
      <c r="B963" s="204"/>
      <c r="C963" s="204"/>
      <c r="D963" s="204"/>
      <c r="E963" s="205"/>
      <c r="F963" s="205"/>
      <c r="G963" s="205"/>
      <c r="H963" s="206"/>
      <c r="I963" s="207"/>
      <c r="J963" s="207"/>
      <c r="K963" s="207"/>
      <c r="L963" s="122"/>
      <c r="M963" s="207"/>
      <c r="N963" s="207"/>
      <c r="O963" s="122"/>
      <c r="P963" s="205"/>
      <c r="Q963" s="205"/>
      <c r="R963" s="205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</row>
    <row r="964">
      <c r="A964" s="122"/>
      <c r="B964" s="204"/>
      <c r="C964" s="204"/>
      <c r="D964" s="204"/>
      <c r="E964" s="205"/>
      <c r="F964" s="205"/>
      <c r="G964" s="205"/>
      <c r="H964" s="206"/>
      <c r="I964" s="207"/>
      <c r="J964" s="207"/>
      <c r="K964" s="207"/>
      <c r="L964" s="122"/>
      <c r="M964" s="207"/>
      <c r="N964" s="207"/>
      <c r="O964" s="122"/>
      <c r="P964" s="205"/>
      <c r="Q964" s="205"/>
      <c r="R964" s="205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</row>
    <row r="965">
      <c r="A965" s="122"/>
      <c r="B965" s="204"/>
      <c r="C965" s="204"/>
      <c r="D965" s="204"/>
      <c r="E965" s="205"/>
      <c r="F965" s="205"/>
      <c r="G965" s="205"/>
      <c r="H965" s="206"/>
      <c r="I965" s="207"/>
      <c r="J965" s="207"/>
      <c r="K965" s="207"/>
      <c r="L965" s="122"/>
      <c r="M965" s="207"/>
      <c r="N965" s="207"/>
      <c r="O965" s="122"/>
      <c r="P965" s="205"/>
      <c r="Q965" s="205"/>
      <c r="R965" s="205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</row>
    <row r="966">
      <c r="A966" s="122"/>
      <c r="B966" s="204"/>
      <c r="C966" s="204"/>
      <c r="D966" s="204"/>
      <c r="E966" s="205"/>
      <c r="F966" s="205"/>
      <c r="G966" s="205"/>
      <c r="H966" s="206"/>
      <c r="I966" s="207"/>
      <c r="J966" s="207"/>
      <c r="K966" s="207"/>
      <c r="L966" s="122"/>
      <c r="M966" s="207"/>
      <c r="N966" s="207"/>
      <c r="O966" s="122"/>
      <c r="P966" s="205"/>
      <c r="Q966" s="205"/>
      <c r="R966" s="205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</row>
    <row r="967">
      <c r="A967" s="122"/>
      <c r="B967" s="204"/>
      <c r="C967" s="204"/>
      <c r="D967" s="204"/>
      <c r="E967" s="205"/>
      <c r="F967" s="205"/>
      <c r="G967" s="205"/>
      <c r="H967" s="206"/>
      <c r="I967" s="207"/>
      <c r="J967" s="207"/>
      <c r="K967" s="207"/>
      <c r="L967" s="122"/>
      <c r="M967" s="207"/>
      <c r="N967" s="207"/>
      <c r="O967" s="122"/>
      <c r="P967" s="205"/>
      <c r="Q967" s="205"/>
      <c r="R967" s="205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</row>
    <row r="968">
      <c r="A968" s="122"/>
      <c r="B968" s="204"/>
      <c r="C968" s="204"/>
      <c r="D968" s="204"/>
      <c r="E968" s="205"/>
      <c r="F968" s="205"/>
      <c r="G968" s="205"/>
      <c r="H968" s="206"/>
      <c r="I968" s="207"/>
      <c r="J968" s="207"/>
      <c r="K968" s="207"/>
      <c r="L968" s="122"/>
      <c r="M968" s="207"/>
      <c r="N968" s="207"/>
      <c r="O968" s="122"/>
      <c r="P968" s="205"/>
      <c r="Q968" s="205"/>
      <c r="R968" s="205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</row>
    <row r="969">
      <c r="A969" s="122"/>
      <c r="B969" s="204"/>
      <c r="C969" s="204"/>
      <c r="D969" s="204"/>
      <c r="E969" s="205"/>
      <c r="F969" s="205"/>
      <c r="G969" s="205"/>
      <c r="H969" s="206"/>
      <c r="I969" s="207"/>
      <c r="J969" s="207"/>
      <c r="K969" s="207"/>
      <c r="L969" s="122"/>
      <c r="M969" s="207"/>
      <c r="N969" s="207"/>
      <c r="O969" s="122"/>
      <c r="P969" s="205"/>
      <c r="Q969" s="205"/>
      <c r="R969" s="205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</row>
    <row r="970">
      <c r="A970" s="122"/>
      <c r="B970" s="204"/>
      <c r="C970" s="204"/>
      <c r="D970" s="204"/>
      <c r="E970" s="205"/>
      <c r="F970" s="205"/>
      <c r="G970" s="205"/>
      <c r="H970" s="206"/>
      <c r="I970" s="207"/>
      <c r="J970" s="207"/>
      <c r="K970" s="207"/>
      <c r="L970" s="122"/>
      <c r="M970" s="207"/>
      <c r="N970" s="207"/>
      <c r="O970" s="122"/>
      <c r="P970" s="205"/>
      <c r="Q970" s="205"/>
      <c r="R970" s="205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</row>
    <row r="971">
      <c r="A971" s="122"/>
      <c r="B971" s="204"/>
      <c r="C971" s="204"/>
      <c r="D971" s="204"/>
      <c r="E971" s="205"/>
      <c r="F971" s="205"/>
      <c r="G971" s="205"/>
      <c r="H971" s="206"/>
      <c r="I971" s="207"/>
      <c r="J971" s="207"/>
      <c r="K971" s="207"/>
      <c r="L971" s="122"/>
      <c r="M971" s="207"/>
      <c r="N971" s="207"/>
      <c r="O971" s="122"/>
      <c r="P971" s="205"/>
      <c r="Q971" s="205"/>
      <c r="R971" s="205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</row>
    <row r="972">
      <c r="A972" s="122"/>
      <c r="B972" s="204"/>
      <c r="C972" s="204"/>
      <c r="D972" s="204"/>
      <c r="E972" s="205"/>
      <c r="F972" s="205"/>
      <c r="G972" s="205"/>
      <c r="H972" s="206"/>
      <c r="I972" s="207"/>
      <c r="J972" s="207"/>
      <c r="K972" s="207"/>
      <c r="L972" s="122"/>
      <c r="M972" s="207"/>
      <c r="N972" s="207"/>
      <c r="O972" s="122"/>
      <c r="P972" s="205"/>
      <c r="Q972" s="205"/>
      <c r="R972" s="205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</row>
    <row r="973">
      <c r="A973" s="122"/>
      <c r="B973" s="204"/>
      <c r="C973" s="204"/>
      <c r="D973" s="204"/>
      <c r="E973" s="205"/>
      <c r="F973" s="205"/>
      <c r="G973" s="205"/>
      <c r="H973" s="206"/>
      <c r="I973" s="207"/>
      <c r="J973" s="207"/>
      <c r="K973" s="207"/>
      <c r="L973" s="122"/>
      <c r="M973" s="207"/>
      <c r="N973" s="207"/>
      <c r="O973" s="122"/>
      <c r="P973" s="205"/>
      <c r="Q973" s="205"/>
      <c r="R973" s="205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</row>
    <row r="974">
      <c r="A974" s="122"/>
      <c r="B974" s="204"/>
      <c r="C974" s="204"/>
      <c r="D974" s="204"/>
      <c r="E974" s="205"/>
      <c r="F974" s="205"/>
      <c r="G974" s="205"/>
      <c r="H974" s="206"/>
      <c r="I974" s="207"/>
      <c r="J974" s="207"/>
      <c r="K974" s="207"/>
      <c r="L974" s="122"/>
      <c r="M974" s="207"/>
      <c r="N974" s="207"/>
      <c r="O974" s="122"/>
      <c r="P974" s="205"/>
      <c r="Q974" s="205"/>
      <c r="R974" s="205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</row>
    <row r="975">
      <c r="A975" s="122"/>
      <c r="B975" s="204"/>
      <c r="C975" s="204"/>
      <c r="D975" s="204"/>
      <c r="E975" s="205"/>
      <c r="F975" s="205"/>
      <c r="G975" s="205"/>
      <c r="H975" s="206"/>
      <c r="I975" s="207"/>
      <c r="J975" s="207"/>
      <c r="K975" s="207"/>
      <c r="L975" s="122"/>
      <c r="M975" s="207"/>
      <c r="N975" s="207"/>
      <c r="O975" s="122"/>
      <c r="P975" s="205"/>
      <c r="Q975" s="205"/>
      <c r="R975" s="205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</row>
    <row r="976">
      <c r="A976" s="122"/>
      <c r="B976" s="204"/>
      <c r="C976" s="204"/>
      <c r="D976" s="204"/>
      <c r="E976" s="205"/>
      <c r="F976" s="205"/>
      <c r="G976" s="205"/>
      <c r="H976" s="206"/>
      <c r="I976" s="207"/>
      <c r="J976" s="207"/>
      <c r="K976" s="207"/>
      <c r="L976" s="122"/>
      <c r="M976" s="207"/>
      <c r="N976" s="207"/>
      <c r="O976" s="122"/>
      <c r="P976" s="205"/>
      <c r="Q976" s="205"/>
      <c r="R976" s="205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</row>
    <row r="977">
      <c r="A977" s="122"/>
      <c r="B977" s="204"/>
      <c r="C977" s="204"/>
      <c r="D977" s="204"/>
      <c r="E977" s="205"/>
      <c r="F977" s="205"/>
      <c r="G977" s="205"/>
      <c r="H977" s="206"/>
      <c r="I977" s="207"/>
      <c r="J977" s="207"/>
      <c r="K977" s="207"/>
      <c r="L977" s="122"/>
      <c r="M977" s="207"/>
      <c r="N977" s="207"/>
      <c r="O977" s="122"/>
      <c r="P977" s="205"/>
      <c r="Q977" s="205"/>
      <c r="R977" s="205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</row>
    <row r="978">
      <c r="A978" s="122"/>
      <c r="B978" s="204"/>
      <c r="C978" s="204"/>
      <c r="D978" s="204"/>
      <c r="E978" s="205"/>
      <c r="F978" s="205"/>
      <c r="G978" s="205"/>
      <c r="H978" s="206"/>
      <c r="I978" s="207"/>
      <c r="J978" s="207"/>
      <c r="K978" s="207"/>
      <c r="L978" s="122"/>
      <c r="M978" s="207"/>
      <c r="N978" s="207"/>
      <c r="O978" s="122"/>
      <c r="P978" s="205"/>
      <c r="Q978" s="205"/>
      <c r="R978" s="205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</row>
    <row r="979">
      <c r="A979" s="122"/>
      <c r="B979" s="204"/>
      <c r="C979" s="204"/>
      <c r="D979" s="204"/>
      <c r="E979" s="205"/>
      <c r="F979" s="205"/>
      <c r="G979" s="205"/>
      <c r="H979" s="206"/>
      <c r="I979" s="207"/>
      <c r="J979" s="207"/>
      <c r="K979" s="207"/>
      <c r="L979" s="122"/>
      <c r="M979" s="207"/>
      <c r="N979" s="207"/>
      <c r="O979" s="122"/>
      <c r="P979" s="205"/>
      <c r="Q979" s="205"/>
      <c r="R979" s="205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</row>
    <row r="980">
      <c r="A980" s="122"/>
      <c r="B980" s="204"/>
      <c r="C980" s="204"/>
      <c r="D980" s="204"/>
      <c r="E980" s="205"/>
      <c r="F980" s="205"/>
      <c r="G980" s="205"/>
      <c r="H980" s="206"/>
      <c r="I980" s="207"/>
      <c r="J980" s="207"/>
      <c r="K980" s="207"/>
      <c r="L980" s="122"/>
      <c r="M980" s="207"/>
      <c r="N980" s="207"/>
      <c r="O980" s="122"/>
      <c r="P980" s="205"/>
      <c r="Q980" s="205"/>
      <c r="R980" s="205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</row>
    <row r="981">
      <c r="A981" s="122"/>
      <c r="B981" s="204"/>
      <c r="C981" s="204"/>
      <c r="D981" s="204"/>
      <c r="E981" s="205"/>
      <c r="F981" s="205"/>
      <c r="G981" s="205"/>
      <c r="H981" s="206"/>
      <c r="I981" s="207"/>
      <c r="J981" s="207"/>
      <c r="K981" s="207"/>
      <c r="L981" s="122"/>
      <c r="M981" s="207"/>
      <c r="N981" s="207"/>
      <c r="O981" s="122"/>
      <c r="P981" s="205"/>
      <c r="Q981" s="205"/>
      <c r="R981" s="205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</row>
    <row r="982">
      <c r="A982" s="122"/>
      <c r="B982" s="204"/>
      <c r="C982" s="204"/>
      <c r="D982" s="204"/>
      <c r="E982" s="205"/>
      <c r="F982" s="205"/>
      <c r="G982" s="205"/>
      <c r="H982" s="206"/>
      <c r="I982" s="207"/>
      <c r="J982" s="207"/>
      <c r="K982" s="207"/>
      <c r="L982" s="122"/>
      <c r="M982" s="207"/>
      <c r="N982" s="207"/>
      <c r="O982" s="122"/>
      <c r="P982" s="205"/>
      <c r="Q982" s="205"/>
      <c r="R982" s="205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</row>
    <row r="983">
      <c r="A983" s="122"/>
      <c r="B983" s="204"/>
      <c r="C983" s="204"/>
      <c r="D983" s="204"/>
      <c r="E983" s="205"/>
      <c r="F983" s="205"/>
      <c r="G983" s="205"/>
      <c r="H983" s="206"/>
      <c r="I983" s="207"/>
      <c r="J983" s="207"/>
      <c r="K983" s="207"/>
      <c r="L983" s="122"/>
      <c r="M983" s="207"/>
      <c r="N983" s="207"/>
      <c r="O983" s="122"/>
      <c r="P983" s="205"/>
      <c r="Q983" s="205"/>
      <c r="R983" s="205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</row>
    <row r="984">
      <c r="A984" s="122"/>
      <c r="B984" s="204"/>
      <c r="C984" s="204"/>
      <c r="D984" s="204"/>
      <c r="E984" s="205"/>
      <c r="F984" s="205"/>
      <c r="G984" s="205"/>
      <c r="H984" s="206"/>
      <c r="I984" s="207"/>
      <c r="J984" s="207"/>
      <c r="K984" s="207"/>
      <c r="L984" s="122"/>
      <c r="M984" s="207"/>
      <c r="N984" s="207"/>
      <c r="O984" s="122"/>
      <c r="P984" s="205"/>
      <c r="Q984" s="205"/>
      <c r="R984" s="205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</row>
    <row r="985">
      <c r="A985" s="122"/>
      <c r="B985" s="204"/>
      <c r="C985" s="204"/>
      <c r="D985" s="204"/>
      <c r="E985" s="205"/>
      <c r="F985" s="205"/>
      <c r="G985" s="205"/>
      <c r="H985" s="206"/>
      <c r="I985" s="207"/>
      <c r="J985" s="207"/>
      <c r="K985" s="207"/>
      <c r="L985" s="122"/>
      <c r="M985" s="207"/>
      <c r="N985" s="207"/>
      <c r="O985" s="122"/>
      <c r="P985" s="205"/>
      <c r="Q985" s="205"/>
      <c r="R985" s="205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</row>
    <row r="986">
      <c r="A986" s="122"/>
      <c r="B986" s="204"/>
      <c r="C986" s="204"/>
      <c r="D986" s="204"/>
      <c r="E986" s="205"/>
      <c r="F986" s="205"/>
      <c r="G986" s="205"/>
      <c r="H986" s="206"/>
      <c r="I986" s="207"/>
      <c r="J986" s="207"/>
      <c r="K986" s="207"/>
      <c r="L986" s="122"/>
      <c r="M986" s="207"/>
      <c r="N986" s="207"/>
      <c r="O986" s="122"/>
      <c r="P986" s="205"/>
      <c r="Q986" s="205"/>
      <c r="R986" s="205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</row>
    <row r="987">
      <c r="A987" s="122"/>
      <c r="B987" s="204"/>
      <c r="C987" s="204"/>
      <c r="D987" s="204"/>
      <c r="E987" s="205"/>
      <c r="F987" s="205"/>
      <c r="G987" s="205"/>
      <c r="H987" s="206"/>
      <c r="I987" s="207"/>
      <c r="J987" s="207"/>
      <c r="K987" s="207"/>
      <c r="L987" s="122"/>
      <c r="M987" s="207"/>
      <c r="N987" s="207"/>
      <c r="O987" s="122"/>
      <c r="P987" s="205"/>
      <c r="Q987" s="205"/>
      <c r="R987" s="205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</row>
    <row r="988">
      <c r="A988" s="122"/>
      <c r="B988" s="204"/>
      <c r="C988" s="204"/>
      <c r="D988" s="204"/>
      <c r="E988" s="205"/>
      <c r="F988" s="205"/>
      <c r="G988" s="205"/>
      <c r="H988" s="206"/>
      <c r="I988" s="207"/>
      <c r="J988" s="207"/>
      <c r="K988" s="207"/>
      <c r="L988" s="122"/>
      <c r="M988" s="207"/>
      <c r="N988" s="207"/>
      <c r="O988" s="122"/>
      <c r="P988" s="205"/>
      <c r="Q988" s="205"/>
      <c r="R988" s="205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</row>
    <row r="989">
      <c r="A989" s="122"/>
      <c r="B989" s="204"/>
      <c r="C989" s="204"/>
      <c r="D989" s="204"/>
      <c r="E989" s="205"/>
      <c r="F989" s="205"/>
      <c r="G989" s="205"/>
      <c r="H989" s="206"/>
      <c r="I989" s="207"/>
      <c r="J989" s="207"/>
      <c r="K989" s="207"/>
      <c r="L989" s="122"/>
      <c r="M989" s="207"/>
      <c r="N989" s="207"/>
      <c r="O989" s="122"/>
      <c r="P989" s="205"/>
      <c r="Q989" s="205"/>
      <c r="R989" s="205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</row>
    <row r="990">
      <c r="A990" s="122"/>
      <c r="B990" s="204"/>
      <c r="C990" s="204"/>
      <c r="D990" s="204"/>
      <c r="E990" s="205"/>
      <c r="F990" s="205"/>
      <c r="G990" s="205"/>
      <c r="H990" s="206"/>
      <c r="I990" s="207"/>
      <c r="J990" s="207"/>
      <c r="K990" s="207"/>
      <c r="L990" s="122"/>
      <c r="M990" s="207"/>
      <c r="N990" s="207"/>
      <c r="O990" s="122"/>
      <c r="P990" s="205"/>
      <c r="Q990" s="205"/>
      <c r="R990" s="205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</row>
    <row r="991">
      <c r="A991" s="122"/>
      <c r="B991" s="204"/>
      <c r="C991" s="204"/>
      <c r="D991" s="204"/>
      <c r="E991" s="205"/>
      <c r="F991" s="205"/>
      <c r="G991" s="205"/>
      <c r="H991" s="206"/>
      <c r="I991" s="207"/>
      <c r="J991" s="207"/>
      <c r="K991" s="207"/>
      <c r="L991" s="122"/>
      <c r="M991" s="207"/>
      <c r="N991" s="207"/>
      <c r="O991" s="122"/>
      <c r="P991" s="205"/>
      <c r="Q991" s="205"/>
      <c r="R991" s="205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</row>
    <row r="992">
      <c r="A992" s="122"/>
      <c r="B992" s="204"/>
      <c r="C992" s="204"/>
      <c r="D992" s="204"/>
      <c r="E992" s="205"/>
      <c r="F992" s="205"/>
      <c r="G992" s="205"/>
      <c r="H992" s="206"/>
      <c r="I992" s="207"/>
      <c r="J992" s="207"/>
      <c r="K992" s="207"/>
      <c r="L992" s="122"/>
      <c r="M992" s="207"/>
      <c r="N992" s="207"/>
      <c r="O992" s="122"/>
      <c r="P992" s="205"/>
      <c r="Q992" s="205"/>
      <c r="R992" s="205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</row>
    <row r="993">
      <c r="A993" s="122"/>
      <c r="B993" s="204"/>
      <c r="C993" s="204"/>
      <c r="D993" s="204"/>
      <c r="E993" s="205"/>
      <c r="F993" s="205"/>
      <c r="G993" s="205"/>
      <c r="H993" s="206"/>
      <c r="I993" s="207"/>
      <c r="J993" s="207"/>
      <c r="K993" s="207"/>
      <c r="L993" s="122"/>
      <c r="M993" s="207"/>
      <c r="N993" s="207"/>
      <c r="O993" s="122"/>
      <c r="P993" s="205"/>
      <c r="Q993" s="205"/>
      <c r="R993" s="205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</row>
    <row r="994">
      <c r="A994" s="122"/>
      <c r="B994" s="204"/>
      <c r="C994" s="204"/>
      <c r="D994" s="204"/>
      <c r="E994" s="205"/>
      <c r="F994" s="205"/>
      <c r="G994" s="205"/>
      <c r="H994" s="206"/>
      <c r="I994" s="207"/>
      <c r="J994" s="207"/>
      <c r="K994" s="207"/>
      <c r="L994" s="122"/>
      <c r="M994" s="207"/>
      <c r="N994" s="207"/>
      <c r="O994" s="122"/>
      <c r="P994" s="205"/>
      <c r="Q994" s="205"/>
      <c r="R994" s="205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</row>
    <row r="995">
      <c r="A995" s="122"/>
      <c r="B995" s="204"/>
      <c r="C995" s="204"/>
      <c r="D995" s="204"/>
      <c r="E995" s="205"/>
      <c r="F995" s="205"/>
      <c r="G995" s="205"/>
      <c r="H995" s="206"/>
      <c r="I995" s="207"/>
      <c r="J995" s="207"/>
      <c r="K995" s="207"/>
      <c r="L995" s="122"/>
      <c r="M995" s="207"/>
      <c r="N995" s="207"/>
      <c r="O995" s="122"/>
      <c r="P995" s="205"/>
      <c r="Q995" s="205"/>
      <c r="R995" s="205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</row>
    <row r="996">
      <c r="A996" s="122"/>
      <c r="B996" s="204"/>
      <c r="C996" s="204"/>
      <c r="D996" s="204"/>
      <c r="E996" s="205"/>
      <c r="F996" s="205"/>
      <c r="G996" s="205"/>
      <c r="H996" s="206"/>
      <c r="I996" s="207"/>
      <c r="J996" s="207"/>
      <c r="K996" s="207"/>
      <c r="L996" s="122"/>
      <c r="M996" s="207"/>
      <c r="N996" s="207"/>
      <c r="O996" s="122"/>
      <c r="P996" s="205"/>
      <c r="Q996" s="205"/>
      <c r="R996" s="205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</row>
    <row r="997">
      <c r="A997" s="122"/>
      <c r="B997" s="204"/>
      <c r="C997" s="204"/>
      <c r="D997" s="204"/>
      <c r="E997" s="205"/>
      <c r="F997" s="205"/>
      <c r="G997" s="205"/>
      <c r="H997" s="206"/>
      <c r="I997" s="207"/>
      <c r="J997" s="207"/>
      <c r="K997" s="207"/>
      <c r="L997" s="122"/>
      <c r="M997" s="207"/>
      <c r="N997" s="207"/>
      <c r="O997" s="122"/>
      <c r="P997" s="205"/>
      <c r="Q997" s="205"/>
      <c r="R997" s="205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</row>
    <row r="998">
      <c r="A998" s="122"/>
      <c r="B998" s="204"/>
      <c r="C998" s="204"/>
      <c r="D998" s="204"/>
      <c r="E998" s="205"/>
      <c r="F998" s="205"/>
      <c r="G998" s="205"/>
      <c r="H998" s="206"/>
      <c r="I998" s="207"/>
      <c r="J998" s="207"/>
      <c r="K998" s="207"/>
      <c r="L998" s="122"/>
      <c r="M998" s="207"/>
      <c r="N998" s="207"/>
      <c r="O998" s="122"/>
      <c r="P998" s="205"/>
      <c r="Q998" s="205"/>
      <c r="R998" s="205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</row>
    <row r="999">
      <c r="A999" s="122"/>
      <c r="B999" s="204"/>
      <c r="C999" s="204"/>
      <c r="D999" s="204"/>
      <c r="E999" s="205"/>
      <c r="F999" s="205"/>
      <c r="G999" s="205"/>
      <c r="H999" s="206"/>
      <c r="I999" s="207"/>
      <c r="J999" s="207"/>
      <c r="K999" s="207"/>
      <c r="L999" s="122"/>
      <c r="M999" s="207"/>
      <c r="N999" s="207"/>
      <c r="O999" s="122"/>
      <c r="P999" s="205"/>
      <c r="Q999" s="205"/>
      <c r="R999" s="205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</row>
    <row r="1000">
      <c r="A1000" s="122"/>
      <c r="B1000" s="204"/>
      <c r="C1000" s="204"/>
      <c r="D1000" s="204"/>
      <c r="E1000" s="205"/>
      <c r="F1000" s="205"/>
      <c r="G1000" s="205"/>
      <c r="H1000" s="206"/>
      <c r="I1000" s="207"/>
      <c r="J1000" s="207"/>
      <c r="K1000" s="207"/>
      <c r="L1000" s="122"/>
      <c r="M1000" s="207"/>
      <c r="N1000" s="207"/>
      <c r="O1000" s="122"/>
      <c r="P1000" s="205"/>
      <c r="Q1000" s="205"/>
      <c r="R1000" s="205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</row>
    <row r="1001">
      <c r="A1001" s="122"/>
      <c r="B1001" s="204"/>
      <c r="C1001" s="204"/>
      <c r="D1001" s="204"/>
      <c r="E1001" s="205"/>
      <c r="F1001" s="205"/>
      <c r="G1001" s="205"/>
      <c r="H1001" s="206"/>
      <c r="I1001" s="207"/>
      <c r="J1001" s="207"/>
      <c r="K1001" s="207"/>
      <c r="L1001" s="122"/>
      <c r="M1001" s="207"/>
      <c r="N1001" s="207"/>
      <c r="O1001" s="122"/>
      <c r="P1001" s="205"/>
      <c r="Q1001" s="205"/>
      <c r="R1001" s="205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2"/>
    </row>
    <row r="1002">
      <c r="A1002" s="122"/>
      <c r="B1002" s="204"/>
      <c r="C1002" s="204"/>
      <c r="D1002" s="204"/>
      <c r="E1002" s="205"/>
      <c r="F1002" s="205"/>
      <c r="G1002" s="205"/>
      <c r="H1002" s="206"/>
      <c r="I1002" s="207"/>
      <c r="J1002" s="207"/>
      <c r="K1002" s="207"/>
      <c r="L1002" s="122"/>
      <c r="M1002" s="207"/>
      <c r="N1002" s="207"/>
      <c r="O1002" s="122"/>
      <c r="P1002" s="205"/>
      <c r="Q1002" s="205"/>
      <c r="R1002" s="205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2"/>
    </row>
    <row r="1003">
      <c r="A1003" s="122"/>
      <c r="B1003" s="204"/>
      <c r="C1003" s="204"/>
      <c r="D1003" s="204"/>
      <c r="E1003" s="205"/>
      <c r="F1003" s="205"/>
      <c r="G1003" s="205"/>
      <c r="H1003" s="206"/>
      <c r="I1003" s="207"/>
      <c r="J1003" s="207"/>
      <c r="K1003" s="207"/>
      <c r="L1003" s="122"/>
      <c r="M1003" s="207"/>
      <c r="N1003" s="207"/>
      <c r="O1003" s="122"/>
      <c r="P1003" s="205"/>
      <c r="Q1003" s="205"/>
      <c r="R1003" s="205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2"/>
    </row>
    <row r="1004">
      <c r="A1004" s="122"/>
      <c r="B1004" s="204"/>
      <c r="C1004" s="204"/>
      <c r="D1004" s="204"/>
      <c r="E1004" s="205"/>
      <c r="F1004" s="205"/>
      <c r="G1004" s="205"/>
      <c r="H1004" s="206"/>
      <c r="I1004" s="207"/>
      <c r="J1004" s="207"/>
      <c r="K1004" s="207"/>
      <c r="L1004" s="122"/>
      <c r="M1004" s="207"/>
      <c r="N1004" s="207"/>
      <c r="O1004" s="122"/>
      <c r="P1004" s="205"/>
      <c r="Q1004" s="205"/>
      <c r="R1004" s="205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2"/>
    </row>
    <row r="1005">
      <c r="A1005" s="122"/>
      <c r="B1005" s="204"/>
      <c r="C1005" s="204"/>
      <c r="D1005" s="204"/>
      <c r="E1005" s="205"/>
      <c r="F1005" s="205"/>
      <c r="G1005" s="205"/>
      <c r="H1005" s="206"/>
      <c r="I1005" s="207"/>
      <c r="J1005" s="207"/>
      <c r="K1005" s="207"/>
      <c r="L1005" s="122"/>
      <c r="M1005" s="207"/>
      <c r="N1005" s="207"/>
      <c r="O1005" s="122"/>
      <c r="P1005" s="205"/>
      <c r="Q1005" s="205"/>
      <c r="R1005" s="205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2"/>
    </row>
    <row r="1006">
      <c r="A1006" s="122"/>
      <c r="B1006" s="204"/>
      <c r="C1006" s="204"/>
      <c r="D1006" s="204"/>
      <c r="E1006" s="205"/>
      <c r="F1006" s="205"/>
      <c r="G1006" s="205"/>
      <c r="H1006" s="206"/>
      <c r="I1006" s="207"/>
      <c r="J1006" s="207"/>
      <c r="K1006" s="207"/>
      <c r="L1006" s="122"/>
      <c r="M1006" s="207"/>
      <c r="N1006" s="207"/>
      <c r="O1006" s="122"/>
      <c r="P1006" s="205"/>
      <c r="Q1006" s="205"/>
      <c r="R1006" s="205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2"/>
    </row>
    <row r="1007">
      <c r="A1007" s="122"/>
      <c r="B1007" s="204"/>
      <c r="C1007" s="204"/>
      <c r="D1007" s="204"/>
      <c r="E1007" s="205"/>
      <c r="F1007" s="205"/>
      <c r="G1007" s="205"/>
      <c r="H1007" s="206"/>
      <c r="I1007" s="207"/>
      <c r="J1007" s="207"/>
      <c r="K1007" s="207"/>
      <c r="L1007" s="122"/>
      <c r="M1007" s="207"/>
      <c r="N1007" s="207"/>
      <c r="O1007" s="122"/>
      <c r="P1007" s="205"/>
      <c r="Q1007" s="205"/>
      <c r="R1007" s="205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2"/>
    </row>
    <row r="1008">
      <c r="A1008" s="122"/>
      <c r="B1008" s="204"/>
      <c r="C1008" s="204"/>
      <c r="D1008" s="204"/>
      <c r="E1008" s="205"/>
      <c r="F1008" s="205"/>
      <c r="G1008" s="205"/>
      <c r="H1008" s="206"/>
      <c r="I1008" s="207"/>
      <c r="J1008" s="207"/>
      <c r="K1008" s="207"/>
      <c r="L1008" s="122"/>
      <c r="M1008" s="207"/>
      <c r="N1008" s="207"/>
      <c r="O1008" s="122"/>
      <c r="P1008" s="205"/>
      <c r="Q1008" s="205"/>
      <c r="R1008" s="205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2"/>
    </row>
    <row r="1009">
      <c r="A1009" s="122"/>
      <c r="B1009" s="204"/>
      <c r="C1009" s="204"/>
      <c r="D1009" s="204"/>
      <c r="E1009" s="205"/>
      <c r="F1009" s="205"/>
      <c r="G1009" s="205"/>
      <c r="H1009" s="206"/>
      <c r="I1009" s="207"/>
      <c r="J1009" s="207"/>
      <c r="K1009" s="207"/>
      <c r="L1009" s="122"/>
      <c r="M1009" s="207"/>
      <c r="N1009" s="207"/>
      <c r="O1009" s="122"/>
      <c r="P1009" s="205"/>
      <c r="Q1009" s="205"/>
      <c r="R1009" s="205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  <c r="AD1009" s="122"/>
    </row>
    <row r="1010">
      <c r="A1010" s="122"/>
      <c r="B1010" s="204"/>
      <c r="C1010" s="204"/>
      <c r="D1010" s="204"/>
      <c r="E1010" s="205"/>
      <c r="F1010" s="205"/>
      <c r="G1010" s="205"/>
      <c r="H1010" s="206"/>
      <c r="I1010" s="207"/>
      <c r="J1010" s="207"/>
      <c r="K1010" s="207"/>
      <c r="L1010" s="122"/>
      <c r="M1010" s="207"/>
      <c r="N1010" s="207"/>
      <c r="O1010" s="122"/>
      <c r="P1010" s="205"/>
      <c r="Q1010" s="205"/>
      <c r="R1010" s="205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  <c r="AD1010" s="122"/>
    </row>
    <row r="1011">
      <c r="A1011" s="122"/>
      <c r="B1011" s="204"/>
      <c r="C1011" s="204"/>
      <c r="D1011" s="204"/>
      <c r="E1011" s="205"/>
      <c r="F1011" s="205"/>
      <c r="G1011" s="205"/>
      <c r="H1011" s="206"/>
      <c r="I1011" s="207"/>
      <c r="J1011" s="207"/>
      <c r="K1011" s="207"/>
      <c r="L1011" s="122"/>
      <c r="M1011" s="207"/>
      <c r="N1011" s="207"/>
      <c r="O1011" s="122"/>
      <c r="P1011" s="205"/>
      <c r="Q1011" s="205"/>
      <c r="R1011" s="205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  <c r="AD1011" s="122"/>
    </row>
  </sheetData>
  <mergeCells count="11">
    <mergeCell ref="L2:L3"/>
    <mergeCell ref="N2:N3"/>
    <mergeCell ref="R2:R3"/>
    <mergeCell ref="J1:L1"/>
    <mergeCell ref="M1:O1"/>
    <mergeCell ref="B2:B3"/>
    <mergeCell ref="C2:C3"/>
    <mergeCell ref="D2:D3"/>
    <mergeCell ref="H2:H3"/>
    <mergeCell ref="K2:K3"/>
    <mergeCell ref="O2:O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4.0"/>
    <col customWidth="1" min="3" max="3" width="11.25"/>
    <col customWidth="1" min="4" max="4" width="9.75"/>
    <col customWidth="1" min="5" max="5" width="19.25"/>
    <col customWidth="1" min="6" max="6" width="18.88"/>
    <col customWidth="1" min="7" max="7" width="19.25"/>
    <col customWidth="1" min="8" max="8" width="40.25"/>
    <col customWidth="1" min="9" max="9" width="14.25"/>
    <col customWidth="1" hidden="1" min="10" max="10" width="14.25"/>
    <col customWidth="1" hidden="1" min="11" max="11" width="16.88"/>
    <col customWidth="1" hidden="1" min="12" max="12" width="12.13"/>
    <col customWidth="1" min="13" max="13" width="14.25"/>
    <col customWidth="1" min="14" max="14" width="16.88"/>
    <col customWidth="1" min="15" max="15" width="9.25"/>
    <col customWidth="1" min="16" max="16" width="21.63"/>
    <col customWidth="1" min="17" max="17" width="15.5"/>
    <col customWidth="1" min="18" max="18" width="34.38"/>
  </cols>
  <sheetData>
    <row r="1">
      <c r="A1" s="1"/>
      <c r="B1" s="2"/>
      <c r="C1" s="2"/>
      <c r="D1" s="2"/>
      <c r="E1" s="4"/>
      <c r="F1" s="4"/>
      <c r="G1" s="4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8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0</v>
      </c>
      <c r="C2" s="6" t="s">
        <v>1</v>
      </c>
      <c r="D2" s="24" t="s">
        <v>9</v>
      </c>
      <c r="E2" s="25" t="s">
        <v>10</v>
      </c>
      <c r="F2" s="25" t="s">
        <v>11</v>
      </c>
      <c r="G2" s="25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40"/>
      <c r="C3" s="26"/>
      <c r="D3" s="26"/>
      <c r="E3" s="208"/>
      <c r="F3" s="42"/>
      <c r="G3" s="208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203" t="s">
        <v>382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1" t="s">
        <v>383</v>
      </c>
      <c r="C4" s="53" t="s">
        <v>384</v>
      </c>
      <c r="D4" s="54"/>
      <c r="E4" s="104"/>
      <c r="F4" s="104"/>
      <c r="G4" s="104"/>
      <c r="H4" s="62" t="s">
        <v>48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71"/>
      <c r="C5" s="73"/>
      <c r="D5" s="74"/>
      <c r="E5" s="104"/>
      <c r="F5" s="104"/>
      <c r="G5" s="104"/>
      <c r="H5" s="76" t="s">
        <v>385</v>
      </c>
      <c r="I5" s="84">
        <f>423720/1.07</f>
        <v>396000</v>
      </c>
      <c r="J5" s="86"/>
      <c r="K5" s="87"/>
      <c r="L5" s="88"/>
      <c r="M5" s="86">
        <v>257060.0</v>
      </c>
      <c r="N5" s="87">
        <f>I5-M5</f>
        <v>138940</v>
      </c>
      <c r="O5" s="88">
        <f>N5/I5</f>
        <v>0.3508585859</v>
      </c>
      <c r="P5" s="59"/>
      <c r="Q5" s="59"/>
      <c r="R5" s="19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71"/>
      <c r="C6" s="73"/>
      <c r="D6" s="74"/>
      <c r="E6" s="104"/>
      <c r="F6" s="104"/>
      <c r="G6" s="104"/>
      <c r="H6" s="62" t="s">
        <v>188</v>
      </c>
      <c r="I6" s="102"/>
      <c r="J6" s="106"/>
      <c r="K6" s="87"/>
      <c r="L6" s="88"/>
      <c r="M6" s="87"/>
      <c r="N6" s="86"/>
      <c r="O6" s="103"/>
      <c r="P6" s="59"/>
      <c r="Q6" s="59"/>
      <c r="R6" s="18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71"/>
      <c r="C7" s="73"/>
      <c r="D7" s="74"/>
      <c r="E7" s="104"/>
      <c r="F7" s="104"/>
      <c r="G7" s="104"/>
      <c r="H7" s="76" t="s">
        <v>386</v>
      </c>
      <c r="I7" s="84">
        <f>20000/1.07</f>
        <v>18691.58879</v>
      </c>
      <c r="J7" s="86"/>
      <c r="K7" s="87"/>
      <c r="L7" s="88"/>
      <c r="M7" s="86">
        <v>12200.0</v>
      </c>
      <c r="N7" s="87">
        <f>I7-M7</f>
        <v>6491.588785</v>
      </c>
      <c r="O7" s="88">
        <f>N7/I7</f>
        <v>0.3473</v>
      </c>
      <c r="P7" s="59"/>
      <c r="Q7" s="59"/>
      <c r="R7" s="19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71"/>
      <c r="C8" s="73"/>
      <c r="D8" s="74"/>
      <c r="E8" s="104"/>
      <c r="F8" s="104"/>
      <c r="G8" s="104"/>
      <c r="H8" s="62" t="s">
        <v>192</v>
      </c>
      <c r="I8" s="114"/>
      <c r="J8" s="87"/>
      <c r="K8" s="87"/>
      <c r="L8" s="74"/>
      <c r="M8" s="87"/>
      <c r="N8" s="86"/>
      <c r="O8" s="103"/>
      <c r="P8" s="59"/>
      <c r="Q8" s="105"/>
      <c r="R8" s="18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71"/>
      <c r="C9" s="73"/>
      <c r="D9" s="74"/>
      <c r="E9" s="104"/>
      <c r="F9" s="104"/>
      <c r="G9" s="104"/>
      <c r="H9" s="76" t="s">
        <v>387</v>
      </c>
      <c r="I9" s="84">
        <f>30000/1.07</f>
        <v>28037.38318</v>
      </c>
      <c r="J9" s="86"/>
      <c r="K9" s="87"/>
      <c r="L9" s="88"/>
      <c r="M9" s="86">
        <v>15180.0</v>
      </c>
      <c r="N9" s="87">
        <f t="shared" ref="N9:N10" si="1">I9-M9</f>
        <v>12857.38318</v>
      </c>
      <c r="O9" s="88">
        <f t="shared" ref="O9:O10" si="2">N9/I9</f>
        <v>0.45858</v>
      </c>
      <c r="P9" s="59"/>
      <c r="Q9" s="59"/>
      <c r="R9" s="197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71"/>
      <c r="C10" s="73"/>
      <c r="D10" s="74"/>
      <c r="E10" s="104"/>
      <c r="F10" s="104"/>
      <c r="G10" s="104"/>
      <c r="H10" s="76" t="s">
        <v>388</v>
      </c>
      <c r="I10" s="84">
        <v>0.0</v>
      </c>
      <c r="J10" s="86"/>
      <c r="K10" s="87"/>
      <c r="L10" s="88"/>
      <c r="M10" s="86">
        <v>2500.0</v>
      </c>
      <c r="N10" s="87">
        <f t="shared" si="1"/>
        <v>-2500</v>
      </c>
      <c r="O10" s="88" t="str">
        <f t="shared" si="2"/>
        <v>#DIV/0!</v>
      </c>
      <c r="P10" s="59"/>
      <c r="Q10" s="59"/>
      <c r="R10" s="197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71"/>
      <c r="C11" s="73"/>
      <c r="D11" s="74"/>
      <c r="E11" s="104"/>
      <c r="F11" s="104"/>
      <c r="G11" s="104"/>
      <c r="H11" s="62" t="s">
        <v>202</v>
      </c>
      <c r="I11" s="102">
        <f>-23686/1.07</f>
        <v>-22136.4486</v>
      </c>
      <c r="J11" s="87"/>
      <c r="K11" s="87"/>
      <c r="L11" s="74"/>
      <c r="M11" s="87"/>
      <c r="N11" s="86"/>
      <c r="O11" s="103"/>
      <c r="P11" s="59"/>
      <c r="Q11" s="105"/>
      <c r="R11" s="18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71"/>
      <c r="C12" s="73"/>
      <c r="D12" s="74"/>
      <c r="E12" s="104"/>
      <c r="F12" s="104"/>
      <c r="G12" s="104"/>
      <c r="H12" s="109"/>
      <c r="I12" s="102">
        <f>-20034/1.07</f>
        <v>-18723.36449</v>
      </c>
      <c r="J12" s="87"/>
      <c r="K12" s="87"/>
      <c r="L12" s="74"/>
      <c r="M12" s="87"/>
      <c r="N12" s="86"/>
      <c r="O12" s="103"/>
      <c r="P12" s="59"/>
      <c r="Q12" s="105"/>
      <c r="R12" s="18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1"/>
      <c r="C13" s="73"/>
      <c r="D13" s="74"/>
      <c r="E13" s="104"/>
      <c r="F13" s="104"/>
      <c r="G13" s="104"/>
      <c r="H13" s="109"/>
      <c r="I13" s="114"/>
      <c r="J13" s="87"/>
      <c r="K13" s="87"/>
      <c r="L13" s="74"/>
      <c r="M13" s="87"/>
      <c r="N13" s="86"/>
      <c r="O13" s="103"/>
      <c r="P13" s="59"/>
      <c r="Q13" s="105"/>
      <c r="R13" s="18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1"/>
      <c r="C14" s="73"/>
      <c r="D14" s="74"/>
      <c r="E14" s="104"/>
      <c r="F14" s="104"/>
      <c r="G14" s="104"/>
      <c r="H14" s="109"/>
      <c r="I14" s="114"/>
      <c r="J14" s="87"/>
      <c r="K14" s="87"/>
      <c r="L14" s="74"/>
      <c r="M14" s="87"/>
      <c r="N14" s="86"/>
      <c r="O14" s="103"/>
      <c r="P14" s="59"/>
      <c r="Q14" s="105"/>
      <c r="R14" s="18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1"/>
      <c r="C15" s="73"/>
      <c r="D15" s="74"/>
      <c r="E15" s="104"/>
      <c r="F15" s="104"/>
      <c r="G15" s="104"/>
      <c r="H15" s="109"/>
      <c r="I15" s="114"/>
      <c r="J15" s="87"/>
      <c r="K15" s="87"/>
      <c r="L15" s="74"/>
      <c r="M15" s="87"/>
      <c r="N15" s="86"/>
      <c r="O15" s="103"/>
      <c r="P15" s="59"/>
      <c r="Q15" s="105"/>
      <c r="R15" s="18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1"/>
      <c r="C16" s="73"/>
      <c r="D16" s="74"/>
      <c r="E16" s="104"/>
      <c r="F16" s="104"/>
      <c r="G16" s="104"/>
      <c r="H16" s="109"/>
      <c r="I16" s="114"/>
      <c r="J16" s="87"/>
      <c r="K16" s="87"/>
      <c r="L16" s="74"/>
      <c r="M16" s="87"/>
      <c r="N16" s="86"/>
      <c r="O16" s="103"/>
      <c r="P16" s="59"/>
      <c r="Q16" s="105"/>
      <c r="R16" s="18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13" t="str">
        <f t="shared" ref="B17:C17" si="3">B4</f>
        <v>Origin Play Bangsaen</v>
      </c>
      <c r="C17" s="113" t="str">
        <f t="shared" si="3"/>
        <v>Room 1218</v>
      </c>
      <c r="D17" s="115">
        <f>SUM(D4:D16)</f>
        <v>0</v>
      </c>
      <c r="E17" s="116"/>
      <c r="F17" s="116"/>
      <c r="G17" s="116"/>
      <c r="H17" s="113" t="s">
        <v>95</v>
      </c>
      <c r="I17" s="118">
        <f t="shared" ref="I17:J17" si="4">SUM(I4:I16)</f>
        <v>401869.1589</v>
      </c>
      <c r="J17" s="118">
        <f t="shared" si="4"/>
        <v>0</v>
      </c>
      <c r="K17" s="118">
        <f>I17-J17</f>
        <v>401869.1589</v>
      </c>
      <c r="L17" s="119">
        <f>K17/I17</f>
        <v>1</v>
      </c>
      <c r="M17" s="118">
        <f>SUM(M4:M16)</f>
        <v>286940</v>
      </c>
      <c r="N17" s="118">
        <f>I17-M17</f>
        <v>114929.1589</v>
      </c>
      <c r="O17" s="119">
        <f>N17/I17</f>
        <v>0.2859865116</v>
      </c>
      <c r="P17" s="120"/>
      <c r="Q17" s="121"/>
      <c r="R17" s="12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22"/>
      <c r="B18" s="123"/>
      <c r="C18" s="124"/>
      <c r="D18" s="124"/>
      <c r="E18" s="125"/>
      <c r="F18" s="125"/>
      <c r="G18" s="125"/>
      <c r="H18" s="126"/>
      <c r="I18" s="127"/>
      <c r="J18" s="127"/>
      <c r="K18" s="127"/>
      <c r="L18" s="128"/>
      <c r="M18" s="127"/>
      <c r="N18" s="127"/>
      <c r="O18" s="128"/>
      <c r="P18" s="125"/>
      <c r="Q18" s="125"/>
      <c r="R18" s="125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</row>
    <row r="19">
      <c r="A19" s="122"/>
      <c r="B19" s="204"/>
      <c r="C19" s="204"/>
      <c r="D19" s="204"/>
      <c r="E19" s="205"/>
      <c r="F19" s="205"/>
      <c r="G19" s="205"/>
      <c r="H19" s="206"/>
      <c r="I19" s="207"/>
      <c r="J19" s="207"/>
      <c r="K19" s="207"/>
      <c r="L19" s="122"/>
      <c r="M19" s="207"/>
      <c r="N19" s="207"/>
      <c r="O19" s="122"/>
      <c r="P19" s="205"/>
      <c r="Q19" s="205"/>
      <c r="R19" s="205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</row>
    <row r="20">
      <c r="A20" s="122"/>
      <c r="B20" s="204"/>
      <c r="C20" s="204"/>
      <c r="D20" s="204"/>
      <c r="E20" s="205"/>
      <c r="F20" s="205"/>
      <c r="G20" s="205"/>
      <c r="H20" s="206"/>
      <c r="I20" s="207"/>
      <c r="J20" s="207"/>
      <c r="K20" s="207"/>
      <c r="L20" s="122"/>
      <c r="M20" s="207"/>
      <c r="N20" s="207"/>
      <c r="O20" s="122"/>
      <c r="P20" s="205"/>
      <c r="Q20" s="205"/>
      <c r="R20" s="205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</row>
    <row r="21">
      <c r="A21" s="122"/>
      <c r="B21" s="204"/>
      <c r="C21" s="204"/>
      <c r="D21" s="204"/>
      <c r="E21" s="205"/>
      <c r="F21" s="205"/>
      <c r="G21" s="205"/>
      <c r="H21" s="206"/>
      <c r="I21" s="207"/>
      <c r="J21" s="207"/>
      <c r="K21" s="207"/>
      <c r="L21" s="122"/>
      <c r="M21" s="207"/>
      <c r="N21" s="207"/>
      <c r="O21" s="122"/>
      <c r="P21" s="205"/>
      <c r="Q21" s="205"/>
      <c r="R21" s="205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</row>
    <row r="22">
      <c r="A22" s="122"/>
      <c r="B22" s="204"/>
      <c r="C22" s="204"/>
      <c r="D22" s="204"/>
      <c r="E22" s="205"/>
      <c r="F22" s="205"/>
      <c r="G22" s="205"/>
      <c r="H22" s="206"/>
      <c r="I22" s="207"/>
      <c r="J22" s="207"/>
      <c r="K22" s="207"/>
      <c r="L22" s="122"/>
      <c r="M22" s="207"/>
      <c r="N22" s="207"/>
      <c r="O22" s="122"/>
      <c r="P22" s="205"/>
      <c r="Q22" s="205"/>
      <c r="R22" s="205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>
      <c r="A23" s="122"/>
      <c r="B23" s="204"/>
      <c r="C23" s="204"/>
      <c r="D23" s="204"/>
      <c r="E23" s="205"/>
      <c r="F23" s="205"/>
      <c r="G23" s="205"/>
      <c r="H23" s="206"/>
      <c r="I23" s="207"/>
      <c r="J23" s="207"/>
      <c r="K23" s="207"/>
      <c r="L23" s="122"/>
      <c r="M23" s="207"/>
      <c r="N23" s="207"/>
      <c r="O23" s="122"/>
      <c r="P23" s="205"/>
      <c r="Q23" s="205"/>
      <c r="R23" s="205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</row>
    <row r="24">
      <c r="A24" s="122"/>
      <c r="B24" s="204"/>
      <c r="C24" s="204"/>
      <c r="D24" s="204"/>
      <c r="E24" s="205"/>
      <c r="F24" s="205"/>
      <c r="G24" s="205"/>
      <c r="H24" s="206"/>
      <c r="I24" s="207"/>
      <c r="J24" s="207"/>
      <c r="K24" s="207"/>
      <c r="L24" s="122"/>
      <c r="M24" s="207"/>
      <c r="N24" s="207"/>
      <c r="O24" s="122"/>
      <c r="P24" s="205"/>
      <c r="Q24" s="205"/>
      <c r="R24" s="205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</row>
    <row r="25">
      <c r="A25" s="122"/>
      <c r="B25" s="204"/>
      <c r="C25" s="204"/>
      <c r="D25" s="204"/>
      <c r="E25" s="205"/>
      <c r="F25" s="205"/>
      <c r="G25" s="205"/>
      <c r="H25" s="206"/>
      <c r="I25" s="207"/>
      <c r="J25" s="207"/>
      <c r="K25" s="207"/>
      <c r="L25" s="122"/>
      <c r="M25" s="207"/>
      <c r="N25" s="207"/>
      <c r="O25" s="122"/>
      <c r="P25" s="205"/>
      <c r="Q25" s="205"/>
      <c r="R25" s="205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</row>
    <row r="26">
      <c r="A26" s="122"/>
      <c r="B26" s="204"/>
      <c r="C26" s="204"/>
      <c r="D26" s="204"/>
      <c r="E26" s="205"/>
      <c r="F26" s="205"/>
      <c r="G26" s="205"/>
      <c r="H26" s="206"/>
      <c r="I26" s="207"/>
      <c r="J26" s="207"/>
      <c r="K26" s="207"/>
      <c r="L26" s="122"/>
      <c r="M26" s="207"/>
      <c r="N26" s="207"/>
      <c r="O26" s="122"/>
      <c r="P26" s="205"/>
      <c r="Q26" s="205"/>
      <c r="R26" s="205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</row>
    <row r="27">
      <c r="A27" s="122"/>
      <c r="B27" s="204"/>
      <c r="C27" s="204"/>
      <c r="D27" s="204"/>
      <c r="E27" s="205"/>
      <c r="F27" s="205"/>
      <c r="G27" s="205"/>
      <c r="H27" s="206"/>
      <c r="I27" s="207"/>
      <c r="J27" s="207"/>
      <c r="K27" s="207"/>
      <c r="L27" s="122"/>
      <c r="M27" s="207"/>
      <c r="N27" s="207"/>
      <c r="O27" s="122"/>
      <c r="P27" s="205"/>
      <c r="Q27" s="205"/>
      <c r="R27" s="205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</row>
    <row r="28">
      <c r="A28" s="122"/>
      <c r="B28" s="204"/>
      <c r="C28" s="204"/>
      <c r="D28" s="204"/>
      <c r="E28" s="205"/>
      <c r="F28" s="205"/>
      <c r="G28" s="205"/>
      <c r="H28" s="206"/>
      <c r="I28" s="207"/>
      <c r="J28" s="207"/>
      <c r="K28" s="207"/>
      <c r="L28" s="122"/>
      <c r="M28" s="207"/>
      <c r="N28" s="207"/>
      <c r="O28" s="122"/>
      <c r="P28" s="205"/>
      <c r="Q28" s="205"/>
      <c r="R28" s="205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</row>
    <row r="29">
      <c r="A29" s="122"/>
      <c r="B29" s="204"/>
      <c r="C29" s="204"/>
      <c r="D29" s="204"/>
      <c r="E29" s="205"/>
      <c r="F29" s="205"/>
      <c r="G29" s="205"/>
      <c r="H29" s="206"/>
      <c r="I29" s="207"/>
      <c r="J29" s="207"/>
      <c r="K29" s="207"/>
      <c r="L29" s="122"/>
      <c r="M29" s="207"/>
      <c r="N29" s="207"/>
      <c r="O29" s="122"/>
      <c r="P29" s="205"/>
      <c r="Q29" s="205"/>
      <c r="R29" s="205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</row>
    <row r="30">
      <c r="A30" s="122"/>
      <c r="B30" s="204"/>
      <c r="C30" s="204"/>
      <c r="D30" s="204"/>
      <c r="E30" s="205"/>
      <c r="F30" s="205"/>
      <c r="G30" s="205"/>
      <c r="H30" s="206"/>
      <c r="I30" s="207"/>
      <c r="J30" s="207"/>
      <c r="K30" s="207"/>
      <c r="L30" s="122"/>
      <c r="M30" s="207"/>
      <c r="N30" s="207"/>
      <c r="O30" s="122"/>
      <c r="P30" s="205"/>
      <c r="Q30" s="205"/>
      <c r="R30" s="205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</row>
    <row r="31">
      <c r="A31" s="122"/>
      <c r="B31" s="204"/>
      <c r="C31" s="204"/>
      <c r="D31" s="204"/>
      <c r="E31" s="205"/>
      <c r="F31" s="205"/>
      <c r="G31" s="205"/>
      <c r="H31" s="206"/>
      <c r="I31" s="207"/>
      <c r="J31" s="207"/>
      <c r="K31" s="207"/>
      <c r="L31" s="122"/>
      <c r="M31" s="207"/>
      <c r="N31" s="207"/>
      <c r="O31" s="122"/>
      <c r="P31" s="205"/>
      <c r="Q31" s="205"/>
      <c r="R31" s="205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</row>
    <row r="32">
      <c r="A32" s="122"/>
      <c r="B32" s="204"/>
      <c r="C32" s="204"/>
      <c r="D32" s="204"/>
      <c r="E32" s="205"/>
      <c r="F32" s="205"/>
      <c r="G32" s="205"/>
      <c r="H32" s="206"/>
      <c r="I32" s="207"/>
      <c r="J32" s="207"/>
      <c r="K32" s="207"/>
      <c r="L32" s="122"/>
      <c r="M32" s="207"/>
      <c r="N32" s="207"/>
      <c r="O32" s="122"/>
      <c r="P32" s="205"/>
      <c r="Q32" s="205"/>
      <c r="R32" s="205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</row>
    <row r="33">
      <c r="A33" s="122"/>
      <c r="B33" s="204"/>
      <c r="C33" s="204"/>
      <c r="D33" s="204"/>
      <c r="E33" s="205"/>
      <c r="F33" s="205"/>
      <c r="G33" s="205"/>
      <c r="H33" s="206"/>
      <c r="I33" s="207"/>
      <c r="J33" s="207"/>
      <c r="K33" s="207"/>
      <c r="L33" s="122"/>
      <c r="M33" s="207"/>
      <c r="N33" s="207"/>
      <c r="O33" s="122"/>
      <c r="P33" s="205"/>
      <c r="Q33" s="205"/>
      <c r="R33" s="205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</row>
    <row r="34">
      <c r="A34" s="122"/>
      <c r="B34" s="204"/>
      <c r="C34" s="204"/>
      <c r="D34" s="204"/>
      <c r="E34" s="205"/>
      <c r="F34" s="205"/>
      <c r="G34" s="205"/>
      <c r="H34" s="206"/>
      <c r="I34" s="207"/>
      <c r="J34" s="207"/>
      <c r="K34" s="207"/>
      <c r="L34" s="122"/>
      <c r="M34" s="207"/>
      <c r="N34" s="207"/>
      <c r="O34" s="122"/>
      <c r="P34" s="205"/>
      <c r="Q34" s="205"/>
      <c r="R34" s="205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</row>
    <row r="35">
      <c r="A35" s="122"/>
      <c r="B35" s="204"/>
      <c r="C35" s="204"/>
      <c r="D35" s="204"/>
      <c r="E35" s="205"/>
      <c r="F35" s="205"/>
      <c r="G35" s="205"/>
      <c r="H35" s="206"/>
      <c r="I35" s="207"/>
      <c r="J35" s="207"/>
      <c r="K35" s="207"/>
      <c r="L35" s="122"/>
      <c r="M35" s="207"/>
      <c r="N35" s="207"/>
      <c r="O35" s="122"/>
      <c r="P35" s="205"/>
      <c r="Q35" s="205"/>
      <c r="R35" s="205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</row>
    <row r="36">
      <c r="A36" s="122"/>
      <c r="B36" s="204"/>
      <c r="C36" s="204"/>
      <c r="D36" s="204"/>
      <c r="E36" s="205"/>
      <c r="F36" s="205"/>
      <c r="G36" s="205"/>
      <c r="H36" s="206"/>
      <c r="I36" s="207"/>
      <c r="J36" s="207"/>
      <c r="K36" s="207"/>
      <c r="L36" s="122"/>
      <c r="M36" s="207"/>
      <c r="N36" s="207"/>
      <c r="O36" s="122"/>
      <c r="P36" s="205"/>
      <c r="Q36" s="205"/>
      <c r="R36" s="205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</row>
    <row r="37">
      <c r="A37" s="122"/>
      <c r="B37" s="204"/>
      <c r="C37" s="204"/>
      <c r="D37" s="204"/>
      <c r="E37" s="205"/>
      <c r="F37" s="205"/>
      <c r="G37" s="205"/>
      <c r="H37" s="206"/>
      <c r="I37" s="207"/>
      <c r="J37" s="207"/>
      <c r="K37" s="207"/>
      <c r="L37" s="122"/>
      <c r="M37" s="207"/>
      <c r="N37" s="207"/>
      <c r="O37" s="122"/>
      <c r="P37" s="205"/>
      <c r="Q37" s="205"/>
      <c r="R37" s="205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</row>
    <row r="38">
      <c r="A38" s="122"/>
      <c r="B38" s="204"/>
      <c r="C38" s="204"/>
      <c r="D38" s="204"/>
      <c r="E38" s="205"/>
      <c r="F38" s="205"/>
      <c r="G38" s="205"/>
      <c r="H38" s="206"/>
      <c r="I38" s="207"/>
      <c r="J38" s="207"/>
      <c r="K38" s="207"/>
      <c r="L38" s="122"/>
      <c r="M38" s="207"/>
      <c r="N38" s="207"/>
      <c r="O38" s="122"/>
      <c r="P38" s="205"/>
      <c r="Q38" s="205"/>
      <c r="R38" s="205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</row>
    <row r="39">
      <c r="A39" s="122"/>
      <c r="B39" s="204"/>
      <c r="C39" s="204"/>
      <c r="D39" s="204"/>
      <c r="E39" s="205"/>
      <c r="F39" s="205"/>
      <c r="G39" s="205"/>
      <c r="H39" s="206"/>
      <c r="I39" s="207"/>
      <c r="J39" s="207"/>
      <c r="K39" s="207"/>
      <c r="L39" s="122"/>
      <c r="M39" s="207"/>
      <c r="N39" s="207"/>
      <c r="O39" s="122"/>
      <c r="P39" s="205"/>
      <c r="Q39" s="205"/>
      <c r="R39" s="205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</row>
    <row r="40">
      <c r="A40" s="122"/>
      <c r="B40" s="204"/>
      <c r="C40" s="204"/>
      <c r="D40" s="204"/>
      <c r="E40" s="205"/>
      <c r="F40" s="205"/>
      <c r="G40" s="205"/>
      <c r="H40" s="206"/>
      <c r="I40" s="207"/>
      <c r="J40" s="207"/>
      <c r="K40" s="207"/>
      <c r="L40" s="122"/>
      <c r="M40" s="207"/>
      <c r="N40" s="207"/>
      <c r="O40" s="122"/>
      <c r="P40" s="205"/>
      <c r="Q40" s="205"/>
      <c r="R40" s="205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</row>
    <row r="41">
      <c r="A41" s="122"/>
      <c r="B41" s="204"/>
      <c r="C41" s="204"/>
      <c r="D41" s="204"/>
      <c r="E41" s="205"/>
      <c r="F41" s="205"/>
      <c r="G41" s="205"/>
      <c r="H41" s="206"/>
      <c r="I41" s="207"/>
      <c r="J41" s="207"/>
      <c r="K41" s="207"/>
      <c r="L41" s="122"/>
      <c r="M41" s="207"/>
      <c r="N41" s="207"/>
      <c r="O41" s="122"/>
      <c r="P41" s="205"/>
      <c r="Q41" s="205"/>
      <c r="R41" s="205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</row>
    <row r="42">
      <c r="A42" s="122"/>
      <c r="B42" s="204"/>
      <c r="C42" s="204"/>
      <c r="D42" s="204"/>
      <c r="E42" s="205"/>
      <c r="F42" s="205"/>
      <c r="G42" s="205"/>
      <c r="H42" s="206"/>
      <c r="I42" s="207"/>
      <c r="J42" s="207"/>
      <c r="K42" s="207"/>
      <c r="L42" s="122"/>
      <c r="M42" s="207"/>
      <c r="N42" s="207"/>
      <c r="O42" s="122"/>
      <c r="P42" s="205"/>
      <c r="Q42" s="205"/>
      <c r="R42" s="205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</row>
    <row r="43">
      <c r="A43" s="122"/>
      <c r="B43" s="204"/>
      <c r="C43" s="204"/>
      <c r="D43" s="204"/>
      <c r="E43" s="205"/>
      <c r="F43" s="205"/>
      <c r="G43" s="205"/>
      <c r="H43" s="206"/>
      <c r="I43" s="207"/>
      <c r="J43" s="207"/>
      <c r="K43" s="207"/>
      <c r="L43" s="122"/>
      <c r="M43" s="207"/>
      <c r="N43" s="207"/>
      <c r="O43" s="122"/>
      <c r="P43" s="205"/>
      <c r="Q43" s="205"/>
      <c r="R43" s="205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</row>
    <row r="44">
      <c r="A44" s="122"/>
      <c r="B44" s="204"/>
      <c r="C44" s="204"/>
      <c r="D44" s="204"/>
      <c r="E44" s="205"/>
      <c r="F44" s="205"/>
      <c r="G44" s="205"/>
      <c r="H44" s="206"/>
      <c r="I44" s="207"/>
      <c r="J44" s="207"/>
      <c r="K44" s="207"/>
      <c r="L44" s="122"/>
      <c r="M44" s="207"/>
      <c r="N44" s="207"/>
      <c r="O44" s="122"/>
      <c r="P44" s="205"/>
      <c r="Q44" s="205"/>
      <c r="R44" s="205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</row>
    <row r="45">
      <c r="A45" s="122"/>
      <c r="B45" s="204"/>
      <c r="C45" s="204"/>
      <c r="D45" s="204"/>
      <c r="E45" s="205"/>
      <c r="F45" s="205"/>
      <c r="G45" s="205"/>
      <c r="H45" s="206"/>
      <c r="I45" s="207"/>
      <c r="J45" s="207"/>
      <c r="K45" s="207"/>
      <c r="L45" s="122"/>
      <c r="M45" s="207"/>
      <c r="N45" s="207"/>
      <c r="O45" s="122"/>
      <c r="P45" s="205"/>
      <c r="Q45" s="205"/>
      <c r="R45" s="20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</row>
    <row r="46">
      <c r="A46" s="122"/>
      <c r="B46" s="204"/>
      <c r="C46" s="204"/>
      <c r="D46" s="204"/>
      <c r="E46" s="205"/>
      <c r="F46" s="205"/>
      <c r="G46" s="205"/>
      <c r="H46" s="206"/>
      <c r="I46" s="207"/>
      <c r="J46" s="207"/>
      <c r="K46" s="207"/>
      <c r="L46" s="122"/>
      <c r="M46" s="207"/>
      <c r="N46" s="207"/>
      <c r="O46" s="122"/>
      <c r="P46" s="205"/>
      <c r="Q46" s="205"/>
      <c r="R46" s="205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</row>
    <row r="47">
      <c r="A47" s="122"/>
      <c r="B47" s="204"/>
      <c r="C47" s="204"/>
      <c r="D47" s="204"/>
      <c r="E47" s="205"/>
      <c r="F47" s="205"/>
      <c r="G47" s="205"/>
      <c r="H47" s="206"/>
      <c r="I47" s="207"/>
      <c r="J47" s="207"/>
      <c r="K47" s="207"/>
      <c r="L47" s="122"/>
      <c r="M47" s="207"/>
      <c r="N47" s="207"/>
      <c r="O47" s="122"/>
      <c r="P47" s="205"/>
      <c r="Q47" s="205"/>
      <c r="R47" s="205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</row>
    <row r="48">
      <c r="A48" s="122"/>
      <c r="B48" s="204"/>
      <c r="C48" s="204"/>
      <c r="D48" s="204"/>
      <c r="E48" s="205"/>
      <c r="F48" s="205"/>
      <c r="G48" s="205"/>
      <c r="H48" s="206"/>
      <c r="I48" s="207"/>
      <c r="J48" s="207"/>
      <c r="K48" s="207"/>
      <c r="L48" s="122"/>
      <c r="M48" s="207"/>
      <c r="N48" s="207"/>
      <c r="O48" s="122"/>
      <c r="P48" s="205"/>
      <c r="Q48" s="205"/>
      <c r="R48" s="205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</row>
    <row r="49">
      <c r="A49" s="122"/>
      <c r="B49" s="204"/>
      <c r="C49" s="204"/>
      <c r="D49" s="204"/>
      <c r="E49" s="205"/>
      <c r="F49" s="205"/>
      <c r="G49" s="205"/>
      <c r="H49" s="206"/>
      <c r="I49" s="207"/>
      <c r="J49" s="207"/>
      <c r="K49" s="207"/>
      <c r="L49" s="122"/>
      <c r="M49" s="207"/>
      <c r="N49" s="207"/>
      <c r="O49" s="122"/>
      <c r="P49" s="205"/>
      <c r="Q49" s="205"/>
      <c r="R49" s="205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</row>
    <row r="50">
      <c r="A50" s="122"/>
      <c r="B50" s="204"/>
      <c r="C50" s="204"/>
      <c r="D50" s="204"/>
      <c r="E50" s="205"/>
      <c r="F50" s="205"/>
      <c r="G50" s="205"/>
      <c r="H50" s="206"/>
      <c r="I50" s="207"/>
      <c r="J50" s="207"/>
      <c r="K50" s="207"/>
      <c r="L50" s="122"/>
      <c r="M50" s="207"/>
      <c r="N50" s="207"/>
      <c r="O50" s="122"/>
      <c r="P50" s="205"/>
      <c r="Q50" s="205"/>
      <c r="R50" s="205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</row>
    <row r="51">
      <c r="A51" s="122"/>
      <c r="B51" s="204"/>
      <c r="C51" s="204"/>
      <c r="D51" s="204"/>
      <c r="E51" s="205"/>
      <c r="F51" s="205"/>
      <c r="G51" s="205"/>
      <c r="H51" s="206"/>
      <c r="I51" s="207"/>
      <c r="J51" s="207"/>
      <c r="K51" s="207"/>
      <c r="L51" s="122"/>
      <c r="M51" s="207"/>
      <c r="N51" s="207"/>
      <c r="O51" s="122"/>
      <c r="P51" s="205"/>
      <c r="Q51" s="205"/>
      <c r="R51" s="205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</row>
    <row r="52">
      <c r="A52" s="122"/>
      <c r="B52" s="204"/>
      <c r="C52" s="204"/>
      <c r="D52" s="204"/>
      <c r="E52" s="205"/>
      <c r="F52" s="205"/>
      <c r="G52" s="205"/>
      <c r="H52" s="206"/>
      <c r="I52" s="207"/>
      <c r="J52" s="207"/>
      <c r="K52" s="207"/>
      <c r="L52" s="122"/>
      <c r="M52" s="207"/>
      <c r="N52" s="207"/>
      <c r="O52" s="122"/>
      <c r="P52" s="205"/>
      <c r="Q52" s="205"/>
      <c r="R52" s="205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</row>
    <row r="53">
      <c r="A53" s="122"/>
      <c r="B53" s="204"/>
      <c r="C53" s="204"/>
      <c r="D53" s="204"/>
      <c r="E53" s="205"/>
      <c r="F53" s="205"/>
      <c r="G53" s="205"/>
      <c r="H53" s="206"/>
      <c r="I53" s="207"/>
      <c r="J53" s="207"/>
      <c r="K53" s="207"/>
      <c r="L53" s="122"/>
      <c r="M53" s="207"/>
      <c r="N53" s="207"/>
      <c r="O53" s="122"/>
      <c r="P53" s="205"/>
      <c r="Q53" s="205"/>
      <c r="R53" s="205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</row>
    <row r="54">
      <c r="A54" s="122"/>
      <c r="B54" s="204"/>
      <c r="C54" s="204"/>
      <c r="D54" s="204"/>
      <c r="E54" s="205"/>
      <c r="F54" s="205"/>
      <c r="G54" s="205"/>
      <c r="H54" s="206"/>
      <c r="I54" s="207"/>
      <c r="J54" s="207"/>
      <c r="K54" s="207"/>
      <c r="L54" s="122"/>
      <c r="M54" s="207"/>
      <c r="N54" s="207"/>
      <c r="O54" s="122"/>
      <c r="P54" s="205"/>
      <c r="Q54" s="205"/>
      <c r="R54" s="205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>
      <c r="A55" s="122"/>
      <c r="B55" s="204"/>
      <c r="C55" s="204"/>
      <c r="D55" s="204"/>
      <c r="E55" s="205"/>
      <c r="F55" s="205"/>
      <c r="G55" s="205"/>
      <c r="H55" s="206"/>
      <c r="I55" s="207"/>
      <c r="J55" s="207"/>
      <c r="K55" s="207"/>
      <c r="L55" s="122"/>
      <c r="M55" s="207"/>
      <c r="N55" s="207"/>
      <c r="O55" s="122"/>
      <c r="P55" s="205"/>
      <c r="Q55" s="205"/>
      <c r="R55" s="205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</row>
    <row r="56">
      <c r="A56" s="122"/>
      <c r="B56" s="204"/>
      <c r="C56" s="204"/>
      <c r="D56" s="204"/>
      <c r="E56" s="205"/>
      <c r="F56" s="205"/>
      <c r="G56" s="205"/>
      <c r="H56" s="206"/>
      <c r="I56" s="207"/>
      <c r="J56" s="207"/>
      <c r="K56" s="207"/>
      <c r="L56" s="122"/>
      <c r="M56" s="207"/>
      <c r="N56" s="207"/>
      <c r="O56" s="122"/>
      <c r="P56" s="205"/>
      <c r="Q56" s="205"/>
      <c r="R56" s="205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</row>
    <row r="57">
      <c r="A57" s="122"/>
      <c r="B57" s="204"/>
      <c r="C57" s="204"/>
      <c r="D57" s="204"/>
      <c r="E57" s="205"/>
      <c r="F57" s="205"/>
      <c r="G57" s="205"/>
      <c r="H57" s="206"/>
      <c r="I57" s="207"/>
      <c r="J57" s="207"/>
      <c r="K57" s="207"/>
      <c r="L57" s="122"/>
      <c r="M57" s="207"/>
      <c r="N57" s="207"/>
      <c r="O57" s="122"/>
      <c r="P57" s="205"/>
      <c r="Q57" s="205"/>
      <c r="R57" s="205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</row>
    <row r="58">
      <c r="A58" s="122"/>
      <c r="B58" s="204"/>
      <c r="C58" s="204"/>
      <c r="D58" s="204"/>
      <c r="E58" s="205"/>
      <c r="F58" s="205"/>
      <c r="G58" s="205"/>
      <c r="H58" s="206"/>
      <c r="I58" s="207"/>
      <c r="J58" s="207"/>
      <c r="K58" s="207"/>
      <c r="L58" s="122"/>
      <c r="M58" s="207"/>
      <c r="N58" s="207"/>
      <c r="O58" s="122"/>
      <c r="P58" s="205"/>
      <c r="Q58" s="205"/>
      <c r="R58" s="205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</row>
    <row r="59">
      <c r="A59" s="122"/>
      <c r="B59" s="204"/>
      <c r="C59" s="204"/>
      <c r="D59" s="204"/>
      <c r="E59" s="205"/>
      <c r="F59" s="205"/>
      <c r="G59" s="205"/>
      <c r="H59" s="206"/>
      <c r="I59" s="207"/>
      <c r="J59" s="207"/>
      <c r="K59" s="207"/>
      <c r="L59" s="122"/>
      <c r="M59" s="207"/>
      <c r="N59" s="207"/>
      <c r="O59" s="122"/>
      <c r="P59" s="205"/>
      <c r="Q59" s="205"/>
      <c r="R59" s="205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</row>
    <row r="60">
      <c r="A60" s="122"/>
      <c r="B60" s="204"/>
      <c r="C60" s="204"/>
      <c r="D60" s="204"/>
      <c r="E60" s="205"/>
      <c r="F60" s="205"/>
      <c r="G60" s="205"/>
      <c r="H60" s="206"/>
      <c r="I60" s="207"/>
      <c r="J60" s="207"/>
      <c r="K60" s="207"/>
      <c r="L60" s="122"/>
      <c r="M60" s="207"/>
      <c r="N60" s="207"/>
      <c r="O60" s="122"/>
      <c r="P60" s="205"/>
      <c r="Q60" s="205"/>
      <c r="R60" s="205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</row>
    <row r="61">
      <c r="A61" s="122"/>
      <c r="B61" s="204"/>
      <c r="C61" s="204"/>
      <c r="D61" s="204"/>
      <c r="E61" s="205"/>
      <c r="F61" s="205"/>
      <c r="G61" s="205"/>
      <c r="H61" s="206"/>
      <c r="I61" s="207"/>
      <c r="J61" s="207"/>
      <c r="K61" s="207"/>
      <c r="L61" s="122"/>
      <c r="M61" s="207"/>
      <c r="N61" s="207"/>
      <c r="O61" s="122"/>
      <c r="P61" s="205"/>
      <c r="Q61" s="205"/>
      <c r="R61" s="205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</row>
    <row r="62">
      <c r="A62" s="122"/>
      <c r="B62" s="204"/>
      <c r="C62" s="204"/>
      <c r="D62" s="204"/>
      <c r="E62" s="205"/>
      <c r="F62" s="205"/>
      <c r="G62" s="205"/>
      <c r="H62" s="206"/>
      <c r="I62" s="207"/>
      <c r="J62" s="207"/>
      <c r="K62" s="207"/>
      <c r="L62" s="122"/>
      <c r="M62" s="207"/>
      <c r="N62" s="207"/>
      <c r="O62" s="122"/>
      <c r="P62" s="205"/>
      <c r="Q62" s="205"/>
      <c r="R62" s="205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</row>
    <row r="63">
      <c r="A63" s="122"/>
      <c r="B63" s="204"/>
      <c r="C63" s="204"/>
      <c r="D63" s="204"/>
      <c r="E63" s="205"/>
      <c r="F63" s="205"/>
      <c r="G63" s="205"/>
      <c r="H63" s="206"/>
      <c r="I63" s="207"/>
      <c r="J63" s="207"/>
      <c r="K63" s="207"/>
      <c r="L63" s="122"/>
      <c r="M63" s="207"/>
      <c r="N63" s="207"/>
      <c r="O63" s="122"/>
      <c r="P63" s="205"/>
      <c r="Q63" s="205"/>
      <c r="R63" s="205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</row>
    <row r="64">
      <c r="A64" s="122"/>
      <c r="B64" s="204"/>
      <c r="C64" s="204"/>
      <c r="D64" s="204"/>
      <c r="E64" s="205"/>
      <c r="F64" s="205"/>
      <c r="G64" s="205"/>
      <c r="H64" s="206"/>
      <c r="I64" s="207"/>
      <c r="J64" s="207"/>
      <c r="K64" s="207"/>
      <c r="L64" s="122"/>
      <c r="M64" s="207"/>
      <c r="N64" s="207"/>
      <c r="O64" s="122"/>
      <c r="P64" s="205"/>
      <c r="Q64" s="205"/>
      <c r="R64" s="205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</row>
    <row r="65">
      <c r="A65" s="122"/>
      <c r="B65" s="204"/>
      <c r="C65" s="204"/>
      <c r="D65" s="204"/>
      <c r="E65" s="205"/>
      <c r="F65" s="205"/>
      <c r="G65" s="205"/>
      <c r="H65" s="206"/>
      <c r="I65" s="207"/>
      <c r="J65" s="207"/>
      <c r="K65" s="207"/>
      <c r="L65" s="122"/>
      <c r="M65" s="207"/>
      <c r="N65" s="207"/>
      <c r="O65" s="122"/>
      <c r="P65" s="205"/>
      <c r="Q65" s="205"/>
      <c r="R65" s="205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</row>
    <row r="66">
      <c r="A66" s="122"/>
      <c r="B66" s="204"/>
      <c r="C66" s="204"/>
      <c r="D66" s="204"/>
      <c r="E66" s="205"/>
      <c r="F66" s="205"/>
      <c r="G66" s="205"/>
      <c r="H66" s="206"/>
      <c r="I66" s="207"/>
      <c r="J66" s="207"/>
      <c r="K66" s="207"/>
      <c r="L66" s="122"/>
      <c r="M66" s="207"/>
      <c r="N66" s="207"/>
      <c r="O66" s="122"/>
      <c r="P66" s="205"/>
      <c r="Q66" s="205"/>
      <c r="R66" s="205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</row>
    <row r="67">
      <c r="A67" s="122"/>
      <c r="B67" s="204"/>
      <c r="C67" s="204"/>
      <c r="D67" s="204"/>
      <c r="E67" s="205"/>
      <c r="F67" s="205"/>
      <c r="G67" s="205"/>
      <c r="H67" s="206"/>
      <c r="I67" s="207"/>
      <c r="J67" s="207"/>
      <c r="K67" s="207"/>
      <c r="L67" s="122"/>
      <c r="M67" s="207"/>
      <c r="N67" s="207"/>
      <c r="O67" s="122"/>
      <c r="P67" s="205"/>
      <c r="Q67" s="205"/>
      <c r="R67" s="205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</row>
    <row r="68">
      <c r="A68" s="122"/>
      <c r="B68" s="204"/>
      <c r="C68" s="204"/>
      <c r="D68" s="204"/>
      <c r="E68" s="205"/>
      <c r="F68" s="205"/>
      <c r="G68" s="205"/>
      <c r="H68" s="206"/>
      <c r="I68" s="207"/>
      <c r="J68" s="207"/>
      <c r="K68" s="207"/>
      <c r="L68" s="122"/>
      <c r="M68" s="207"/>
      <c r="N68" s="207"/>
      <c r="O68" s="122"/>
      <c r="P68" s="205"/>
      <c r="Q68" s="205"/>
      <c r="R68" s="205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</row>
    <row r="69">
      <c r="A69" s="122"/>
      <c r="B69" s="204"/>
      <c r="C69" s="204"/>
      <c r="D69" s="204"/>
      <c r="E69" s="205"/>
      <c r="F69" s="205"/>
      <c r="G69" s="205"/>
      <c r="H69" s="206"/>
      <c r="I69" s="207"/>
      <c r="J69" s="207"/>
      <c r="K69" s="207"/>
      <c r="L69" s="122"/>
      <c r="M69" s="207"/>
      <c r="N69" s="207"/>
      <c r="O69" s="122"/>
      <c r="P69" s="205"/>
      <c r="Q69" s="205"/>
      <c r="R69" s="205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</row>
    <row r="70">
      <c r="A70" s="122"/>
      <c r="B70" s="204"/>
      <c r="C70" s="204"/>
      <c r="D70" s="204"/>
      <c r="E70" s="205"/>
      <c r="F70" s="205"/>
      <c r="G70" s="205"/>
      <c r="H70" s="206"/>
      <c r="I70" s="207"/>
      <c r="J70" s="207"/>
      <c r="K70" s="207"/>
      <c r="L70" s="122"/>
      <c r="M70" s="207"/>
      <c r="N70" s="207"/>
      <c r="O70" s="122"/>
      <c r="P70" s="205"/>
      <c r="Q70" s="205"/>
      <c r="R70" s="205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</row>
    <row r="71">
      <c r="A71" s="122"/>
      <c r="B71" s="204"/>
      <c r="C71" s="204"/>
      <c r="D71" s="204"/>
      <c r="E71" s="205"/>
      <c r="F71" s="205"/>
      <c r="G71" s="205"/>
      <c r="H71" s="206"/>
      <c r="I71" s="207"/>
      <c r="J71" s="207"/>
      <c r="K71" s="207"/>
      <c r="L71" s="122"/>
      <c r="M71" s="207"/>
      <c r="N71" s="207"/>
      <c r="O71" s="122"/>
      <c r="P71" s="205"/>
      <c r="Q71" s="205"/>
      <c r="R71" s="205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</row>
    <row r="72">
      <c r="A72" s="122"/>
      <c r="B72" s="204"/>
      <c r="C72" s="204"/>
      <c r="D72" s="204"/>
      <c r="E72" s="205"/>
      <c r="F72" s="205"/>
      <c r="G72" s="205"/>
      <c r="H72" s="206"/>
      <c r="I72" s="207"/>
      <c r="J72" s="207"/>
      <c r="K72" s="207"/>
      <c r="L72" s="122"/>
      <c r="M72" s="207"/>
      <c r="N72" s="207"/>
      <c r="O72" s="122"/>
      <c r="P72" s="205"/>
      <c r="Q72" s="205"/>
      <c r="R72" s="205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</row>
    <row r="73">
      <c r="A73" s="122"/>
      <c r="B73" s="204"/>
      <c r="C73" s="204"/>
      <c r="D73" s="204"/>
      <c r="E73" s="205"/>
      <c r="F73" s="205"/>
      <c r="G73" s="205"/>
      <c r="H73" s="206"/>
      <c r="I73" s="207"/>
      <c r="J73" s="207"/>
      <c r="K73" s="207"/>
      <c r="L73" s="122"/>
      <c r="M73" s="207"/>
      <c r="N73" s="207"/>
      <c r="O73" s="122"/>
      <c r="P73" s="205"/>
      <c r="Q73" s="205"/>
      <c r="R73" s="205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</row>
    <row r="74">
      <c r="A74" s="122"/>
      <c r="B74" s="204"/>
      <c r="C74" s="204"/>
      <c r="D74" s="204"/>
      <c r="E74" s="205"/>
      <c r="F74" s="205"/>
      <c r="G74" s="205"/>
      <c r="H74" s="206"/>
      <c r="I74" s="207"/>
      <c r="J74" s="207"/>
      <c r="K74" s="207"/>
      <c r="L74" s="122"/>
      <c r="M74" s="207"/>
      <c r="N74" s="207"/>
      <c r="O74" s="122"/>
      <c r="P74" s="205"/>
      <c r="Q74" s="205"/>
      <c r="R74" s="205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</row>
    <row r="75">
      <c r="A75" s="122"/>
      <c r="B75" s="204"/>
      <c r="C75" s="204"/>
      <c r="D75" s="204"/>
      <c r="E75" s="205"/>
      <c r="F75" s="205"/>
      <c r="G75" s="205"/>
      <c r="H75" s="206"/>
      <c r="I75" s="207"/>
      <c r="J75" s="207"/>
      <c r="K75" s="207"/>
      <c r="L75" s="122"/>
      <c r="M75" s="207"/>
      <c r="N75" s="207"/>
      <c r="O75" s="122"/>
      <c r="P75" s="205"/>
      <c r="Q75" s="205"/>
      <c r="R75" s="205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</row>
    <row r="76">
      <c r="A76" s="122"/>
      <c r="B76" s="204"/>
      <c r="C76" s="204"/>
      <c r="D76" s="204"/>
      <c r="E76" s="205"/>
      <c r="F76" s="205"/>
      <c r="G76" s="205"/>
      <c r="H76" s="206"/>
      <c r="I76" s="207"/>
      <c r="J76" s="207"/>
      <c r="K76" s="207"/>
      <c r="L76" s="122"/>
      <c r="M76" s="207"/>
      <c r="N76" s="207"/>
      <c r="O76" s="122"/>
      <c r="P76" s="205"/>
      <c r="Q76" s="205"/>
      <c r="R76" s="205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</row>
    <row r="77">
      <c r="A77" s="122"/>
      <c r="B77" s="204"/>
      <c r="C77" s="204"/>
      <c r="D77" s="204"/>
      <c r="E77" s="205"/>
      <c r="F77" s="205"/>
      <c r="G77" s="205"/>
      <c r="H77" s="206"/>
      <c r="I77" s="207"/>
      <c r="J77" s="207"/>
      <c r="K77" s="207"/>
      <c r="L77" s="122"/>
      <c r="M77" s="207"/>
      <c r="N77" s="207"/>
      <c r="O77" s="122"/>
      <c r="P77" s="205"/>
      <c r="Q77" s="205"/>
      <c r="R77" s="205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</row>
    <row r="78">
      <c r="A78" s="122"/>
      <c r="B78" s="204"/>
      <c r="C78" s="204"/>
      <c r="D78" s="204"/>
      <c r="E78" s="205"/>
      <c r="F78" s="205"/>
      <c r="G78" s="205"/>
      <c r="H78" s="206"/>
      <c r="I78" s="207"/>
      <c r="J78" s="207"/>
      <c r="K78" s="207"/>
      <c r="L78" s="122"/>
      <c r="M78" s="207"/>
      <c r="N78" s="207"/>
      <c r="O78" s="122"/>
      <c r="P78" s="205"/>
      <c r="Q78" s="205"/>
      <c r="R78" s="205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</row>
    <row r="79">
      <c r="A79" s="122"/>
      <c r="B79" s="204"/>
      <c r="C79" s="204"/>
      <c r="D79" s="204"/>
      <c r="E79" s="205"/>
      <c r="F79" s="205"/>
      <c r="G79" s="205"/>
      <c r="H79" s="206"/>
      <c r="I79" s="207"/>
      <c r="J79" s="207"/>
      <c r="K79" s="207"/>
      <c r="L79" s="122"/>
      <c r="M79" s="207"/>
      <c r="N79" s="207"/>
      <c r="O79" s="122"/>
      <c r="P79" s="205"/>
      <c r="Q79" s="205"/>
      <c r="R79" s="205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</row>
    <row r="80">
      <c r="A80" s="122"/>
      <c r="B80" s="204"/>
      <c r="C80" s="204"/>
      <c r="D80" s="204"/>
      <c r="E80" s="205"/>
      <c r="F80" s="205"/>
      <c r="G80" s="205"/>
      <c r="H80" s="206"/>
      <c r="I80" s="207"/>
      <c r="J80" s="207"/>
      <c r="K80" s="207"/>
      <c r="L80" s="122"/>
      <c r="M80" s="207"/>
      <c r="N80" s="207"/>
      <c r="O80" s="122"/>
      <c r="P80" s="205"/>
      <c r="Q80" s="205"/>
      <c r="R80" s="205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</row>
    <row r="81">
      <c r="A81" s="122"/>
      <c r="B81" s="204"/>
      <c r="C81" s="204"/>
      <c r="D81" s="204"/>
      <c r="E81" s="205"/>
      <c r="F81" s="205"/>
      <c r="G81" s="205"/>
      <c r="H81" s="206"/>
      <c r="I81" s="207"/>
      <c r="J81" s="207"/>
      <c r="K81" s="207"/>
      <c r="L81" s="122"/>
      <c r="M81" s="207"/>
      <c r="N81" s="207"/>
      <c r="O81" s="122"/>
      <c r="P81" s="205"/>
      <c r="Q81" s="205"/>
      <c r="R81" s="205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</row>
    <row r="82">
      <c r="A82" s="122"/>
      <c r="B82" s="204"/>
      <c r="C82" s="204"/>
      <c r="D82" s="204"/>
      <c r="E82" s="205"/>
      <c r="F82" s="205"/>
      <c r="G82" s="205"/>
      <c r="H82" s="206"/>
      <c r="I82" s="207"/>
      <c r="J82" s="207"/>
      <c r="K82" s="207"/>
      <c r="L82" s="122"/>
      <c r="M82" s="207"/>
      <c r="N82" s="207"/>
      <c r="O82" s="122"/>
      <c r="P82" s="205"/>
      <c r="Q82" s="205"/>
      <c r="R82" s="205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</row>
    <row r="83">
      <c r="A83" s="122"/>
      <c r="B83" s="204"/>
      <c r="C83" s="204"/>
      <c r="D83" s="204"/>
      <c r="E83" s="205"/>
      <c r="F83" s="205"/>
      <c r="G83" s="205"/>
      <c r="H83" s="206"/>
      <c r="I83" s="207"/>
      <c r="J83" s="207"/>
      <c r="K83" s="207"/>
      <c r="L83" s="122"/>
      <c r="M83" s="207"/>
      <c r="N83" s="207"/>
      <c r="O83" s="122"/>
      <c r="P83" s="205"/>
      <c r="Q83" s="205"/>
      <c r="R83" s="205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</row>
    <row r="84">
      <c r="A84" s="122"/>
      <c r="B84" s="204"/>
      <c r="C84" s="204"/>
      <c r="D84" s="204"/>
      <c r="E84" s="205"/>
      <c r="F84" s="205"/>
      <c r="G84" s="205"/>
      <c r="H84" s="206"/>
      <c r="I84" s="207"/>
      <c r="J84" s="207"/>
      <c r="K84" s="207"/>
      <c r="L84" s="122"/>
      <c r="M84" s="207"/>
      <c r="N84" s="207"/>
      <c r="O84" s="122"/>
      <c r="P84" s="205"/>
      <c r="Q84" s="205"/>
      <c r="R84" s="205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</row>
    <row r="85">
      <c r="A85" s="122"/>
      <c r="B85" s="204"/>
      <c r="C85" s="204"/>
      <c r="D85" s="204"/>
      <c r="E85" s="205"/>
      <c r="F85" s="205"/>
      <c r="G85" s="205"/>
      <c r="H85" s="206"/>
      <c r="I85" s="207"/>
      <c r="J85" s="207"/>
      <c r="K85" s="207"/>
      <c r="L85" s="122"/>
      <c r="M85" s="207"/>
      <c r="N85" s="207"/>
      <c r="O85" s="122"/>
      <c r="P85" s="205"/>
      <c r="Q85" s="205"/>
      <c r="R85" s="205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</row>
    <row r="86">
      <c r="A86" s="122"/>
      <c r="B86" s="204"/>
      <c r="C86" s="204"/>
      <c r="D86" s="204"/>
      <c r="E86" s="205"/>
      <c r="F86" s="205"/>
      <c r="G86" s="205"/>
      <c r="H86" s="206"/>
      <c r="I86" s="207"/>
      <c r="J86" s="207"/>
      <c r="K86" s="207"/>
      <c r="L86" s="122"/>
      <c r="M86" s="207"/>
      <c r="N86" s="207"/>
      <c r="O86" s="122"/>
      <c r="P86" s="205"/>
      <c r="Q86" s="205"/>
      <c r="R86" s="205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</row>
    <row r="87">
      <c r="A87" s="122"/>
      <c r="B87" s="204"/>
      <c r="C87" s="204"/>
      <c r="D87" s="204"/>
      <c r="E87" s="205"/>
      <c r="F87" s="205"/>
      <c r="G87" s="205"/>
      <c r="H87" s="206"/>
      <c r="I87" s="207"/>
      <c r="J87" s="207"/>
      <c r="K87" s="207"/>
      <c r="L87" s="122"/>
      <c r="M87" s="207"/>
      <c r="N87" s="207"/>
      <c r="O87" s="122"/>
      <c r="P87" s="205"/>
      <c r="Q87" s="205"/>
      <c r="R87" s="205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</row>
    <row r="88">
      <c r="A88" s="122"/>
      <c r="B88" s="204"/>
      <c r="C88" s="204"/>
      <c r="D88" s="204"/>
      <c r="E88" s="205"/>
      <c r="F88" s="205"/>
      <c r="G88" s="205"/>
      <c r="H88" s="206"/>
      <c r="I88" s="207"/>
      <c r="J88" s="207"/>
      <c r="K88" s="207"/>
      <c r="L88" s="122"/>
      <c r="M88" s="207"/>
      <c r="N88" s="207"/>
      <c r="O88" s="122"/>
      <c r="P88" s="205"/>
      <c r="Q88" s="205"/>
      <c r="R88" s="205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</row>
    <row r="89">
      <c r="A89" s="122"/>
      <c r="B89" s="204"/>
      <c r="C89" s="204"/>
      <c r="D89" s="204"/>
      <c r="E89" s="205"/>
      <c r="F89" s="205"/>
      <c r="G89" s="205"/>
      <c r="H89" s="206"/>
      <c r="I89" s="207"/>
      <c r="J89" s="207"/>
      <c r="K89" s="207"/>
      <c r="L89" s="122"/>
      <c r="M89" s="207"/>
      <c r="N89" s="207"/>
      <c r="O89" s="122"/>
      <c r="P89" s="205"/>
      <c r="Q89" s="205"/>
      <c r="R89" s="205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</row>
    <row r="90">
      <c r="A90" s="122"/>
      <c r="B90" s="204"/>
      <c r="C90" s="204"/>
      <c r="D90" s="204"/>
      <c r="E90" s="205"/>
      <c r="F90" s="205"/>
      <c r="G90" s="205"/>
      <c r="H90" s="206"/>
      <c r="I90" s="207"/>
      <c r="J90" s="207"/>
      <c r="K90" s="207"/>
      <c r="L90" s="122"/>
      <c r="M90" s="207"/>
      <c r="N90" s="207"/>
      <c r="O90" s="122"/>
      <c r="P90" s="205"/>
      <c r="Q90" s="205"/>
      <c r="R90" s="205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</row>
    <row r="91">
      <c r="A91" s="122"/>
      <c r="B91" s="204"/>
      <c r="C91" s="204"/>
      <c r="D91" s="204"/>
      <c r="E91" s="205"/>
      <c r="F91" s="205"/>
      <c r="G91" s="205"/>
      <c r="H91" s="206"/>
      <c r="I91" s="207"/>
      <c r="J91" s="207"/>
      <c r="K91" s="207"/>
      <c r="L91" s="122"/>
      <c r="M91" s="207"/>
      <c r="N91" s="207"/>
      <c r="O91" s="122"/>
      <c r="P91" s="205"/>
      <c r="Q91" s="205"/>
      <c r="R91" s="205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</row>
    <row r="92">
      <c r="A92" s="122"/>
      <c r="B92" s="204"/>
      <c r="C92" s="204"/>
      <c r="D92" s="204"/>
      <c r="E92" s="205"/>
      <c r="F92" s="205"/>
      <c r="G92" s="205"/>
      <c r="H92" s="206"/>
      <c r="I92" s="207"/>
      <c r="J92" s="207"/>
      <c r="K92" s="207"/>
      <c r="L92" s="122"/>
      <c r="M92" s="207"/>
      <c r="N92" s="207"/>
      <c r="O92" s="122"/>
      <c r="P92" s="205"/>
      <c r="Q92" s="205"/>
      <c r="R92" s="205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</row>
    <row r="93">
      <c r="A93" s="122"/>
      <c r="B93" s="204"/>
      <c r="C93" s="204"/>
      <c r="D93" s="204"/>
      <c r="E93" s="205"/>
      <c r="F93" s="205"/>
      <c r="G93" s="205"/>
      <c r="H93" s="206"/>
      <c r="I93" s="207"/>
      <c r="J93" s="207"/>
      <c r="K93" s="207"/>
      <c r="L93" s="122"/>
      <c r="M93" s="207"/>
      <c r="N93" s="207"/>
      <c r="O93" s="122"/>
      <c r="P93" s="205"/>
      <c r="Q93" s="205"/>
      <c r="R93" s="205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</row>
    <row r="94">
      <c r="A94" s="122"/>
      <c r="B94" s="204"/>
      <c r="C94" s="204"/>
      <c r="D94" s="204"/>
      <c r="E94" s="205"/>
      <c r="F94" s="205"/>
      <c r="G94" s="205"/>
      <c r="H94" s="206"/>
      <c r="I94" s="207"/>
      <c r="J94" s="207"/>
      <c r="K94" s="207"/>
      <c r="L94" s="122"/>
      <c r="M94" s="207"/>
      <c r="N94" s="207"/>
      <c r="O94" s="122"/>
      <c r="P94" s="205"/>
      <c r="Q94" s="205"/>
      <c r="R94" s="205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</row>
    <row r="95">
      <c r="A95" s="122"/>
      <c r="B95" s="204"/>
      <c r="C95" s="204"/>
      <c r="D95" s="204"/>
      <c r="E95" s="205"/>
      <c r="F95" s="205"/>
      <c r="G95" s="205"/>
      <c r="H95" s="206"/>
      <c r="I95" s="207"/>
      <c r="J95" s="207"/>
      <c r="K95" s="207"/>
      <c r="L95" s="122"/>
      <c r="M95" s="207"/>
      <c r="N95" s="207"/>
      <c r="O95" s="122"/>
      <c r="P95" s="205"/>
      <c r="Q95" s="205"/>
      <c r="R95" s="205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</row>
    <row r="96">
      <c r="A96" s="122"/>
      <c r="B96" s="204"/>
      <c r="C96" s="204"/>
      <c r="D96" s="204"/>
      <c r="E96" s="205"/>
      <c r="F96" s="205"/>
      <c r="G96" s="205"/>
      <c r="H96" s="206"/>
      <c r="I96" s="207"/>
      <c r="J96" s="207"/>
      <c r="K96" s="207"/>
      <c r="L96" s="122"/>
      <c r="M96" s="207"/>
      <c r="N96" s="207"/>
      <c r="O96" s="122"/>
      <c r="P96" s="205"/>
      <c r="Q96" s="205"/>
      <c r="R96" s="205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</row>
    <row r="97">
      <c r="A97" s="122"/>
      <c r="B97" s="204"/>
      <c r="C97" s="204"/>
      <c r="D97" s="204"/>
      <c r="E97" s="205"/>
      <c r="F97" s="205"/>
      <c r="G97" s="205"/>
      <c r="H97" s="206"/>
      <c r="I97" s="207"/>
      <c r="J97" s="207"/>
      <c r="K97" s="207"/>
      <c r="L97" s="122"/>
      <c r="M97" s="207"/>
      <c r="N97" s="207"/>
      <c r="O97" s="122"/>
      <c r="P97" s="205"/>
      <c r="Q97" s="205"/>
      <c r="R97" s="205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</row>
    <row r="98">
      <c r="A98" s="122"/>
      <c r="B98" s="204"/>
      <c r="C98" s="204"/>
      <c r="D98" s="204"/>
      <c r="E98" s="205"/>
      <c r="F98" s="205"/>
      <c r="G98" s="205"/>
      <c r="H98" s="206"/>
      <c r="I98" s="207"/>
      <c r="J98" s="207"/>
      <c r="K98" s="207"/>
      <c r="L98" s="122"/>
      <c r="M98" s="207"/>
      <c r="N98" s="207"/>
      <c r="O98" s="122"/>
      <c r="P98" s="205"/>
      <c r="Q98" s="205"/>
      <c r="R98" s="205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</row>
    <row r="99">
      <c r="A99" s="122"/>
      <c r="B99" s="204"/>
      <c r="C99" s="204"/>
      <c r="D99" s="204"/>
      <c r="E99" s="205"/>
      <c r="F99" s="205"/>
      <c r="G99" s="205"/>
      <c r="H99" s="206"/>
      <c r="I99" s="207"/>
      <c r="J99" s="207"/>
      <c r="K99" s="207"/>
      <c r="L99" s="122"/>
      <c r="M99" s="207"/>
      <c r="N99" s="207"/>
      <c r="O99" s="122"/>
      <c r="P99" s="205"/>
      <c r="Q99" s="205"/>
      <c r="R99" s="205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</row>
    <row r="100">
      <c r="A100" s="122"/>
      <c r="B100" s="204"/>
      <c r="C100" s="204"/>
      <c r="D100" s="204"/>
      <c r="E100" s="205"/>
      <c r="F100" s="205"/>
      <c r="G100" s="205"/>
      <c r="H100" s="206"/>
      <c r="I100" s="207"/>
      <c r="J100" s="207"/>
      <c r="K100" s="207"/>
      <c r="L100" s="122"/>
      <c r="M100" s="207"/>
      <c r="N100" s="207"/>
      <c r="O100" s="122"/>
      <c r="P100" s="205"/>
      <c r="Q100" s="205"/>
      <c r="R100" s="205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</row>
    <row r="101">
      <c r="A101" s="122"/>
      <c r="B101" s="204"/>
      <c r="C101" s="204"/>
      <c r="D101" s="204"/>
      <c r="E101" s="205"/>
      <c r="F101" s="205"/>
      <c r="G101" s="205"/>
      <c r="H101" s="206"/>
      <c r="I101" s="207"/>
      <c r="J101" s="207"/>
      <c r="K101" s="207"/>
      <c r="L101" s="122"/>
      <c r="M101" s="207"/>
      <c r="N101" s="207"/>
      <c r="O101" s="122"/>
      <c r="P101" s="205"/>
      <c r="Q101" s="205"/>
      <c r="R101" s="205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</row>
    <row r="102">
      <c r="A102" s="122"/>
      <c r="B102" s="204"/>
      <c r="C102" s="204"/>
      <c r="D102" s="204"/>
      <c r="E102" s="205"/>
      <c r="F102" s="205"/>
      <c r="G102" s="205"/>
      <c r="H102" s="206"/>
      <c r="I102" s="207"/>
      <c r="J102" s="207"/>
      <c r="K102" s="207"/>
      <c r="L102" s="122"/>
      <c r="M102" s="207"/>
      <c r="N102" s="207"/>
      <c r="O102" s="122"/>
      <c r="P102" s="205"/>
      <c r="Q102" s="205"/>
      <c r="R102" s="205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</row>
    <row r="103">
      <c r="A103" s="122"/>
      <c r="B103" s="204"/>
      <c r="C103" s="204"/>
      <c r="D103" s="204"/>
      <c r="E103" s="205"/>
      <c r="F103" s="205"/>
      <c r="G103" s="205"/>
      <c r="H103" s="206"/>
      <c r="I103" s="207"/>
      <c r="J103" s="207"/>
      <c r="K103" s="207"/>
      <c r="L103" s="122"/>
      <c r="M103" s="207"/>
      <c r="N103" s="207"/>
      <c r="O103" s="122"/>
      <c r="P103" s="205"/>
      <c r="Q103" s="205"/>
      <c r="R103" s="205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</row>
    <row r="104">
      <c r="A104" s="122"/>
      <c r="B104" s="204"/>
      <c r="C104" s="204"/>
      <c r="D104" s="204"/>
      <c r="E104" s="205"/>
      <c r="F104" s="205"/>
      <c r="G104" s="205"/>
      <c r="H104" s="206"/>
      <c r="I104" s="207"/>
      <c r="J104" s="207"/>
      <c r="K104" s="207"/>
      <c r="L104" s="122"/>
      <c r="M104" s="207"/>
      <c r="N104" s="207"/>
      <c r="O104" s="122"/>
      <c r="P104" s="205"/>
      <c r="Q104" s="205"/>
      <c r="R104" s="205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</row>
    <row r="105">
      <c r="A105" s="122"/>
      <c r="B105" s="204"/>
      <c r="C105" s="204"/>
      <c r="D105" s="204"/>
      <c r="E105" s="205"/>
      <c r="F105" s="205"/>
      <c r="G105" s="205"/>
      <c r="H105" s="206"/>
      <c r="I105" s="207"/>
      <c r="J105" s="207"/>
      <c r="K105" s="207"/>
      <c r="L105" s="122"/>
      <c r="M105" s="207"/>
      <c r="N105" s="207"/>
      <c r="O105" s="122"/>
      <c r="P105" s="205"/>
      <c r="Q105" s="205"/>
      <c r="R105" s="205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</row>
    <row r="106">
      <c r="A106" s="122"/>
      <c r="B106" s="204"/>
      <c r="C106" s="204"/>
      <c r="D106" s="204"/>
      <c r="E106" s="205"/>
      <c r="F106" s="205"/>
      <c r="G106" s="205"/>
      <c r="H106" s="206"/>
      <c r="I106" s="207"/>
      <c r="J106" s="207"/>
      <c r="K106" s="207"/>
      <c r="L106" s="122"/>
      <c r="M106" s="207"/>
      <c r="N106" s="207"/>
      <c r="O106" s="122"/>
      <c r="P106" s="205"/>
      <c r="Q106" s="205"/>
      <c r="R106" s="205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</row>
    <row r="107">
      <c r="A107" s="122"/>
      <c r="B107" s="204"/>
      <c r="C107" s="204"/>
      <c r="D107" s="204"/>
      <c r="E107" s="205"/>
      <c r="F107" s="205"/>
      <c r="G107" s="205"/>
      <c r="H107" s="206"/>
      <c r="I107" s="207"/>
      <c r="J107" s="207"/>
      <c r="K107" s="207"/>
      <c r="L107" s="122"/>
      <c r="M107" s="207"/>
      <c r="N107" s="207"/>
      <c r="O107" s="122"/>
      <c r="P107" s="205"/>
      <c r="Q107" s="205"/>
      <c r="R107" s="205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</row>
    <row r="108">
      <c r="A108" s="122"/>
      <c r="B108" s="204"/>
      <c r="C108" s="204"/>
      <c r="D108" s="204"/>
      <c r="E108" s="205"/>
      <c r="F108" s="205"/>
      <c r="G108" s="205"/>
      <c r="H108" s="206"/>
      <c r="I108" s="207"/>
      <c r="J108" s="207"/>
      <c r="K108" s="207"/>
      <c r="L108" s="122"/>
      <c r="M108" s="207"/>
      <c r="N108" s="207"/>
      <c r="O108" s="122"/>
      <c r="P108" s="205"/>
      <c r="Q108" s="205"/>
      <c r="R108" s="205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</row>
    <row r="109">
      <c r="A109" s="122"/>
      <c r="B109" s="204"/>
      <c r="C109" s="204"/>
      <c r="D109" s="204"/>
      <c r="E109" s="205"/>
      <c r="F109" s="205"/>
      <c r="G109" s="205"/>
      <c r="H109" s="206"/>
      <c r="I109" s="207"/>
      <c r="J109" s="207"/>
      <c r="K109" s="207"/>
      <c r="L109" s="122"/>
      <c r="M109" s="207"/>
      <c r="N109" s="207"/>
      <c r="O109" s="122"/>
      <c r="P109" s="205"/>
      <c r="Q109" s="205"/>
      <c r="R109" s="205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</row>
    <row r="110">
      <c r="A110" s="122"/>
      <c r="B110" s="204"/>
      <c r="C110" s="204"/>
      <c r="D110" s="204"/>
      <c r="E110" s="205"/>
      <c r="F110" s="205"/>
      <c r="G110" s="205"/>
      <c r="H110" s="206"/>
      <c r="I110" s="207"/>
      <c r="J110" s="207"/>
      <c r="K110" s="207"/>
      <c r="L110" s="122"/>
      <c r="M110" s="207"/>
      <c r="N110" s="207"/>
      <c r="O110" s="122"/>
      <c r="P110" s="205"/>
      <c r="Q110" s="205"/>
      <c r="R110" s="205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</row>
    <row r="111">
      <c r="A111" s="122"/>
      <c r="B111" s="204"/>
      <c r="C111" s="204"/>
      <c r="D111" s="204"/>
      <c r="E111" s="205"/>
      <c r="F111" s="205"/>
      <c r="G111" s="205"/>
      <c r="H111" s="206"/>
      <c r="I111" s="207"/>
      <c r="J111" s="207"/>
      <c r="K111" s="207"/>
      <c r="L111" s="122"/>
      <c r="M111" s="207"/>
      <c r="N111" s="207"/>
      <c r="O111" s="122"/>
      <c r="P111" s="205"/>
      <c r="Q111" s="205"/>
      <c r="R111" s="205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</row>
    <row r="112">
      <c r="A112" s="122"/>
      <c r="B112" s="204"/>
      <c r="C112" s="204"/>
      <c r="D112" s="204"/>
      <c r="E112" s="205"/>
      <c r="F112" s="205"/>
      <c r="G112" s="205"/>
      <c r="H112" s="206"/>
      <c r="I112" s="207"/>
      <c r="J112" s="207"/>
      <c r="K112" s="207"/>
      <c r="L112" s="122"/>
      <c r="M112" s="207"/>
      <c r="N112" s="207"/>
      <c r="O112" s="122"/>
      <c r="P112" s="205"/>
      <c r="Q112" s="205"/>
      <c r="R112" s="205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</row>
    <row r="113">
      <c r="A113" s="122"/>
      <c r="B113" s="204"/>
      <c r="C113" s="204"/>
      <c r="D113" s="204"/>
      <c r="E113" s="205"/>
      <c r="F113" s="205"/>
      <c r="G113" s="205"/>
      <c r="H113" s="206"/>
      <c r="I113" s="207"/>
      <c r="J113" s="207"/>
      <c r="K113" s="207"/>
      <c r="L113" s="122"/>
      <c r="M113" s="207"/>
      <c r="N113" s="207"/>
      <c r="O113" s="122"/>
      <c r="P113" s="205"/>
      <c r="Q113" s="205"/>
      <c r="R113" s="205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</row>
    <row r="114">
      <c r="A114" s="122"/>
      <c r="B114" s="204"/>
      <c r="C114" s="204"/>
      <c r="D114" s="204"/>
      <c r="E114" s="205"/>
      <c r="F114" s="205"/>
      <c r="G114" s="205"/>
      <c r="H114" s="206"/>
      <c r="I114" s="207"/>
      <c r="J114" s="207"/>
      <c r="K114" s="207"/>
      <c r="L114" s="122"/>
      <c r="M114" s="207"/>
      <c r="N114" s="207"/>
      <c r="O114" s="122"/>
      <c r="P114" s="205"/>
      <c r="Q114" s="205"/>
      <c r="R114" s="205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</row>
    <row r="115">
      <c r="A115" s="122"/>
      <c r="B115" s="204"/>
      <c r="C115" s="204"/>
      <c r="D115" s="204"/>
      <c r="E115" s="205"/>
      <c r="F115" s="205"/>
      <c r="G115" s="205"/>
      <c r="H115" s="206"/>
      <c r="I115" s="207"/>
      <c r="J115" s="207"/>
      <c r="K115" s="207"/>
      <c r="L115" s="122"/>
      <c r="M115" s="207"/>
      <c r="N115" s="207"/>
      <c r="O115" s="122"/>
      <c r="P115" s="205"/>
      <c r="Q115" s="205"/>
      <c r="R115" s="205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</row>
    <row r="116">
      <c r="A116" s="122"/>
      <c r="B116" s="204"/>
      <c r="C116" s="204"/>
      <c r="D116" s="204"/>
      <c r="E116" s="205"/>
      <c r="F116" s="205"/>
      <c r="G116" s="205"/>
      <c r="H116" s="206"/>
      <c r="I116" s="207"/>
      <c r="J116" s="207"/>
      <c r="K116" s="207"/>
      <c r="L116" s="122"/>
      <c r="M116" s="207"/>
      <c r="N116" s="207"/>
      <c r="O116" s="122"/>
      <c r="P116" s="205"/>
      <c r="Q116" s="205"/>
      <c r="R116" s="205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</row>
    <row r="117">
      <c r="A117" s="122"/>
      <c r="B117" s="204"/>
      <c r="C117" s="204"/>
      <c r="D117" s="204"/>
      <c r="E117" s="205"/>
      <c r="F117" s="205"/>
      <c r="G117" s="205"/>
      <c r="H117" s="206"/>
      <c r="I117" s="207"/>
      <c r="J117" s="207"/>
      <c r="K117" s="207"/>
      <c r="L117" s="122"/>
      <c r="M117" s="207"/>
      <c r="N117" s="207"/>
      <c r="O117" s="122"/>
      <c r="P117" s="205"/>
      <c r="Q117" s="205"/>
      <c r="R117" s="205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</row>
    <row r="118">
      <c r="A118" s="122"/>
      <c r="B118" s="204"/>
      <c r="C118" s="204"/>
      <c r="D118" s="204"/>
      <c r="E118" s="205"/>
      <c r="F118" s="205"/>
      <c r="G118" s="205"/>
      <c r="H118" s="206"/>
      <c r="I118" s="207"/>
      <c r="J118" s="207"/>
      <c r="K118" s="207"/>
      <c r="L118" s="122"/>
      <c r="M118" s="207"/>
      <c r="N118" s="207"/>
      <c r="O118" s="122"/>
      <c r="P118" s="205"/>
      <c r="Q118" s="205"/>
      <c r="R118" s="205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</row>
    <row r="119">
      <c r="A119" s="122"/>
      <c r="B119" s="204"/>
      <c r="C119" s="204"/>
      <c r="D119" s="204"/>
      <c r="E119" s="205"/>
      <c r="F119" s="205"/>
      <c r="G119" s="205"/>
      <c r="H119" s="206"/>
      <c r="I119" s="207"/>
      <c r="J119" s="207"/>
      <c r="K119" s="207"/>
      <c r="L119" s="122"/>
      <c r="M119" s="207"/>
      <c r="N119" s="207"/>
      <c r="O119" s="122"/>
      <c r="P119" s="205"/>
      <c r="Q119" s="205"/>
      <c r="R119" s="205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</row>
    <row r="120">
      <c r="A120" s="122"/>
      <c r="B120" s="204"/>
      <c r="C120" s="204"/>
      <c r="D120" s="204"/>
      <c r="E120" s="205"/>
      <c r="F120" s="205"/>
      <c r="G120" s="205"/>
      <c r="H120" s="206"/>
      <c r="I120" s="207"/>
      <c r="J120" s="207"/>
      <c r="K120" s="207"/>
      <c r="L120" s="122"/>
      <c r="M120" s="207"/>
      <c r="N120" s="207"/>
      <c r="O120" s="122"/>
      <c r="P120" s="205"/>
      <c r="Q120" s="205"/>
      <c r="R120" s="205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</row>
    <row r="121">
      <c r="A121" s="122"/>
      <c r="B121" s="204"/>
      <c r="C121" s="204"/>
      <c r="D121" s="204"/>
      <c r="E121" s="205"/>
      <c r="F121" s="205"/>
      <c r="G121" s="205"/>
      <c r="H121" s="206"/>
      <c r="I121" s="207"/>
      <c r="J121" s="207"/>
      <c r="K121" s="207"/>
      <c r="L121" s="122"/>
      <c r="M121" s="207"/>
      <c r="N121" s="207"/>
      <c r="O121" s="122"/>
      <c r="P121" s="205"/>
      <c r="Q121" s="205"/>
      <c r="R121" s="205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</row>
    <row r="122">
      <c r="A122" s="122"/>
      <c r="B122" s="204"/>
      <c r="C122" s="204"/>
      <c r="D122" s="204"/>
      <c r="E122" s="205"/>
      <c r="F122" s="205"/>
      <c r="G122" s="205"/>
      <c r="H122" s="206"/>
      <c r="I122" s="207"/>
      <c r="J122" s="207"/>
      <c r="K122" s="207"/>
      <c r="L122" s="122"/>
      <c r="M122" s="207"/>
      <c r="N122" s="207"/>
      <c r="O122" s="122"/>
      <c r="P122" s="205"/>
      <c r="Q122" s="205"/>
      <c r="R122" s="205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</row>
    <row r="123">
      <c r="A123" s="122"/>
      <c r="B123" s="204"/>
      <c r="C123" s="204"/>
      <c r="D123" s="204"/>
      <c r="E123" s="205"/>
      <c r="F123" s="205"/>
      <c r="G123" s="205"/>
      <c r="H123" s="206"/>
      <c r="I123" s="207"/>
      <c r="J123" s="207"/>
      <c r="K123" s="207"/>
      <c r="L123" s="122"/>
      <c r="M123" s="207"/>
      <c r="N123" s="207"/>
      <c r="O123" s="122"/>
      <c r="P123" s="205"/>
      <c r="Q123" s="205"/>
      <c r="R123" s="205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</row>
    <row r="124">
      <c r="A124" s="122"/>
      <c r="B124" s="204"/>
      <c r="C124" s="204"/>
      <c r="D124" s="204"/>
      <c r="E124" s="205"/>
      <c r="F124" s="205"/>
      <c r="G124" s="205"/>
      <c r="H124" s="206"/>
      <c r="I124" s="207"/>
      <c r="J124" s="207"/>
      <c r="K124" s="207"/>
      <c r="L124" s="122"/>
      <c r="M124" s="207"/>
      <c r="N124" s="207"/>
      <c r="O124" s="122"/>
      <c r="P124" s="205"/>
      <c r="Q124" s="205"/>
      <c r="R124" s="205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</row>
    <row r="125">
      <c r="A125" s="122"/>
      <c r="B125" s="204"/>
      <c r="C125" s="204"/>
      <c r="D125" s="204"/>
      <c r="E125" s="205"/>
      <c r="F125" s="205"/>
      <c r="G125" s="205"/>
      <c r="H125" s="206"/>
      <c r="I125" s="207"/>
      <c r="J125" s="207"/>
      <c r="K125" s="207"/>
      <c r="L125" s="122"/>
      <c r="M125" s="207"/>
      <c r="N125" s="207"/>
      <c r="O125" s="122"/>
      <c r="P125" s="205"/>
      <c r="Q125" s="205"/>
      <c r="R125" s="205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</row>
    <row r="126">
      <c r="A126" s="122"/>
      <c r="B126" s="204"/>
      <c r="C126" s="204"/>
      <c r="D126" s="204"/>
      <c r="E126" s="205"/>
      <c r="F126" s="205"/>
      <c r="G126" s="205"/>
      <c r="H126" s="206"/>
      <c r="I126" s="207"/>
      <c r="J126" s="207"/>
      <c r="K126" s="207"/>
      <c r="L126" s="122"/>
      <c r="M126" s="207"/>
      <c r="N126" s="207"/>
      <c r="O126" s="122"/>
      <c r="P126" s="205"/>
      <c r="Q126" s="205"/>
      <c r="R126" s="205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</row>
    <row r="127">
      <c r="A127" s="122"/>
      <c r="B127" s="204"/>
      <c r="C127" s="204"/>
      <c r="D127" s="204"/>
      <c r="E127" s="205"/>
      <c r="F127" s="205"/>
      <c r="G127" s="205"/>
      <c r="H127" s="206"/>
      <c r="I127" s="207"/>
      <c r="J127" s="207"/>
      <c r="K127" s="207"/>
      <c r="L127" s="122"/>
      <c r="M127" s="207"/>
      <c r="N127" s="207"/>
      <c r="O127" s="122"/>
      <c r="P127" s="205"/>
      <c r="Q127" s="205"/>
      <c r="R127" s="205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</row>
    <row r="128">
      <c r="A128" s="122"/>
      <c r="B128" s="204"/>
      <c r="C128" s="204"/>
      <c r="D128" s="204"/>
      <c r="E128" s="205"/>
      <c r="F128" s="205"/>
      <c r="G128" s="205"/>
      <c r="H128" s="206"/>
      <c r="I128" s="207"/>
      <c r="J128" s="207"/>
      <c r="K128" s="207"/>
      <c r="L128" s="122"/>
      <c r="M128" s="207"/>
      <c r="N128" s="207"/>
      <c r="O128" s="122"/>
      <c r="P128" s="205"/>
      <c r="Q128" s="205"/>
      <c r="R128" s="205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</row>
    <row r="129">
      <c r="A129" s="122"/>
      <c r="B129" s="204"/>
      <c r="C129" s="204"/>
      <c r="D129" s="204"/>
      <c r="E129" s="205"/>
      <c r="F129" s="205"/>
      <c r="G129" s="205"/>
      <c r="H129" s="206"/>
      <c r="I129" s="207"/>
      <c r="J129" s="207"/>
      <c r="K129" s="207"/>
      <c r="L129" s="122"/>
      <c r="M129" s="207"/>
      <c r="N129" s="207"/>
      <c r="O129" s="122"/>
      <c r="P129" s="205"/>
      <c r="Q129" s="205"/>
      <c r="R129" s="205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</row>
    <row r="130">
      <c r="A130" s="122"/>
      <c r="B130" s="204"/>
      <c r="C130" s="204"/>
      <c r="D130" s="204"/>
      <c r="E130" s="205"/>
      <c r="F130" s="205"/>
      <c r="G130" s="205"/>
      <c r="H130" s="206"/>
      <c r="I130" s="207"/>
      <c r="J130" s="207"/>
      <c r="K130" s="207"/>
      <c r="L130" s="122"/>
      <c r="M130" s="207"/>
      <c r="N130" s="207"/>
      <c r="O130" s="122"/>
      <c r="P130" s="205"/>
      <c r="Q130" s="205"/>
      <c r="R130" s="205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</row>
    <row r="131">
      <c r="A131" s="122"/>
      <c r="B131" s="204"/>
      <c r="C131" s="204"/>
      <c r="D131" s="204"/>
      <c r="E131" s="205"/>
      <c r="F131" s="205"/>
      <c r="G131" s="205"/>
      <c r="H131" s="206"/>
      <c r="I131" s="207"/>
      <c r="J131" s="207"/>
      <c r="K131" s="207"/>
      <c r="L131" s="122"/>
      <c r="M131" s="207"/>
      <c r="N131" s="207"/>
      <c r="O131" s="122"/>
      <c r="P131" s="205"/>
      <c r="Q131" s="205"/>
      <c r="R131" s="205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</row>
    <row r="132">
      <c r="A132" s="122"/>
      <c r="B132" s="204"/>
      <c r="C132" s="204"/>
      <c r="D132" s="204"/>
      <c r="E132" s="205"/>
      <c r="F132" s="205"/>
      <c r="G132" s="205"/>
      <c r="H132" s="206"/>
      <c r="I132" s="207"/>
      <c r="J132" s="207"/>
      <c r="K132" s="207"/>
      <c r="L132" s="122"/>
      <c r="M132" s="207"/>
      <c r="N132" s="207"/>
      <c r="O132" s="122"/>
      <c r="P132" s="205"/>
      <c r="Q132" s="205"/>
      <c r="R132" s="205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</row>
    <row r="133">
      <c r="A133" s="122"/>
      <c r="B133" s="204"/>
      <c r="C133" s="204"/>
      <c r="D133" s="204"/>
      <c r="E133" s="205"/>
      <c r="F133" s="205"/>
      <c r="G133" s="205"/>
      <c r="H133" s="206"/>
      <c r="I133" s="207"/>
      <c r="J133" s="207"/>
      <c r="K133" s="207"/>
      <c r="L133" s="122"/>
      <c r="M133" s="207"/>
      <c r="N133" s="207"/>
      <c r="O133" s="122"/>
      <c r="P133" s="205"/>
      <c r="Q133" s="205"/>
      <c r="R133" s="205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</row>
    <row r="134">
      <c r="A134" s="122"/>
      <c r="B134" s="204"/>
      <c r="C134" s="204"/>
      <c r="D134" s="204"/>
      <c r="E134" s="205"/>
      <c r="F134" s="205"/>
      <c r="G134" s="205"/>
      <c r="H134" s="206"/>
      <c r="I134" s="207"/>
      <c r="J134" s="207"/>
      <c r="K134" s="207"/>
      <c r="L134" s="122"/>
      <c r="M134" s="207"/>
      <c r="N134" s="207"/>
      <c r="O134" s="122"/>
      <c r="P134" s="205"/>
      <c r="Q134" s="205"/>
      <c r="R134" s="205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</row>
    <row r="135">
      <c r="A135" s="122"/>
      <c r="B135" s="204"/>
      <c r="C135" s="204"/>
      <c r="D135" s="204"/>
      <c r="E135" s="205"/>
      <c r="F135" s="205"/>
      <c r="G135" s="205"/>
      <c r="H135" s="206"/>
      <c r="I135" s="207"/>
      <c r="J135" s="207"/>
      <c r="K135" s="207"/>
      <c r="L135" s="122"/>
      <c r="M135" s="207"/>
      <c r="N135" s="207"/>
      <c r="O135" s="122"/>
      <c r="P135" s="205"/>
      <c r="Q135" s="205"/>
      <c r="R135" s="205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</row>
    <row r="136">
      <c r="A136" s="122"/>
      <c r="B136" s="204"/>
      <c r="C136" s="204"/>
      <c r="D136" s="204"/>
      <c r="E136" s="205"/>
      <c r="F136" s="205"/>
      <c r="G136" s="205"/>
      <c r="H136" s="206"/>
      <c r="I136" s="207"/>
      <c r="J136" s="207"/>
      <c r="K136" s="207"/>
      <c r="L136" s="122"/>
      <c r="M136" s="207"/>
      <c r="N136" s="207"/>
      <c r="O136" s="122"/>
      <c r="P136" s="205"/>
      <c r="Q136" s="205"/>
      <c r="R136" s="205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</row>
    <row r="137">
      <c r="A137" s="122"/>
      <c r="B137" s="204"/>
      <c r="C137" s="204"/>
      <c r="D137" s="204"/>
      <c r="E137" s="205"/>
      <c r="F137" s="205"/>
      <c r="G137" s="205"/>
      <c r="H137" s="206"/>
      <c r="I137" s="207"/>
      <c r="J137" s="207"/>
      <c r="K137" s="207"/>
      <c r="L137" s="122"/>
      <c r="M137" s="207"/>
      <c r="N137" s="207"/>
      <c r="O137" s="122"/>
      <c r="P137" s="205"/>
      <c r="Q137" s="205"/>
      <c r="R137" s="205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</row>
    <row r="138">
      <c r="A138" s="122"/>
      <c r="B138" s="204"/>
      <c r="C138" s="204"/>
      <c r="D138" s="204"/>
      <c r="E138" s="205"/>
      <c r="F138" s="205"/>
      <c r="G138" s="205"/>
      <c r="H138" s="206"/>
      <c r="I138" s="207"/>
      <c r="J138" s="207"/>
      <c r="K138" s="207"/>
      <c r="L138" s="122"/>
      <c r="M138" s="207"/>
      <c r="N138" s="207"/>
      <c r="O138" s="122"/>
      <c r="P138" s="205"/>
      <c r="Q138" s="205"/>
      <c r="R138" s="205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</row>
    <row r="139">
      <c r="A139" s="122"/>
      <c r="B139" s="204"/>
      <c r="C139" s="204"/>
      <c r="D139" s="204"/>
      <c r="E139" s="205"/>
      <c r="F139" s="205"/>
      <c r="G139" s="205"/>
      <c r="H139" s="206"/>
      <c r="I139" s="207"/>
      <c r="J139" s="207"/>
      <c r="K139" s="207"/>
      <c r="L139" s="122"/>
      <c r="M139" s="207"/>
      <c r="N139" s="207"/>
      <c r="O139" s="122"/>
      <c r="P139" s="205"/>
      <c r="Q139" s="205"/>
      <c r="R139" s="205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</row>
    <row r="140">
      <c r="A140" s="122"/>
      <c r="B140" s="204"/>
      <c r="C140" s="204"/>
      <c r="D140" s="204"/>
      <c r="E140" s="205"/>
      <c r="F140" s="205"/>
      <c r="G140" s="205"/>
      <c r="H140" s="206"/>
      <c r="I140" s="207"/>
      <c r="J140" s="207"/>
      <c r="K140" s="207"/>
      <c r="L140" s="122"/>
      <c r="M140" s="207"/>
      <c r="N140" s="207"/>
      <c r="O140" s="122"/>
      <c r="P140" s="205"/>
      <c r="Q140" s="205"/>
      <c r="R140" s="205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</row>
    <row r="141">
      <c r="A141" s="122"/>
      <c r="B141" s="204"/>
      <c r="C141" s="204"/>
      <c r="D141" s="204"/>
      <c r="E141" s="205"/>
      <c r="F141" s="205"/>
      <c r="G141" s="205"/>
      <c r="H141" s="206"/>
      <c r="I141" s="207"/>
      <c r="J141" s="207"/>
      <c r="K141" s="207"/>
      <c r="L141" s="122"/>
      <c r="M141" s="207"/>
      <c r="N141" s="207"/>
      <c r="O141" s="122"/>
      <c r="P141" s="205"/>
      <c r="Q141" s="205"/>
      <c r="R141" s="205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</row>
    <row r="142">
      <c r="A142" s="122"/>
      <c r="B142" s="204"/>
      <c r="C142" s="204"/>
      <c r="D142" s="204"/>
      <c r="E142" s="205"/>
      <c r="F142" s="205"/>
      <c r="G142" s="205"/>
      <c r="H142" s="206"/>
      <c r="I142" s="207"/>
      <c r="J142" s="207"/>
      <c r="K142" s="207"/>
      <c r="L142" s="122"/>
      <c r="M142" s="207"/>
      <c r="N142" s="207"/>
      <c r="O142" s="122"/>
      <c r="P142" s="205"/>
      <c r="Q142" s="205"/>
      <c r="R142" s="205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</row>
    <row r="143">
      <c r="A143" s="122"/>
      <c r="B143" s="204"/>
      <c r="C143" s="204"/>
      <c r="D143" s="204"/>
      <c r="E143" s="205"/>
      <c r="F143" s="205"/>
      <c r="G143" s="205"/>
      <c r="H143" s="206"/>
      <c r="I143" s="207"/>
      <c r="J143" s="207"/>
      <c r="K143" s="207"/>
      <c r="L143" s="122"/>
      <c r="M143" s="207"/>
      <c r="N143" s="207"/>
      <c r="O143" s="122"/>
      <c r="P143" s="205"/>
      <c r="Q143" s="205"/>
      <c r="R143" s="205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</row>
    <row r="144">
      <c r="A144" s="122"/>
      <c r="B144" s="204"/>
      <c r="C144" s="204"/>
      <c r="D144" s="204"/>
      <c r="E144" s="205"/>
      <c r="F144" s="205"/>
      <c r="G144" s="205"/>
      <c r="H144" s="206"/>
      <c r="I144" s="207"/>
      <c r="J144" s="207"/>
      <c r="K144" s="207"/>
      <c r="L144" s="122"/>
      <c r="M144" s="207"/>
      <c r="N144" s="207"/>
      <c r="O144" s="122"/>
      <c r="P144" s="205"/>
      <c r="Q144" s="205"/>
      <c r="R144" s="205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</row>
    <row r="145">
      <c r="A145" s="122"/>
      <c r="B145" s="204"/>
      <c r="C145" s="204"/>
      <c r="D145" s="204"/>
      <c r="E145" s="205"/>
      <c r="F145" s="205"/>
      <c r="G145" s="205"/>
      <c r="H145" s="206"/>
      <c r="I145" s="207"/>
      <c r="J145" s="207"/>
      <c r="K145" s="207"/>
      <c r="L145" s="122"/>
      <c r="M145" s="207"/>
      <c r="N145" s="207"/>
      <c r="O145" s="122"/>
      <c r="P145" s="205"/>
      <c r="Q145" s="205"/>
      <c r="R145" s="205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</row>
    <row r="146">
      <c r="A146" s="122"/>
      <c r="B146" s="204"/>
      <c r="C146" s="204"/>
      <c r="D146" s="204"/>
      <c r="E146" s="205"/>
      <c r="F146" s="205"/>
      <c r="G146" s="205"/>
      <c r="H146" s="206"/>
      <c r="I146" s="207"/>
      <c r="J146" s="207"/>
      <c r="K146" s="207"/>
      <c r="L146" s="122"/>
      <c r="M146" s="207"/>
      <c r="N146" s="207"/>
      <c r="O146" s="122"/>
      <c r="P146" s="205"/>
      <c r="Q146" s="205"/>
      <c r="R146" s="205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</row>
    <row r="147">
      <c r="A147" s="122"/>
      <c r="B147" s="204"/>
      <c r="C147" s="204"/>
      <c r="D147" s="204"/>
      <c r="E147" s="205"/>
      <c r="F147" s="205"/>
      <c r="G147" s="205"/>
      <c r="H147" s="206"/>
      <c r="I147" s="207"/>
      <c r="J147" s="207"/>
      <c r="K147" s="207"/>
      <c r="L147" s="122"/>
      <c r="M147" s="207"/>
      <c r="N147" s="207"/>
      <c r="O147" s="122"/>
      <c r="P147" s="205"/>
      <c r="Q147" s="205"/>
      <c r="R147" s="205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</row>
    <row r="148">
      <c r="A148" s="122"/>
      <c r="B148" s="204"/>
      <c r="C148" s="204"/>
      <c r="D148" s="204"/>
      <c r="E148" s="205"/>
      <c r="F148" s="205"/>
      <c r="G148" s="205"/>
      <c r="H148" s="206"/>
      <c r="I148" s="207"/>
      <c r="J148" s="207"/>
      <c r="K148" s="207"/>
      <c r="L148" s="122"/>
      <c r="M148" s="207"/>
      <c r="N148" s="207"/>
      <c r="O148" s="122"/>
      <c r="P148" s="205"/>
      <c r="Q148" s="205"/>
      <c r="R148" s="205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</row>
    <row r="149">
      <c r="A149" s="122"/>
      <c r="B149" s="204"/>
      <c r="C149" s="204"/>
      <c r="D149" s="204"/>
      <c r="E149" s="205"/>
      <c r="F149" s="205"/>
      <c r="G149" s="205"/>
      <c r="H149" s="206"/>
      <c r="I149" s="207"/>
      <c r="J149" s="207"/>
      <c r="K149" s="207"/>
      <c r="L149" s="122"/>
      <c r="M149" s="207"/>
      <c r="N149" s="207"/>
      <c r="O149" s="122"/>
      <c r="P149" s="205"/>
      <c r="Q149" s="205"/>
      <c r="R149" s="205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</row>
    <row r="150">
      <c r="A150" s="122"/>
      <c r="B150" s="204"/>
      <c r="C150" s="204"/>
      <c r="D150" s="204"/>
      <c r="E150" s="205"/>
      <c r="F150" s="205"/>
      <c r="G150" s="205"/>
      <c r="H150" s="206"/>
      <c r="I150" s="207"/>
      <c r="J150" s="207"/>
      <c r="K150" s="207"/>
      <c r="L150" s="122"/>
      <c r="M150" s="207"/>
      <c r="N150" s="207"/>
      <c r="O150" s="122"/>
      <c r="P150" s="205"/>
      <c r="Q150" s="205"/>
      <c r="R150" s="205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</row>
    <row r="151">
      <c r="A151" s="122"/>
      <c r="B151" s="204"/>
      <c r="C151" s="204"/>
      <c r="D151" s="204"/>
      <c r="E151" s="205"/>
      <c r="F151" s="205"/>
      <c r="G151" s="205"/>
      <c r="H151" s="206"/>
      <c r="I151" s="207"/>
      <c r="J151" s="207"/>
      <c r="K151" s="207"/>
      <c r="L151" s="122"/>
      <c r="M151" s="207"/>
      <c r="N151" s="207"/>
      <c r="O151" s="122"/>
      <c r="P151" s="205"/>
      <c r="Q151" s="205"/>
      <c r="R151" s="205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</row>
    <row r="152">
      <c r="A152" s="122"/>
      <c r="B152" s="204"/>
      <c r="C152" s="204"/>
      <c r="D152" s="204"/>
      <c r="E152" s="205"/>
      <c r="F152" s="205"/>
      <c r="G152" s="205"/>
      <c r="H152" s="206"/>
      <c r="I152" s="207"/>
      <c r="J152" s="207"/>
      <c r="K152" s="207"/>
      <c r="L152" s="122"/>
      <c r="M152" s="207"/>
      <c r="N152" s="207"/>
      <c r="O152" s="122"/>
      <c r="P152" s="205"/>
      <c r="Q152" s="205"/>
      <c r="R152" s="205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</row>
    <row r="153">
      <c r="A153" s="122"/>
      <c r="B153" s="204"/>
      <c r="C153" s="204"/>
      <c r="D153" s="204"/>
      <c r="E153" s="205"/>
      <c r="F153" s="205"/>
      <c r="G153" s="205"/>
      <c r="H153" s="206"/>
      <c r="I153" s="207"/>
      <c r="J153" s="207"/>
      <c r="K153" s="207"/>
      <c r="L153" s="122"/>
      <c r="M153" s="207"/>
      <c r="N153" s="207"/>
      <c r="O153" s="122"/>
      <c r="P153" s="205"/>
      <c r="Q153" s="205"/>
      <c r="R153" s="205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</row>
    <row r="154">
      <c r="A154" s="122"/>
      <c r="B154" s="204"/>
      <c r="C154" s="204"/>
      <c r="D154" s="204"/>
      <c r="E154" s="205"/>
      <c r="F154" s="205"/>
      <c r="G154" s="205"/>
      <c r="H154" s="206"/>
      <c r="I154" s="207"/>
      <c r="J154" s="207"/>
      <c r="K154" s="207"/>
      <c r="L154" s="122"/>
      <c r="M154" s="207"/>
      <c r="N154" s="207"/>
      <c r="O154" s="122"/>
      <c r="P154" s="205"/>
      <c r="Q154" s="205"/>
      <c r="R154" s="205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</row>
    <row r="155">
      <c r="A155" s="122"/>
      <c r="B155" s="204"/>
      <c r="C155" s="204"/>
      <c r="D155" s="204"/>
      <c r="E155" s="205"/>
      <c r="F155" s="205"/>
      <c r="G155" s="205"/>
      <c r="H155" s="206"/>
      <c r="I155" s="207"/>
      <c r="J155" s="207"/>
      <c r="K155" s="207"/>
      <c r="L155" s="122"/>
      <c r="M155" s="207"/>
      <c r="N155" s="207"/>
      <c r="O155" s="122"/>
      <c r="P155" s="205"/>
      <c r="Q155" s="205"/>
      <c r="R155" s="205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</row>
    <row r="156">
      <c r="A156" s="122"/>
      <c r="B156" s="204"/>
      <c r="C156" s="204"/>
      <c r="D156" s="204"/>
      <c r="E156" s="205"/>
      <c r="F156" s="205"/>
      <c r="G156" s="205"/>
      <c r="H156" s="206"/>
      <c r="I156" s="207"/>
      <c r="J156" s="207"/>
      <c r="K156" s="207"/>
      <c r="L156" s="122"/>
      <c r="M156" s="207"/>
      <c r="N156" s="207"/>
      <c r="O156" s="122"/>
      <c r="P156" s="205"/>
      <c r="Q156" s="205"/>
      <c r="R156" s="205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</row>
    <row r="157">
      <c r="A157" s="122"/>
      <c r="B157" s="204"/>
      <c r="C157" s="204"/>
      <c r="D157" s="204"/>
      <c r="E157" s="205"/>
      <c r="F157" s="205"/>
      <c r="G157" s="205"/>
      <c r="H157" s="206"/>
      <c r="I157" s="207"/>
      <c r="J157" s="207"/>
      <c r="K157" s="207"/>
      <c r="L157" s="122"/>
      <c r="M157" s="207"/>
      <c r="N157" s="207"/>
      <c r="O157" s="122"/>
      <c r="P157" s="205"/>
      <c r="Q157" s="205"/>
      <c r="R157" s="205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</row>
    <row r="158">
      <c r="A158" s="122"/>
      <c r="B158" s="204"/>
      <c r="C158" s="204"/>
      <c r="D158" s="204"/>
      <c r="E158" s="205"/>
      <c r="F158" s="205"/>
      <c r="G158" s="205"/>
      <c r="H158" s="206"/>
      <c r="I158" s="207"/>
      <c r="J158" s="207"/>
      <c r="K158" s="207"/>
      <c r="L158" s="122"/>
      <c r="M158" s="207"/>
      <c r="N158" s="207"/>
      <c r="O158" s="122"/>
      <c r="P158" s="205"/>
      <c r="Q158" s="205"/>
      <c r="R158" s="205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</row>
    <row r="159">
      <c r="A159" s="122"/>
      <c r="B159" s="204"/>
      <c r="C159" s="204"/>
      <c r="D159" s="204"/>
      <c r="E159" s="205"/>
      <c r="F159" s="205"/>
      <c r="G159" s="205"/>
      <c r="H159" s="206"/>
      <c r="I159" s="207"/>
      <c r="J159" s="207"/>
      <c r="K159" s="207"/>
      <c r="L159" s="122"/>
      <c r="M159" s="207"/>
      <c r="N159" s="207"/>
      <c r="O159" s="122"/>
      <c r="P159" s="205"/>
      <c r="Q159" s="205"/>
      <c r="R159" s="205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</row>
    <row r="160">
      <c r="A160" s="122"/>
      <c r="B160" s="204"/>
      <c r="C160" s="204"/>
      <c r="D160" s="204"/>
      <c r="E160" s="205"/>
      <c r="F160" s="205"/>
      <c r="G160" s="205"/>
      <c r="H160" s="206"/>
      <c r="I160" s="207"/>
      <c r="J160" s="207"/>
      <c r="K160" s="207"/>
      <c r="L160" s="122"/>
      <c r="M160" s="207"/>
      <c r="N160" s="207"/>
      <c r="O160" s="122"/>
      <c r="P160" s="205"/>
      <c r="Q160" s="205"/>
      <c r="R160" s="205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</row>
    <row r="161">
      <c r="A161" s="122"/>
      <c r="B161" s="204"/>
      <c r="C161" s="204"/>
      <c r="D161" s="204"/>
      <c r="E161" s="205"/>
      <c r="F161" s="205"/>
      <c r="G161" s="205"/>
      <c r="H161" s="206"/>
      <c r="I161" s="207"/>
      <c r="J161" s="207"/>
      <c r="K161" s="207"/>
      <c r="L161" s="122"/>
      <c r="M161" s="207"/>
      <c r="N161" s="207"/>
      <c r="O161" s="122"/>
      <c r="P161" s="205"/>
      <c r="Q161" s="205"/>
      <c r="R161" s="205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</row>
    <row r="162">
      <c r="A162" s="122"/>
      <c r="B162" s="204"/>
      <c r="C162" s="204"/>
      <c r="D162" s="204"/>
      <c r="E162" s="205"/>
      <c r="F162" s="205"/>
      <c r="G162" s="205"/>
      <c r="H162" s="206"/>
      <c r="I162" s="207"/>
      <c r="J162" s="207"/>
      <c r="K162" s="207"/>
      <c r="L162" s="122"/>
      <c r="M162" s="207"/>
      <c r="N162" s="207"/>
      <c r="O162" s="122"/>
      <c r="P162" s="205"/>
      <c r="Q162" s="205"/>
      <c r="R162" s="205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</row>
    <row r="163">
      <c r="A163" s="122"/>
      <c r="B163" s="204"/>
      <c r="C163" s="204"/>
      <c r="D163" s="204"/>
      <c r="E163" s="205"/>
      <c r="F163" s="205"/>
      <c r="G163" s="205"/>
      <c r="H163" s="206"/>
      <c r="I163" s="207"/>
      <c r="J163" s="207"/>
      <c r="K163" s="207"/>
      <c r="L163" s="122"/>
      <c r="M163" s="207"/>
      <c r="N163" s="207"/>
      <c r="O163" s="122"/>
      <c r="P163" s="205"/>
      <c r="Q163" s="205"/>
      <c r="R163" s="205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</row>
    <row r="164">
      <c r="A164" s="122"/>
      <c r="B164" s="204"/>
      <c r="C164" s="204"/>
      <c r="D164" s="204"/>
      <c r="E164" s="205"/>
      <c r="F164" s="205"/>
      <c r="G164" s="205"/>
      <c r="H164" s="206"/>
      <c r="I164" s="207"/>
      <c r="J164" s="207"/>
      <c r="K164" s="207"/>
      <c r="L164" s="122"/>
      <c r="M164" s="207"/>
      <c r="N164" s="207"/>
      <c r="O164" s="122"/>
      <c r="P164" s="205"/>
      <c r="Q164" s="205"/>
      <c r="R164" s="205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</row>
    <row r="165">
      <c r="A165" s="122"/>
      <c r="B165" s="204"/>
      <c r="C165" s="204"/>
      <c r="D165" s="204"/>
      <c r="E165" s="205"/>
      <c r="F165" s="205"/>
      <c r="G165" s="205"/>
      <c r="H165" s="206"/>
      <c r="I165" s="207"/>
      <c r="J165" s="207"/>
      <c r="K165" s="207"/>
      <c r="L165" s="122"/>
      <c r="M165" s="207"/>
      <c r="N165" s="207"/>
      <c r="O165" s="122"/>
      <c r="P165" s="205"/>
      <c r="Q165" s="205"/>
      <c r="R165" s="205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</row>
    <row r="166">
      <c r="A166" s="122"/>
      <c r="B166" s="204"/>
      <c r="C166" s="204"/>
      <c r="D166" s="204"/>
      <c r="E166" s="205"/>
      <c r="F166" s="205"/>
      <c r="G166" s="205"/>
      <c r="H166" s="206"/>
      <c r="I166" s="207"/>
      <c r="J166" s="207"/>
      <c r="K166" s="207"/>
      <c r="L166" s="122"/>
      <c r="M166" s="207"/>
      <c r="N166" s="207"/>
      <c r="O166" s="122"/>
      <c r="P166" s="205"/>
      <c r="Q166" s="205"/>
      <c r="R166" s="205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</row>
    <row r="167">
      <c r="A167" s="122"/>
      <c r="B167" s="204"/>
      <c r="C167" s="204"/>
      <c r="D167" s="204"/>
      <c r="E167" s="205"/>
      <c r="F167" s="205"/>
      <c r="G167" s="205"/>
      <c r="H167" s="206"/>
      <c r="I167" s="207"/>
      <c r="J167" s="207"/>
      <c r="K167" s="207"/>
      <c r="L167" s="122"/>
      <c r="M167" s="207"/>
      <c r="N167" s="207"/>
      <c r="O167" s="122"/>
      <c r="P167" s="205"/>
      <c r="Q167" s="205"/>
      <c r="R167" s="205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</row>
    <row r="168">
      <c r="A168" s="122"/>
      <c r="B168" s="204"/>
      <c r="C168" s="204"/>
      <c r="D168" s="204"/>
      <c r="E168" s="205"/>
      <c r="F168" s="205"/>
      <c r="G168" s="205"/>
      <c r="H168" s="206"/>
      <c r="I168" s="207"/>
      <c r="J168" s="207"/>
      <c r="K168" s="207"/>
      <c r="L168" s="122"/>
      <c r="M168" s="207"/>
      <c r="N168" s="207"/>
      <c r="O168" s="122"/>
      <c r="P168" s="205"/>
      <c r="Q168" s="205"/>
      <c r="R168" s="205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</row>
    <row r="169">
      <c r="A169" s="122"/>
      <c r="B169" s="204"/>
      <c r="C169" s="204"/>
      <c r="D169" s="204"/>
      <c r="E169" s="205"/>
      <c r="F169" s="205"/>
      <c r="G169" s="205"/>
      <c r="H169" s="206"/>
      <c r="I169" s="207"/>
      <c r="J169" s="207"/>
      <c r="K169" s="207"/>
      <c r="L169" s="122"/>
      <c r="M169" s="207"/>
      <c r="N169" s="207"/>
      <c r="O169" s="122"/>
      <c r="P169" s="205"/>
      <c r="Q169" s="205"/>
      <c r="R169" s="205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</row>
    <row r="170">
      <c r="A170" s="122"/>
      <c r="B170" s="204"/>
      <c r="C170" s="204"/>
      <c r="D170" s="204"/>
      <c r="E170" s="205"/>
      <c r="F170" s="205"/>
      <c r="G170" s="205"/>
      <c r="H170" s="206"/>
      <c r="I170" s="207"/>
      <c r="J170" s="207"/>
      <c r="K170" s="207"/>
      <c r="L170" s="122"/>
      <c r="M170" s="207"/>
      <c r="N170" s="207"/>
      <c r="O170" s="122"/>
      <c r="P170" s="205"/>
      <c r="Q170" s="205"/>
      <c r="R170" s="205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</row>
    <row r="171">
      <c r="A171" s="122"/>
      <c r="B171" s="204"/>
      <c r="C171" s="204"/>
      <c r="D171" s="204"/>
      <c r="E171" s="205"/>
      <c r="F171" s="205"/>
      <c r="G171" s="205"/>
      <c r="H171" s="206"/>
      <c r="I171" s="207"/>
      <c r="J171" s="207"/>
      <c r="K171" s="207"/>
      <c r="L171" s="122"/>
      <c r="M171" s="207"/>
      <c r="N171" s="207"/>
      <c r="O171" s="122"/>
      <c r="P171" s="205"/>
      <c r="Q171" s="205"/>
      <c r="R171" s="205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</row>
    <row r="172">
      <c r="A172" s="122"/>
      <c r="B172" s="204"/>
      <c r="C172" s="204"/>
      <c r="D172" s="204"/>
      <c r="E172" s="205"/>
      <c r="F172" s="205"/>
      <c r="G172" s="205"/>
      <c r="H172" s="206"/>
      <c r="I172" s="207"/>
      <c r="J172" s="207"/>
      <c r="K172" s="207"/>
      <c r="L172" s="122"/>
      <c r="M172" s="207"/>
      <c r="N172" s="207"/>
      <c r="O172" s="122"/>
      <c r="P172" s="205"/>
      <c r="Q172" s="205"/>
      <c r="R172" s="205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</row>
    <row r="173">
      <c r="A173" s="122"/>
      <c r="B173" s="204"/>
      <c r="C173" s="204"/>
      <c r="D173" s="204"/>
      <c r="E173" s="205"/>
      <c r="F173" s="205"/>
      <c r="G173" s="205"/>
      <c r="H173" s="206"/>
      <c r="I173" s="207"/>
      <c r="J173" s="207"/>
      <c r="K173" s="207"/>
      <c r="L173" s="122"/>
      <c r="M173" s="207"/>
      <c r="N173" s="207"/>
      <c r="O173" s="122"/>
      <c r="P173" s="205"/>
      <c r="Q173" s="205"/>
      <c r="R173" s="205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</row>
    <row r="174">
      <c r="A174" s="122"/>
      <c r="B174" s="204"/>
      <c r="C174" s="204"/>
      <c r="D174" s="204"/>
      <c r="E174" s="205"/>
      <c r="F174" s="205"/>
      <c r="G174" s="205"/>
      <c r="H174" s="206"/>
      <c r="I174" s="207"/>
      <c r="J174" s="207"/>
      <c r="K174" s="207"/>
      <c r="L174" s="122"/>
      <c r="M174" s="207"/>
      <c r="N174" s="207"/>
      <c r="O174" s="122"/>
      <c r="P174" s="205"/>
      <c r="Q174" s="205"/>
      <c r="R174" s="205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</row>
    <row r="175">
      <c r="A175" s="122"/>
      <c r="B175" s="204"/>
      <c r="C175" s="204"/>
      <c r="D175" s="204"/>
      <c r="E175" s="205"/>
      <c r="F175" s="205"/>
      <c r="G175" s="205"/>
      <c r="H175" s="206"/>
      <c r="I175" s="207"/>
      <c r="J175" s="207"/>
      <c r="K175" s="207"/>
      <c r="L175" s="122"/>
      <c r="M175" s="207"/>
      <c r="N175" s="207"/>
      <c r="O175" s="122"/>
      <c r="P175" s="205"/>
      <c r="Q175" s="205"/>
      <c r="R175" s="205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</row>
    <row r="176">
      <c r="A176" s="122"/>
      <c r="B176" s="204"/>
      <c r="C176" s="204"/>
      <c r="D176" s="204"/>
      <c r="E176" s="205"/>
      <c r="F176" s="205"/>
      <c r="G176" s="205"/>
      <c r="H176" s="206"/>
      <c r="I176" s="207"/>
      <c r="J176" s="207"/>
      <c r="K176" s="207"/>
      <c r="L176" s="122"/>
      <c r="M176" s="207"/>
      <c r="N176" s="207"/>
      <c r="O176" s="122"/>
      <c r="P176" s="205"/>
      <c r="Q176" s="205"/>
      <c r="R176" s="205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</row>
    <row r="177">
      <c r="A177" s="122"/>
      <c r="B177" s="204"/>
      <c r="C177" s="204"/>
      <c r="D177" s="204"/>
      <c r="E177" s="205"/>
      <c r="F177" s="205"/>
      <c r="G177" s="205"/>
      <c r="H177" s="206"/>
      <c r="I177" s="207"/>
      <c r="J177" s="207"/>
      <c r="K177" s="207"/>
      <c r="L177" s="122"/>
      <c r="M177" s="207"/>
      <c r="N177" s="207"/>
      <c r="O177" s="122"/>
      <c r="P177" s="205"/>
      <c r="Q177" s="205"/>
      <c r="R177" s="205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</row>
    <row r="178">
      <c r="A178" s="122"/>
      <c r="B178" s="204"/>
      <c r="C178" s="204"/>
      <c r="D178" s="204"/>
      <c r="E178" s="205"/>
      <c r="F178" s="205"/>
      <c r="G178" s="205"/>
      <c r="H178" s="206"/>
      <c r="I178" s="207"/>
      <c r="J178" s="207"/>
      <c r="K178" s="207"/>
      <c r="L178" s="122"/>
      <c r="M178" s="207"/>
      <c r="N178" s="207"/>
      <c r="O178" s="122"/>
      <c r="P178" s="205"/>
      <c r="Q178" s="205"/>
      <c r="R178" s="205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</row>
    <row r="179">
      <c r="A179" s="122"/>
      <c r="B179" s="204"/>
      <c r="C179" s="204"/>
      <c r="D179" s="204"/>
      <c r="E179" s="205"/>
      <c r="F179" s="205"/>
      <c r="G179" s="205"/>
      <c r="H179" s="206"/>
      <c r="I179" s="207"/>
      <c r="J179" s="207"/>
      <c r="K179" s="207"/>
      <c r="L179" s="122"/>
      <c r="M179" s="207"/>
      <c r="N179" s="207"/>
      <c r="O179" s="122"/>
      <c r="P179" s="205"/>
      <c r="Q179" s="205"/>
      <c r="R179" s="205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</row>
    <row r="180">
      <c r="A180" s="122"/>
      <c r="B180" s="204"/>
      <c r="C180" s="204"/>
      <c r="D180" s="204"/>
      <c r="E180" s="205"/>
      <c r="F180" s="205"/>
      <c r="G180" s="205"/>
      <c r="H180" s="206"/>
      <c r="I180" s="207"/>
      <c r="J180" s="207"/>
      <c r="K180" s="207"/>
      <c r="L180" s="122"/>
      <c r="M180" s="207"/>
      <c r="N180" s="207"/>
      <c r="O180" s="122"/>
      <c r="P180" s="205"/>
      <c r="Q180" s="205"/>
      <c r="R180" s="205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</row>
    <row r="181">
      <c r="A181" s="122"/>
      <c r="B181" s="204"/>
      <c r="C181" s="204"/>
      <c r="D181" s="204"/>
      <c r="E181" s="205"/>
      <c r="F181" s="205"/>
      <c r="G181" s="205"/>
      <c r="H181" s="206"/>
      <c r="I181" s="207"/>
      <c r="J181" s="207"/>
      <c r="K181" s="207"/>
      <c r="L181" s="122"/>
      <c r="M181" s="207"/>
      <c r="N181" s="207"/>
      <c r="O181" s="122"/>
      <c r="P181" s="205"/>
      <c r="Q181" s="205"/>
      <c r="R181" s="205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</row>
    <row r="182">
      <c r="A182" s="122"/>
      <c r="B182" s="204"/>
      <c r="C182" s="204"/>
      <c r="D182" s="204"/>
      <c r="E182" s="205"/>
      <c r="F182" s="205"/>
      <c r="G182" s="205"/>
      <c r="H182" s="206"/>
      <c r="I182" s="207"/>
      <c r="J182" s="207"/>
      <c r="K182" s="207"/>
      <c r="L182" s="122"/>
      <c r="M182" s="207"/>
      <c r="N182" s="207"/>
      <c r="O182" s="122"/>
      <c r="P182" s="205"/>
      <c r="Q182" s="205"/>
      <c r="R182" s="205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</row>
    <row r="183">
      <c r="A183" s="122"/>
      <c r="B183" s="204"/>
      <c r="C183" s="204"/>
      <c r="D183" s="204"/>
      <c r="E183" s="205"/>
      <c r="F183" s="205"/>
      <c r="G183" s="205"/>
      <c r="H183" s="206"/>
      <c r="I183" s="207"/>
      <c r="J183" s="207"/>
      <c r="K183" s="207"/>
      <c r="L183" s="122"/>
      <c r="M183" s="207"/>
      <c r="N183" s="207"/>
      <c r="O183" s="122"/>
      <c r="P183" s="205"/>
      <c r="Q183" s="205"/>
      <c r="R183" s="205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</row>
    <row r="184">
      <c r="A184" s="122"/>
      <c r="B184" s="204"/>
      <c r="C184" s="204"/>
      <c r="D184" s="204"/>
      <c r="E184" s="205"/>
      <c r="F184" s="205"/>
      <c r="G184" s="205"/>
      <c r="H184" s="206"/>
      <c r="I184" s="207"/>
      <c r="J184" s="207"/>
      <c r="K184" s="207"/>
      <c r="L184" s="122"/>
      <c r="M184" s="207"/>
      <c r="N184" s="207"/>
      <c r="O184" s="122"/>
      <c r="P184" s="205"/>
      <c r="Q184" s="205"/>
      <c r="R184" s="205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</row>
    <row r="185">
      <c r="A185" s="122"/>
      <c r="B185" s="204"/>
      <c r="C185" s="204"/>
      <c r="D185" s="204"/>
      <c r="E185" s="205"/>
      <c r="F185" s="205"/>
      <c r="G185" s="205"/>
      <c r="H185" s="206"/>
      <c r="I185" s="207"/>
      <c r="J185" s="207"/>
      <c r="K185" s="207"/>
      <c r="L185" s="122"/>
      <c r="M185" s="207"/>
      <c r="N185" s="207"/>
      <c r="O185" s="122"/>
      <c r="P185" s="205"/>
      <c r="Q185" s="205"/>
      <c r="R185" s="205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</row>
    <row r="186">
      <c r="A186" s="122"/>
      <c r="B186" s="204"/>
      <c r="C186" s="204"/>
      <c r="D186" s="204"/>
      <c r="E186" s="205"/>
      <c r="F186" s="205"/>
      <c r="G186" s="205"/>
      <c r="H186" s="206"/>
      <c r="I186" s="207"/>
      <c r="J186" s="207"/>
      <c r="K186" s="207"/>
      <c r="L186" s="122"/>
      <c r="M186" s="207"/>
      <c r="N186" s="207"/>
      <c r="O186" s="122"/>
      <c r="P186" s="205"/>
      <c r="Q186" s="205"/>
      <c r="R186" s="205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</row>
    <row r="187">
      <c r="A187" s="122"/>
      <c r="B187" s="204"/>
      <c r="C187" s="204"/>
      <c r="D187" s="204"/>
      <c r="E187" s="205"/>
      <c r="F187" s="205"/>
      <c r="G187" s="205"/>
      <c r="H187" s="206"/>
      <c r="I187" s="207"/>
      <c r="J187" s="207"/>
      <c r="K187" s="207"/>
      <c r="L187" s="122"/>
      <c r="M187" s="207"/>
      <c r="N187" s="207"/>
      <c r="O187" s="122"/>
      <c r="P187" s="205"/>
      <c r="Q187" s="205"/>
      <c r="R187" s="205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</row>
    <row r="188">
      <c r="A188" s="122"/>
      <c r="B188" s="204"/>
      <c r="C188" s="204"/>
      <c r="D188" s="204"/>
      <c r="E188" s="205"/>
      <c r="F188" s="205"/>
      <c r="G188" s="205"/>
      <c r="H188" s="206"/>
      <c r="I188" s="207"/>
      <c r="J188" s="207"/>
      <c r="K188" s="207"/>
      <c r="L188" s="122"/>
      <c r="M188" s="207"/>
      <c r="N188" s="207"/>
      <c r="O188" s="122"/>
      <c r="P188" s="205"/>
      <c r="Q188" s="205"/>
      <c r="R188" s="205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</row>
    <row r="189">
      <c r="A189" s="122"/>
      <c r="B189" s="204"/>
      <c r="C189" s="204"/>
      <c r="D189" s="204"/>
      <c r="E189" s="205"/>
      <c r="F189" s="205"/>
      <c r="G189" s="205"/>
      <c r="H189" s="206"/>
      <c r="I189" s="207"/>
      <c r="J189" s="207"/>
      <c r="K189" s="207"/>
      <c r="L189" s="122"/>
      <c r="M189" s="207"/>
      <c r="N189" s="207"/>
      <c r="O189" s="122"/>
      <c r="P189" s="205"/>
      <c r="Q189" s="205"/>
      <c r="R189" s="205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</row>
    <row r="190">
      <c r="A190" s="122"/>
      <c r="B190" s="204"/>
      <c r="C190" s="204"/>
      <c r="D190" s="204"/>
      <c r="E190" s="205"/>
      <c r="F190" s="205"/>
      <c r="G190" s="205"/>
      <c r="H190" s="206"/>
      <c r="I190" s="207"/>
      <c r="J190" s="207"/>
      <c r="K190" s="207"/>
      <c r="L190" s="122"/>
      <c r="M190" s="207"/>
      <c r="N190" s="207"/>
      <c r="O190" s="122"/>
      <c r="P190" s="205"/>
      <c r="Q190" s="205"/>
      <c r="R190" s="205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</row>
    <row r="191">
      <c r="A191" s="122"/>
      <c r="B191" s="204"/>
      <c r="C191" s="204"/>
      <c r="D191" s="204"/>
      <c r="E191" s="205"/>
      <c r="F191" s="205"/>
      <c r="G191" s="205"/>
      <c r="H191" s="206"/>
      <c r="I191" s="207"/>
      <c r="J191" s="207"/>
      <c r="K191" s="207"/>
      <c r="L191" s="122"/>
      <c r="M191" s="207"/>
      <c r="N191" s="207"/>
      <c r="O191" s="122"/>
      <c r="P191" s="205"/>
      <c r="Q191" s="205"/>
      <c r="R191" s="205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</row>
    <row r="192">
      <c r="A192" s="122"/>
      <c r="B192" s="204"/>
      <c r="C192" s="204"/>
      <c r="D192" s="204"/>
      <c r="E192" s="205"/>
      <c r="F192" s="205"/>
      <c r="G192" s="205"/>
      <c r="H192" s="206"/>
      <c r="I192" s="207"/>
      <c r="J192" s="207"/>
      <c r="K192" s="207"/>
      <c r="L192" s="122"/>
      <c r="M192" s="207"/>
      <c r="N192" s="207"/>
      <c r="O192" s="122"/>
      <c r="P192" s="205"/>
      <c r="Q192" s="205"/>
      <c r="R192" s="205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</row>
    <row r="193">
      <c r="A193" s="122"/>
      <c r="B193" s="204"/>
      <c r="C193" s="204"/>
      <c r="D193" s="204"/>
      <c r="E193" s="205"/>
      <c r="F193" s="205"/>
      <c r="G193" s="205"/>
      <c r="H193" s="206"/>
      <c r="I193" s="207"/>
      <c r="J193" s="207"/>
      <c r="K193" s="207"/>
      <c r="L193" s="122"/>
      <c r="M193" s="207"/>
      <c r="N193" s="207"/>
      <c r="O193" s="122"/>
      <c r="P193" s="205"/>
      <c r="Q193" s="205"/>
      <c r="R193" s="205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</row>
    <row r="194">
      <c r="A194" s="122"/>
      <c r="B194" s="204"/>
      <c r="C194" s="204"/>
      <c r="D194" s="204"/>
      <c r="E194" s="205"/>
      <c r="F194" s="205"/>
      <c r="G194" s="205"/>
      <c r="H194" s="206"/>
      <c r="I194" s="207"/>
      <c r="J194" s="207"/>
      <c r="K194" s="207"/>
      <c r="L194" s="122"/>
      <c r="M194" s="207"/>
      <c r="N194" s="207"/>
      <c r="O194" s="122"/>
      <c r="P194" s="205"/>
      <c r="Q194" s="205"/>
      <c r="R194" s="205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</row>
    <row r="195">
      <c r="A195" s="122"/>
      <c r="B195" s="204"/>
      <c r="C195" s="204"/>
      <c r="D195" s="204"/>
      <c r="E195" s="205"/>
      <c r="F195" s="205"/>
      <c r="G195" s="205"/>
      <c r="H195" s="206"/>
      <c r="I195" s="207"/>
      <c r="J195" s="207"/>
      <c r="K195" s="207"/>
      <c r="L195" s="122"/>
      <c r="M195" s="207"/>
      <c r="N195" s="207"/>
      <c r="O195" s="122"/>
      <c r="P195" s="205"/>
      <c r="Q195" s="205"/>
      <c r="R195" s="205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</row>
    <row r="196">
      <c r="A196" s="122"/>
      <c r="B196" s="204"/>
      <c r="C196" s="204"/>
      <c r="D196" s="204"/>
      <c r="E196" s="205"/>
      <c r="F196" s="205"/>
      <c r="G196" s="205"/>
      <c r="H196" s="206"/>
      <c r="I196" s="207"/>
      <c r="J196" s="207"/>
      <c r="K196" s="207"/>
      <c r="L196" s="122"/>
      <c r="M196" s="207"/>
      <c r="N196" s="207"/>
      <c r="O196" s="122"/>
      <c r="P196" s="205"/>
      <c r="Q196" s="205"/>
      <c r="R196" s="205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</row>
    <row r="197">
      <c r="A197" s="122"/>
      <c r="B197" s="204"/>
      <c r="C197" s="204"/>
      <c r="D197" s="204"/>
      <c r="E197" s="205"/>
      <c r="F197" s="205"/>
      <c r="G197" s="205"/>
      <c r="H197" s="206"/>
      <c r="I197" s="207"/>
      <c r="J197" s="207"/>
      <c r="K197" s="207"/>
      <c r="L197" s="122"/>
      <c r="M197" s="207"/>
      <c r="N197" s="207"/>
      <c r="O197" s="122"/>
      <c r="P197" s="205"/>
      <c r="Q197" s="205"/>
      <c r="R197" s="205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</row>
    <row r="198">
      <c r="A198" s="122"/>
      <c r="B198" s="204"/>
      <c r="C198" s="204"/>
      <c r="D198" s="204"/>
      <c r="E198" s="205"/>
      <c r="F198" s="205"/>
      <c r="G198" s="205"/>
      <c r="H198" s="206"/>
      <c r="I198" s="207"/>
      <c r="J198" s="207"/>
      <c r="K198" s="207"/>
      <c r="L198" s="122"/>
      <c r="M198" s="207"/>
      <c r="N198" s="207"/>
      <c r="O198" s="122"/>
      <c r="P198" s="205"/>
      <c r="Q198" s="205"/>
      <c r="R198" s="205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</row>
    <row r="199">
      <c r="A199" s="122"/>
      <c r="B199" s="204"/>
      <c r="C199" s="204"/>
      <c r="D199" s="204"/>
      <c r="E199" s="205"/>
      <c r="F199" s="205"/>
      <c r="G199" s="205"/>
      <c r="H199" s="206"/>
      <c r="I199" s="207"/>
      <c r="J199" s="207"/>
      <c r="K199" s="207"/>
      <c r="L199" s="122"/>
      <c r="M199" s="207"/>
      <c r="N199" s="207"/>
      <c r="O199" s="122"/>
      <c r="P199" s="205"/>
      <c r="Q199" s="205"/>
      <c r="R199" s="205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</row>
    <row r="200">
      <c r="A200" s="122"/>
      <c r="B200" s="204"/>
      <c r="C200" s="204"/>
      <c r="D200" s="204"/>
      <c r="E200" s="205"/>
      <c r="F200" s="205"/>
      <c r="G200" s="205"/>
      <c r="H200" s="206"/>
      <c r="I200" s="207"/>
      <c r="J200" s="207"/>
      <c r="K200" s="207"/>
      <c r="L200" s="122"/>
      <c r="M200" s="207"/>
      <c r="N200" s="207"/>
      <c r="O200" s="122"/>
      <c r="P200" s="205"/>
      <c r="Q200" s="205"/>
      <c r="R200" s="205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</row>
    <row r="201">
      <c r="A201" s="122"/>
      <c r="B201" s="204"/>
      <c r="C201" s="204"/>
      <c r="D201" s="204"/>
      <c r="E201" s="205"/>
      <c r="F201" s="205"/>
      <c r="G201" s="205"/>
      <c r="H201" s="206"/>
      <c r="I201" s="207"/>
      <c r="J201" s="207"/>
      <c r="K201" s="207"/>
      <c r="L201" s="122"/>
      <c r="M201" s="207"/>
      <c r="N201" s="207"/>
      <c r="O201" s="122"/>
      <c r="P201" s="205"/>
      <c r="Q201" s="205"/>
      <c r="R201" s="205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</row>
    <row r="202">
      <c r="A202" s="122"/>
      <c r="B202" s="204"/>
      <c r="C202" s="204"/>
      <c r="D202" s="204"/>
      <c r="E202" s="205"/>
      <c r="F202" s="205"/>
      <c r="G202" s="205"/>
      <c r="H202" s="206"/>
      <c r="I202" s="207"/>
      <c r="J202" s="207"/>
      <c r="K202" s="207"/>
      <c r="L202" s="122"/>
      <c r="M202" s="207"/>
      <c r="N202" s="207"/>
      <c r="O202" s="122"/>
      <c r="P202" s="205"/>
      <c r="Q202" s="205"/>
      <c r="R202" s="205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</row>
    <row r="203">
      <c r="A203" s="122"/>
      <c r="B203" s="204"/>
      <c r="C203" s="204"/>
      <c r="D203" s="204"/>
      <c r="E203" s="205"/>
      <c r="F203" s="205"/>
      <c r="G203" s="205"/>
      <c r="H203" s="206"/>
      <c r="I203" s="207"/>
      <c r="J203" s="207"/>
      <c r="K203" s="207"/>
      <c r="L203" s="122"/>
      <c r="M203" s="207"/>
      <c r="N203" s="207"/>
      <c r="O203" s="122"/>
      <c r="P203" s="205"/>
      <c r="Q203" s="205"/>
      <c r="R203" s="205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</row>
    <row r="204">
      <c r="A204" s="122"/>
      <c r="B204" s="204"/>
      <c r="C204" s="204"/>
      <c r="D204" s="204"/>
      <c r="E204" s="205"/>
      <c r="F204" s="205"/>
      <c r="G204" s="205"/>
      <c r="H204" s="206"/>
      <c r="I204" s="207"/>
      <c r="J204" s="207"/>
      <c r="K204" s="207"/>
      <c r="L204" s="122"/>
      <c r="M204" s="207"/>
      <c r="N204" s="207"/>
      <c r="O204" s="122"/>
      <c r="P204" s="205"/>
      <c r="Q204" s="205"/>
      <c r="R204" s="205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</row>
    <row r="205">
      <c r="A205" s="122"/>
      <c r="B205" s="204"/>
      <c r="C205" s="204"/>
      <c r="D205" s="204"/>
      <c r="E205" s="205"/>
      <c r="F205" s="205"/>
      <c r="G205" s="205"/>
      <c r="H205" s="206"/>
      <c r="I205" s="207"/>
      <c r="J205" s="207"/>
      <c r="K205" s="207"/>
      <c r="L205" s="122"/>
      <c r="M205" s="207"/>
      <c r="N205" s="207"/>
      <c r="O205" s="122"/>
      <c r="P205" s="205"/>
      <c r="Q205" s="205"/>
      <c r="R205" s="205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</row>
    <row r="206">
      <c r="A206" s="122"/>
      <c r="B206" s="204"/>
      <c r="C206" s="204"/>
      <c r="D206" s="204"/>
      <c r="E206" s="205"/>
      <c r="F206" s="205"/>
      <c r="G206" s="205"/>
      <c r="H206" s="206"/>
      <c r="I206" s="207"/>
      <c r="J206" s="207"/>
      <c r="K206" s="207"/>
      <c r="L206" s="122"/>
      <c r="M206" s="207"/>
      <c r="N206" s="207"/>
      <c r="O206" s="122"/>
      <c r="P206" s="205"/>
      <c r="Q206" s="205"/>
      <c r="R206" s="205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</row>
    <row r="207">
      <c r="A207" s="122"/>
      <c r="B207" s="204"/>
      <c r="C207" s="204"/>
      <c r="D207" s="204"/>
      <c r="E207" s="205"/>
      <c r="F207" s="205"/>
      <c r="G207" s="205"/>
      <c r="H207" s="206"/>
      <c r="I207" s="207"/>
      <c r="J207" s="207"/>
      <c r="K207" s="207"/>
      <c r="L207" s="122"/>
      <c r="M207" s="207"/>
      <c r="N207" s="207"/>
      <c r="O207" s="122"/>
      <c r="P207" s="205"/>
      <c r="Q207" s="205"/>
      <c r="R207" s="205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</row>
    <row r="208">
      <c r="A208" s="122"/>
      <c r="B208" s="204"/>
      <c r="C208" s="204"/>
      <c r="D208" s="204"/>
      <c r="E208" s="205"/>
      <c r="F208" s="205"/>
      <c r="G208" s="205"/>
      <c r="H208" s="206"/>
      <c r="I208" s="207"/>
      <c r="J208" s="207"/>
      <c r="K208" s="207"/>
      <c r="L208" s="122"/>
      <c r="M208" s="207"/>
      <c r="N208" s="207"/>
      <c r="O208" s="122"/>
      <c r="P208" s="205"/>
      <c r="Q208" s="205"/>
      <c r="R208" s="205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</row>
    <row r="209">
      <c r="A209" s="122"/>
      <c r="B209" s="204"/>
      <c r="C209" s="204"/>
      <c r="D209" s="204"/>
      <c r="E209" s="205"/>
      <c r="F209" s="205"/>
      <c r="G209" s="205"/>
      <c r="H209" s="206"/>
      <c r="I209" s="207"/>
      <c r="J209" s="207"/>
      <c r="K209" s="207"/>
      <c r="L209" s="122"/>
      <c r="M209" s="207"/>
      <c r="N209" s="207"/>
      <c r="O209" s="122"/>
      <c r="P209" s="205"/>
      <c r="Q209" s="205"/>
      <c r="R209" s="205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</row>
    <row r="210">
      <c r="A210" s="122"/>
      <c r="B210" s="204"/>
      <c r="C210" s="204"/>
      <c r="D210" s="204"/>
      <c r="E210" s="205"/>
      <c r="F210" s="205"/>
      <c r="G210" s="205"/>
      <c r="H210" s="206"/>
      <c r="I210" s="207"/>
      <c r="J210" s="207"/>
      <c r="K210" s="207"/>
      <c r="L210" s="122"/>
      <c r="M210" s="207"/>
      <c r="N210" s="207"/>
      <c r="O210" s="122"/>
      <c r="P210" s="205"/>
      <c r="Q210" s="205"/>
      <c r="R210" s="205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</row>
    <row r="211">
      <c r="A211" s="122"/>
      <c r="B211" s="204"/>
      <c r="C211" s="204"/>
      <c r="D211" s="204"/>
      <c r="E211" s="205"/>
      <c r="F211" s="205"/>
      <c r="G211" s="205"/>
      <c r="H211" s="206"/>
      <c r="I211" s="207"/>
      <c r="J211" s="207"/>
      <c r="K211" s="207"/>
      <c r="L211" s="122"/>
      <c r="M211" s="207"/>
      <c r="N211" s="207"/>
      <c r="O211" s="122"/>
      <c r="P211" s="205"/>
      <c r="Q211" s="205"/>
      <c r="R211" s="205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</row>
    <row r="212">
      <c r="A212" s="122"/>
      <c r="B212" s="204"/>
      <c r="C212" s="204"/>
      <c r="D212" s="204"/>
      <c r="E212" s="205"/>
      <c r="F212" s="205"/>
      <c r="G212" s="205"/>
      <c r="H212" s="206"/>
      <c r="I212" s="207"/>
      <c r="J212" s="207"/>
      <c r="K212" s="207"/>
      <c r="L212" s="122"/>
      <c r="M212" s="207"/>
      <c r="N212" s="207"/>
      <c r="O212" s="122"/>
      <c r="P212" s="205"/>
      <c r="Q212" s="205"/>
      <c r="R212" s="205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</row>
    <row r="213">
      <c r="A213" s="122"/>
      <c r="B213" s="204"/>
      <c r="C213" s="204"/>
      <c r="D213" s="204"/>
      <c r="E213" s="205"/>
      <c r="F213" s="205"/>
      <c r="G213" s="205"/>
      <c r="H213" s="206"/>
      <c r="I213" s="207"/>
      <c r="J213" s="207"/>
      <c r="K213" s="207"/>
      <c r="L213" s="122"/>
      <c r="M213" s="207"/>
      <c r="N213" s="207"/>
      <c r="O213" s="122"/>
      <c r="P213" s="205"/>
      <c r="Q213" s="205"/>
      <c r="R213" s="205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</row>
    <row r="214">
      <c r="A214" s="122"/>
      <c r="B214" s="204"/>
      <c r="C214" s="204"/>
      <c r="D214" s="204"/>
      <c r="E214" s="205"/>
      <c r="F214" s="205"/>
      <c r="G214" s="205"/>
      <c r="H214" s="206"/>
      <c r="I214" s="207"/>
      <c r="J214" s="207"/>
      <c r="K214" s="207"/>
      <c r="L214" s="122"/>
      <c r="M214" s="207"/>
      <c r="N214" s="207"/>
      <c r="O214" s="122"/>
      <c r="P214" s="205"/>
      <c r="Q214" s="205"/>
      <c r="R214" s="205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</row>
    <row r="215">
      <c r="A215" s="122"/>
      <c r="B215" s="204"/>
      <c r="C215" s="204"/>
      <c r="D215" s="204"/>
      <c r="E215" s="205"/>
      <c r="F215" s="205"/>
      <c r="G215" s="205"/>
      <c r="H215" s="206"/>
      <c r="I215" s="207"/>
      <c r="J215" s="207"/>
      <c r="K215" s="207"/>
      <c r="L215" s="122"/>
      <c r="M215" s="207"/>
      <c r="N215" s="207"/>
      <c r="O215" s="122"/>
      <c r="P215" s="205"/>
      <c r="Q215" s="205"/>
      <c r="R215" s="205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</row>
    <row r="216">
      <c r="A216" s="122"/>
      <c r="B216" s="204"/>
      <c r="C216" s="204"/>
      <c r="D216" s="204"/>
      <c r="E216" s="205"/>
      <c r="F216" s="205"/>
      <c r="G216" s="205"/>
      <c r="H216" s="206"/>
      <c r="I216" s="207"/>
      <c r="J216" s="207"/>
      <c r="K216" s="207"/>
      <c r="L216" s="122"/>
      <c r="M216" s="207"/>
      <c r="N216" s="207"/>
      <c r="O216" s="122"/>
      <c r="P216" s="205"/>
      <c r="Q216" s="205"/>
      <c r="R216" s="205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</row>
    <row r="217">
      <c r="A217" s="122"/>
      <c r="B217" s="204"/>
      <c r="C217" s="204"/>
      <c r="D217" s="204"/>
      <c r="E217" s="205"/>
      <c r="F217" s="205"/>
      <c r="G217" s="205"/>
      <c r="H217" s="206"/>
      <c r="I217" s="207"/>
      <c r="J217" s="207"/>
      <c r="K217" s="207"/>
      <c r="L217" s="122"/>
      <c r="M217" s="207"/>
      <c r="N217" s="207"/>
      <c r="O217" s="122"/>
      <c r="P217" s="205"/>
      <c r="Q217" s="205"/>
      <c r="R217" s="205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</row>
    <row r="218">
      <c r="A218" s="122"/>
      <c r="B218" s="204"/>
      <c r="C218" s="204"/>
      <c r="D218" s="204"/>
      <c r="E218" s="205"/>
      <c r="F218" s="205"/>
      <c r="G218" s="205"/>
      <c r="H218" s="206"/>
      <c r="I218" s="207"/>
      <c r="J218" s="207"/>
      <c r="K218" s="207"/>
      <c r="L218" s="122"/>
      <c r="M218" s="207"/>
      <c r="N218" s="207"/>
      <c r="O218" s="122"/>
      <c r="P218" s="205"/>
      <c r="Q218" s="205"/>
      <c r="R218" s="205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</row>
    <row r="219">
      <c r="A219" s="122"/>
      <c r="B219" s="204"/>
      <c r="C219" s="204"/>
      <c r="D219" s="204"/>
      <c r="E219" s="205"/>
      <c r="F219" s="205"/>
      <c r="G219" s="205"/>
      <c r="H219" s="206"/>
      <c r="I219" s="207"/>
      <c r="J219" s="207"/>
      <c r="K219" s="207"/>
      <c r="L219" s="122"/>
      <c r="M219" s="207"/>
      <c r="N219" s="207"/>
      <c r="O219" s="122"/>
      <c r="P219" s="205"/>
      <c r="Q219" s="205"/>
      <c r="R219" s="205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</row>
    <row r="220">
      <c r="A220" s="122"/>
      <c r="B220" s="204"/>
      <c r="C220" s="204"/>
      <c r="D220" s="204"/>
      <c r="E220" s="205"/>
      <c r="F220" s="205"/>
      <c r="G220" s="205"/>
      <c r="H220" s="206"/>
      <c r="I220" s="207"/>
      <c r="J220" s="207"/>
      <c r="K220" s="207"/>
      <c r="L220" s="122"/>
      <c r="M220" s="207"/>
      <c r="N220" s="207"/>
      <c r="O220" s="122"/>
      <c r="P220" s="205"/>
      <c r="Q220" s="205"/>
      <c r="R220" s="205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</row>
    <row r="221">
      <c r="A221" s="122"/>
      <c r="B221" s="204"/>
      <c r="C221" s="204"/>
      <c r="D221" s="204"/>
      <c r="E221" s="205"/>
      <c r="F221" s="205"/>
      <c r="G221" s="205"/>
      <c r="H221" s="206"/>
      <c r="I221" s="207"/>
      <c r="J221" s="207"/>
      <c r="K221" s="207"/>
      <c r="L221" s="122"/>
      <c r="M221" s="207"/>
      <c r="N221" s="207"/>
      <c r="O221" s="122"/>
      <c r="P221" s="205"/>
      <c r="Q221" s="205"/>
      <c r="R221" s="205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</row>
    <row r="222">
      <c r="A222" s="122"/>
      <c r="B222" s="204"/>
      <c r="C222" s="204"/>
      <c r="D222" s="204"/>
      <c r="E222" s="205"/>
      <c r="F222" s="205"/>
      <c r="G222" s="205"/>
      <c r="H222" s="206"/>
      <c r="I222" s="207"/>
      <c r="J222" s="207"/>
      <c r="K222" s="207"/>
      <c r="L222" s="122"/>
      <c r="M222" s="207"/>
      <c r="N222" s="207"/>
      <c r="O222" s="122"/>
      <c r="P222" s="205"/>
      <c r="Q222" s="205"/>
      <c r="R222" s="205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</row>
    <row r="223">
      <c r="A223" s="122"/>
      <c r="B223" s="204"/>
      <c r="C223" s="204"/>
      <c r="D223" s="204"/>
      <c r="E223" s="205"/>
      <c r="F223" s="205"/>
      <c r="G223" s="205"/>
      <c r="H223" s="206"/>
      <c r="I223" s="207"/>
      <c r="J223" s="207"/>
      <c r="K223" s="207"/>
      <c r="L223" s="122"/>
      <c r="M223" s="207"/>
      <c r="N223" s="207"/>
      <c r="O223" s="122"/>
      <c r="P223" s="205"/>
      <c r="Q223" s="205"/>
      <c r="R223" s="205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</row>
    <row r="224">
      <c r="A224" s="122"/>
      <c r="B224" s="204"/>
      <c r="C224" s="204"/>
      <c r="D224" s="204"/>
      <c r="E224" s="205"/>
      <c r="F224" s="205"/>
      <c r="G224" s="205"/>
      <c r="H224" s="206"/>
      <c r="I224" s="207"/>
      <c r="J224" s="207"/>
      <c r="K224" s="207"/>
      <c r="L224" s="122"/>
      <c r="M224" s="207"/>
      <c r="N224" s="207"/>
      <c r="O224" s="122"/>
      <c r="P224" s="205"/>
      <c r="Q224" s="205"/>
      <c r="R224" s="205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</row>
    <row r="225">
      <c r="A225" s="122"/>
      <c r="B225" s="204"/>
      <c r="C225" s="204"/>
      <c r="D225" s="204"/>
      <c r="E225" s="205"/>
      <c r="F225" s="205"/>
      <c r="G225" s="205"/>
      <c r="H225" s="206"/>
      <c r="I225" s="207"/>
      <c r="J225" s="207"/>
      <c r="K225" s="207"/>
      <c r="L225" s="122"/>
      <c r="M225" s="207"/>
      <c r="N225" s="207"/>
      <c r="O225" s="122"/>
      <c r="P225" s="205"/>
      <c r="Q225" s="205"/>
      <c r="R225" s="205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</row>
    <row r="226">
      <c r="A226" s="122"/>
      <c r="B226" s="204"/>
      <c r="C226" s="204"/>
      <c r="D226" s="204"/>
      <c r="E226" s="205"/>
      <c r="F226" s="205"/>
      <c r="G226" s="205"/>
      <c r="H226" s="206"/>
      <c r="I226" s="207"/>
      <c r="J226" s="207"/>
      <c r="K226" s="207"/>
      <c r="L226" s="122"/>
      <c r="M226" s="207"/>
      <c r="N226" s="207"/>
      <c r="O226" s="122"/>
      <c r="P226" s="205"/>
      <c r="Q226" s="205"/>
      <c r="R226" s="205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</row>
    <row r="227">
      <c r="A227" s="122"/>
      <c r="B227" s="204"/>
      <c r="C227" s="204"/>
      <c r="D227" s="204"/>
      <c r="E227" s="205"/>
      <c r="F227" s="205"/>
      <c r="G227" s="205"/>
      <c r="H227" s="206"/>
      <c r="I227" s="207"/>
      <c r="J227" s="207"/>
      <c r="K227" s="207"/>
      <c r="L227" s="122"/>
      <c r="M227" s="207"/>
      <c r="N227" s="207"/>
      <c r="O227" s="122"/>
      <c r="P227" s="205"/>
      <c r="Q227" s="205"/>
      <c r="R227" s="205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</row>
    <row r="228">
      <c r="A228" s="122"/>
      <c r="B228" s="204"/>
      <c r="C228" s="204"/>
      <c r="D228" s="204"/>
      <c r="E228" s="205"/>
      <c r="F228" s="205"/>
      <c r="G228" s="205"/>
      <c r="H228" s="206"/>
      <c r="I228" s="207"/>
      <c r="J228" s="207"/>
      <c r="K228" s="207"/>
      <c r="L228" s="122"/>
      <c r="M228" s="207"/>
      <c r="N228" s="207"/>
      <c r="O228" s="122"/>
      <c r="P228" s="205"/>
      <c r="Q228" s="205"/>
      <c r="R228" s="205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</row>
    <row r="229">
      <c r="A229" s="122"/>
      <c r="B229" s="204"/>
      <c r="C229" s="204"/>
      <c r="D229" s="204"/>
      <c r="E229" s="205"/>
      <c r="F229" s="205"/>
      <c r="G229" s="205"/>
      <c r="H229" s="206"/>
      <c r="I229" s="207"/>
      <c r="J229" s="207"/>
      <c r="K229" s="207"/>
      <c r="L229" s="122"/>
      <c r="M229" s="207"/>
      <c r="N229" s="207"/>
      <c r="O229" s="122"/>
      <c r="P229" s="205"/>
      <c r="Q229" s="205"/>
      <c r="R229" s="205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</row>
    <row r="230">
      <c r="A230" s="122"/>
      <c r="B230" s="204"/>
      <c r="C230" s="204"/>
      <c r="D230" s="204"/>
      <c r="E230" s="205"/>
      <c r="F230" s="205"/>
      <c r="G230" s="205"/>
      <c r="H230" s="206"/>
      <c r="I230" s="207"/>
      <c r="J230" s="207"/>
      <c r="K230" s="207"/>
      <c r="L230" s="122"/>
      <c r="M230" s="207"/>
      <c r="N230" s="207"/>
      <c r="O230" s="122"/>
      <c r="P230" s="205"/>
      <c r="Q230" s="205"/>
      <c r="R230" s="205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</row>
    <row r="231">
      <c r="A231" s="122"/>
      <c r="B231" s="204"/>
      <c r="C231" s="204"/>
      <c r="D231" s="204"/>
      <c r="E231" s="205"/>
      <c r="F231" s="205"/>
      <c r="G231" s="205"/>
      <c r="H231" s="206"/>
      <c r="I231" s="207"/>
      <c r="J231" s="207"/>
      <c r="K231" s="207"/>
      <c r="L231" s="122"/>
      <c r="M231" s="207"/>
      <c r="N231" s="207"/>
      <c r="O231" s="122"/>
      <c r="P231" s="205"/>
      <c r="Q231" s="205"/>
      <c r="R231" s="205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</row>
    <row r="232">
      <c r="A232" s="122"/>
      <c r="B232" s="204"/>
      <c r="C232" s="204"/>
      <c r="D232" s="204"/>
      <c r="E232" s="205"/>
      <c r="F232" s="205"/>
      <c r="G232" s="205"/>
      <c r="H232" s="206"/>
      <c r="I232" s="207"/>
      <c r="J232" s="207"/>
      <c r="K232" s="207"/>
      <c r="L232" s="122"/>
      <c r="M232" s="207"/>
      <c r="N232" s="207"/>
      <c r="O232" s="122"/>
      <c r="P232" s="205"/>
      <c r="Q232" s="205"/>
      <c r="R232" s="205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</row>
    <row r="233">
      <c r="A233" s="122"/>
      <c r="B233" s="204"/>
      <c r="C233" s="204"/>
      <c r="D233" s="204"/>
      <c r="E233" s="205"/>
      <c r="F233" s="205"/>
      <c r="G233" s="205"/>
      <c r="H233" s="206"/>
      <c r="I233" s="207"/>
      <c r="J233" s="207"/>
      <c r="K233" s="207"/>
      <c r="L233" s="122"/>
      <c r="M233" s="207"/>
      <c r="N233" s="207"/>
      <c r="O233" s="122"/>
      <c r="P233" s="205"/>
      <c r="Q233" s="205"/>
      <c r="R233" s="205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</row>
    <row r="234">
      <c r="A234" s="122"/>
      <c r="B234" s="204"/>
      <c r="C234" s="204"/>
      <c r="D234" s="204"/>
      <c r="E234" s="205"/>
      <c r="F234" s="205"/>
      <c r="G234" s="205"/>
      <c r="H234" s="206"/>
      <c r="I234" s="207"/>
      <c r="J234" s="207"/>
      <c r="K234" s="207"/>
      <c r="L234" s="122"/>
      <c r="M234" s="207"/>
      <c r="N234" s="207"/>
      <c r="O234" s="122"/>
      <c r="P234" s="205"/>
      <c r="Q234" s="205"/>
      <c r="R234" s="205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</row>
    <row r="235">
      <c r="A235" s="122"/>
      <c r="B235" s="204"/>
      <c r="C235" s="204"/>
      <c r="D235" s="204"/>
      <c r="E235" s="205"/>
      <c r="F235" s="205"/>
      <c r="G235" s="205"/>
      <c r="H235" s="206"/>
      <c r="I235" s="207"/>
      <c r="J235" s="207"/>
      <c r="K235" s="207"/>
      <c r="L235" s="122"/>
      <c r="M235" s="207"/>
      <c r="N235" s="207"/>
      <c r="O235" s="122"/>
      <c r="P235" s="205"/>
      <c r="Q235" s="205"/>
      <c r="R235" s="205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</row>
    <row r="236">
      <c r="A236" s="122"/>
      <c r="B236" s="204"/>
      <c r="C236" s="204"/>
      <c r="D236" s="204"/>
      <c r="E236" s="205"/>
      <c r="F236" s="205"/>
      <c r="G236" s="205"/>
      <c r="H236" s="206"/>
      <c r="I236" s="207"/>
      <c r="J236" s="207"/>
      <c r="K236" s="207"/>
      <c r="L236" s="122"/>
      <c r="M236" s="207"/>
      <c r="N236" s="207"/>
      <c r="O236" s="122"/>
      <c r="P236" s="205"/>
      <c r="Q236" s="205"/>
      <c r="R236" s="205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</row>
    <row r="237">
      <c r="A237" s="122"/>
      <c r="B237" s="204"/>
      <c r="C237" s="204"/>
      <c r="D237" s="204"/>
      <c r="E237" s="205"/>
      <c r="F237" s="205"/>
      <c r="G237" s="205"/>
      <c r="H237" s="206"/>
      <c r="I237" s="207"/>
      <c r="J237" s="207"/>
      <c r="K237" s="207"/>
      <c r="L237" s="122"/>
      <c r="M237" s="207"/>
      <c r="N237" s="207"/>
      <c r="O237" s="122"/>
      <c r="P237" s="205"/>
      <c r="Q237" s="205"/>
      <c r="R237" s="205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</row>
    <row r="238">
      <c r="A238" s="122"/>
      <c r="B238" s="204"/>
      <c r="C238" s="204"/>
      <c r="D238" s="204"/>
      <c r="E238" s="205"/>
      <c r="F238" s="205"/>
      <c r="G238" s="205"/>
      <c r="H238" s="206"/>
      <c r="I238" s="207"/>
      <c r="J238" s="207"/>
      <c r="K238" s="207"/>
      <c r="L238" s="122"/>
      <c r="M238" s="207"/>
      <c r="N238" s="207"/>
      <c r="O238" s="122"/>
      <c r="P238" s="205"/>
      <c r="Q238" s="205"/>
      <c r="R238" s="205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</row>
    <row r="239">
      <c r="A239" s="122"/>
      <c r="B239" s="204"/>
      <c r="C239" s="204"/>
      <c r="D239" s="204"/>
      <c r="E239" s="205"/>
      <c r="F239" s="205"/>
      <c r="G239" s="205"/>
      <c r="H239" s="206"/>
      <c r="I239" s="207"/>
      <c r="J239" s="207"/>
      <c r="K239" s="207"/>
      <c r="L239" s="122"/>
      <c r="M239" s="207"/>
      <c r="N239" s="207"/>
      <c r="O239" s="122"/>
      <c r="P239" s="205"/>
      <c r="Q239" s="205"/>
      <c r="R239" s="205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</row>
    <row r="240">
      <c r="A240" s="122"/>
      <c r="B240" s="204"/>
      <c r="C240" s="204"/>
      <c r="D240" s="204"/>
      <c r="E240" s="205"/>
      <c r="F240" s="205"/>
      <c r="G240" s="205"/>
      <c r="H240" s="206"/>
      <c r="I240" s="207"/>
      <c r="J240" s="207"/>
      <c r="K240" s="207"/>
      <c r="L240" s="122"/>
      <c r="M240" s="207"/>
      <c r="N240" s="207"/>
      <c r="O240" s="122"/>
      <c r="P240" s="205"/>
      <c r="Q240" s="205"/>
      <c r="R240" s="205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</row>
    <row r="241">
      <c r="A241" s="122"/>
      <c r="B241" s="204"/>
      <c r="C241" s="204"/>
      <c r="D241" s="204"/>
      <c r="E241" s="205"/>
      <c r="F241" s="205"/>
      <c r="G241" s="205"/>
      <c r="H241" s="206"/>
      <c r="I241" s="207"/>
      <c r="J241" s="207"/>
      <c r="K241" s="207"/>
      <c r="L241" s="122"/>
      <c r="M241" s="207"/>
      <c r="N241" s="207"/>
      <c r="O241" s="122"/>
      <c r="P241" s="205"/>
      <c r="Q241" s="205"/>
      <c r="R241" s="205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</row>
    <row r="242">
      <c r="A242" s="122"/>
      <c r="B242" s="204"/>
      <c r="C242" s="204"/>
      <c r="D242" s="204"/>
      <c r="E242" s="205"/>
      <c r="F242" s="205"/>
      <c r="G242" s="205"/>
      <c r="H242" s="206"/>
      <c r="I242" s="207"/>
      <c r="J242" s="207"/>
      <c r="K242" s="207"/>
      <c r="L242" s="122"/>
      <c r="M242" s="207"/>
      <c r="N242" s="207"/>
      <c r="O242" s="122"/>
      <c r="P242" s="205"/>
      <c r="Q242" s="205"/>
      <c r="R242" s="205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</row>
    <row r="243">
      <c r="A243" s="122"/>
      <c r="B243" s="204"/>
      <c r="C243" s="204"/>
      <c r="D243" s="204"/>
      <c r="E243" s="205"/>
      <c r="F243" s="205"/>
      <c r="G243" s="205"/>
      <c r="H243" s="206"/>
      <c r="I243" s="207"/>
      <c r="J243" s="207"/>
      <c r="K243" s="207"/>
      <c r="L243" s="122"/>
      <c r="M243" s="207"/>
      <c r="N243" s="207"/>
      <c r="O243" s="122"/>
      <c r="P243" s="205"/>
      <c r="Q243" s="205"/>
      <c r="R243" s="205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</row>
    <row r="244">
      <c r="A244" s="122"/>
      <c r="B244" s="204"/>
      <c r="C244" s="204"/>
      <c r="D244" s="204"/>
      <c r="E244" s="205"/>
      <c r="F244" s="205"/>
      <c r="G244" s="205"/>
      <c r="H244" s="206"/>
      <c r="I244" s="207"/>
      <c r="J244" s="207"/>
      <c r="K244" s="207"/>
      <c r="L244" s="122"/>
      <c r="M244" s="207"/>
      <c r="N244" s="207"/>
      <c r="O244" s="122"/>
      <c r="P244" s="205"/>
      <c r="Q244" s="205"/>
      <c r="R244" s="205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</row>
    <row r="245">
      <c r="A245" s="122"/>
      <c r="B245" s="204"/>
      <c r="C245" s="204"/>
      <c r="D245" s="204"/>
      <c r="E245" s="205"/>
      <c r="F245" s="205"/>
      <c r="G245" s="205"/>
      <c r="H245" s="206"/>
      <c r="I245" s="207"/>
      <c r="J245" s="207"/>
      <c r="K245" s="207"/>
      <c r="L245" s="122"/>
      <c r="M245" s="207"/>
      <c r="N245" s="207"/>
      <c r="O245" s="122"/>
      <c r="P245" s="205"/>
      <c r="Q245" s="205"/>
      <c r="R245" s="205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</row>
    <row r="246">
      <c r="A246" s="122"/>
      <c r="B246" s="204"/>
      <c r="C246" s="204"/>
      <c r="D246" s="204"/>
      <c r="E246" s="205"/>
      <c r="F246" s="205"/>
      <c r="G246" s="205"/>
      <c r="H246" s="206"/>
      <c r="I246" s="207"/>
      <c r="J246" s="207"/>
      <c r="K246" s="207"/>
      <c r="L246" s="122"/>
      <c r="M246" s="207"/>
      <c r="N246" s="207"/>
      <c r="O246" s="122"/>
      <c r="P246" s="205"/>
      <c r="Q246" s="205"/>
      <c r="R246" s="205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</row>
    <row r="247">
      <c r="A247" s="122"/>
      <c r="B247" s="204"/>
      <c r="C247" s="204"/>
      <c r="D247" s="204"/>
      <c r="E247" s="205"/>
      <c r="F247" s="205"/>
      <c r="G247" s="205"/>
      <c r="H247" s="206"/>
      <c r="I247" s="207"/>
      <c r="J247" s="207"/>
      <c r="K247" s="207"/>
      <c r="L247" s="122"/>
      <c r="M247" s="207"/>
      <c r="N247" s="207"/>
      <c r="O247" s="122"/>
      <c r="P247" s="205"/>
      <c r="Q247" s="205"/>
      <c r="R247" s="205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</row>
    <row r="248">
      <c r="A248" s="122"/>
      <c r="B248" s="204"/>
      <c r="C248" s="204"/>
      <c r="D248" s="204"/>
      <c r="E248" s="205"/>
      <c r="F248" s="205"/>
      <c r="G248" s="205"/>
      <c r="H248" s="206"/>
      <c r="I248" s="207"/>
      <c r="J248" s="207"/>
      <c r="K248" s="207"/>
      <c r="L248" s="122"/>
      <c r="M248" s="207"/>
      <c r="N248" s="207"/>
      <c r="O248" s="122"/>
      <c r="P248" s="205"/>
      <c r="Q248" s="205"/>
      <c r="R248" s="205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</row>
    <row r="249">
      <c r="A249" s="122"/>
      <c r="B249" s="204"/>
      <c r="C249" s="204"/>
      <c r="D249" s="204"/>
      <c r="E249" s="205"/>
      <c r="F249" s="205"/>
      <c r="G249" s="205"/>
      <c r="H249" s="206"/>
      <c r="I249" s="207"/>
      <c r="J249" s="207"/>
      <c r="K249" s="207"/>
      <c r="L249" s="122"/>
      <c r="M249" s="207"/>
      <c r="N249" s="207"/>
      <c r="O249" s="122"/>
      <c r="P249" s="205"/>
      <c r="Q249" s="205"/>
      <c r="R249" s="205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</row>
    <row r="250">
      <c r="A250" s="122"/>
      <c r="B250" s="204"/>
      <c r="C250" s="204"/>
      <c r="D250" s="204"/>
      <c r="E250" s="205"/>
      <c r="F250" s="205"/>
      <c r="G250" s="205"/>
      <c r="H250" s="206"/>
      <c r="I250" s="207"/>
      <c r="J250" s="207"/>
      <c r="K250" s="207"/>
      <c r="L250" s="122"/>
      <c r="M250" s="207"/>
      <c r="N250" s="207"/>
      <c r="O250" s="122"/>
      <c r="P250" s="205"/>
      <c r="Q250" s="205"/>
      <c r="R250" s="205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</row>
    <row r="251">
      <c r="A251" s="122"/>
      <c r="B251" s="204"/>
      <c r="C251" s="204"/>
      <c r="D251" s="204"/>
      <c r="E251" s="205"/>
      <c r="F251" s="205"/>
      <c r="G251" s="205"/>
      <c r="H251" s="206"/>
      <c r="I251" s="207"/>
      <c r="J251" s="207"/>
      <c r="K251" s="207"/>
      <c r="L251" s="122"/>
      <c r="M251" s="207"/>
      <c r="N251" s="207"/>
      <c r="O251" s="122"/>
      <c r="P251" s="205"/>
      <c r="Q251" s="205"/>
      <c r="R251" s="205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</row>
    <row r="252">
      <c r="A252" s="122"/>
      <c r="B252" s="204"/>
      <c r="C252" s="204"/>
      <c r="D252" s="204"/>
      <c r="E252" s="205"/>
      <c r="F252" s="205"/>
      <c r="G252" s="205"/>
      <c r="H252" s="206"/>
      <c r="I252" s="207"/>
      <c r="J252" s="207"/>
      <c r="K252" s="207"/>
      <c r="L252" s="122"/>
      <c r="M252" s="207"/>
      <c r="N252" s="207"/>
      <c r="O252" s="122"/>
      <c r="P252" s="205"/>
      <c r="Q252" s="205"/>
      <c r="R252" s="205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</row>
    <row r="253">
      <c r="A253" s="122"/>
      <c r="B253" s="204"/>
      <c r="C253" s="204"/>
      <c r="D253" s="204"/>
      <c r="E253" s="205"/>
      <c r="F253" s="205"/>
      <c r="G253" s="205"/>
      <c r="H253" s="206"/>
      <c r="I253" s="207"/>
      <c r="J253" s="207"/>
      <c r="K253" s="207"/>
      <c r="L253" s="122"/>
      <c r="M253" s="207"/>
      <c r="N253" s="207"/>
      <c r="O253" s="122"/>
      <c r="P253" s="205"/>
      <c r="Q253" s="205"/>
      <c r="R253" s="205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</row>
    <row r="254">
      <c r="A254" s="122"/>
      <c r="B254" s="204"/>
      <c r="C254" s="204"/>
      <c r="D254" s="204"/>
      <c r="E254" s="205"/>
      <c r="F254" s="205"/>
      <c r="G254" s="205"/>
      <c r="H254" s="206"/>
      <c r="I254" s="207"/>
      <c r="J254" s="207"/>
      <c r="K254" s="207"/>
      <c r="L254" s="122"/>
      <c r="M254" s="207"/>
      <c r="N254" s="207"/>
      <c r="O254" s="122"/>
      <c r="P254" s="205"/>
      <c r="Q254" s="205"/>
      <c r="R254" s="205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</row>
    <row r="255">
      <c r="A255" s="122"/>
      <c r="B255" s="204"/>
      <c r="C255" s="204"/>
      <c r="D255" s="204"/>
      <c r="E255" s="205"/>
      <c r="F255" s="205"/>
      <c r="G255" s="205"/>
      <c r="H255" s="206"/>
      <c r="I255" s="207"/>
      <c r="J255" s="207"/>
      <c r="K255" s="207"/>
      <c r="L255" s="122"/>
      <c r="M255" s="207"/>
      <c r="N255" s="207"/>
      <c r="O255" s="122"/>
      <c r="P255" s="205"/>
      <c r="Q255" s="205"/>
      <c r="R255" s="205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</row>
    <row r="256">
      <c r="A256" s="122"/>
      <c r="B256" s="204"/>
      <c r="C256" s="204"/>
      <c r="D256" s="204"/>
      <c r="E256" s="205"/>
      <c r="F256" s="205"/>
      <c r="G256" s="205"/>
      <c r="H256" s="206"/>
      <c r="I256" s="207"/>
      <c r="J256" s="207"/>
      <c r="K256" s="207"/>
      <c r="L256" s="122"/>
      <c r="M256" s="207"/>
      <c r="N256" s="207"/>
      <c r="O256" s="122"/>
      <c r="P256" s="205"/>
      <c r="Q256" s="205"/>
      <c r="R256" s="205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</row>
    <row r="257">
      <c r="A257" s="122"/>
      <c r="B257" s="204"/>
      <c r="C257" s="204"/>
      <c r="D257" s="204"/>
      <c r="E257" s="205"/>
      <c r="F257" s="205"/>
      <c r="G257" s="205"/>
      <c r="H257" s="206"/>
      <c r="I257" s="207"/>
      <c r="J257" s="207"/>
      <c r="K257" s="207"/>
      <c r="L257" s="122"/>
      <c r="M257" s="207"/>
      <c r="N257" s="207"/>
      <c r="O257" s="122"/>
      <c r="P257" s="205"/>
      <c r="Q257" s="205"/>
      <c r="R257" s="205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</row>
    <row r="258">
      <c r="A258" s="122"/>
      <c r="B258" s="204"/>
      <c r="C258" s="204"/>
      <c r="D258" s="204"/>
      <c r="E258" s="205"/>
      <c r="F258" s="205"/>
      <c r="G258" s="205"/>
      <c r="H258" s="206"/>
      <c r="I258" s="207"/>
      <c r="J258" s="207"/>
      <c r="K258" s="207"/>
      <c r="L258" s="122"/>
      <c r="M258" s="207"/>
      <c r="N258" s="207"/>
      <c r="O258" s="122"/>
      <c r="P258" s="205"/>
      <c r="Q258" s="205"/>
      <c r="R258" s="205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</row>
    <row r="259">
      <c r="A259" s="122"/>
      <c r="B259" s="204"/>
      <c r="C259" s="204"/>
      <c r="D259" s="204"/>
      <c r="E259" s="205"/>
      <c r="F259" s="205"/>
      <c r="G259" s="205"/>
      <c r="H259" s="206"/>
      <c r="I259" s="207"/>
      <c r="J259" s="207"/>
      <c r="K259" s="207"/>
      <c r="L259" s="122"/>
      <c r="M259" s="207"/>
      <c r="N259" s="207"/>
      <c r="O259" s="122"/>
      <c r="P259" s="205"/>
      <c r="Q259" s="205"/>
      <c r="R259" s="205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</row>
    <row r="260">
      <c r="A260" s="122"/>
      <c r="B260" s="204"/>
      <c r="C260" s="204"/>
      <c r="D260" s="204"/>
      <c r="E260" s="205"/>
      <c r="F260" s="205"/>
      <c r="G260" s="205"/>
      <c r="H260" s="206"/>
      <c r="I260" s="207"/>
      <c r="J260" s="207"/>
      <c r="K260" s="207"/>
      <c r="L260" s="122"/>
      <c r="M260" s="207"/>
      <c r="N260" s="207"/>
      <c r="O260" s="122"/>
      <c r="P260" s="205"/>
      <c r="Q260" s="205"/>
      <c r="R260" s="205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</row>
    <row r="261">
      <c r="A261" s="122"/>
      <c r="B261" s="204"/>
      <c r="C261" s="204"/>
      <c r="D261" s="204"/>
      <c r="E261" s="205"/>
      <c r="F261" s="205"/>
      <c r="G261" s="205"/>
      <c r="H261" s="206"/>
      <c r="I261" s="207"/>
      <c r="J261" s="207"/>
      <c r="K261" s="207"/>
      <c r="L261" s="122"/>
      <c r="M261" s="207"/>
      <c r="N261" s="207"/>
      <c r="O261" s="122"/>
      <c r="P261" s="205"/>
      <c r="Q261" s="205"/>
      <c r="R261" s="205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</row>
    <row r="262">
      <c r="A262" s="122"/>
      <c r="B262" s="204"/>
      <c r="C262" s="204"/>
      <c r="D262" s="204"/>
      <c r="E262" s="205"/>
      <c r="F262" s="205"/>
      <c r="G262" s="205"/>
      <c r="H262" s="206"/>
      <c r="I262" s="207"/>
      <c r="J262" s="207"/>
      <c r="K262" s="207"/>
      <c r="L262" s="122"/>
      <c r="M262" s="207"/>
      <c r="N262" s="207"/>
      <c r="O262" s="122"/>
      <c r="P262" s="205"/>
      <c r="Q262" s="205"/>
      <c r="R262" s="205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</row>
    <row r="263">
      <c r="A263" s="122"/>
      <c r="B263" s="204"/>
      <c r="C263" s="204"/>
      <c r="D263" s="204"/>
      <c r="E263" s="205"/>
      <c r="F263" s="205"/>
      <c r="G263" s="205"/>
      <c r="H263" s="206"/>
      <c r="I263" s="207"/>
      <c r="J263" s="207"/>
      <c r="K263" s="207"/>
      <c r="L263" s="122"/>
      <c r="M263" s="207"/>
      <c r="N263" s="207"/>
      <c r="O263" s="122"/>
      <c r="P263" s="205"/>
      <c r="Q263" s="205"/>
      <c r="R263" s="205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</row>
    <row r="264">
      <c r="A264" s="122"/>
      <c r="B264" s="204"/>
      <c r="C264" s="204"/>
      <c r="D264" s="204"/>
      <c r="E264" s="205"/>
      <c r="F264" s="205"/>
      <c r="G264" s="205"/>
      <c r="H264" s="206"/>
      <c r="I264" s="207"/>
      <c r="J264" s="207"/>
      <c r="K264" s="207"/>
      <c r="L264" s="122"/>
      <c r="M264" s="207"/>
      <c r="N264" s="207"/>
      <c r="O264" s="122"/>
      <c r="P264" s="205"/>
      <c r="Q264" s="205"/>
      <c r="R264" s="205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</row>
    <row r="265">
      <c r="A265" s="122"/>
      <c r="B265" s="204"/>
      <c r="C265" s="204"/>
      <c r="D265" s="204"/>
      <c r="E265" s="205"/>
      <c r="F265" s="205"/>
      <c r="G265" s="205"/>
      <c r="H265" s="206"/>
      <c r="I265" s="207"/>
      <c r="J265" s="207"/>
      <c r="K265" s="207"/>
      <c r="L265" s="122"/>
      <c r="M265" s="207"/>
      <c r="N265" s="207"/>
      <c r="O265" s="122"/>
      <c r="P265" s="205"/>
      <c r="Q265" s="205"/>
      <c r="R265" s="205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</row>
    <row r="266">
      <c r="A266" s="122"/>
      <c r="B266" s="204"/>
      <c r="C266" s="204"/>
      <c r="D266" s="204"/>
      <c r="E266" s="205"/>
      <c r="F266" s="205"/>
      <c r="G266" s="205"/>
      <c r="H266" s="206"/>
      <c r="I266" s="207"/>
      <c r="J266" s="207"/>
      <c r="K266" s="207"/>
      <c r="L266" s="122"/>
      <c r="M266" s="207"/>
      <c r="N266" s="207"/>
      <c r="O266" s="122"/>
      <c r="P266" s="205"/>
      <c r="Q266" s="205"/>
      <c r="R266" s="205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</row>
    <row r="267">
      <c r="A267" s="122"/>
      <c r="B267" s="204"/>
      <c r="C267" s="204"/>
      <c r="D267" s="204"/>
      <c r="E267" s="205"/>
      <c r="F267" s="205"/>
      <c r="G267" s="205"/>
      <c r="H267" s="206"/>
      <c r="I267" s="207"/>
      <c r="J267" s="207"/>
      <c r="K267" s="207"/>
      <c r="L267" s="122"/>
      <c r="M267" s="207"/>
      <c r="N267" s="207"/>
      <c r="O267" s="122"/>
      <c r="P267" s="205"/>
      <c r="Q267" s="205"/>
      <c r="R267" s="205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</row>
    <row r="268">
      <c r="A268" s="122"/>
      <c r="B268" s="204"/>
      <c r="C268" s="204"/>
      <c r="D268" s="204"/>
      <c r="E268" s="205"/>
      <c r="F268" s="205"/>
      <c r="G268" s="205"/>
      <c r="H268" s="206"/>
      <c r="I268" s="207"/>
      <c r="J268" s="207"/>
      <c r="K268" s="207"/>
      <c r="L268" s="122"/>
      <c r="M268" s="207"/>
      <c r="N268" s="207"/>
      <c r="O268" s="122"/>
      <c r="P268" s="205"/>
      <c r="Q268" s="205"/>
      <c r="R268" s="205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</row>
    <row r="269">
      <c r="A269" s="122"/>
      <c r="B269" s="204"/>
      <c r="C269" s="204"/>
      <c r="D269" s="204"/>
      <c r="E269" s="205"/>
      <c r="F269" s="205"/>
      <c r="G269" s="205"/>
      <c r="H269" s="206"/>
      <c r="I269" s="207"/>
      <c r="J269" s="207"/>
      <c r="K269" s="207"/>
      <c r="L269" s="122"/>
      <c r="M269" s="207"/>
      <c r="N269" s="207"/>
      <c r="O269" s="122"/>
      <c r="P269" s="205"/>
      <c r="Q269" s="205"/>
      <c r="R269" s="205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</row>
    <row r="270">
      <c r="A270" s="122"/>
      <c r="B270" s="204"/>
      <c r="C270" s="204"/>
      <c r="D270" s="204"/>
      <c r="E270" s="205"/>
      <c r="F270" s="205"/>
      <c r="G270" s="205"/>
      <c r="H270" s="206"/>
      <c r="I270" s="207"/>
      <c r="J270" s="207"/>
      <c r="K270" s="207"/>
      <c r="L270" s="122"/>
      <c r="M270" s="207"/>
      <c r="N270" s="207"/>
      <c r="O270" s="122"/>
      <c r="P270" s="205"/>
      <c r="Q270" s="205"/>
      <c r="R270" s="205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</row>
    <row r="271">
      <c r="A271" s="122"/>
      <c r="B271" s="204"/>
      <c r="C271" s="204"/>
      <c r="D271" s="204"/>
      <c r="E271" s="205"/>
      <c r="F271" s="205"/>
      <c r="G271" s="205"/>
      <c r="H271" s="206"/>
      <c r="I271" s="207"/>
      <c r="J271" s="207"/>
      <c r="K271" s="207"/>
      <c r="L271" s="122"/>
      <c r="M271" s="207"/>
      <c r="N271" s="207"/>
      <c r="O271" s="122"/>
      <c r="P271" s="205"/>
      <c r="Q271" s="205"/>
      <c r="R271" s="205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</row>
    <row r="272">
      <c r="A272" s="122"/>
      <c r="B272" s="204"/>
      <c r="C272" s="204"/>
      <c r="D272" s="204"/>
      <c r="E272" s="205"/>
      <c r="F272" s="205"/>
      <c r="G272" s="205"/>
      <c r="H272" s="206"/>
      <c r="I272" s="207"/>
      <c r="J272" s="207"/>
      <c r="K272" s="207"/>
      <c r="L272" s="122"/>
      <c r="M272" s="207"/>
      <c r="N272" s="207"/>
      <c r="O272" s="122"/>
      <c r="P272" s="205"/>
      <c r="Q272" s="205"/>
      <c r="R272" s="205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</row>
    <row r="273">
      <c r="A273" s="122"/>
      <c r="B273" s="204"/>
      <c r="C273" s="204"/>
      <c r="D273" s="204"/>
      <c r="E273" s="205"/>
      <c r="F273" s="205"/>
      <c r="G273" s="205"/>
      <c r="H273" s="206"/>
      <c r="I273" s="207"/>
      <c r="J273" s="207"/>
      <c r="K273" s="207"/>
      <c r="L273" s="122"/>
      <c r="M273" s="207"/>
      <c r="N273" s="207"/>
      <c r="O273" s="122"/>
      <c r="P273" s="205"/>
      <c r="Q273" s="205"/>
      <c r="R273" s="205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</row>
    <row r="274">
      <c r="A274" s="122"/>
      <c r="B274" s="204"/>
      <c r="C274" s="204"/>
      <c r="D274" s="204"/>
      <c r="E274" s="205"/>
      <c r="F274" s="205"/>
      <c r="G274" s="205"/>
      <c r="H274" s="206"/>
      <c r="I274" s="207"/>
      <c r="J274" s="207"/>
      <c r="K274" s="207"/>
      <c r="L274" s="122"/>
      <c r="M274" s="207"/>
      <c r="N274" s="207"/>
      <c r="O274" s="122"/>
      <c r="P274" s="205"/>
      <c r="Q274" s="205"/>
      <c r="R274" s="205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</row>
    <row r="275">
      <c r="A275" s="122"/>
      <c r="B275" s="204"/>
      <c r="C275" s="204"/>
      <c r="D275" s="204"/>
      <c r="E275" s="205"/>
      <c r="F275" s="205"/>
      <c r="G275" s="205"/>
      <c r="H275" s="206"/>
      <c r="I275" s="207"/>
      <c r="J275" s="207"/>
      <c r="K275" s="207"/>
      <c r="L275" s="122"/>
      <c r="M275" s="207"/>
      <c r="N275" s="207"/>
      <c r="O275" s="122"/>
      <c r="P275" s="205"/>
      <c r="Q275" s="205"/>
      <c r="R275" s="205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</row>
    <row r="276">
      <c r="A276" s="122"/>
      <c r="B276" s="204"/>
      <c r="C276" s="204"/>
      <c r="D276" s="204"/>
      <c r="E276" s="205"/>
      <c r="F276" s="205"/>
      <c r="G276" s="205"/>
      <c r="H276" s="206"/>
      <c r="I276" s="207"/>
      <c r="J276" s="207"/>
      <c r="K276" s="207"/>
      <c r="L276" s="122"/>
      <c r="M276" s="207"/>
      <c r="N276" s="207"/>
      <c r="O276" s="122"/>
      <c r="P276" s="205"/>
      <c r="Q276" s="205"/>
      <c r="R276" s="205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</row>
    <row r="277">
      <c r="A277" s="122"/>
      <c r="B277" s="204"/>
      <c r="C277" s="204"/>
      <c r="D277" s="204"/>
      <c r="E277" s="205"/>
      <c r="F277" s="205"/>
      <c r="G277" s="205"/>
      <c r="H277" s="206"/>
      <c r="I277" s="207"/>
      <c r="J277" s="207"/>
      <c r="K277" s="207"/>
      <c r="L277" s="122"/>
      <c r="M277" s="207"/>
      <c r="N277" s="207"/>
      <c r="O277" s="122"/>
      <c r="P277" s="205"/>
      <c r="Q277" s="205"/>
      <c r="R277" s="205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</row>
    <row r="278">
      <c r="A278" s="122"/>
      <c r="B278" s="204"/>
      <c r="C278" s="204"/>
      <c r="D278" s="204"/>
      <c r="E278" s="205"/>
      <c r="F278" s="205"/>
      <c r="G278" s="205"/>
      <c r="H278" s="206"/>
      <c r="I278" s="207"/>
      <c r="J278" s="207"/>
      <c r="K278" s="207"/>
      <c r="L278" s="122"/>
      <c r="M278" s="207"/>
      <c r="N278" s="207"/>
      <c r="O278" s="122"/>
      <c r="P278" s="205"/>
      <c r="Q278" s="205"/>
      <c r="R278" s="205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</row>
    <row r="279">
      <c r="A279" s="122"/>
      <c r="B279" s="204"/>
      <c r="C279" s="204"/>
      <c r="D279" s="204"/>
      <c r="E279" s="205"/>
      <c r="F279" s="205"/>
      <c r="G279" s="205"/>
      <c r="H279" s="206"/>
      <c r="I279" s="207"/>
      <c r="J279" s="207"/>
      <c r="K279" s="207"/>
      <c r="L279" s="122"/>
      <c r="M279" s="207"/>
      <c r="N279" s="207"/>
      <c r="O279" s="122"/>
      <c r="P279" s="205"/>
      <c r="Q279" s="205"/>
      <c r="R279" s="205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</row>
    <row r="280">
      <c r="A280" s="122"/>
      <c r="B280" s="204"/>
      <c r="C280" s="204"/>
      <c r="D280" s="204"/>
      <c r="E280" s="205"/>
      <c r="F280" s="205"/>
      <c r="G280" s="205"/>
      <c r="H280" s="206"/>
      <c r="I280" s="207"/>
      <c r="J280" s="207"/>
      <c r="K280" s="207"/>
      <c r="L280" s="122"/>
      <c r="M280" s="207"/>
      <c r="N280" s="207"/>
      <c r="O280" s="122"/>
      <c r="P280" s="205"/>
      <c r="Q280" s="205"/>
      <c r="R280" s="205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</row>
    <row r="281">
      <c r="A281" s="122"/>
      <c r="B281" s="204"/>
      <c r="C281" s="204"/>
      <c r="D281" s="204"/>
      <c r="E281" s="205"/>
      <c r="F281" s="205"/>
      <c r="G281" s="205"/>
      <c r="H281" s="206"/>
      <c r="I281" s="207"/>
      <c r="J281" s="207"/>
      <c r="K281" s="207"/>
      <c r="L281" s="122"/>
      <c r="M281" s="207"/>
      <c r="N281" s="207"/>
      <c r="O281" s="122"/>
      <c r="P281" s="205"/>
      <c r="Q281" s="205"/>
      <c r="R281" s="205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</row>
    <row r="282">
      <c r="A282" s="122"/>
      <c r="B282" s="204"/>
      <c r="C282" s="204"/>
      <c r="D282" s="204"/>
      <c r="E282" s="205"/>
      <c r="F282" s="205"/>
      <c r="G282" s="205"/>
      <c r="H282" s="206"/>
      <c r="I282" s="207"/>
      <c r="J282" s="207"/>
      <c r="K282" s="207"/>
      <c r="L282" s="122"/>
      <c r="M282" s="207"/>
      <c r="N282" s="207"/>
      <c r="O282" s="122"/>
      <c r="P282" s="205"/>
      <c r="Q282" s="205"/>
      <c r="R282" s="205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</row>
    <row r="283">
      <c r="A283" s="122"/>
      <c r="B283" s="204"/>
      <c r="C283" s="204"/>
      <c r="D283" s="204"/>
      <c r="E283" s="205"/>
      <c r="F283" s="205"/>
      <c r="G283" s="205"/>
      <c r="H283" s="206"/>
      <c r="I283" s="207"/>
      <c r="J283" s="207"/>
      <c r="K283" s="207"/>
      <c r="L283" s="122"/>
      <c r="M283" s="207"/>
      <c r="N283" s="207"/>
      <c r="O283" s="122"/>
      <c r="P283" s="205"/>
      <c r="Q283" s="205"/>
      <c r="R283" s="205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</row>
    <row r="284">
      <c r="A284" s="122"/>
      <c r="B284" s="204"/>
      <c r="C284" s="204"/>
      <c r="D284" s="204"/>
      <c r="E284" s="205"/>
      <c r="F284" s="205"/>
      <c r="G284" s="205"/>
      <c r="H284" s="206"/>
      <c r="I284" s="207"/>
      <c r="J284" s="207"/>
      <c r="K284" s="207"/>
      <c r="L284" s="122"/>
      <c r="M284" s="207"/>
      <c r="N284" s="207"/>
      <c r="O284" s="122"/>
      <c r="P284" s="205"/>
      <c r="Q284" s="205"/>
      <c r="R284" s="205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</row>
    <row r="285">
      <c r="A285" s="122"/>
      <c r="B285" s="204"/>
      <c r="C285" s="204"/>
      <c r="D285" s="204"/>
      <c r="E285" s="205"/>
      <c r="F285" s="205"/>
      <c r="G285" s="205"/>
      <c r="H285" s="206"/>
      <c r="I285" s="207"/>
      <c r="J285" s="207"/>
      <c r="K285" s="207"/>
      <c r="L285" s="122"/>
      <c r="M285" s="207"/>
      <c r="N285" s="207"/>
      <c r="O285" s="122"/>
      <c r="P285" s="205"/>
      <c r="Q285" s="205"/>
      <c r="R285" s="205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</row>
    <row r="286">
      <c r="A286" s="122"/>
      <c r="B286" s="204"/>
      <c r="C286" s="204"/>
      <c r="D286" s="204"/>
      <c r="E286" s="205"/>
      <c r="F286" s="205"/>
      <c r="G286" s="205"/>
      <c r="H286" s="206"/>
      <c r="I286" s="207"/>
      <c r="J286" s="207"/>
      <c r="K286" s="207"/>
      <c r="L286" s="122"/>
      <c r="M286" s="207"/>
      <c r="N286" s="207"/>
      <c r="O286" s="122"/>
      <c r="P286" s="205"/>
      <c r="Q286" s="205"/>
      <c r="R286" s="205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</row>
    <row r="287">
      <c r="A287" s="122"/>
      <c r="B287" s="204"/>
      <c r="C287" s="204"/>
      <c r="D287" s="204"/>
      <c r="E287" s="205"/>
      <c r="F287" s="205"/>
      <c r="G287" s="205"/>
      <c r="H287" s="206"/>
      <c r="I287" s="207"/>
      <c r="J287" s="207"/>
      <c r="K287" s="207"/>
      <c r="L287" s="122"/>
      <c r="M287" s="207"/>
      <c r="N287" s="207"/>
      <c r="O287" s="122"/>
      <c r="P287" s="205"/>
      <c r="Q287" s="205"/>
      <c r="R287" s="205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</row>
    <row r="288">
      <c r="A288" s="122"/>
      <c r="B288" s="204"/>
      <c r="C288" s="204"/>
      <c r="D288" s="204"/>
      <c r="E288" s="205"/>
      <c r="F288" s="205"/>
      <c r="G288" s="205"/>
      <c r="H288" s="206"/>
      <c r="I288" s="207"/>
      <c r="J288" s="207"/>
      <c r="K288" s="207"/>
      <c r="L288" s="122"/>
      <c r="M288" s="207"/>
      <c r="N288" s="207"/>
      <c r="O288" s="122"/>
      <c r="P288" s="205"/>
      <c r="Q288" s="205"/>
      <c r="R288" s="205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</row>
    <row r="289">
      <c r="A289" s="122"/>
      <c r="B289" s="204"/>
      <c r="C289" s="204"/>
      <c r="D289" s="204"/>
      <c r="E289" s="205"/>
      <c r="F289" s="205"/>
      <c r="G289" s="205"/>
      <c r="H289" s="206"/>
      <c r="I289" s="207"/>
      <c r="J289" s="207"/>
      <c r="K289" s="207"/>
      <c r="L289" s="122"/>
      <c r="M289" s="207"/>
      <c r="N289" s="207"/>
      <c r="O289" s="122"/>
      <c r="P289" s="205"/>
      <c r="Q289" s="205"/>
      <c r="R289" s="205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</row>
    <row r="290">
      <c r="A290" s="122"/>
      <c r="B290" s="204"/>
      <c r="C290" s="204"/>
      <c r="D290" s="204"/>
      <c r="E290" s="205"/>
      <c r="F290" s="205"/>
      <c r="G290" s="205"/>
      <c r="H290" s="206"/>
      <c r="I290" s="207"/>
      <c r="J290" s="207"/>
      <c r="K290" s="207"/>
      <c r="L290" s="122"/>
      <c r="M290" s="207"/>
      <c r="N290" s="207"/>
      <c r="O290" s="122"/>
      <c r="P290" s="205"/>
      <c r="Q290" s="205"/>
      <c r="R290" s="205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</row>
    <row r="291">
      <c r="A291" s="122"/>
      <c r="B291" s="204"/>
      <c r="C291" s="204"/>
      <c r="D291" s="204"/>
      <c r="E291" s="205"/>
      <c r="F291" s="205"/>
      <c r="G291" s="205"/>
      <c r="H291" s="206"/>
      <c r="I291" s="207"/>
      <c r="J291" s="207"/>
      <c r="K291" s="207"/>
      <c r="L291" s="122"/>
      <c r="M291" s="207"/>
      <c r="N291" s="207"/>
      <c r="O291" s="122"/>
      <c r="P291" s="205"/>
      <c r="Q291" s="205"/>
      <c r="R291" s="205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</row>
    <row r="292">
      <c r="A292" s="122"/>
      <c r="B292" s="204"/>
      <c r="C292" s="204"/>
      <c r="D292" s="204"/>
      <c r="E292" s="205"/>
      <c r="F292" s="205"/>
      <c r="G292" s="205"/>
      <c r="H292" s="206"/>
      <c r="I292" s="207"/>
      <c r="J292" s="207"/>
      <c r="K292" s="207"/>
      <c r="L292" s="122"/>
      <c r="M292" s="207"/>
      <c r="N292" s="207"/>
      <c r="O292" s="122"/>
      <c r="P292" s="205"/>
      <c r="Q292" s="205"/>
      <c r="R292" s="205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</row>
    <row r="293">
      <c r="A293" s="122"/>
      <c r="B293" s="204"/>
      <c r="C293" s="204"/>
      <c r="D293" s="204"/>
      <c r="E293" s="205"/>
      <c r="F293" s="205"/>
      <c r="G293" s="205"/>
      <c r="H293" s="206"/>
      <c r="I293" s="207"/>
      <c r="J293" s="207"/>
      <c r="K293" s="207"/>
      <c r="L293" s="122"/>
      <c r="M293" s="207"/>
      <c r="N293" s="207"/>
      <c r="O293" s="122"/>
      <c r="P293" s="205"/>
      <c r="Q293" s="205"/>
      <c r="R293" s="205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</row>
    <row r="294">
      <c r="A294" s="122"/>
      <c r="B294" s="204"/>
      <c r="C294" s="204"/>
      <c r="D294" s="204"/>
      <c r="E294" s="205"/>
      <c r="F294" s="205"/>
      <c r="G294" s="205"/>
      <c r="H294" s="206"/>
      <c r="I294" s="207"/>
      <c r="J294" s="207"/>
      <c r="K294" s="207"/>
      <c r="L294" s="122"/>
      <c r="M294" s="207"/>
      <c r="N294" s="207"/>
      <c r="O294" s="122"/>
      <c r="P294" s="205"/>
      <c r="Q294" s="205"/>
      <c r="R294" s="205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</row>
    <row r="295">
      <c r="A295" s="122"/>
      <c r="B295" s="204"/>
      <c r="C295" s="204"/>
      <c r="D295" s="204"/>
      <c r="E295" s="205"/>
      <c r="F295" s="205"/>
      <c r="G295" s="205"/>
      <c r="H295" s="206"/>
      <c r="I295" s="207"/>
      <c r="J295" s="207"/>
      <c r="K295" s="207"/>
      <c r="L295" s="122"/>
      <c r="M295" s="207"/>
      <c r="N295" s="207"/>
      <c r="O295" s="122"/>
      <c r="P295" s="205"/>
      <c r="Q295" s="205"/>
      <c r="R295" s="205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</row>
    <row r="296">
      <c r="A296" s="122"/>
      <c r="B296" s="204"/>
      <c r="C296" s="204"/>
      <c r="D296" s="204"/>
      <c r="E296" s="205"/>
      <c r="F296" s="205"/>
      <c r="G296" s="205"/>
      <c r="H296" s="206"/>
      <c r="I296" s="207"/>
      <c r="J296" s="207"/>
      <c r="K296" s="207"/>
      <c r="L296" s="122"/>
      <c r="M296" s="207"/>
      <c r="N296" s="207"/>
      <c r="O296" s="122"/>
      <c r="P296" s="205"/>
      <c r="Q296" s="205"/>
      <c r="R296" s="205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</row>
    <row r="297">
      <c r="A297" s="122"/>
      <c r="B297" s="204"/>
      <c r="C297" s="204"/>
      <c r="D297" s="204"/>
      <c r="E297" s="205"/>
      <c r="F297" s="205"/>
      <c r="G297" s="205"/>
      <c r="H297" s="206"/>
      <c r="I297" s="207"/>
      <c r="J297" s="207"/>
      <c r="K297" s="207"/>
      <c r="L297" s="122"/>
      <c r="M297" s="207"/>
      <c r="N297" s="207"/>
      <c r="O297" s="122"/>
      <c r="P297" s="205"/>
      <c r="Q297" s="205"/>
      <c r="R297" s="205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</row>
    <row r="298">
      <c r="A298" s="122"/>
      <c r="B298" s="204"/>
      <c r="C298" s="204"/>
      <c r="D298" s="204"/>
      <c r="E298" s="205"/>
      <c r="F298" s="205"/>
      <c r="G298" s="205"/>
      <c r="H298" s="206"/>
      <c r="I298" s="207"/>
      <c r="J298" s="207"/>
      <c r="K298" s="207"/>
      <c r="L298" s="122"/>
      <c r="M298" s="207"/>
      <c r="N298" s="207"/>
      <c r="O298" s="122"/>
      <c r="P298" s="205"/>
      <c r="Q298" s="205"/>
      <c r="R298" s="205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</row>
    <row r="299">
      <c r="A299" s="122"/>
      <c r="B299" s="204"/>
      <c r="C299" s="204"/>
      <c r="D299" s="204"/>
      <c r="E299" s="205"/>
      <c r="F299" s="205"/>
      <c r="G299" s="205"/>
      <c r="H299" s="206"/>
      <c r="I299" s="207"/>
      <c r="J299" s="207"/>
      <c r="K299" s="207"/>
      <c r="L299" s="122"/>
      <c r="M299" s="207"/>
      <c r="N299" s="207"/>
      <c r="O299" s="122"/>
      <c r="P299" s="205"/>
      <c r="Q299" s="205"/>
      <c r="R299" s="205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</row>
    <row r="300">
      <c r="A300" s="122"/>
      <c r="B300" s="204"/>
      <c r="C300" s="204"/>
      <c r="D300" s="204"/>
      <c r="E300" s="205"/>
      <c r="F300" s="205"/>
      <c r="G300" s="205"/>
      <c r="H300" s="206"/>
      <c r="I300" s="207"/>
      <c r="J300" s="207"/>
      <c r="K300" s="207"/>
      <c r="L300" s="122"/>
      <c r="M300" s="207"/>
      <c r="N300" s="207"/>
      <c r="O300" s="122"/>
      <c r="P300" s="205"/>
      <c r="Q300" s="205"/>
      <c r="R300" s="205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</row>
    <row r="301">
      <c r="A301" s="122"/>
      <c r="B301" s="204"/>
      <c r="C301" s="204"/>
      <c r="D301" s="204"/>
      <c r="E301" s="205"/>
      <c r="F301" s="205"/>
      <c r="G301" s="205"/>
      <c r="H301" s="206"/>
      <c r="I301" s="207"/>
      <c r="J301" s="207"/>
      <c r="K301" s="207"/>
      <c r="L301" s="122"/>
      <c r="M301" s="207"/>
      <c r="N301" s="207"/>
      <c r="O301" s="122"/>
      <c r="P301" s="205"/>
      <c r="Q301" s="205"/>
      <c r="R301" s="205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</row>
    <row r="302">
      <c r="A302" s="122"/>
      <c r="B302" s="204"/>
      <c r="C302" s="204"/>
      <c r="D302" s="204"/>
      <c r="E302" s="205"/>
      <c r="F302" s="205"/>
      <c r="G302" s="205"/>
      <c r="H302" s="206"/>
      <c r="I302" s="207"/>
      <c r="J302" s="207"/>
      <c r="K302" s="207"/>
      <c r="L302" s="122"/>
      <c r="M302" s="207"/>
      <c r="N302" s="207"/>
      <c r="O302" s="122"/>
      <c r="P302" s="205"/>
      <c r="Q302" s="205"/>
      <c r="R302" s="205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</row>
    <row r="303">
      <c r="A303" s="122"/>
      <c r="B303" s="204"/>
      <c r="C303" s="204"/>
      <c r="D303" s="204"/>
      <c r="E303" s="205"/>
      <c r="F303" s="205"/>
      <c r="G303" s="205"/>
      <c r="H303" s="206"/>
      <c r="I303" s="207"/>
      <c r="J303" s="207"/>
      <c r="K303" s="207"/>
      <c r="L303" s="122"/>
      <c r="M303" s="207"/>
      <c r="N303" s="207"/>
      <c r="O303" s="122"/>
      <c r="P303" s="205"/>
      <c r="Q303" s="205"/>
      <c r="R303" s="205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</row>
    <row r="304">
      <c r="A304" s="122"/>
      <c r="B304" s="204"/>
      <c r="C304" s="204"/>
      <c r="D304" s="204"/>
      <c r="E304" s="205"/>
      <c r="F304" s="205"/>
      <c r="G304" s="205"/>
      <c r="H304" s="206"/>
      <c r="I304" s="207"/>
      <c r="J304" s="207"/>
      <c r="K304" s="207"/>
      <c r="L304" s="122"/>
      <c r="M304" s="207"/>
      <c r="N304" s="207"/>
      <c r="O304" s="122"/>
      <c r="P304" s="205"/>
      <c r="Q304" s="205"/>
      <c r="R304" s="205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</row>
    <row r="305">
      <c r="A305" s="122"/>
      <c r="B305" s="204"/>
      <c r="C305" s="204"/>
      <c r="D305" s="204"/>
      <c r="E305" s="205"/>
      <c r="F305" s="205"/>
      <c r="G305" s="205"/>
      <c r="H305" s="206"/>
      <c r="I305" s="207"/>
      <c r="J305" s="207"/>
      <c r="K305" s="207"/>
      <c r="L305" s="122"/>
      <c r="M305" s="207"/>
      <c r="N305" s="207"/>
      <c r="O305" s="122"/>
      <c r="P305" s="205"/>
      <c r="Q305" s="205"/>
      <c r="R305" s="205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</row>
    <row r="306">
      <c r="A306" s="122"/>
      <c r="B306" s="204"/>
      <c r="C306" s="204"/>
      <c r="D306" s="204"/>
      <c r="E306" s="205"/>
      <c r="F306" s="205"/>
      <c r="G306" s="205"/>
      <c r="H306" s="206"/>
      <c r="I306" s="207"/>
      <c r="J306" s="207"/>
      <c r="K306" s="207"/>
      <c r="L306" s="122"/>
      <c r="M306" s="207"/>
      <c r="N306" s="207"/>
      <c r="O306" s="122"/>
      <c r="P306" s="205"/>
      <c r="Q306" s="205"/>
      <c r="R306" s="205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</row>
    <row r="307">
      <c r="A307" s="122"/>
      <c r="B307" s="204"/>
      <c r="C307" s="204"/>
      <c r="D307" s="204"/>
      <c r="E307" s="205"/>
      <c r="F307" s="205"/>
      <c r="G307" s="205"/>
      <c r="H307" s="206"/>
      <c r="I307" s="207"/>
      <c r="J307" s="207"/>
      <c r="K307" s="207"/>
      <c r="L307" s="122"/>
      <c r="M307" s="207"/>
      <c r="N307" s="207"/>
      <c r="O307" s="122"/>
      <c r="P307" s="205"/>
      <c r="Q307" s="205"/>
      <c r="R307" s="205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</row>
    <row r="308">
      <c r="A308" s="122"/>
      <c r="B308" s="204"/>
      <c r="C308" s="204"/>
      <c r="D308" s="204"/>
      <c r="E308" s="205"/>
      <c r="F308" s="205"/>
      <c r="G308" s="205"/>
      <c r="H308" s="206"/>
      <c r="I308" s="207"/>
      <c r="J308" s="207"/>
      <c r="K308" s="207"/>
      <c r="L308" s="122"/>
      <c r="M308" s="207"/>
      <c r="N308" s="207"/>
      <c r="O308" s="122"/>
      <c r="P308" s="205"/>
      <c r="Q308" s="205"/>
      <c r="R308" s="205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</row>
    <row r="309">
      <c r="A309" s="122"/>
      <c r="B309" s="204"/>
      <c r="C309" s="204"/>
      <c r="D309" s="204"/>
      <c r="E309" s="205"/>
      <c r="F309" s="205"/>
      <c r="G309" s="205"/>
      <c r="H309" s="206"/>
      <c r="I309" s="207"/>
      <c r="J309" s="207"/>
      <c r="K309" s="207"/>
      <c r="L309" s="122"/>
      <c r="M309" s="207"/>
      <c r="N309" s="207"/>
      <c r="O309" s="122"/>
      <c r="P309" s="205"/>
      <c r="Q309" s="205"/>
      <c r="R309" s="205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</row>
    <row r="310">
      <c r="A310" s="122"/>
      <c r="B310" s="204"/>
      <c r="C310" s="204"/>
      <c r="D310" s="204"/>
      <c r="E310" s="205"/>
      <c r="F310" s="205"/>
      <c r="G310" s="205"/>
      <c r="H310" s="206"/>
      <c r="I310" s="207"/>
      <c r="J310" s="207"/>
      <c r="K310" s="207"/>
      <c r="L310" s="122"/>
      <c r="M310" s="207"/>
      <c r="N310" s="207"/>
      <c r="O310" s="122"/>
      <c r="P310" s="205"/>
      <c r="Q310" s="205"/>
      <c r="R310" s="205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</row>
    <row r="311">
      <c r="A311" s="122"/>
      <c r="B311" s="204"/>
      <c r="C311" s="204"/>
      <c r="D311" s="204"/>
      <c r="E311" s="205"/>
      <c r="F311" s="205"/>
      <c r="G311" s="205"/>
      <c r="H311" s="206"/>
      <c r="I311" s="207"/>
      <c r="J311" s="207"/>
      <c r="K311" s="207"/>
      <c r="L311" s="122"/>
      <c r="M311" s="207"/>
      <c r="N311" s="207"/>
      <c r="O311" s="122"/>
      <c r="P311" s="205"/>
      <c r="Q311" s="205"/>
      <c r="R311" s="205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</row>
    <row r="312">
      <c r="A312" s="122"/>
      <c r="B312" s="204"/>
      <c r="C312" s="204"/>
      <c r="D312" s="204"/>
      <c r="E312" s="205"/>
      <c r="F312" s="205"/>
      <c r="G312" s="205"/>
      <c r="H312" s="206"/>
      <c r="I312" s="207"/>
      <c r="J312" s="207"/>
      <c r="K312" s="207"/>
      <c r="L312" s="122"/>
      <c r="M312" s="207"/>
      <c r="N312" s="207"/>
      <c r="O312" s="122"/>
      <c r="P312" s="205"/>
      <c r="Q312" s="205"/>
      <c r="R312" s="205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</row>
    <row r="313">
      <c r="A313" s="122"/>
      <c r="B313" s="204"/>
      <c r="C313" s="204"/>
      <c r="D313" s="204"/>
      <c r="E313" s="205"/>
      <c r="F313" s="205"/>
      <c r="G313" s="205"/>
      <c r="H313" s="206"/>
      <c r="I313" s="207"/>
      <c r="J313" s="207"/>
      <c r="K313" s="207"/>
      <c r="L313" s="122"/>
      <c r="M313" s="207"/>
      <c r="N313" s="207"/>
      <c r="O313" s="122"/>
      <c r="P313" s="205"/>
      <c r="Q313" s="205"/>
      <c r="R313" s="205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</row>
    <row r="314">
      <c r="A314" s="122"/>
      <c r="B314" s="204"/>
      <c r="C314" s="204"/>
      <c r="D314" s="204"/>
      <c r="E314" s="205"/>
      <c r="F314" s="205"/>
      <c r="G314" s="205"/>
      <c r="H314" s="206"/>
      <c r="I314" s="207"/>
      <c r="J314" s="207"/>
      <c r="K314" s="207"/>
      <c r="L314" s="122"/>
      <c r="M314" s="207"/>
      <c r="N314" s="207"/>
      <c r="O314" s="122"/>
      <c r="P314" s="205"/>
      <c r="Q314" s="205"/>
      <c r="R314" s="205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</row>
    <row r="315">
      <c r="A315" s="122"/>
      <c r="B315" s="204"/>
      <c r="C315" s="204"/>
      <c r="D315" s="204"/>
      <c r="E315" s="205"/>
      <c r="F315" s="205"/>
      <c r="G315" s="205"/>
      <c r="H315" s="206"/>
      <c r="I315" s="207"/>
      <c r="J315" s="207"/>
      <c r="K315" s="207"/>
      <c r="L315" s="122"/>
      <c r="M315" s="207"/>
      <c r="N315" s="207"/>
      <c r="O315" s="122"/>
      <c r="P315" s="205"/>
      <c r="Q315" s="205"/>
      <c r="R315" s="205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</row>
    <row r="316">
      <c r="A316" s="122"/>
      <c r="B316" s="204"/>
      <c r="C316" s="204"/>
      <c r="D316" s="204"/>
      <c r="E316" s="205"/>
      <c r="F316" s="205"/>
      <c r="G316" s="205"/>
      <c r="H316" s="206"/>
      <c r="I316" s="207"/>
      <c r="J316" s="207"/>
      <c r="K316" s="207"/>
      <c r="L316" s="122"/>
      <c r="M316" s="207"/>
      <c r="N316" s="207"/>
      <c r="O316" s="122"/>
      <c r="P316" s="205"/>
      <c r="Q316" s="205"/>
      <c r="R316" s="205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</row>
    <row r="317">
      <c r="A317" s="122"/>
      <c r="B317" s="204"/>
      <c r="C317" s="204"/>
      <c r="D317" s="204"/>
      <c r="E317" s="205"/>
      <c r="F317" s="205"/>
      <c r="G317" s="205"/>
      <c r="H317" s="206"/>
      <c r="I317" s="207"/>
      <c r="J317" s="207"/>
      <c r="K317" s="207"/>
      <c r="L317" s="122"/>
      <c r="M317" s="207"/>
      <c r="N317" s="207"/>
      <c r="O317" s="122"/>
      <c r="P317" s="205"/>
      <c r="Q317" s="205"/>
      <c r="R317" s="205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</row>
    <row r="318">
      <c r="A318" s="122"/>
      <c r="B318" s="204"/>
      <c r="C318" s="204"/>
      <c r="D318" s="204"/>
      <c r="E318" s="205"/>
      <c r="F318" s="205"/>
      <c r="G318" s="205"/>
      <c r="H318" s="206"/>
      <c r="I318" s="207"/>
      <c r="J318" s="207"/>
      <c r="K318" s="207"/>
      <c r="L318" s="122"/>
      <c r="M318" s="207"/>
      <c r="N318" s="207"/>
      <c r="O318" s="122"/>
      <c r="P318" s="205"/>
      <c r="Q318" s="205"/>
      <c r="R318" s="205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</row>
    <row r="319">
      <c r="A319" s="122"/>
      <c r="B319" s="204"/>
      <c r="C319" s="204"/>
      <c r="D319" s="204"/>
      <c r="E319" s="205"/>
      <c r="F319" s="205"/>
      <c r="G319" s="205"/>
      <c r="H319" s="206"/>
      <c r="I319" s="207"/>
      <c r="J319" s="207"/>
      <c r="K319" s="207"/>
      <c r="L319" s="122"/>
      <c r="M319" s="207"/>
      <c r="N319" s="207"/>
      <c r="O319" s="122"/>
      <c r="P319" s="205"/>
      <c r="Q319" s="205"/>
      <c r="R319" s="205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</row>
    <row r="320">
      <c r="A320" s="122"/>
      <c r="B320" s="204"/>
      <c r="C320" s="204"/>
      <c r="D320" s="204"/>
      <c r="E320" s="205"/>
      <c r="F320" s="205"/>
      <c r="G320" s="205"/>
      <c r="H320" s="206"/>
      <c r="I320" s="207"/>
      <c r="J320" s="207"/>
      <c r="K320" s="207"/>
      <c r="L320" s="122"/>
      <c r="M320" s="207"/>
      <c r="N320" s="207"/>
      <c r="O320" s="122"/>
      <c r="P320" s="205"/>
      <c r="Q320" s="205"/>
      <c r="R320" s="205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</row>
    <row r="321">
      <c r="A321" s="122"/>
      <c r="B321" s="204"/>
      <c r="C321" s="204"/>
      <c r="D321" s="204"/>
      <c r="E321" s="205"/>
      <c r="F321" s="205"/>
      <c r="G321" s="205"/>
      <c r="H321" s="206"/>
      <c r="I321" s="207"/>
      <c r="J321" s="207"/>
      <c r="K321" s="207"/>
      <c r="L321" s="122"/>
      <c r="M321" s="207"/>
      <c r="N321" s="207"/>
      <c r="O321" s="122"/>
      <c r="P321" s="205"/>
      <c r="Q321" s="205"/>
      <c r="R321" s="205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</row>
    <row r="322">
      <c r="A322" s="122"/>
      <c r="B322" s="204"/>
      <c r="C322" s="204"/>
      <c r="D322" s="204"/>
      <c r="E322" s="205"/>
      <c r="F322" s="205"/>
      <c r="G322" s="205"/>
      <c r="H322" s="206"/>
      <c r="I322" s="207"/>
      <c r="J322" s="207"/>
      <c r="K322" s="207"/>
      <c r="L322" s="122"/>
      <c r="M322" s="207"/>
      <c r="N322" s="207"/>
      <c r="O322" s="122"/>
      <c r="P322" s="205"/>
      <c r="Q322" s="205"/>
      <c r="R322" s="205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</row>
    <row r="323">
      <c r="A323" s="122"/>
      <c r="B323" s="204"/>
      <c r="C323" s="204"/>
      <c r="D323" s="204"/>
      <c r="E323" s="205"/>
      <c r="F323" s="205"/>
      <c r="G323" s="205"/>
      <c r="H323" s="206"/>
      <c r="I323" s="207"/>
      <c r="J323" s="207"/>
      <c r="K323" s="207"/>
      <c r="L323" s="122"/>
      <c r="M323" s="207"/>
      <c r="N323" s="207"/>
      <c r="O323" s="122"/>
      <c r="P323" s="205"/>
      <c r="Q323" s="205"/>
      <c r="R323" s="205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</row>
    <row r="324">
      <c r="A324" s="122"/>
      <c r="B324" s="204"/>
      <c r="C324" s="204"/>
      <c r="D324" s="204"/>
      <c r="E324" s="205"/>
      <c r="F324" s="205"/>
      <c r="G324" s="205"/>
      <c r="H324" s="206"/>
      <c r="I324" s="207"/>
      <c r="J324" s="207"/>
      <c r="K324" s="207"/>
      <c r="L324" s="122"/>
      <c r="M324" s="207"/>
      <c r="N324" s="207"/>
      <c r="O324" s="122"/>
      <c r="P324" s="205"/>
      <c r="Q324" s="205"/>
      <c r="R324" s="205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</row>
    <row r="325">
      <c r="A325" s="122"/>
      <c r="B325" s="204"/>
      <c r="C325" s="204"/>
      <c r="D325" s="204"/>
      <c r="E325" s="205"/>
      <c r="F325" s="205"/>
      <c r="G325" s="205"/>
      <c r="H325" s="206"/>
      <c r="I325" s="207"/>
      <c r="J325" s="207"/>
      <c r="K325" s="207"/>
      <c r="L325" s="122"/>
      <c r="M325" s="207"/>
      <c r="N325" s="207"/>
      <c r="O325" s="122"/>
      <c r="P325" s="205"/>
      <c r="Q325" s="205"/>
      <c r="R325" s="205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</row>
    <row r="326">
      <c r="A326" s="122"/>
      <c r="B326" s="204"/>
      <c r="C326" s="204"/>
      <c r="D326" s="204"/>
      <c r="E326" s="205"/>
      <c r="F326" s="205"/>
      <c r="G326" s="205"/>
      <c r="H326" s="206"/>
      <c r="I326" s="207"/>
      <c r="J326" s="207"/>
      <c r="K326" s="207"/>
      <c r="L326" s="122"/>
      <c r="M326" s="207"/>
      <c r="N326" s="207"/>
      <c r="O326" s="122"/>
      <c r="P326" s="205"/>
      <c r="Q326" s="205"/>
      <c r="R326" s="205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</row>
    <row r="327">
      <c r="A327" s="122"/>
      <c r="B327" s="204"/>
      <c r="C327" s="204"/>
      <c r="D327" s="204"/>
      <c r="E327" s="205"/>
      <c r="F327" s="205"/>
      <c r="G327" s="205"/>
      <c r="H327" s="206"/>
      <c r="I327" s="207"/>
      <c r="J327" s="207"/>
      <c r="K327" s="207"/>
      <c r="L327" s="122"/>
      <c r="M327" s="207"/>
      <c r="N327" s="207"/>
      <c r="O327" s="122"/>
      <c r="P327" s="205"/>
      <c r="Q327" s="205"/>
      <c r="R327" s="205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</row>
    <row r="328">
      <c r="A328" s="122"/>
      <c r="B328" s="204"/>
      <c r="C328" s="204"/>
      <c r="D328" s="204"/>
      <c r="E328" s="205"/>
      <c r="F328" s="205"/>
      <c r="G328" s="205"/>
      <c r="H328" s="206"/>
      <c r="I328" s="207"/>
      <c r="J328" s="207"/>
      <c r="K328" s="207"/>
      <c r="L328" s="122"/>
      <c r="M328" s="207"/>
      <c r="N328" s="207"/>
      <c r="O328" s="122"/>
      <c r="P328" s="205"/>
      <c r="Q328" s="205"/>
      <c r="R328" s="205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</row>
    <row r="329">
      <c r="A329" s="122"/>
      <c r="B329" s="204"/>
      <c r="C329" s="204"/>
      <c r="D329" s="204"/>
      <c r="E329" s="205"/>
      <c r="F329" s="205"/>
      <c r="G329" s="205"/>
      <c r="H329" s="206"/>
      <c r="I329" s="207"/>
      <c r="J329" s="207"/>
      <c r="K329" s="207"/>
      <c r="L329" s="122"/>
      <c r="M329" s="207"/>
      <c r="N329" s="207"/>
      <c r="O329" s="122"/>
      <c r="P329" s="205"/>
      <c r="Q329" s="205"/>
      <c r="R329" s="205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</row>
    <row r="330">
      <c r="A330" s="122"/>
      <c r="B330" s="204"/>
      <c r="C330" s="204"/>
      <c r="D330" s="204"/>
      <c r="E330" s="205"/>
      <c r="F330" s="205"/>
      <c r="G330" s="205"/>
      <c r="H330" s="206"/>
      <c r="I330" s="207"/>
      <c r="J330" s="207"/>
      <c r="K330" s="207"/>
      <c r="L330" s="122"/>
      <c r="M330" s="207"/>
      <c r="N330" s="207"/>
      <c r="O330" s="122"/>
      <c r="P330" s="205"/>
      <c r="Q330" s="205"/>
      <c r="R330" s="205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</row>
    <row r="331">
      <c r="A331" s="122"/>
      <c r="B331" s="204"/>
      <c r="C331" s="204"/>
      <c r="D331" s="204"/>
      <c r="E331" s="205"/>
      <c r="F331" s="205"/>
      <c r="G331" s="205"/>
      <c r="H331" s="206"/>
      <c r="I331" s="207"/>
      <c r="J331" s="207"/>
      <c r="K331" s="207"/>
      <c r="L331" s="122"/>
      <c r="M331" s="207"/>
      <c r="N331" s="207"/>
      <c r="O331" s="122"/>
      <c r="P331" s="205"/>
      <c r="Q331" s="205"/>
      <c r="R331" s="205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</row>
    <row r="332">
      <c r="A332" s="122"/>
      <c r="B332" s="204"/>
      <c r="C332" s="204"/>
      <c r="D332" s="204"/>
      <c r="E332" s="205"/>
      <c r="F332" s="205"/>
      <c r="G332" s="205"/>
      <c r="H332" s="206"/>
      <c r="I332" s="207"/>
      <c r="J332" s="207"/>
      <c r="K332" s="207"/>
      <c r="L332" s="122"/>
      <c r="M332" s="207"/>
      <c r="N332" s="207"/>
      <c r="O332" s="122"/>
      <c r="P332" s="205"/>
      <c r="Q332" s="205"/>
      <c r="R332" s="205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</row>
    <row r="333">
      <c r="A333" s="122"/>
      <c r="B333" s="204"/>
      <c r="C333" s="204"/>
      <c r="D333" s="204"/>
      <c r="E333" s="205"/>
      <c r="F333" s="205"/>
      <c r="G333" s="205"/>
      <c r="H333" s="206"/>
      <c r="I333" s="207"/>
      <c r="J333" s="207"/>
      <c r="K333" s="207"/>
      <c r="L333" s="122"/>
      <c r="M333" s="207"/>
      <c r="N333" s="207"/>
      <c r="O333" s="122"/>
      <c r="P333" s="205"/>
      <c r="Q333" s="205"/>
      <c r="R333" s="205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</row>
    <row r="334">
      <c r="A334" s="122"/>
      <c r="B334" s="204"/>
      <c r="C334" s="204"/>
      <c r="D334" s="204"/>
      <c r="E334" s="205"/>
      <c r="F334" s="205"/>
      <c r="G334" s="205"/>
      <c r="H334" s="206"/>
      <c r="I334" s="207"/>
      <c r="J334" s="207"/>
      <c r="K334" s="207"/>
      <c r="L334" s="122"/>
      <c r="M334" s="207"/>
      <c r="N334" s="207"/>
      <c r="O334" s="122"/>
      <c r="P334" s="205"/>
      <c r="Q334" s="205"/>
      <c r="R334" s="205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</row>
    <row r="335">
      <c r="A335" s="122"/>
      <c r="B335" s="204"/>
      <c r="C335" s="204"/>
      <c r="D335" s="204"/>
      <c r="E335" s="205"/>
      <c r="F335" s="205"/>
      <c r="G335" s="205"/>
      <c r="H335" s="206"/>
      <c r="I335" s="207"/>
      <c r="J335" s="207"/>
      <c r="K335" s="207"/>
      <c r="L335" s="122"/>
      <c r="M335" s="207"/>
      <c r="N335" s="207"/>
      <c r="O335" s="122"/>
      <c r="P335" s="205"/>
      <c r="Q335" s="205"/>
      <c r="R335" s="205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</row>
    <row r="336">
      <c r="A336" s="122"/>
      <c r="B336" s="204"/>
      <c r="C336" s="204"/>
      <c r="D336" s="204"/>
      <c r="E336" s="205"/>
      <c r="F336" s="205"/>
      <c r="G336" s="205"/>
      <c r="H336" s="206"/>
      <c r="I336" s="207"/>
      <c r="J336" s="207"/>
      <c r="K336" s="207"/>
      <c r="L336" s="122"/>
      <c r="M336" s="207"/>
      <c r="N336" s="207"/>
      <c r="O336" s="122"/>
      <c r="P336" s="205"/>
      <c r="Q336" s="205"/>
      <c r="R336" s="205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</row>
    <row r="337">
      <c r="A337" s="122"/>
      <c r="B337" s="204"/>
      <c r="C337" s="204"/>
      <c r="D337" s="204"/>
      <c r="E337" s="205"/>
      <c r="F337" s="205"/>
      <c r="G337" s="205"/>
      <c r="H337" s="206"/>
      <c r="I337" s="207"/>
      <c r="J337" s="207"/>
      <c r="K337" s="207"/>
      <c r="L337" s="122"/>
      <c r="M337" s="207"/>
      <c r="N337" s="207"/>
      <c r="O337" s="122"/>
      <c r="P337" s="205"/>
      <c r="Q337" s="205"/>
      <c r="R337" s="205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</row>
    <row r="338">
      <c r="A338" s="122"/>
      <c r="B338" s="204"/>
      <c r="C338" s="204"/>
      <c r="D338" s="204"/>
      <c r="E338" s="205"/>
      <c r="F338" s="205"/>
      <c r="G338" s="205"/>
      <c r="H338" s="206"/>
      <c r="I338" s="207"/>
      <c r="J338" s="207"/>
      <c r="K338" s="207"/>
      <c r="L338" s="122"/>
      <c r="M338" s="207"/>
      <c r="N338" s="207"/>
      <c r="O338" s="122"/>
      <c r="P338" s="205"/>
      <c r="Q338" s="205"/>
      <c r="R338" s="205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</row>
    <row r="339">
      <c r="A339" s="122"/>
      <c r="B339" s="204"/>
      <c r="C339" s="204"/>
      <c r="D339" s="204"/>
      <c r="E339" s="205"/>
      <c r="F339" s="205"/>
      <c r="G339" s="205"/>
      <c r="H339" s="206"/>
      <c r="I339" s="207"/>
      <c r="J339" s="207"/>
      <c r="K339" s="207"/>
      <c r="L339" s="122"/>
      <c r="M339" s="207"/>
      <c r="N339" s="207"/>
      <c r="O339" s="122"/>
      <c r="P339" s="205"/>
      <c r="Q339" s="205"/>
      <c r="R339" s="205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</row>
    <row r="340">
      <c r="A340" s="122"/>
      <c r="B340" s="204"/>
      <c r="C340" s="204"/>
      <c r="D340" s="204"/>
      <c r="E340" s="205"/>
      <c r="F340" s="205"/>
      <c r="G340" s="205"/>
      <c r="H340" s="206"/>
      <c r="I340" s="207"/>
      <c r="J340" s="207"/>
      <c r="K340" s="207"/>
      <c r="L340" s="122"/>
      <c r="M340" s="207"/>
      <c r="N340" s="207"/>
      <c r="O340" s="122"/>
      <c r="P340" s="205"/>
      <c r="Q340" s="205"/>
      <c r="R340" s="205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</row>
    <row r="341">
      <c r="A341" s="122"/>
      <c r="B341" s="204"/>
      <c r="C341" s="204"/>
      <c r="D341" s="204"/>
      <c r="E341" s="205"/>
      <c r="F341" s="205"/>
      <c r="G341" s="205"/>
      <c r="H341" s="206"/>
      <c r="I341" s="207"/>
      <c r="J341" s="207"/>
      <c r="K341" s="207"/>
      <c r="L341" s="122"/>
      <c r="M341" s="207"/>
      <c r="N341" s="207"/>
      <c r="O341" s="122"/>
      <c r="P341" s="205"/>
      <c r="Q341" s="205"/>
      <c r="R341" s="205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</row>
    <row r="342">
      <c r="A342" s="122"/>
      <c r="B342" s="204"/>
      <c r="C342" s="204"/>
      <c r="D342" s="204"/>
      <c r="E342" s="205"/>
      <c r="F342" s="205"/>
      <c r="G342" s="205"/>
      <c r="H342" s="206"/>
      <c r="I342" s="207"/>
      <c r="J342" s="207"/>
      <c r="K342" s="207"/>
      <c r="L342" s="122"/>
      <c r="M342" s="207"/>
      <c r="N342" s="207"/>
      <c r="O342" s="122"/>
      <c r="P342" s="205"/>
      <c r="Q342" s="205"/>
      <c r="R342" s="205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</row>
    <row r="343">
      <c r="A343" s="122"/>
      <c r="B343" s="204"/>
      <c r="C343" s="204"/>
      <c r="D343" s="204"/>
      <c r="E343" s="205"/>
      <c r="F343" s="205"/>
      <c r="G343" s="205"/>
      <c r="H343" s="206"/>
      <c r="I343" s="207"/>
      <c r="J343" s="207"/>
      <c r="K343" s="207"/>
      <c r="L343" s="122"/>
      <c r="M343" s="207"/>
      <c r="N343" s="207"/>
      <c r="O343" s="122"/>
      <c r="P343" s="205"/>
      <c r="Q343" s="205"/>
      <c r="R343" s="205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</row>
    <row r="344">
      <c r="A344" s="122"/>
      <c r="B344" s="204"/>
      <c r="C344" s="204"/>
      <c r="D344" s="204"/>
      <c r="E344" s="205"/>
      <c r="F344" s="205"/>
      <c r="G344" s="205"/>
      <c r="H344" s="206"/>
      <c r="I344" s="207"/>
      <c r="J344" s="207"/>
      <c r="K344" s="207"/>
      <c r="L344" s="122"/>
      <c r="M344" s="207"/>
      <c r="N344" s="207"/>
      <c r="O344" s="122"/>
      <c r="P344" s="205"/>
      <c r="Q344" s="205"/>
      <c r="R344" s="205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</row>
    <row r="345">
      <c r="A345" s="122"/>
      <c r="B345" s="204"/>
      <c r="C345" s="204"/>
      <c r="D345" s="204"/>
      <c r="E345" s="205"/>
      <c r="F345" s="205"/>
      <c r="G345" s="205"/>
      <c r="H345" s="206"/>
      <c r="I345" s="207"/>
      <c r="J345" s="207"/>
      <c r="K345" s="207"/>
      <c r="L345" s="122"/>
      <c r="M345" s="207"/>
      <c r="N345" s="207"/>
      <c r="O345" s="122"/>
      <c r="P345" s="205"/>
      <c r="Q345" s="205"/>
      <c r="R345" s="205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</row>
    <row r="346">
      <c r="A346" s="122"/>
      <c r="B346" s="204"/>
      <c r="C346" s="204"/>
      <c r="D346" s="204"/>
      <c r="E346" s="205"/>
      <c r="F346" s="205"/>
      <c r="G346" s="205"/>
      <c r="H346" s="206"/>
      <c r="I346" s="207"/>
      <c r="J346" s="207"/>
      <c r="K346" s="207"/>
      <c r="L346" s="122"/>
      <c r="M346" s="207"/>
      <c r="N346" s="207"/>
      <c r="O346" s="122"/>
      <c r="P346" s="205"/>
      <c r="Q346" s="205"/>
      <c r="R346" s="205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</row>
    <row r="347">
      <c r="A347" s="122"/>
      <c r="B347" s="204"/>
      <c r="C347" s="204"/>
      <c r="D347" s="204"/>
      <c r="E347" s="205"/>
      <c r="F347" s="205"/>
      <c r="G347" s="205"/>
      <c r="H347" s="206"/>
      <c r="I347" s="207"/>
      <c r="J347" s="207"/>
      <c r="K347" s="207"/>
      <c r="L347" s="122"/>
      <c r="M347" s="207"/>
      <c r="N347" s="207"/>
      <c r="O347" s="122"/>
      <c r="P347" s="205"/>
      <c r="Q347" s="205"/>
      <c r="R347" s="205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</row>
    <row r="348">
      <c r="A348" s="122"/>
      <c r="B348" s="204"/>
      <c r="C348" s="204"/>
      <c r="D348" s="204"/>
      <c r="E348" s="205"/>
      <c r="F348" s="205"/>
      <c r="G348" s="205"/>
      <c r="H348" s="206"/>
      <c r="I348" s="207"/>
      <c r="J348" s="207"/>
      <c r="K348" s="207"/>
      <c r="L348" s="122"/>
      <c r="M348" s="207"/>
      <c r="N348" s="207"/>
      <c r="O348" s="122"/>
      <c r="P348" s="205"/>
      <c r="Q348" s="205"/>
      <c r="R348" s="205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</row>
    <row r="349">
      <c r="A349" s="122"/>
      <c r="B349" s="204"/>
      <c r="C349" s="204"/>
      <c r="D349" s="204"/>
      <c r="E349" s="205"/>
      <c r="F349" s="205"/>
      <c r="G349" s="205"/>
      <c r="H349" s="206"/>
      <c r="I349" s="207"/>
      <c r="J349" s="207"/>
      <c r="K349" s="207"/>
      <c r="L349" s="122"/>
      <c r="M349" s="207"/>
      <c r="N349" s="207"/>
      <c r="O349" s="122"/>
      <c r="P349" s="205"/>
      <c r="Q349" s="205"/>
      <c r="R349" s="205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</row>
    <row r="350">
      <c r="A350" s="122"/>
      <c r="B350" s="204"/>
      <c r="C350" s="204"/>
      <c r="D350" s="204"/>
      <c r="E350" s="205"/>
      <c r="F350" s="205"/>
      <c r="G350" s="205"/>
      <c r="H350" s="206"/>
      <c r="I350" s="207"/>
      <c r="J350" s="207"/>
      <c r="K350" s="207"/>
      <c r="L350" s="122"/>
      <c r="M350" s="207"/>
      <c r="N350" s="207"/>
      <c r="O350" s="122"/>
      <c r="P350" s="205"/>
      <c r="Q350" s="205"/>
      <c r="R350" s="205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</row>
    <row r="351">
      <c r="A351" s="122"/>
      <c r="B351" s="204"/>
      <c r="C351" s="204"/>
      <c r="D351" s="204"/>
      <c r="E351" s="205"/>
      <c r="F351" s="205"/>
      <c r="G351" s="205"/>
      <c r="H351" s="206"/>
      <c r="I351" s="207"/>
      <c r="J351" s="207"/>
      <c r="K351" s="207"/>
      <c r="L351" s="122"/>
      <c r="M351" s="207"/>
      <c r="N351" s="207"/>
      <c r="O351" s="122"/>
      <c r="P351" s="205"/>
      <c r="Q351" s="205"/>
      <c r="R351" s="205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</row>
    <row r="352">
      <c r="A352" s="122"/>
      <c r="B352" s="204"/>
      <c r="C352" s="204"/>
      <c r="D352" s="204"/>
      <c r="E352" s="205"/>
      <c r="F352" s="205"/>
      <c r="G352" s="205"/>
      <c r="H352" s="206"/>
      <c r="I352" s="207"/>
      <c r="J352" s="207"/>
      <c r="K352" s="207"/>
      <c r="L352" s="122"/>
      <c r="M352" s="207"/>
      <c r="N352" s="207"/>
      <c r="O352" s="122"/>
      <c r="P352" s="205"/>
      <c r="Q352" s="205"/>
      <c r="R352" s="205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</row>
    <row r="353">
      <c r="A353" s="122"/>
      <c r="B353" s="204"/>
      <c r="C353" s="204"/>
      <c r="D353" s="204"/>
      <c r="E353" s="205"/>
      <c r="F353" s="205"/>
      <c r="G353" s="205"/>
      <c r="H353" s="206"/>
      <c r="I353" s="207"/>
      <c r="J353" s="207"/>
      <c r="K353" s="207"/>
      <c r="L353" s="122"/>
      <c r="M353" s="207"/>
      <c r="N353" s="207"/>
      <c r="O353" s="122"/>
      <c r="P353" s="205"/>
      <c r="Q353" s="205"/>
      <c r="R353" s="205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</row>
    <row r="354">
      <c r="A354" s="122"/>
      <c r="B354" s="204"/>
      <c r="C354" s="204"/>
      <c r="D354" s="204"/>
      <c r="E354" s="205"/>
      <c r="F354" s="205"/>
      <c r="G354" s="205"/>
      <c r="H354" s="206"/>
      <c r="I354" s="207"/>
      <c r="J354" s="207"/>
      <c r="K354" s="207"/>
      <c r="L354" s="122"/>
      <c r="M354" s="207"/>
      <c r="N354" s="207"/>
      <c r="O354" s="122"/>
      <c r="P354" s="205"/>
      <c r="Q354" s="205"/>
      <c r="R354" s="205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</row>
    <row r="355">
      <c r="A355" s="122"/>
      <c r="B355" s="204"/>
      <c r="C355" s="204"/>
      <c r="D355" s="204"/>
      <c r="E355" s="205"/>
      <c r="F355" s="205"/>
      <c r="G355" s="205"/>
      <c r="H355" s="206"/>
      <c r="I355" s="207"/>
      <c r="J355" s="207"/>
      <c r="K355" s="207"/>
      <c r="L355" s="122"/>
      <c r="M355" s="207"/>
      <c r="N355" s="207"/>
      <c r="O355" s="122"/>
      <c r="P355" s="205"/>
      <c r="Q355" s="205"/>
      <c r="R355" s="205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</row>
    <row r="356">
      <c r="A356" s="122"/>
      <c r="B356" s="204"/>
      <c r="C356" s="204"/>
      <c r="D356" s="204"/>
      <c r="E356" s="205"/>
      <c r="F356" s="205"/>
      <c r="G356" s="205"/>
      <c r="H356" s="206"/>
      <c r="I356" s="207"/>
      <c r="J356" s="207"/>
      <c r="K356" s="207"/>
      <c r="L356" s="122"/>
      <c r="M356" s="207"/>
      <c r="N356" s="207"/>
      <c r="O356" s="122"/>
      <c r="P356" s="205"/>
      <c r="Q356" s="205"/>
      <c r="R356" s="205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</row>
    <row r="357">
      <c r="A357" s="122"/>
      <c r="B357" s="204"/>
      <c r="C357" s="204"/>
      <c r="D357" s="204"/>
      <c r="E357" s="205"/>
      <c r="F357" s="205"/>
      <c r="G357" s="205"/>
      <c r="H357" s="206"/>
      <c r="I357" s="207"/>
      <c r="J357" s="207"/>
      <c r="K357" s="207"/>
      <c r="L357" s="122"/>
      <c r="M357" s="207"/>
      <c r="N357" s="207"/>
      <c r="O357" s="122"/>
      <c r="P357" s="205"/>
      <c r="Q357" s="205"/>
      <c r="R357" s="205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</row>
    <row r="358">
      <c r="A358" s="122"/>
      <c r="B358" s="204"/>
      <c r="C358" s="204"/>
      <c r="D358" s="204"/>
      <c r="E358" s="205"/>
      <c r="F358" s="205"/>
      <c r="G358" s="205"/>
      <c r="H358" s="206"/>
      <c r="I358" s="207"/>
      <c r="J358" s="207"/>
      <c r="K358" s="207"/>
      <c r="L358" s="122"/>
      <c r="M358" s="207"/>
      <c r="N358" s="207"/>
      <c r="O358" s="122"/>
      <c r="P358" s="205"/>
      <c r="Q358" s="205"/>
      <c r="R358" s="205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</row>
    <row r="359">
      <c r="A359" s="122"/>
      <c r="B359" s="204"/>
      <c r="C359" s="204"/>
      <c r="D359" s="204"/>
      <c r="E359" s="205"/>
      <c r="F359" s="205"/>
      <c r="G359" s="205"/>
      <c r="H359" s="206"/>
      <c r="I359" s="207"/>
      <c r="J359" s="207"/>
      <c r="K359" s="207"/>
      <c r="L359" s="122"/>
      <c r="M359" s="207"/>
      <c r="N359" s="207"/>
      <c r="O359" s="122"/>
      <c r="P359" s="205"/>
      <c r="Q359" s="205"/>
      <c r="R359" s="205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</row>
    <row r="360">
      <c r="A360" s="122"/>
      <c r="B360" s="204"/>
      <c r="C360" s="204"/>
      <c r="D360" s="204"/>
      <c r="E360" s="205"/>
      <c r="F360" s="205"/>
      <c r="G360" s="205"/>
      <c r="H360" s="206"/>
      <c r="I360" s="207"/>
      <c r="J360" s="207"/>
      <c r="K360" s="207"/>
      <c r="L360" s="122"/>
      <c r="M360" s="207"/>
      <c r="N360" s="207"/>
      <c r="O360" s="122"/>
      <c r="P360" s="205"/>
      <c r="Q360" s="205"/>
      <c r="R360" s="205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</row>
    <row r="361">
      <c r="A361" s="122"/>
      <c r="B361" s="204"/>
      <c r="C361" s="204"/>
      <c r="D361" s="204"/>
      <c r="E361" s="205"/>
      <c r="F361" s="205"/>
      <c r="G361" s="205"/>
      <c r="H361" s="206"/>
      <c r="I361" s="207"/>
      <c r="J361" s="207"/>
      <c r="K361" s="207"/>
      <c r="L361" s="122"/>
      <c r="M361" s="207"/>
      <c r="N361" s="207"/>
      <c r="O361" s="122"/>
      <c r="P361" s="205"/>
      <c r="Q361" s="205"/>
      <c r="R361" s="205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</row>
    <row r="362">
      <c r="A362" s="122"/>
      <c r="B362" s="204"/>
      <c r="C362" s="204"/>
      <c r="D362" s="204"/>
      <c r="E362" s="205"/>
      <c r="F362" s="205"/>
      <c r="G362" s="205"/>
      <c r="H362" s="206"/>
      <c r="I362" s="207"/>
      <c r="J362" s="207"/>
      <c r="K362" s="207"/>
      <c r="L362" s="122"/>
      <c r="M362" s="207"/>
      <c r="N362" s="207"/>
      <c r="O362" s="122"/>
      <c r="P362" s="205"/>
      <c r="Q362" s="205"/>
      <c r="R362" s="205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</row>
    <row r="363">
      <c r="A363" s="122"/>
      <c r="B363" s="204"/>
      <c r="C363" s="204"/>
      <c r="D363" s="204"/>
      <c r="E363" s="205"/>
      <c r="F363" s="205"/>
      <c r="G363" s="205"/>
      <c r="H363" s="206"/>
      <c r="I363" s="207"/>
      <c r="J363" s="207"/>
      <c r="K363" s="207"/>
      <c r="L363" s="122"/>
      <c r="M363" s="207"/>
      <c r="N363" s="207"/>
      <c r="O363" s="122"/>
      <c r="P363" s="205"/>
      <c r="Q363" s="205"/>
      <c r="R363" s="205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</row>
    <row r="364">
      <c r="A364" s="122"/>
      <c r="B364" s="204"/>
      <c r="C364" s="204"/>
      <c r="D364" s="204"/>
      <c r="E364" s="205"/>
      <c r="F364" s="205"/>
      <c r="G364" s="205"/>
      <c r="H364" s="206"/>
      <c r="I364" s="207"/>
      <c r="J364" s="207"/>
      <c r="K364" s="207"/>
      <c r="L364" s="122"/>
      <c r="M364" s="207"/>
      <c r="N364" s="207"/>
      <c r="O364" s="122"/>
      <c r="P364" s="205"/>
      <c r="Q364" s="205"/>
      <c r="R364" s="205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</row>
    <row r="365">
      <c r="A365" s="122"/>
      <c r="B365" s="204"/>
      <c r="C365" s="204"/>
      <c r="D365" s="204"/>
      <c r="E365" s="205"/>
      <c r="F365" s="205"/>
      <c r="G365" s="205"/>
      <c r="H365" s="206"/>
      <c r="I365" s="207"/>
      <c r="J365" s="207"/>
      <c r="K365" s="207"/>
      <c r="L365" s="122"/>
      <c r="M365" s="207"/>
      <c r="N365" s="207"/>
      <c r="O365" s="122"/>
      <c r="P365" s="205"/>
      <c r="Q365" s="205"/>
      <c r="R365" s="205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</row>
    <row r="366">
      <c r="A366" s="122"/>
      <c r="B366" s="204"/>
      <c r="C366" s="204"/>
      <c r="D366" s="204"/>
      <c r="E366" s="205"/>
      <c r="F366" s="205"/>
      <c r="G366" s="205"/>
      <c r="H366" s="206"/>
      <c r="I366" s="207"/>
      <c r="J366" s="207"/>
      <c r="K366" s="207"/>
      <c r="L366" s="122"/>
      <c r="M366" s="207"/>
      <c r="N366" s="207"/>
      <c r="O366" s="122"/>
      <c r="P366" s="205"/>
      <c r="Q366" s="205"/>
      <c r="R366" s="205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</row>
    <row r="367">
      <c r="A367" s="122"/>
      <c r="B367" s="204"/>
      <c r="C367" s="204"/>
      <c r="D367" s="204"/>
      <c r="E367" s="205"/>
      <c r="F367" s="205"/>
      <c r="G367" s="205"/>
      <c r="H367" s="206"/>
      <c r="I367" s="207"/>
      <c r="J367" s="207"/>
      <c r="K367" s="207"/>
      <c r="L367" s="122"/>
      <c r="M367" s="207"/>
      <c r="N367" s="207"/>
      <c r="O367" s="122"/>
      <c r="P367" s="205"/>
      <c r="Q367" s="205"/>
      <c r="R367" s="205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</row>
    <row r="368">
      <c r="A368" s="122"/>
      <c r="B368" s="204"/>
      <c r="C368" s="204"/>
      <c r="D368" s="204"/>
      <c r="E368" s="205"/>
      <c r="F368" s="205"/>
      <c r="G368" s="205"/>
      <c r="H368" s="206"/>
      <c r="I368" s="207"/>
      <c r="J368" s="207"/>
      <c r="K368" s="207"/>
      <c r="L368" s="122"/>
      <c r="M368" s="207"/>
      <c r="N368" s="207"/>
      <c r="O368" s="122"/>
      <c r="P368" s="205"/>
      <c r="Q368" s="205"/>
      <c r="R368" s="205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</row>
    <row r="369">
      <c r="A369" s="122"/>
      <c r="B369" s="204"/>
      <c r="C369" s="204"/>
      <c r="D369" s="204"/>
      <c r="E369" s="205"/>
      <c r="F369" s="205"/>
      <c r="G369" s="205"/>
      <c r="H369" s="206"/>
      <c r="I369" s="207"/>
      <c r="J369" s="207"/>
      <c r="K369" s="207"/>
      <c r="L369" s="122"/>
      <c r="M369" s="207"/>
      <c r="N369" s="207"/>
      <c r="O369" s="122"/>
      <c r="P369" s="205"/>
      <c r="Q369" s="205"/>
      <c r="R369" s="205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</row>
    <row r="370">
      <c r="A370" s="122"/>
      <c r="B370" s="204"/>
      <c r="C370" s="204"/>
      <c r="D370" s="204"/>
      <c r="E370" s="205"/>
      <c r="F370" s="205"/>
      <c r="G370" s="205"/>
      <c r="H370" s="206"/>
      <c r="I370" s="207"/>
      <c r="J370" s="207"/>
      <c r="K370" s="207"/>
      <c r="L370" s="122"/>
      <c r="M370" s="207"/>
      <c r="N370" s="207"/>
      <c r="O370" s="122"/>
      <c r="P370" s="205"/>
      <c r="Q370" s="205"/>
      <c r="R370" s="205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</row>
    <row r="371">
      <c r="A371" s="122"/>
      <c r="B371" s="204"/>
      <c r="C371" s="204"/>
      <c r="D371" s="204"/>
      <c r="E371" s="205"/>
      <c r="F371" s="205"/>
      <c r="G371" s="205"/>
      <c r="H371" s="206"/>
      <c r="I371" s="207"/>
      <c r="J371" s="207"/>
      <c r="K371" s="207"/>
      <c r="L371" s="122"/>
      <c r="M371" s="207"/>
      <c r="N371" s="207"/>
      <c r="O371" s="122"/>
      <c r="P371" s="205"/>
      <c r="Q371" s="205"/>
      <c r="R371" s="205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</row>
    <row r="372">
      <c r="A372" s="122"/>
      <c r="B372" s="204"/>
      <c r="C372" s="204"/>
      <c r="D372" s="204"/>
      <c r="E372" s="205"/>
      <c r="F372" s="205"/>
      <c r="G372" s="205"/>
      <c r="H372" s="206"/>
      <c r="I372" s="207"/>
      <c r="J372" s="207"/>
      <c r="K372" s="207"/>
      <c r="L372" s="122"/>
      <c r="M372" s="207"/>
      <c r="N372" s="207"/>
      <c r="O372" s="122"/>
      <c r="P372" s="205"/>
      <c r="Q372" s="205"/>
      <c r="R372" s="205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</row>
    <row r="373">
      <c r="A373" s="122"/>
      <c r="B373" s="204"/>
      <c r="C373" s="204"/>
      <c r="D373" s="204"/>
      <c r="E373" s="205"/>
      <c r="F373" s="205"/>
      <c r="G373" s="205"/>
      <c r="H373" s="206"/>
      <c r="I373" s="207"/>
      <c r="J373" s="207"/>
      <c r="K373" s="207"/>
      <c r="L373" s="122"/>
      <c r="M373" s="207"/>
      <c r="N373" s="207"/>
      <c r="O373" s="122"/>
      <c r="P373" s="205"/>
      <c r="Q373" s="205"/>
      <c r="R373" s="205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</row>
    <row r="374">
      <c r="A374" s="122"/>
      <c r="B374" s="204"/>
      <c r="C374" s="204"/>
      <c r="D374" s="204"/>
      <c r="E374" s="205"/>
      <c r="F374" s="205"/>
      <c r="G374" s="205"/>
      <c r="H374" s="206"/>
      <c r="I374" s="207"/>
      <c r="J374" s="207"/>
      <c r="K374" s="207"/>
      <c r="L374" s="122"/>
      <c r="M374" s="207"/>
      <c r="N374" s="207"/>
      <c r="O374" s="122"/>
      <c r="P374" s="205"/>
      <c r="Q374" s="205"/>
      <c r="R374" s="205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</row>
    <row r="375">
      <c r="A375" s="122"/>
      <c r="B375" s="204"/>
      <c r="C375" s="204"/>
      <c r="D375" s="204"/>
      <c r="E375" s="205"/>
      <c r="F375" s="205"/>
      <c r="G375" s="205"/>
      <c r="H375" s="206"/>
      <c r="I375" s="207"/>
      <c r="J375" s="207"/>
      <c r="K375" s="207"/>
      <c r="L375" s="122"/>
      <c r="M375" s="207"/>
      <c r="N375" s="207"/>
      <c r="O375" s="122"/>
      <c r="P375" s="205"/>
      <c r="Q375" s="205"/>
      <c r="R375" s="205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</row>
    <row r="376">
      <c r="A376" s="122"/>
      <c r="B376" s="204"/>
      <c r="C376" s="204"/>
      <c r="D376" s="204"/>
      <c r="E376" s="205"/>
      <c r="F376" s="205"/>
      <c r="G376" s="205"/>
      <c r="H376" s="206"/>
      <c r="I376" s="207"/>
      <c r="J376" s="207"/>
      <c r="K376" s="207"/>
      <c r="L376" s="122"/>
      <c r="M376" s="207"/>
      <c r="N376" s="207"/>
      <c r="O376" s="122"/>
      <c r="P376" s="205"/>
      <c r="Q376" s="205"/>
      <c r="R376" s="205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</row>
    <row r="377">
      <c r="A377" s="122"/>
      <c r="B377" s="204"/>
      <c r="C377" s="204"/>
      <c r="D377" s="204"/>
      <c r="E377" s="205"/>
      <c r="F377" s="205"/>
      <c r="G377" s="205"/>
      <c r="H377" s="206"/>
      <c r="I377" s="207"/>
      <c r="J377" s="207"/>
      <c r="K377" s="207"/>
      <c r="L377" s="122"/>
      <c r="M377" s="207"/>
      <c r="N377" s="207"/>
      <c r="O377" s="122"/>
      <c r="P377" s="205"/>
      <c r="Q377" s="205"/>
      <c r="R377" s="205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</row>
    <row r="378">
      <c r="A378" s="122"/>
      <c r="B378" s="204"/>
      <c r="C378" s="204"/>
      <c r="D378" s="204"/>
      <c r="E378" s="205"/>
      <c r="F378" s="205"/>
      <c r="G378" s="205"/>
      <c r="H378" s="206"/>
      <c r="I378" s="207"/>
      <c r="J378" s="207"/>
      <c r="K378" s="207"/>
      <c r="L378" s="122"/>
      <c r="M378" s="207"/>
      <c r="N378" s="207"/>
      <c r="O378" s="122"/>
      <c r="P378" s="205"/>
      <c r="Q378" s="205"/>
      <c r="R378" s="205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</row>
    <row r="379">
      <c r="A379" s="122"/>
      <c r="B379" s="204"/>
      <c r="C379" s="204"/>
      <c r="D379" s="204"/>
      <c r="E379" s="205"/>
      <c r="F379" s="205"/>
      <c r="G379" s="205"/>
      <c r="H379" s="206"/>
      <c r="I379" s="207"/>
      <c r="J379" s="207"/>
      <c r="K379" s="207"/>
      <c r="L379" s="122"/>
      <c r="M379" s="207"/>
      <c r="N379" s="207"/>
      <c r="O379" s="122"/>
      <c r="P379" s="205"/>
      <c r="Q379" s="205"/>
      <c r="R379" s="205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</row>
    <row r="380">
      <c r="A380" s="122"/>
      <c r="B380" s="204"/>
      <c r="C380" s="204"/>
      <c r="D380" s="204"/>
      <c r="E380" s="205"/>
      <c r="F380" s="205"/>
      <c r="G380" s="205"/>
      <c r="H380" s="206"/>
      <c r="I380" s="207"/>
      <c r="J380" s="207"/>
      <c r="K380" s="207"/>
      <c r="L380" s="122"/>
      <c r="M380" s="207"/>
      <c r="N380" s="207"/>
      <c r="O380" s="122"/>
      <c r="P380" s="205"/>
      <c r="Q380" s="205"/>
      <c r="R380" s="205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</row>
    <row r="381">
      <c r="A381" s="122"/>
      <c r="B381" s="204"/>
      <c r="C381" s="204"/>
      <c r="D381" s="204"/>
      <c r="E381" s="205"/>
      <c r="F381" s="205"/>
      <c r="G381" s="205"/>
      <c r="H381" s="206"/>
      <c r="I381" s="207"/>
      <c r="J381" s="207"/>
      <c r="K381" s="207"/>
      <c r="L381" s="122"/>
      <c r="M381" s="207"/>
      <c r="N381" s="207"/>
      <c r="O381" s="122"/>
      <c r="P381" s="205"/>
      <c r="Q381" s="205"/>
      <c r="R381" s="205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</row>
    <row r="382">
      <c r="A382" s="122"/>
      <c r="B382" s="204"/>
      <c r="C382" s="204"/>
      <c r="D382" s="204"/>
      <c r="E382" s="205"/>
      <c r="F382" s="205"/>
      <c r="G382" s="205"/>
      <c r="H382" s="206"/>
      <c r="I382" s="207"/>
      <c r="J382" s="207"/>
      <c r="K382" s="207"/>
      <c r="L382" s="122"/>
      <c r="M382" s="207"/>
      <c r="N382" s="207"/>
      <c r="O382" s="122"/>
      <c r="P382" s="205"/>
      <c r="Q382" s="205"/>
      <c r="R382" s="205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</row>
    <row r="383">
      <c r="A383" s="122"/>
      <c r="B383" s="204"/>
      <c r="C383" s="204"/>
      <c r="D383" s="204"/>
      <c r="E383" s="205"/>
      <c r="F383" s="205"/>
      <c r="G383" s="205"/>
      <c r="H383" s="206"/>
      <c r="I383" s="207"/>
      <c r="J383" s="207"/>
      <c r="K383" s="207"/>
      <c r="L383" s="122"/>
      <c r="M383" s="207"/>
      <c r="N383" s="207"/>
      <c r="O383" s="122"/>
      <c r="P383" s="205"/>
      <c r="Q383" s="205"/>
      <c r="R383" s="205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</row>
    <row r="384">
      <c r="A384" s="122"/>
      <c r="B384" s="204"/>
      <c r="C384" s="204"/>
      <c r="D384" s="204"/>
      <c r="E384" s="205"/>
      <c r="F384" s="205"/>
      <c r="G384" s="205"/>
      <c r="H384" s="206"/>
      <c r="I384" s="207"/>
      <c r="J384" s="207"/>
      <c r="K384" s="207"/>
      <c r="L384" s="122"/>
      <c r="M384" s="207"/>
      <c r="N384" s="207"/>
      <c r="O384" s="122"/>
      <c r="P384" s="205"/>
      <c r="Q384" s="205"/>
      <c r="R384" s="205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</row>
    <row r="385">
      <c r="A385" s="122"/>
      <c r="B385" s="204"/>
      <c r="C385" s="204"/>
      <c r="D385" s="204"/>
      <c r="E385" s="205"/>
      <c r="F385" s="205"/>
      <c r="G385" s="205"/>
      <c r="H385" s="206"/>
      <c r="I385" s="207"/>
      <c r="J385" s="207"/>
      <c r="K385" s="207"/>
      <c r="L385" s="122"/>
      <c r="M385" s="207"/>
      <c r="N385" s="207"/>
      <c r="O385" s="122"/>
      <c r="P385" s="205"/>
      <c r="Q385" s="205"/>
      <c r="R385" s="205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</row>
    <row r="386">
      <c r="A386" s="122"/>
      <c r="B386" s="204"/>
      <c r="C386" s="204"/>
      <c r="D386" s="204"/>
      <c r="E386" s="205"/>
      <c r="F386" s="205"/>
      <c r="G386" s="205"/>
      <c r="H386" s="206"/>
      <c r="I386" s="207"/>
      <c r="J386" s="207"/>
      <c r="K386" s="207"/>
      <c r="L386" s="122"/>
      <c r="M386" s="207"/>
      <c r="N386" s="207"/>
      <c r="O386" s="122"/>
      <c r="P386" s="205"/>
      <c r="Q386" s="205"/>
      <c r="R386" s="205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</row>
    <row r="387">
      <c r="A387" s="122"/>
      <c r="B387" s="204"/>
      <c r="C387" s="204"/>
      <c r="D387" s="204"/>
      <c r="E387" s="205"/>
      <c r="F387" s="205"/>
      <c r="G387" s="205"/>
      <c r="H387" s="206"/>
      <c r="I387" s="207"/>
      <c r="J387" s="207"/>
      <c r="K387" s="207"/>
      <c r="L387" s="122"/>
      <c r="M387" s="207"/>
      <c r="N387" s="207"/>
      <c r="O387" s="122"/>
      <c r="P387" s="205"/>
      <c r="Q387" s="205"/>
      <c r="R387" s="205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</row>
    <row r="388">
      <c r="A388" s="122"/>
      <c r="B388" s="204"/>
      <c r="C388" s="204"/>
      <c r="D388" s="204"/>
      <c r="E388" s="205"/>
      <c r="F388" s="205"/>
      <c r="G388" s="205"/>
      <c r="H388" s="206"/>
      <c r="I388" s="207"/>
      <c r="J388" s="207"/>
      <c r="K388" s="207"/>
      <c r="L388" s="122"/>
      <c r="M388" s="207"/>
      <c r="N388" s="207"/>
      <c r="O388" s="122"/>
      <c r="P388" s="205"/>
      <c r="Q388" s="205"/>
      <c r="R388" s="205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</row>
    <row r="389">
      <c r="A389" s="122"/>
      <c r="B389" s="204"/>
      <c r="C389" s="204"/>
      <c r="D389" s="204"/>
      <c r="E389" s="205"/>
      <c r="F389" s="205"/>
      <c r="G389" s="205"/>
      <c r="H389" s="206"/>
      <c r="I389" s="207"/>
      <c r="J389" s="207"/>
      <c r="K389" s="207"/>
      <c r="L389" s="122"/>
      <c r="M389" s="207"/>
      <c r="N389" s="207"/>
      <c r="O389" s="122"/>
      <c r="P389" s="205"/>
      <c r="Q389" s="205"/>
      <c r="R389" s="205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</row>
    <row r="390">
      <c r="A390" s="122"/>
      <c r="B390" s="204"/>
      <c r="C390" s="204"/>
      <c r="D390" s="204"/>
      <c r="E390" s="205"/>
      <c r="F390" s="205"/>
      <c r="G390" s="205"/>
      <c r="H390" s="206"/>
      <c r="I390" s="207"/>
      <c r="J390" s="207"/>
      <c r="K390" s="207"/>
      <c r="L390" s="122"/>
      <c r="M390" s="207"/>
      <c r="N390" s="207"/>
      <c r="O390" s="122"/>
      <c r="P390" s="205"/>
      <c r="Q390" s="205"/>
      <c r="R390" s="205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</row>
    <row r="391">
      <c r="A391" s="122"/>
      <c r="B391" s="204"/>
      <c r="C391" s="204"/>
      <c r="D391" s="204"/>
      <c r="E391" s="205"/>
      <c r="F391" s="205"/>
      <c r="G391" s="205"/>
      <c r="H391" s="206"/>
      <c r="I391" s="207"/>
      <c r="J391" s="207"/>
      <c r="K391" s="207"/>
      <c r="L391" s="122"/>
      <c r="M391" s="207"/>
      <c r="N391" s="207"/>
      <c r="O391" s="122"/>
      <c r="P391" s="205"/>
      <c r="Q391" s="205"/>
      <c r="R391" s="205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</row>
    <row r="392">
      <c r="A392" s="122"/>
      <c r="B392" s="204"/>
      <c r="C392" s="204"/>
      <c r="D392" s="204"/>
      <c r="E392" s="205"/>
      <c r="F392" s="205"/>
      <c r="G392" s="205"/>
      <c r="H392" s="206"/>
      <c r="I392" s="207"/>
      <c r="J392" s="207"/>
      <c r="K392" s="207"/>
      <c r="L392" s="122"/>
      <c r="M392" s="207"/>
      <c r="N392" s="207"/>
      <c r="O392" s="122"/>
      <c r="P392" s="205"/>
      <c r="Q392" s="205"/>
      <c r="R392" s="205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</row>
    <row r="393">
      <c r="A393" s="122"/>
      <c r="B393" s="204"/>
      <c r="C393" s="204"/>
      <c r="D393" s="204"/>
      <c r="E393" s="205"/>
      <c r="F393" s="205"/>
      <c r="G393" s="205"/>
      <c r="H393" s="206"/>
      <c r="I393" s="207"/>
      <c r="J393" s="207"/>
      <c r="K393" s="207"/>
      <c r="L393" s="122"/>
      <c r="M393" s="207"/>
      <c r="N393" s="207"/>
      <c r="O393" s="122"/>
      <c r="P393" s="205"/>
      <c r="Q393" s="205"/>
      <c r="R393" s="205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</row>
    <row r="394">
      <c r="A394" s="122"/>
      <c r="B394" s="204"/>
      <c r="C394" s="204"/>
      <c r="D394" s="204"/>
      <c r="E394" s="205"/>
      <c r="F394" s="205"/>
      <c r="G394" s="205"/>
      <c r="H394" s="206"/>
      <c r="I394" s="207"/>
      <c r="J394" s="207"/>
      <c r="K394" s="207"/>
      <c r="L394" s="122"/>
      <c r="M394" s="207"/>
      <c r="N394" s="207"/>
      <c r="O394" s="122"/>
      <c r="P394" s="205"/>
      <c r="Q394" s="205"/>
      <c r="R394" s="205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</row>
    <row r="395">
      <c r="A395" s="122"/>
      <c r="B395" s="204"/>
      <c r="C395" s="204"/>
      <c r="D395" s="204"/>
      <c r="E395" s="205"/>
      <c r="F395" s="205"/>
      <c r="G395" s="205"/>
      <c r="H395" s="206"/>
      <c r="I395" s="207"/>
      <c r="J395" s="207"/>
      <c r="K395" s="207"/>
      <c r="L395" s="122"/>
      <c r="M395" s="207"/>
      <c r="N395" s="207"/>
      <c r="O395" s="122"/>
      <c r="P395" s="205"/>
      <c r="Q395" s="205"/>
      <c r="R395" s="205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</row>
    <row r="396">
      <c r="A396" s="122"/>
      <c r="B396" s="204"/>
      <c r="C396" s="204"/>
      <c r="D396" s="204"/>
      <c r="E396" s="205"/>
      <c r="F396" s="205"/>
      <c r="G396" s="205"/>
      <c r="H396" s="206"/>
      <c r="I396" s="207"/>
      <c r="J396" s="207"/>
      <c r="K396" s="207"/>
      <c r="L396" s="122"/>
      <c r="M396" s="207"/>
      <c r="N396" s="207"/>
      <c r="O396" s="122"/>
      <c r="P396" s="205"/>
      <c r="Q396" s="205"/>
      <c r="R396" s="205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</row>
    <row r="397">
      <c r="A397" s="122"/>
      <c r="B397" s="204"/>
      <c r="C397" s="204"/>
      <c r="D397" s="204"/>
      <c r="E397" s="205"/>
      <c r="F397" s="205"/>
      <c r="G397" s="205"/>
      <c r="H397" s="206"/>
      <c r="I397" s="207"/>
      <c r="J397" s="207"/>
      <c r="K397" s="207"/>
      <c r="L397" s="122"/>
      <c r="M397" s="207"/>
      <c r="N397" s="207"/>
      <c r="O397" s="122"/>
      <c r="P397" s="205"/>
      <c r="Q397" s="205"/>
      <c r="R397" s="205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</row>
    <row r="398">
      <c r="A398" s="122"/>
      <c r="B398" s="204"/>
      <c r="C398" s="204"/>
      <c r="D398" s="204"/>
      <c r="E398" s="205"/>
      <c r="F398" s="205"/>
      <c r="G398" s="205"/>
      <c r="H398" s="206"/>
      <c r="I398" s="207"/>
      <c r="J398" s="207"/>
      <c r="K398" s="207"/>
      <c r="L398" s="122"/>
      <c r="M398" s="207"/>
      <c r="N398" s="207"/>
      <c r="O398" s="122"/>
      <c r="P398" s="205"/>
      <c r="Q398" s="205"/>
      <c r="R398" s="205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</row>
    <row r="399">
      <c r="A399" s="122"/>
      <c r="B399" s="204"/>
      <c r="C399" s="204"/>
      <c r="D399" s="204"/>
      <c r="E399" s="205"/>
      <c r="F399" s="205"/>
      <c r="G399" s="205"/>
      <c r="H399" s="206"/>
      <c r="I399" s="207"/>
      <c r="J399" s="207"/>
      <c r="K399" s="207"/>
      <c r="L399" s="122"/>
      <c r="M399" s="207"/>
      <c r="N399" s="207"/>
      <c r="O399" s="122"/>
      <c r="P399" s="205"/>
      <c r="Q399" s="205"/>
      <c r="R399" s="205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</row>
    <row r="400">
      <c r="A400" s="122"/>
      <c r="B400" s="204"/>
      <c r="C400" s="204"/>
      <c r="D400" s="204"/>
      <c r="E400" s="205"/>
      <c r="F400" s="205"/>
      <c r="G400" s="205"/>
      <c r="H400" s="206"/>
      <c r="I400" s="207"/>
      <c r="J400" s="207"/>
      <c r="K400" s="207"/>
      <c r="L400" s="122"/>
      <c r="M400" s="207"/>
      <c r="N400" s="207"/>
      <c r="O400" s="122"/>
      <c r="P400" s="205"/>
      <c r="Q400" s="205"/>
      <c r="R400" s="205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</row>
    <row r="401">
      <c r="A401" s="122"/>
      <c r="B401" s="204"/>
      <c r="C401" s="204"/>
      <c r="D401" s="204"/>
      <c r="E401" s="205"/>
      <c r="F401" s="205"/>
      <c r="G401" s="205"/>
      <c r="H401" s="206"/>
      <c r="I401" s="207"/>
      <c r="J401" s="207"/>
      <c r="K401" s="207"/>
      <c r="L401" s="122"/>
      <c r="M401" s="207"/>
      <c r="N401" s="207"/>
      <c r="O401" s="122"/>
      <c r="P401" s="205"/>
      <c r="Q401" s="205"/>
      <c r="R401" s="205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</row>
    <row r="402">
      <c r="A402" s="122"/>
      <c r="B402" s="204"/>
      <c r="C402" s="204"/>
      <c r="D402" s="204"/>
      <c r="E402" s="205"/>
      <c r="F402" s="205"/>
      <c r="G402" s="205"/>
      <c r="H402" s="206"/>
      <c r="I402" s="207"/>
      <c r="J402" s="207"/>
      <c r="K402" s="207"/>
      <c r="L402" s="122"/>
      <c r="M402" s="207"/>
      <c r="N402" s="207"/>
      <c r="O402" s="122"/>
      <c r="P402" s="205"/>
      <c r="Q402" s="205"/>
      <c r="R402" s="205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</row>
    <row r="403">
      <c r="A403" s="122"/>
      <c r="B403" s="204"/>
      <c r="C403" s="204"/>
      <c r="D403" s="204"/>
      <c r="E403" s="205"/>
      <c r="F403" s="205"/>
      <c r="G403" s="205"/>
      <c r="H403" s="206"/>
      <c r="I403" s="207"/>
      <c r="J403" s="207"/>
      <c r="K403" s="207"/>
      <c r="L403" s="122"/>
      <c r="M403" s="207"/>
      <c r="N403" s="207"/>
      <c r="O403" s="122"/>
      <c r="P403" s="205"/>
      <c r="Q403" s="205"/>
      <c r="R403" s="205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</row>
    <row r="404">
      <c r="A404" s="122"/>
      <c r="B404" s="204"/>
      <c r="C404" s="204"/>
      <c r="D404" s="204"/>
      <c r="E404" s="205"/>
      <c r="F404" s="205"/>
      <c r="G404" s="205"/>
      <c r="H404" s="206"/>
      <c r="I404" s="207"/>
      <c r="J404" s="207"/>
      <c r="K404" s="207"/>
      <c r="L404" s="122"/>
      <c r="M404" s="207"/>
      <c r="N404" s="207"/>
      <c r="O404" s="122"/>
      <c r="P404" s="205"/>
      <c r="Q404" s="205"/>
      <c r="R404" s="205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</row>
    <row r="405">
      <c r="A405" s="122"/>
      <c r="B405" s="204"/>
      <c r="C405" s="204"/>
      <c r="D405" s="204"/>
      <c r="E405" s="205"/>
      <c r="F405" s="205"/>
      <c r="G405" s="205"/>
      <c r="H405" s="206"/>
      <c r="I405" s="207"/>
      <c r="J405" s="207"/>
      <c r="K405" s="207"/>
      <c r="L405" s="122"/>
      <c r="M405" s="207"/>
      <c r="N405" s="207"/>
      <c r="O405" s="122"/>
      <c r="P405" s="205"/>
      <c r="Q405" s="205"/>
      <c r="R405" s="205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</row>
    <row r="406">
      <c r="A406" s="122"/>
      <c r="B406" s="204"/>
      <c r="C406" s="204"/>
      <c r="D406" s="204"/>
      <c r="E406" s="205"/>
      <c r="F406" s="205"/>
      <c r="G406" s="205"/>
      <c r="H406" s="206"/>
      <c r="I406" s="207"/>
      <c r="J406" s="207"/>
      <c r="K406" s="207"/>
      <c r="L406" s="122"/>
      <c r="M406" s="207"/>
      <c r="N406" s="207"/>
      <c r="O406" s="122"/>
      <c r="P406" s="205"/>
      <c r="Q406" s="205"/>
      <c r="R406" s="205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</row>
    <row r="407">
      <c r="A407" s="122"/>
      <c r="B407" s="204"/>
      <c r="C407" s="204"/>
      <c r="D407" s="204"/>
      <c r="E407" s="205"/>
      <c r="F407" s="205"/>
      <c r="G407" s="205"/>
      <c r="H407" s="206"/>
      <c r="I407" s="207"/>
      <c r="J407" s="207"/>
      <c r="K407" s="207"/>
      <c r="L407" s="122"/>
      <c r="M407" s="207"/>
      <c r="N407" s="207"/>
      <c r="O407" s="122"/>
      <c r="P407" s="205"/>
      <c r="Q407" s="205"/>
      <c r="R407" s="205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</row>
    <row r="408">
      <c r="A408" s="122"/>
      <c r="B408" s="204"/>
      <c r="C408" s="204"/>
      <c r="D408" s="204"/>
      <c r="E408" s="205"/>
      <c r="F408" s="205"/>
      <c r="G408" s="205"/>
      <c r="H408" s="206"/>
      <c r="I408" s="207"/>
      <c r="J408" s="207"/>
      <c r="K408" s="207"/>
      <c r="L408" s="122"/>
      <c r="M408" s="207"/>
      <c r="N408" s="207"/>
      <c r="O408" s="122"/>
      <c r="P408" s="205"/>
      <c r="Q408" s="205"/>
      <c r="R408" s="205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</row>
    <row r="409">
      <c r="A409" s="122"/>
      <c r="B409" s="204"/>
      <c r="C409" s="204"/>
      <c r="D409" s="204"/>
      <c r="E409" s="205"/>
      <c r="F409" s="205"/>
      <c r="G409" s="205"/>
      <c r="H409" s="206"/>
      <c r="I409" s="207"/>
      <c r="J409" s="207"/>
      <c r="K409" s="207"/>
      <c r="L409" s="122"/>
      <c r="M409" s="207"/>
      <c r="N409" s="207"/>
      <c r="O409" s="122"/>
      <c r="P409" s="205"/>
      <c r="Q409" s="205"/>
      <c r="R409" s="205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</row>
    <row r="410">
      <c r="A410" s="122"/>
      <c r="B410" s="204"/>
      <c r="C410" s="204"/>
      <c r="D410" s="204"/>
      <c r="E410" s="205"/>
      <c r="F410" s="205"/>
      <c r="G410" s="205"/>
      <c r="H410" s="206"/>
      <c r="I410" s="207"/>
      <c r="J410" s="207"/>
      <c r="K410" s="207"/>
      <c r="L410" s="122"/>
      <c r="M410" s="207"/>
      <c r="N410" s="207"/>
      <c r="O410" s="122"/>
      <c r="P410" s="205"/>
      <c r="Q410" s="205"/>
      <c r="R410" s="205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</row>
    <row r="411">
      <c r="A411" s="122"/>
      <c r="B411" s="204"/>
      <c r="C411" s="204"/>
      <c r="D411" s="204"/>
      <c r="E411" s="205"/>
      <c r="F411" s="205"/>
      <c r="G411" s="205"/>
      <c r="H411" s="206"/>
      <c r="I411" s="207"/>
      <c r="J411" s="207"/>
      <c r="K411" s="207"/>
      <c r="L411" s="122"/>
      <c r="M411" s="207"/>
      <c r="N411" s="207"/>
      <c r="O411" s="122"/>
      <c r="P411" s="205"/>
      <c r="Q411" s="205"/>
      <c r="R411" s="205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</row>
    <row r="412">
      <c r="A412" s="122"/>
      <c r="B412" s="204"/>
      <c r="C412" s="204"/>
      <c r="D412" s="204"/>
      <c r="E412" s="205"/>
      <c r="F412" s="205"/>
      <c r="G412" s="205"/>
      <c r="H412" s="206"/>
      <c r="I412" s="207"/>
      <c r="J412" s="207"/>
      <c r="K412" s="207"/>
      <c r="L412" s="122"/>
      <c r="M412" s="207"/>
      <c r="N412" s="207"/>
      <c r="O412" s="122"/>
      <c r="P412" s="205"/>
      <c r="Q412" s="205"/>
      <c r="R412" s="205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</row>
    <row r="413">
      <c r="A413" s="122"/>
      <c r="B413" s="204"/>
      <c r="C413" s="204"/>
      <c r="D413" s="204"/>
      <c r="E413" s="205"/>
      <c r="F413" s="205"/>
      <c r="G413" s="205"/>
      <c r="H413" s="206"/>
      <c r="I413" s="207"/>
      <c r="J413" s="207"/>
      <c r="K413" s="207"/>
      <c r="L413" s="122"/>
      <c r="M413" s="207"/>
      <c r="N413" s="207"/>
      <c r="O413" s="122"/>
      <c r="P413" s="205"/>
      <c r="Q413" s="205"/>
      <c r="R413" s="205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</row>
    <row r="414">
      <c r="A414" s="122"/>
      <c r="B414" s="204"/>
      <c r="C414" s="204"/>
      <c r="D414" s="204"/>
      <c r="E414" s="205"/>
      <c r="F414" s="205"/>
      <c r="G414" s="205"/>
      <c r="H414" s="206"/>
      <c r="I414" s="207"/>
      <c r="J414" s="207"/>
      <c r="K414" s="207"/>
      <c r="L414" s="122"/>
      <c r="M414" s="207"/>
      <c r="N414" s="207"/>
      <c r="O414" s="122"/>
      <c r="P414" s="205"/>
      <c r="Q414" s="205"/>
      <c r="R414" s="205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</row>
    <row r="415">
      <c r="A415" s="122"/>
      <c r="B415" s="204"/>
      <c r="C415" s="204"/>
      <c r="D415" s="204"/>
      <c r="E415" s="205"/>
      <c r="F415" s="205"/>
      <c r="G415" s="205"/>
      <c r="H415" s="206"/>
      <c r="I415" s="207"/>
      <c r="J415" s="207"/>
      <c r="K415" s="207"/>
      <c r="L415" s="122"/>
      <c r="M415" s="207"/>
      <c r="N415" s="207"/>
      <c r="O415" s="122"/>
      <c r="P415" s="205"/>
      <c r="Q415" s="205"/>
      <c r="R415" s="205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</row>
    <row r="416">
      <c r="A416" s="122"/>
      <c r="B416" s="204"/>
      <c r="C416" s="204"/>
      <c r="D416" s="204"/>
      <c r="E416" s="205"/>
      <c r="F416" s="205"/>
      <c r="G416" s="205"/>
      <c r="H416" s="206"/>
      <c r="I416" s="207"/>
      <c r="J416" s="207"/>
      <c r="K416" s="207"/>
      <c r="L416" s="122"/>
      <c r="M416" s="207"/>
      <c r="N416" s="207"/>
      <c r="O416" s="122"/>
      <c r="P416" s="205"/>
      <c r="Q416" s="205"/>
      <c r="R416" s="205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</row>
    <row r="417">
      <c r="A417" s="122"/>
      <c r="B417" s="204"/>
      <c r="C417" s="204"/>
      <c r="D417" s="204"/>
      <c r="E417" s="205"/>
      <c r="F417" s="205"/>
      <c r="G417" s="205"/>
      <c r="H417" s="206"/>
      <c r="I417" s="207"/>
      <c r="J417" s="207"/>
      <c r="K417" s="207"/>
      <c r="L417" s="122"/>
      <c r="M417" s="207"/>
      <c r="N417" s="207"/>
      <c r="O417" s="122"/>
      <c r="P417" s="205"/>
      <c r="Q417" s="205"/>
      <c r="R417" s="205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</row>
    <row r="418">
      <c r="A418" s="122"/>
      <c r="B418" s="204"/>
      <c r="C418" s="204"/>
      <c r="D418" s="204"/>
      <c r="E418" s="205"/>
      <c r="F418" s="205"/>
      <c r="G418" s="205"/>
      <c r="H418" s="206"/>
      <c r="I418" s="207"/>
      <c r="J418" s="207"/>
      <c r="K418" s="207"/>
      <c r="L418" s="122"/>
      <c r="M418" s="207"/>
      <c r="N418" s="207"/>
      <c r="O418" s="122"/>
      <c r="P418" s="205"/>
      <c r="Q418" s="205"/>
      <c r="R418" s="205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</row>
    <row r="419">
      <c r="A419" s="122"/>
      <c r="B419" s="204"/>
      <c r="C419" s="204"/>
      <c r="D419" s="204"/>
      <c r="E419" s="205"/>
      <c r="F419" s="205"/>
      <c r="G419" s="205"/>
      <c r="H419" s="206"/>
      <c r="I419" s="207"/>
      <c r="J419" s="207"/>
      <c r="K419" s="207"/>
      <c r="L419" s="122"/>
      <c r="M419" s="207"/>
      <c r="N419" s="207"/>
      <c r="O419" s="122"/>
      <c r="P419" s="205"/>
      <c r="Q419" s="205"/>
      <c r="R419" s="205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</row>
    <row r="420">
      <c r="A420" s="122"/>
      <c r="B420" s="204"/>
      <c r="C420" s="204"/>
      <c r="D420" s="204"/>
      <c r="E420" s="205"/>
      <c r="F420" s="205"/>
      <c r="G420" s="205"/>
      <c r="H420" s="206"/>
      <c r="I420" s="207"/>
      <c r="J420" s="207"/>
      <c r="K420" s="207"/>
      <c r="L420" s="122"/>
      <c r="M420" s="207"/>
      <c r="N420" s="207"/>
      <c r="O420" s="122"/>
      <c r="P420" s="205"/>
      <c r="Q420" s="205"/>
      <c r="R420" s="205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</row>
    <row r="421">
      <c r="A421" s="122"/>
      <c r="B421" s="204"/>
      <c r="C421" s="204"/>
      <c r="D421" s="204"/>
      <c r="E421" s="205"/>
      <c r="F421" s="205"/>
      <c r="G421" s="205"/>
      <c r="H421" s="206"/>
      <c r="I421" s="207"/>
      <c r="J421" s="207"/>
      <c r="K421" s="207"/>
      <c r="L421" s="122"/>
      <c r="M421" s="207"/>
      <c r="N421" s="207"/>
      <c r="O421" s="122"/>
      <c r="P421" s="205"/>
      <c r="Q421" s="205"/>
      <c r="R421" s="205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</row>
    <row r="422">
      <c r="A422" s="122"/>
      <c r="B422" s="204"/>
      <c r="C422" s="204"/>
      <c r="D422" s="204"/>
      <c r="E422" s="205"/>
      <c r="F422" s="205"/>
      <c r="G422" s="205"/>
      <c r="H422" s="206"/>
      <c r="I422" s="207"/>
      <c r="J422" s="207"/>
      <c r="K422" s="207"/>
      <c r="L422" s="122"/>
      <c r="M422" s="207"/>
      <c r="N422" s="207"/>
      <c r="O422" s="122"/>
      <c r="P422" s="205"/>
      <c r="Q422" s="205"/>
      <c r="R422" s="205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</row>
    <row r="423">
      <c r="A423" s="122"/>
      <c r="B423" s="204"/>
      <c r="C423" s="204"/>
      <c r="D423" s="204"/>
      <c r="E423" s="205"/>
      <c r="F423" s="205"/>
      <c r="G423" s="205"/>
      <c r="H423" s="206"/>
      <c r="I423" s="207"/>
      <c r="J423" s="207"/>
      <c r="K423" s="207"/>
      <c r="L423" s="122"/>
      <c r="M423" s="207"/>
      <c r="N423" s="207"/>
      <c r="O423" s="122"/>
      <c r="P423" s="205"/>
      <c r="Q423" s="205"/>
      <c r="R423" s="205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</row>
    <row r="424">
      <c r="A424" s="122"/>
      <c r="B424" s="204"/>
      <c r="C424" s="204"/>
      <c r="D424" s="204"/>
      <c r="E424" s="205"/>
      <c r="F424" s="205"/>
      <c r="G424" s="205"/>
      <c r="H424" s="206"/>
      <c r="I424" s="207"/>
      <c r="J424" s="207"/>
      <c r="K424" s="207"/>
      <c r="L424" s="122"/>
      <c r="M424" s="207"/>
      <c r="N424" s="207"/>
      <c r="O424" s="122"/>
      <c r="P424" s="205"/>
      <c r="Q424" s="205"/>
      <c r="R424" s="205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</row>
    <row r="425">
      <c r="A425" s="122"/>
      <c r="B425" s="204"/>
      <c r="C425" s="204"/>
      <c r="D425" s="204"/>
      <c r="E425" s="205"/>
      <c r="F425" s="205"/>
      <c r="G425" s="205"/>
      <c r="H425" s="206"/>
      <c r="I425" s="207"/>
      <c r="J425" s="207"/>
      <c r="K425" s="207"/>
      <c r="L425" s="122"/>
      <c r="M425" s="207"/>
      <c r="N425" s="207"/>
      <c r="O425" s="122"/>
      <c r="P425" s="205"/>
      <c r="Q425" s="205"/>
      <c r="R425" s="205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</row>
    <row r="426">
      <c r="A426" s="122"/>
      <c r="B426" s="204"/>
      <c r="C426" s="204"/>
      <c r="D426" s="204"/>
      <c r="E426" s="205"/>
      <c r="F426" s="205"/>
      <c r="G426" s="205"/>
      <c r="H426" s="206"/>
      <c r="I426" s="207"/>
      <c r="J426" s="207"/>
      <c r="K426" s="207"/>
      <c r="L426" s="122"/>
      <c r="M426" s="207"/>
      <c r="N426" s="207"/>
      <c r="O426" s="122"/>
      <c r="P426" s="205"/>
      <c r="Q426" s="205"/>
      <c r="R426" s="205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</row>
    <row r="427">
      <c r="A427" s="122"/>
      <c r="B427" s="204"/>
      <c r="C427" s="204"/>
      <c r="D427" s="204"/>
      <c r="E427" s="205"/>
      <c r="F427" s="205"/>
      <c r="G427" s="205"/>
      <c r="H427" s="206"/>
      <c r="I427" s="207"/>
      <c r="J427" s="207"/>
      <c r="K427" s="207"/>
      <c r="L427" s="122"/>
      <c r="M427" s="207"/>
      <c r="N427" s="207"/>
      <c r="O427" s="122"/>
      <c r="P427" s="205"/>
      <c r="Q427" s="205"/>
      <c r="R427" s="205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</row>
    <row r="428">
      <c r="A428" s="122"/>
      <c r="B428" s="204"/>
      <c r="C428" s="204"/>
      <c r="D428" s="204"/>
      <c r="E428" s="205"/>
      <c r="F428" s="205"/>
      <c r="G428" s="205"/>
      <c r="H428" s="206"/>
      <c r="I428" s="207"/>
      <c r="J428" s="207"/>
      <c r="K428" s="207"/>
      <c r="L428" s="122"/>
      <c r="M428" s="207"/>
      <c r="N428" s="207"/>
      <c r="O428" s="122"/>
      <c r="P428" s="205"/>
      <c r="Q428" s="205"/>
      <c r="R428" s="205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</row>
    <row r="429">
      <c r="A429" s="122"/>
      <c r="B429" s="204"/>
      <c r="C429" s="204"/>
      <c r="D429" s="204"/>
      <c r="E429" s="205"/>
      <c r="F429" s="205"/>
      <c r="G429" s="205"/>
      <c r="H429" s="206"/>
      <c r="I429" s="207"/>
      <c r="J429" s="207"/>
      <c r="K429" s="207"/>
      <c r="L429" s="122"/>
      <c r="M429" s="207"/>
      <c r="N429" s="207"/>
      <c r="O429" s="122"/>
      <c r="P429" s="205"/>
      <c r="Q429" s="205"/>
      <c r="R429" s="205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</row>
    <row r="430">
      <c r="A430" s="122"/>
      <c r="B430" s="204"/>
      <c r="C430" s="204"/>
      <c r="D430" s="204"/>
      <c r="E430" s="205"/>
      <c r="F430" s="205"/>
      <c r="G430" s="205"/>
      <c r="H430" s="206"/>
      <c r="I430" s="207"/>
      <c r="J430" s="207"/>
      <c r="K430" s="207"/>
      <c r="L430" s="122"/>
      <c r="M430" s="207"/>
      <c r="N430" s="207"/>
      <c r="O430" s="122"/>
      <c r="P430" s="205"/>
      <c r="Q430" s="205"/>
      <c r="R430" s="205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</row>
    <row r="431">
      <c r="A431" s="122"/>
      <c r="B431" s="204"/>
      <c r="C431" s="204"/>
      <c r="D431" s="204"/>
      <c r="E431" s="205"/>
      <c r="F431" s="205"/>
      <c r="G431" s="205"/>
      <c r="H431" s="206"/>
      <c r="I431" s="207"/>
      <c r="J431" s="207"/>
      <c r="K431" s="207"/>
      <c r="L431" s="122"/>
      <c r="M431" s="207"/>
      <c r="N431" s="207"/>
      <c r="O431" s="122"/>
      <c r="P431" s="205"/>
      <c r="Q431" s="205"/>
      <c r="R431" s="205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</row>
    <row r="432">
      <c r="A432" s="122"/>
      <c r="B432" s="204"/>
      <c r="C432" s="204"/>
      <c r="D432" s="204"/>
      <c r="E432" s="205"/>
      <c r="F432" s="205"/>
      <c r="G432" s="205"/>
      <c r="H432" s="206"/>
      <c r="I432" s="207"/>
      <c r="J432" s="207"/>
      <c r="K432" s="207"/>
      <c r="L432" s="122"/>
      <c r="M432" s="207"/>
      <c r="N432" s="207"/>
      <c r="O432" s="122"/>
      <c r="P432" s="205"/>
      <c r="Q432" s="205"/>
      <c r="R432" s="205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</row>
    <row r="433">
      <c r="A433" s="122"/>
      <c r="B433" s="204"/>
      <c r="C433" s="204"/>
      <c r="D433" s="204"/>
      <c r="E433" s="205"/>
      <c r="F433" s="205"/>
      <c r="G433" s="205"/>
      <c r="H433" s="206"/>
      <c r="I433" s="207"/>
      <c r="J433" s="207"/>
      <c r="K433" s="207"/>
      <c r="L433" s="122"/>
      <c r="M433" s="207"/>
      <c r="N433" s="207"/>
      <c r="O433" s="122"/>
      <c r="P433" s="205"/>
      <c r="Q433" s="205"/>
      <c r="R433" s="205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</row>
    <row r="434">
      <c r="A434" s="122"/>
      <c r="B434" s="204"/>
      <c r="C434" s="204"/>
      <c r="D434" s="204"/>
      <c r="E434" s="205"/>
      <c r="F434" s="205"/>
      <c r="G434" s="205"/>
      <c r="H434" s="206"/>
      <c r="I434" s="207"/>
      <c r="J434" s="207"/>
      <c r="K434" s="207"/>
      <c r="L434" s="122"/>
      <c r="M434" s="207"/>
      <c r="N434" s="207"/>
      <c r="O434" s="122"/>
      <c r="P434" s="205"/>
      <c r="Q434" s="205"/>
      <c r="R434" s="205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</row>
    <row r="435">
      <c r="A435" s="122"/>
      <c r="B435" s="204"/>
      <c r="C435" s="204"/>
      <c r="D435" s="204"/>
      <c r="E435" s="205"/>
      <c r="F435" s="205"/>
      <c r="G435" s="205"/>
      <c r="H435" s="206"/>
      <c r="I435" s="207"/>
      <c r="J435" s="207"/>
      <c r="K435" s="207"/>
      <c r="L435" s="122"/>
      <c r="M435" s="207"/>
      <c r="N435" s="207"/>
      <c r="O435" s="122"/>
      <c r="P435" s="205"/>
      <c r="Q435" s="205"/>
      <c r="R435" s="205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</row>
    <row r="436">
      <c r="A436" s="122"/>
      <c r="B436" s="204"/>
      <c r="C436" s="204"/>
      <c r="D436" s="204"/>
      <c r="E436" s="205"/>
      <c r="F436" s="205"/>
      <c r="G436" s="205"/>
      <c r="H436" s="206"/>
      <c r="I436" s="207"/>
      <c r="J436" s="207"/>
      <c r="K436" s="207"/>
      <c r="L436" s="122"/>
      <c r="M436" s="207"/>
      <c r="N436" s="207"/>
      <c r="O436" s="122"/>
      <c r="P436" s="205"/>
      <c r="Q436" s="205"/>
      <c r="R436" s="205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</row>
    <row r="437">
      <c r="A437" s="122"/>
      <c r="B437" s="204"/>
      <c r="C437" s="204"/>
      <c r="D437" s="204"/>
      <c r="E437" s="205"/>
      <c r="F437" s="205"/>
      <c r="G437" s="205"/>
      <c r="H437" s="206"/>
      <c r="I437" s="207"/>
      <c r="J437" s="207"/>
      <c r="K437" s="207"/>
      <c r="L437" s="122"/>
      <c r="M437" s="207"/>
      <c r="N437" s="207"/>
      <c r="O437" s="122"/>
      <c r="P437" s="205"/>
      <c r="Q437" s="205"/>
      <c r="R437" s="205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</row>
    <row r="438">
      <c r="A438" s="122"/>
      <c r="B438" s="204"/>
      <c r="C438" s="204"/>
      <c r="D438" s="204"/>
      <c r="E438" s="205"/>
      <c r="F438" s="205"/>
      <c r="G438" s="205"/>
      <c r="H438" s="206"/>
      <c r="I438" s="207"/>
      <c r="J438" s="207"/>
      <c r="K438" s="207"/>
      <c r="L438" s="122"/>
      <c r="M438" s="207"/>
      <c r="N438" s="207"/>
      <c r="O438" s="122"/>
      <c r="P438" s="205"/>
      <c r="Q438" s="205"/>
      <c r="R438" s="205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</row>
    <row r="439">
      <c r="A439" s="122"/>
      <c r="B439" s="204"/>
      <c r="C439" s="204"/>
      <c r="D439" s="204"/>
      <c r="E439" s="205"/>
      <c r="F439" s="205"/>
      <c r="G439" s="205"/>
      <c r="H439" s="206"/>
      <c r="I439" s="207"/>
      <c r="J439" s="207"/>
      <c r="K439" s="207"/>
      <c r="L439" s="122"/>
      <c r="M439" s="207"/>
      <c r="N439" s="207"/>
      <c r="O439" s="122"/>
      <c r="P439" s="205"/>
      <c r="Q439" s="205"/>
      <c r="R439" s="205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</row>
    <row r="440">
      <c r="A440" s="122"/>
      <c r="B440" s="204"/>
      <c r="C440" s="204"/>
      <c r="D440" s="204"/>
      <c r="E440" s="205"/>
      <c r="F440" s="205"/>
      <c r="G440" s="205"/>
      <c r="H440" s="206"/>
      <c r="I440" s="207"/>
      <c r="J440" s="207"/>
      <c r="K440" s="207"/>
      <c r="L440" s="122"/>
      <c r="M440" s="207"/>
      <c r="N440" s="207"/>
      <c r="O440" s="122"/>
      <c r="P440" s="205"/>
      <c r="Q440" s="205"/>
      <c r="R440" s="205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</row>
    <row r="441">
      <c r="A441" s="122"/>
      <c r="B441" s="204"/>
      <c r="C441" s="204"/>
      <c r="D441" s="204"/>
      <c r="E441" s="205"/>
      <c r="F441" s="205"/>
      <c r="G441" s="205"/>
      <c r="H441" s="206"/>
      <c r="I441" s="207"/>
      <c r="J441" s="207"/>
      <c r="K441" s="207"/>
      <c r="L441" s="122"/>
      <c r="M441" s="207"/>
      <c r="N441" s="207"/>
      <c r="O441" s="122"/>
      <c r="P441" s="205"/>
      <c r="Q441" s="205"/>
      <c r="R441" s="205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</row>
    <row r="442">
      <c r="A442" s="122"/>
      <c r="B442" s="204"/>
      <c r="C442" s="204"/>
      <c r="D442" s="204"/>
      <c r="E442" s="205"/>
      <c r="F442" s="205"/>
      <c r="G442" s="205"/>
      <c r="H442" s="206"/>
      <c r="I442" s="207"/>
      <c r="J442" s="207"/>
      <c r="K442" s="207"/>
      <c r="L442" s="122"/>
      <c r="M442" s="207"/>
      <c r="N442" s="207"/>
      <c r="O442" s="122"/>
      <c r="P442" s="205"/>
      <c r="Q442" s="205"/>
      <c r="R442" s="205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</row>
    <row r="443">
      <c r="A443" s="122"/>
      <c r="B443" s="204"/>
      <c r="C443" s="204"/>
      <c r="D443" s="204"/>
      <c r="E443" s="205"/>
      <c r="F443" s="205"/>
      <c r="G443" s="205"/>
      <c r="H443" s="206"/>
      <c r="I443" s="207"/>
      <c r="J443" s="207"/>
      <c r="K443" s="207"/>
      <c r="L443" s="122"/>
      <c r="M443" s="207"/>
      <c r="N443" s="207"/>
      <c r="O443" s="122"/>
      <c r="P443" s="205"/>
      <c r="Q443" s="205"/>
      <c r="R443" s="205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</row>
    <row r="444">
      <c r="A444" s="122"/>
      <c r="B444" s="204"/>
      <c r="C444" s="204"/>
      <c r="D444" s="204"/>
      <c r="E444" s="205"/>
      <c r="F444" s="205"/>
      <c r="G444" s="205"/>
      <c r="H444" s="206"/>
      <c r="I444" s="207"/>
      <c r="J444" s="207"/>
      <c r="K444" s="207"/>
      <c r="L444" s="122"/>
      <c r="M444" s="207"/>
      <c r="N444" s="207"/>
      <c r="O444" s="122"/>
      <c r="P444" s="205"/>
      <c r="Q444" s="205"/>
      <c r="R444" s="205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</row>
    <row r="445">
      <c r="A445" s="122"/>
      <c r="B445" s="204"/>
      <c r="C445" s="204"/>
      <c r="D445" s="204"/>
      <c r="E445" s="205"/>
      <c r="F445" s="205"/>
      <c r="G445" s="205"/>
      <c r="H445" s="206"/>
      <c r="I445" s="207"/>
      <c r="J445" s="207"/>
      <c r="K445" s="207"/>
      <c r="L445" s="122"/>
      <c r="M445" s="207"/>
      <c r="N445" s="207"/>
      <c r="O445" s="122"/>
      <c r="P445" s="205"/>
      <c r="Q445" s="205"/>
      <c r="R445" s="205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</row>
    <row r="446">
      <c r="A446" s="122"/>
      <c r="B446" s="204"/>
      <c r="C446" s="204"/>
      <c r="D446" s="204"/>
      <c r="E446" s="205"/>
      <c r="F446" s="205"/>
      <c r="G446" s="205"/>
      <c r="H446" s="206"/>
      <c r="I446" s="207"/>
      <c r="J446" s="207"/>
      <c r="K446" s="207"/>
      <c r="L446" s="122"/>
      <c r="M446" s="207"/>
      <c r="N446" s="207"/>
      <c r="O446" s="122"/>
      <c r="P446" s="205"/>
      <c r="Q446" s="205"/>
      <c r="R446" s="205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</row>
    <row r="447">
      <c r="A447" s="122"/>
      <c r="B447" s="204"/>
      <c r="C447" s="204"/>
      <c r="D447" s="204"/>
      <c r="E447" s="205"/>
      <c r="F447" s="205"/>
      <c r="G447" s="205"/>
      <c r="H447" s="206"/>
      <c r="I447" s="207"/>
      <c r="J447" s="207"/>
      <c r="K447" s="207"/>
      <c r="L447" s="122"/>
      <c r="M447" s="207"/>
      <c r="N447" s="207"/>
      <c r="O447" s="122"/>
      <c r="P447" s="205"/>
      <c r="Q447" s="205"/>
      <c r="R447" s="205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</row>
    <row r="448">
      <c r="A448" s="122"/>
      <c r="B448" s="204"/>
      <c r="C448" s="204"/>
      <c r="D448" s="204"/>
      <c r="E448" s="205"/>
      <c r="F448" s="205"/>
      <c r="G448" s="205"/>
      <c r="H448" s="206"/>
      <c r="I448" s="207"/>
      <c r="J448" s="207"/>
      <c r="K448" s="207"/>
      <c r="L448" s="122"/>
      <c r="M448" s="207"/>
      <c r="N448" s="207"/>
      <c r="O448" s="122"/>
      <c r="P448" s="205"/>
      <c r="Q448" s="205"/>
      <c r="R448" s="205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</row>
    <row r="449">
      <c r="A449" s="122"/>
      <c r="B449" s="204"/>
      <c r="C449" s="204"/>
      <c r="D449" s="204"/>
      <c r="E449" s="205"/>
      <c r="F449" s="205"/>
      <c r="G449" s="205"/>
      <c r="H449" s="206"/>
      <c r="I449" s="207"/>
      <c r="J449" s="207"/>
      <c r="K449" s="207"/>
      <c r="L449" s="122"/>
      <c r="M449" s="207"/>
      <c r="N449" s="207"/>
      <c r="O449" s="122"/>
      <c r="P449" s="205"/>
      <c r="Q449" s="205"/>
      <c r="R449" s="205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</row>
    <row r="450">
      <c r="A450" s="122"/>
      <c r="B450" s="204"/>
      <c r="C450" s="204"/>
      <c r="D450" s="204"/>
      <c r="E450" s="205"/>
      <c r="F450" s="205"/>
      <c r="G450" s="205"/>
      <c r="H450" s="206"/>
      <c r="I450" s="207"/>
      <c r="J450" s="207"/>
      <c r="K450" s="207"/>
      <c r="L450" s="122"/>
      <c r="M450" s="207"/>
      <c r="N450" s="207"/>
      <c r="O450" s="122"/>
      <c r="P450" s="205"/>
      <c r="Q450" s="205"/>
      <c r="R450" s="205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</row>
    <row r="451">
      <c r="A451" s="122"/>
      <c r="B451" s="204"/>
      <c r="C451" s="204"/>
      <c r="D451" s="204"/>
      <c r="E451" s="205"/>
      <c r="F451" s="205"/>
      <c r="G451" s="205"/>
      <c r="H451" s="206"/>
      <c r="I451" s="207"/>
      <c r="J451" s="207"/>
      <c r="K451" s="207"/>
      <c r="L451" s="122"/>
      <c r="M451" s="207"/>
      <c r="N451" s="207"/>
      <c r="O451" s="122"/>
      <c r="P451" s="205"/>
      <c r="Q451" s="205"/>
      <c r="R451" s="205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</row>
    <row r="452">
      <c r="A452" s="122"/>
      <c r="B452" s="204"/>
      <c r="C452" s="204"/>
      <c r="D452" s="204"/>
      <c r="E452" s="205"/>
      <c r="F452" s="205"/>
      <c r="G452" s="205"/>
      <c r="H452" s="206"/>
      <c r="I452" s="207"/>
      <c r="J452" s="207"/>
      <c r="K452" s="207"/>
      <c r="L452" s="122"/>
      <c r="M452" s="207"/>
      <c r="N452" s="207"/>
      <c r="O452" s="122"/>
      <c r="P452" s="205"/>
      <c r="Q452" s="205"/>
      <c r="R452" s="205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</row>
    <row r="453">
      <c r="A453" s="122"/>
      <c r="B453" s="204"/>
      <c r="C453" s="204"/>
      <c r="D453" s="204"/>
      <c r="E453" s="205"/>
      <c r="F453" s="205"/>
      <c r="G453" s="205"/>
      <c r="H453" s="206"/>
      <c r="I453" s="207"/>
      <c r="J453" s="207"/>
      <c r="K453" s="207"/>
      <c r="L453" s="122"/>
      <c r="M453" s="207"/>
      <c r="N453" s="207"/>
      <c r="O453" s="122"/>
      <c r="P453" s="205"/>
      <c r="Q453" s="205"/>
      <c r="R453" s="205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</row>
    <row r="454">
      <c r="A454" s="122"/>
      <c r="B454" s="204"/>
      <c r="C454" s="204"/>
      <c r="D454" s="204"/>
      <c r="E454" s="205"/>
      <c r="F454" s="205"/>
      <c r="G454" s="205"/>
      <c r="H454" s="206"/>
      <c r="I454" s="207"/>
      <c r="J454" s="207"/>
      <c r="K454" s="207"/>
      <c r="L454" s="122"/>
      <c r="M454" s="207"/>
      <c r="N454" s="207"/>
      <c r="O454" s="122"/>
      <c r="P454" s="205"/>
      <c r="Q454" s="205"/>
      <c r="R454" s="205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</row>
    <row r="455">
      <c r="A455" s="122"/>
      <c r="B455" s="204"/>
      <c r="C455" s="204"/>
      <c r="D455" s="204"/>
      <c r="E455" s="205"/>
      <c r="F455" s="205"/>
      <c r="G455" s="205"/>
      <c r="H455" s="206"/>
      <c r="I455" s="207"/>
      <c r="J455" s="207"/>
      <c r="K455" s="207"/>
      <c r="L455" s="122"/>
      <c r="M455" s="207"/>
      <c r="N455" s="207"/>
      <c r="O455" s="122"/>
      <c r="P455" s="205"/>
      <c r="Q455" s="205"/>
      <c r="R455" s="205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</row>
    <row r="456">
      <c r="A456" s="122"/>
      <c r="B456" s="204"/>
      <c r="C456" s="204"/>
      <c r="D456" s="204"/>
      <c r="E456" s="205"/>
      <c r="F456" s="205"/>
      <c r="G456" s="205"/>
      <c r="H456" s="206"/>
      <c r="I456" s="207"/>
      <c r="J456" s="207"/>
      <c r="K456" s="207"/>
      <c r="L456" s="122"/>
      <c r="M456" s="207"/>
      <c r="N456" s="207"/>
      <c r="O456" s="122"/>
      <c r="P456" s="205"/>
      <c r="Q456" s="205"/>
      <c r="R456" s="205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</row>
    <row r="457">
      <c r="A457" s="122"/>
      <c r="B457" s="204"/>
      <c r="C457" s="204"/>
      <c r="D457" s="204"/>
      <c r="E457" s="205"/>
      <c r="F457" s="205"/>
      <c r="G457" s="205"/>
      <c r="H457" s="206"/>
      <c r="I457" s="207"/>
      <c r="J457" s="207"/>
      <c r="K457" s="207"/>
      <c r="L457" s="122"/>
      <c r="M457" s="207"/>
      <c r="N457" s="207"/>
      <c r="O457" s="122"/>
      <c r="P457" s="205"/>
      <c r="Q457" s="205"/>
      <c r="R457" s="205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</row>
    <row r="458">
      <c r="A458" s="122"/>
      <c r="B458" s="204"/>
      <c r="C458" s="204"/>
      <c r="D458" s="204"/>
      <c r="E458" s="205"/>
      <c r="F458" s="205"/>
      <c r="G458" s="205"/>
      <c r="H458" s="206"/>
      <c r="I458" s="207"/>
      <c r="J458" s="207"/>
      <c r="K458" s="207"/>
      <c r="L458" s="122"/>
      <c r="M458" s="207"/>
      <c r="N458" s="207"/>
      <c r="O458" s="122"/>
      <c r="P458" s="205"/>
      <c r="Q458" s="205"/>
      <c r="R458" s="205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</row>
    <row r="459">
      <c r="A459" s="122"/>
      <c r="B459" s="204"/>
      <c r="C459" s="204"/>
      <c r="D459" s="204"/>
      <c r="E459" s="205"/>
      <c r="F459" s="205"/>
      <c r="G459" s="205"/>
      <c r="H459" s="206"/>
      <c r="I459" s="207"/>
      <c r="J459" s="207"/>
      <c r="K459" s="207"/>
      <c r="L459" s="122"/>
      <c r="M459" s="207"/>
      <c r="N459" s="207"/>
      <c r="O459" s="122"/>
      <c r="P459" s="205"/>
      <c r="Q459" s="205"/>
      <c r="R459" s="205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</row>
    <row r="460">
      <c r="A460" s="122"/>
      <c r="B460" s="204"/>
      <c r="C460" s="204"/>
      <c r="D460" s="204"/>
      <c r="E460" s="205"/>
      <c r="F460" s="205"/>
      <c r="G460" s="205"/>
      <c r="H460" s="206"/>
      <c r="I460" s="207"/>
      <c r="J460" s="207"/>
      <c r="K460" s="207"/>
      <c r="L460" s="122"/>
      <c r="M460" s="207"/>
      <c r="N460" s="207"/>
      <c r="O460" s="122"/>
      <c r="P460" s="205"/>
      <c r="Q460" s="205"/>
      <c r="R460" s="205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</row>
    <row r="461">
      <c r="A461" s="122"/>
      <c r="B461" s="204"/>
      <c r="C461" s="204"/>
      <c r="D461" s="204"/>
      <c r="E461" s="205"/>
      <c r="F461" s="205"/>
      <c r="G461" s="205"/>
      <c r="H461" s="206"/>
      <c r="I461" s="207"/>
      <c r="J461" s="207"/>
      <c r="K461" s="207"/>
      <c r="L461" s="122"/>
      <c r="M461" s="207"/>
      <c r="N461" s="207"/>
      <c r="O461" s="122"/>
      <c r="P461" s="205"/>
      <c r="Q461" s="205"/>
      <c r="R461" s="205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</row>
    <row r="462">
      <c r="A462" s="122"/>
      <c r="B462" s="204"/>
      <c r="C462" s="204"/>
      <c r="D462" s="204"/>
      <c r="E462" s="205"/>
      <c r="F462" s="205"/>
      <c r="G462" s="205"/>
      <c r="H462" s="206"/>
      <c r="I462" s="207"/>
      <c r="J462" s="207"/>
      <c r="K462" s="207"/>
      <c r="L462" s="122"/>
      <c r="M462" s="207"/>
      <c r="N462" s="207"/>
      <c r="O462" s="122"/>
      <c r="P462" s="205"/>
      <c r="Q462" s="205"/>
      <c r="R462" s="205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</row>
    <row r="463">
      <c r="A463" s="122"/>
      <c r="B463" s="204"/>
      <c r="C463" s="204"/>
      <c r="D463" s="204"/>
      <c r="E463" s="205"/>
      <c r="F463" s="205"/>
      <c r="G463" s="205"/>
      <c r="H463" s="206"/>
      <c r="I463" s="207"/>
      <c r="J463" s="207"/>
      <c r="K463" s="207"/>
      <c r="L463" s="122"/>
      <c r="M463" s="207"/>
      <c r="N463" s="207"/>
      <c r="O463" s="122"/>
      <c r="P463" s="205"/>
      <c r="Q463" s="205"/>
      <c r="R463" s="205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</row>
    <row r="464">
      <c r="A464" s="122"/>
      <c r="B464" s="204"/>
      <c r="C464" s="204"/>
      <c r="D464" s="204"/>
      <c r="E464" s="205"/>
      <c r="F464" s="205"/>
      <c r="G464" s="205"/>
      <c r="H464" s="206"/>
      <c r="I464" s="207"/>
      <c r="J464" s="207"/>
      <c r="K464" s="207"/>
      <c r="L464" s="122"/>
      <c r="M464" s="207"/>
      <c r="N464" s="207"/>
      <c r="O464" s="122"/>
      <c r="P464" s="205"/>
      <c r="Q464" s="205"/>
      <c r="R464" s="205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</row>
    <row r="465">
      <c r="A465" s="122"/>
      <c r="B465" s="204"/>
      <c r="C465" s="204"/>
      <c r="D465" s="204"/>
      <c r="E465" s="205"/>
      <c r="F465" s="205"/>
      <c r="G465" s="205"/>
      <c r="H465" s="206"/>
      <c r="I465" s="207"/>
      <c r="J465" s="207"/>
      <c r="K465" s="207"/>
      <c r="L465" s="122"/>
      <c r="M465" s="207"/>
      <c r="N465" s="207"/>
      <c r="O465" s="122"/>
      <c r="P465" s="205"/>
      <c r="Q465" s="205"/>
      <c r="R465" s="205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</row>
    <row r="466">
      <c r="A466" s="122"/>
      <c r="B466" s="204"/>
      <c r="C466" s="204"/>
      <c r="D466" s="204"/>
      <c r="E466" s="205"/>
      <c r="F466" s="205"/>
      <c r="G466" s="205"/>
      <c r="H466" s="206"/>
      <c r="I466" s="207"/>
      <c r="J466" s="207"/>
      <c r="K466" s="207"/>
      <c r="L466" s="122"/>
      <c r="M466" s="207"/>
      <c r="N466" s="207"/>
      <c r="O466" s="122"/>
      <c r="P466" s="205"/>
      <c r="Q466" s="205"/>
      <c r="R466" s="205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</row>
    <row r="467">
      <c r="A467" s="122"/>
      <c r="B467" s="204"/>
      <c r="C467" s="204"/>
      <c r="D467" s="204"/>
      <c r="E467" s="205"/>
      <c r="F467" s="205"/>
      <c r="G467" s="205"/>
      <c r="H467" s="206"/>
      <c r="I467" s="207"/>
      <c r="J467" s="207"/>
      <c r="K467" s="207"/>
      <c r="L467" s="122"/>
      <c r="M467" s="207"/>
      <c r="N467" s="207"/>
      <c r="O467" s="122"/>
      <c r="P467" s="205"/>
      <c r="Q467" s="205"/>
      <c r="R467" s="205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</row>
    <row r="468">
      <c r="A468" s="122"/>
      <c r="B468" s="204"/>
      <c r="C468" s="204"/>
      <c r="D468" s="204"/>
      <c r="E468" s="205"/>
      <c r="F468" s="205"/>
      <c r="G468" s="205"/>
      <c r="H468" s="206"/>
      <c r="I468" s="207"/>
      <c r="J468" s="207"/>
      <c r="K468" s="207"/>
      <c r="L468" s="122"/>
      <c r="M468" s="207"/>
      <c r="N468" s="207"/>
      <c r="O468" s="122"/>
      <c r="P468" s="205"/>
      <c r="Q468" s="205"/>
      <c r="R468" s="205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</row>
    <row r="469">
      <c r="A469" s="122"/>
      <c r="B469" s="204"/>
      <c r="C469" s="204"/>
      <c r="D469" s="204"/>
      <c r="E469" s="205"/>
      <c r="F469" s="205"/>
      <c r="G469" s="205"/>
      <c r="H469" s="206"/>
      <c r="I469" s="207"/>
      <c r="J469" s="207"/>
      <c r="K469" s="207"/>
      <c r="L469" s="122"/>
      <c r="M469" s="207"/>
      <c r="N469" s="207"/>
      <c r="O469" s="122"/>
      <c r="P469" s="205"/>
      <c r="Q469" s="205"/>
      <c r="R469" s="205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</row>
    <row r="470">
      <c r="A470" s="122"/>
      <c r="B470" s="204"/>
      <c r="C470" s="204"/>
      <c r="D470" s="204"/>
      <c r="E470" s="205"/>
      <c r="F470" s="205"/>
      <c r="G470" s="205"/>
      <c r="H470" s="206"/>
      <c r="I470" s="207"/>
      <c r="J470" s="207"/>
      <c r="K470" s="207"/>
      <c r="L470" s="122"/>
      <c r="M470" s="207"/>
      <c r="N470" s="207"/>
      <c r="O470" s="122"/>
      <c r="P470" s="205"/>
      <c r="Q470" s="205"/>
      <c r="R470" s="205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</row>
    <row r="471">
      <c r="A471" s="122"/>
      <c r="B471" s="204"/>
      <c r="C471" s="204"/>
      <c r="D471" s="204"/>
      <c r="E471" s="205"/>
      <c r="F471" s="205"/>
      <c r="G471" s="205"/>
      <c r="H471" s="206"/>
      <c r="I471" s="207"/>
      <c r="J471" s="207"/>
      <c r="K471" s="207"/>
      <c r="L471" s="122"/>
      <c r="M471" s="207"/>
      <c r="N471" s="207"/>
      <c r="O471" s="122"/>
      <c r="P471" s="205"/>
      <c r="Q471" s="205"/>
      <c r="R471" s="205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</row>
    <row r="472">
      <c r="A472" s="122"/>
      <c r="B472" s="204"/>
      <c r="C472" s="204"/>
      <c r="D472" s="204"/>
      <c r="E472" s="205"/>
      <c r="F472" s="205"/>
      <c r="G472" s="205"/>
      <c r="H472" s="206"/>
      <c r="I472" s="207"/>
      <c r="J472" s="207"/>
      <c r="K472" s="207"/>
      <c r="L472" s="122"/>
      <c r="M472" s="207"/>
      <c r="N472" s="207"/>
      <c r="O472" s="122"/>
      <c r="P472" s="205"/>
      <c r="Q472" s="205"/>
      <c r="R472" s="205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</row>
    <row r="473">
      <c r="A473" s="122"/>
      <c r="B473" s="204"/>
      <c r="C473" s="204"/>
      <c r="D473" s="204"/>
      <c r="E473" s="205"/>
      <c r="F473" s="205"/>
      <c r="G473" s="205"/>
      <c r="H473" s="206"/>
      <c r="I473" s="207"/>
      <c r="J473" s="207"/>
      <c r="K473" s="207"/>
      <c r="L473" s="122"/>
      <c r="M473" s="207"/>
      <c r="N473" s="207"/>
      <c r="O473" s="122"/>
      <c r="P473" s="205"/>
      <c r="Q473" s="205"/>
      <c r="R473" s="205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</row>
    <row r="474">
      <c r="A474" s="122"/>
      <c r="B474" s="204"/>
      <c r="C474" s="204"/>
      <c r="D474" s="204"/>
      <c r="E474" s="205"/>
      <c r="F474" s="205"/>
      <c r="G474" s="205"/>
      <c r="H474" s="206"/>
      <c r="I474" s="207"/>
      <c r="J474" s="207"/>
      <c r="K474" s="207"/>
      <c r="L474" s="122"/>
      <c r="M474" s="207"/>
      <c r="N474" s="207"/>
      <c r="O474" s="122"/>
      <c r="P474" s="205"/>
      <c r="Q474" s="205"/>
      <c r="R474" s="205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</row>
    <row r="475">
      <c r="A475" s="122"/>
      <c r="B475" s="204"/>
      <c r="C475" s="204"/>
      <c r="D475" s="204"/>
      <c r="E475" s="205"/>
      <c r="F475" s="205"/>
      <c r="G475" s="205"/>
      <c r="H475" s="206"/>
      <c r="I475" s="207"/>
      <c r="J475" s="207"/>
      <c r="K475" s="207"/>
      <c r="L475" s="122"/>
      <c r="M475" s="207"/>
      <c r="N475" s="207"/>
      <c r="O475" s="122"/>
      <c r="P475" s="205"/>
      <c r="Q475" s="205"/>
      <c r="R475" s="205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</row>
    <row r="476">
      <c r="A476" s="122"/>
      <c r="B476" s="204"/>
      <c r="C476" s="204"/>
      <c r="D476" s="204"/>
      <c r="E476" s="205"/>
      <c r="F476" s="205"/>
      <c r="G476" s="205"/>
      <c r="H476" s="206"/>
      <c r="I476" s="207"/>
      <c r="J476" s="207"/>
      <c r="K476" s="207"/>
      <c r="L476" s="122"/>
      <c r="M476" s="207"/>
      <c r="N476" s="207"/>
      <c r="O476" s="122"/>
      <c r="P476" s="205"/>
      <c r="Q476" s="205"/>
      <c r="R476" s="205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</row>
    <row r="477">
      <c r="A477" s="122"/>
      <c r="B477" s="204"/>
      <c r="C477" s="204"/>
      <c r="D477" s="204"/>
      <c r="E477" s="205"/>
      <c r="F477" s="205"/>
      <c r="G477" s="205"/>
      <c r="H477" s="206"/>
      <c r="I477" s="207"/>
      <c r="J477" s="207"/>
      <c r="K477" s="207"/>
      <c r="L477" s="122"/>
      <c r="M477" s="207"/>
      <c r="N477" s="207"/>
      <c r="O477" s="122"/>
      <c r="P477" s="205"/>
      <c r="Q477" s="205"/>
      <c r="R477" s="205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</row>
    <row r="478">
      <c r="A478" s="122"/>
      <c r="B478" s="204"/>
      <c r="C478" s="204"/>
      <c r="D478" s="204"/>
      <c r="E478" s="205"/>
      <c r="F478" s="205"/>
      <c r="G478" s="205"/>
      <c r="H478" s="206"/>
      <c r="I478" s="207"/>
      <c r="J478" s="207"/>
      <c r="K478" s="207"/>
      <c r="L478" s="122"/>
      <c r="M478" s="207"/>
      <c r="N478" s="207"/>
      <c r="O478" s="122"/>
      <c r="P478" s="205"/>
      <c r="Q478" s="205"/>
      <c r="R478" s="205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</row>
    <row r="479">
      <c r="A479" s="122"/>
      <c r="B479" s="204"/>
      <c r="C479" s="204"/>
      <c r="D479" s="204"/>
      <c r="E479" s="205"/>
      <c r="F479" s="205"/>
      <c r="G479" s="205"/>
      <c r="H479" s="206"/>
      <c r="I479" s="207"/>
      <c r="J479" s="207"/>
      <c r="K479" s="207"/>
      <c r="L479" s="122"/>
      <c r="M479" s="207"/>
      <c r="N479" s="207"/>
      <c r="O479" s="122"/>
      <c r="P479" s="205"/>
      <c r="Q479" s="205"/>
      <c r="R479" s="205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</row>
    <row r="480">
      <c r="A480" s="122"/>
      <c r="B480" s="204"/>
      <c r="C480" s="204"/>
      <c r="D480" s="204"/>
      <c r="E480" s="205"/>
      <c r="F480" s="205"/>
      <c r="G480" s="205"/>
      <c r="H480" s="206"/>
      <c r="I480" s="207"/>
      <c r="J480" s="207"/>
      <c r="K480" s="207"/>
      <c r="L480" s="122"/>
      <c r="M480" s="207"/>
      <c r="N480" s="207"/>
      <c r="O480" s="122"/>
      <c r="P480" s="205"/>
      <c r="Q480" s="205"/>
      <c r="R480" s="205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</row>
    <row r="481">
      <c r="A481" s="122"/>
      <c r="B481" s="204"/>
      <c r="C481" s="204"/>
      <c r="D481" s="204"/>
      <c r="E481" s="205"/>
      <c r="F481" s="205"/>
      <c r="G481" s="205"/>
      <c r="H481" s="206"/>
      <c r="I481" s="207"/>
      <c r="J481" s="207"/>
      <c r="K481" s="207"/>
      <c r="L481" s="122"/>
      <c r="M481" s="207"/>
      <c r="N481" s="207"/>
      <c r="O481" s="122"/>
      <c r="P481" s="205"/>
      <c r="Q481" s="205"/>
      <c r="R481" s="205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</row>
    <row r="482">
      <c r="A482" s="122"/>
      <c r="B482" s="204"/>
      <c r="C482" s="204"/>
      <c r="D482" s="204"/>
      <c r="E482" s="205"/>
      <c r="F482" s="205"/>
      <c r="G482" s="205"/>
      <c r="H482" s="206"/>
      <c r="I482" s="207"/>
      <c r="J482" s="207"/>
      <c r="K482" s="207"/>
      <c r="L482" s="122"/>
      <c r="M482" s="207"/>
      <c r="N482" s="207"/>
      <c r="O482" s="122"/>
      <c r="P482" s="205"/>
      <c r="Q482" s="205"/>
      <c r="R482" s="205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</row>
    <row r="483">
      <c r="A483" s="122"/>
      <c r="B483" s="204"/>
      <c r="C483" s="204"/>
      <c r="D483" s="204"/>
      <c r="E483" s="205"/>
      <c r="F483" s="205"/>
      <c r="G483" s="205"/>
      <c r="H483" s="206"/>
      <c r="I483" s="207"/>
      <c r="J483" s="207"/>
      <c r="K483" s="207"/>
      <c r="L483" s="122"/>
      <c r="M483" s="207"/>
      <c r="N483" s="207"/>
      <c r="O483" s="122"/>
      <c r="P483" s="205"/>
      <c r="Q483" s="205"/>
      <c r="R483" s="205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</row>
    <row r="484">
      <c r="A484" s="122"/>
      <c r="B484" s="204"/>
      <c r="C484" s="204"/>
      <c r="D484" s="204"/>
      <c r="E484" s="205"/>
      <c r="F484" s="205"/>
      <c r="G484" s="205"/>
      <c r="H484" s="206"/>
      <c r="I484" s="207"/>
      <c r="J484" s="207"/>
      <c r="K484" s="207"/>
      <c r="L484" s="122"/>
      <c r="M484" s="207"/>
      <c r="N484" s="207"/>
      <c r="O484" s="122"/>
      <c r="P484" s="205"/>
      <c r="Q484" s="205"/>
      <c r="R484" s="205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</row>
    <row r="485">
      <c r="A485" s="122"/>
      <c r="B485" s="204"/>
      <c r="C485" s="204"/>
      <c r="D485" s="204"/>
      <c r="E485" s="205"/>
      <c r="F485" s="205"/>
      <c r="G485" s="205"/>
      <c r="H485" s="206"/>
      <c r="I485" s="207"/>
      <c r="J485" s="207"/>
      <c r="K485" s="207"/>
      <c r="L485" s="122"/>
      <c r="M485" s="207"/>
      <c r="N485" s="207"/>
      <c r="O485" s="122"/>
      <c r="P485" s="205"/>
      <c r="Q485" s="205"/>
      <c r="R485" s="205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</row>
    <row r="486">
      <c r="A486" s="122"/>
      <c r="B486" s="204"/>
      <c r="C486" s="204"/>
      <c r="D486" s="204"/>
      <c r="E486" s="205"/>
      <c r="F486" s="205"/>
      <c r="G486" s="205"/>
      <c r="H486" s="206"/>
      <c r="I486" s="207"/>
      <c r="J486" s="207"/>
      <c r="K486" s="207"/>
      <c r="L486" s="122"/>
      <c r="M486" s="207"/>
      <c r="N486" s="207"/>
      <c r="O486" s="122"/>
      <c r="P486" s="205"/>
      <c r="Q486" s="205"/>
      <c r="R486" s="205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</row>
    <row r="487">
      <c r="A487" s="122"/>
      <c r="B487" s="204"/>
      <c r="C487" s="204"/>
      <c r="D487" s="204"/>
      <c r="E487" s="205"/>
      <c r="F487" s="205"/>
      <c r="G487" s="205"/>
      <c r="H487" s="206"/>
      <c r="I487" s="207"/>
      <c r="J487" s="207"/>
      <c r="K487" s="207"/>
      <c r="L487" s="122"/>
      <c r="M487" s="207"/>
      <c r="N487" s="207"/>
      <c r="O487" s="122"/>
      <c r="P487" s="205"/>
      <c r="Q487" s="205"/>
      <c r="R487" s="205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</row>
    <row r="488">
      <c r="A488" s="122"/>
      <c r="B488" s="204"/>
      <c r="C488" s="204"/>
      <c r="D488" s="204"/>
      <c r="E488" s="205"/>
      <c r="F488" s="205"/>
      <c r="G488" s="205"/>
      <c r="H488" s="206"/>
      <c r="I488" s="207"/>
      <c r="J488" s="207"/>
      <c r="K488" s="207"/>
      <c r="L488" s="122"/>
      <c r="M488" s="207"/>
      <c r="N488" s="207"/>
      <c r="O488" s="122"/>
      <c r="P488" s="205"/>
      <c r="Q488" s="205"/>
      <c r="R488" s="205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</row>
    <row r="489">
      <c r="A489" s="122"/>
      <c r="B489" s="204"/>
      <c r="C489" s="204"/>
      <c r="D489" s="204"/>
      <c r="E489" s="205"/>
      <c r="F489" s="205"/>
      <c r="G489" s="205"/>
      <c r="H489" s="206"/>
      <c r="I489" s="207"/>
      <c r="J489" s="207"/>
      <c r="K489" s="207"/>
      <c r="L489" s="122"/>
      <c r="M489" s="207"/>
      <c r="N489" s="207"/>
      <c r="O489" s="122"/>
      <c r="P489" s="205"/>
      <c r="Q489" s="205"/>
      <c r="R489" s="205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</row>
    <row r="490">
      <c r="A490" s="122"/>
      <c r="B490" s="204"/>
      <c r="C490" s="204"/>
      <c r="D490" s="204"/>
      <c r="E490" s="205"/>
      <c r="F490" s="205"/>
      <c r="G490" s="205"/>
      <c r="H490" s="206"/>
      <c r="I490" s="207"/>
      <c r="J490" s="207"/>
      <c r="K490" s="207"/>
      <c r="L490" s="122"/>
      <c r="M490" s="207"/>
      <c r="N490" s="207"/>
      <c r="O490" s="122"/>
      <c r="P490" s="205"/>
      <c r="Q490" s="205"/>
      <c r="R490" s="205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</row>
    <row r="491">
      <c r="A491" s="122"/>
      <c r="B491" s="204"/>
      <c r="C491" s="204"/>
      <c r="D491" s="204"/>
      <c r="E491" s="205"/>
      <c r="F491" s="205"/>
      <c r="G491" s="205"/>
      <c r="H491" s="206"/>
      <c r="I491" s="207"/>
      <c r="J491" s="207"/>
      <c r="K491" s="207"/>
      <c r="L491" s="122"/>
      <c r="M491" s="207"/>
      <c r="N491" s="207"/>
      <c r="O491" s="122"/>
      <c r="P491" s="205"/>
      <c r="Q491" s="205"/>
      <c r="R491" s="205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</row>
    <row r="492">
      <c r="A492" s="122"/>
      <c r="B492" s="204"/>
      <c r="C492" s="204"/>
      <c r="D492" s="204"/>
      <c r="E492" s="205"/>
      <c r="F492" s="205"/>
      <c r="G492" s="205"/>
      <c r="H492" s="206"/>
      <c r="I492" s="207"/>
      <c r="J492" s="207"/>
      <c r="K492" s="207"/>
      <c r="L492" s="122"/>
      <c r="M492" s="207"/>
      <c r="N492" s="207"/>
      <c r="O492" s="122"/>
      <c r="P492" s="205"/>
      <c r="Q492" s="205"/>
      <c r="R492" s="205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</row>
    <row r="493">
      <c r="A493" s="122"/>
      <c r="B493" s="204"/>
      <c r="C493" s="204"/>
      <c r="D493" s="204"/>
      <c r="E493" s="205"/>
      <c r="F493" s="205"/>
      <c r="G493" s="205"/>
      <c r="H493" s="206"/>
      <c r="I493" s="207"/>
      <c r="J493" s="207"/>
      <c r="K493" s="207"/>
      <c r="L493" s="122"/>
      <c r="M493" s="207"/>
      <c r="N493" s="207"/>
      <c r="O493" s="122"/>
      <c r="P493" s="205"/>
      <c r="Q493" s="205"/>
      <c r="R493" s="205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</row>
    <row r="494">
      <c r="A494" s="122"/>
      <c r="B494" s="204"/>
      <c r="C494" s="204"/>
      <c r="D494" s="204"/>
      <c r="E494" s="205"/>
      <c r="F494" s="205"/>
      <c r="G494" s="205"/>
      <c r="H494" s="206"/>
      <c r="I494" s="207"/>
      <c r="J494" s="207"/>
      <c r="K494" s="207"/>
      <c r="L494" s="122"/>
      <c r="M494" s="207"/>
      <c r="N494" s="207"/>
      <c r="O494" s="122"/>
      <c r="P494" s="205"/>
      <c r="Q494" s="205"/>
      <c r="R494" s="205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</row>
    <row r="495">
      <c r="A495" s="122"/>
      <c r="B495" s="204"/>
      <c r="C495" s="204"/>
      <c r="D495" s="204"/>
      <c r="E495" s="205"/>
      <c r="F495" s="205"/>
      <c r="G495" s="205"/>
      <c r="H495" s="206"/>
      <c r="I495" s="207"/>
      <c r="J495" s="207"/>
      <c r="K495" s="207"/>
      <c r="L495" s="122"/>
      <c r="M495" s="207"/>
      <c r="N495" s="207"/>
      <c r="O495" s="122"/>
      <c r="P495" s="205"/>
      <c r="Q495" s="205"/>
      <c r="R495" s="205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</row>
    <row r="496">
      <c r="A496" s="122"/>
      <c r="B496" s="204"/>
      <c r="C496" s="204"/>
      <c r="D496" s="204"/>
      <c r="E496" s="205"/>
      <c r="F496" s="205"/>
      <c r="G496" s="205"/>
      <c r="H496" s="206"/>
      <c r="I496" s="207"/>
      <c r="J496" s="207"/>
      <c r="K496" s="207"/>
      <c r="L496" s="122"/>
      <c r="M496" s="207"/>
      <c r="N496" s="207"/>
      <c r="O496" s="122"/>
      <c r="P496" s="205"/>
      <c r="Q496" s="205"/>
      <c r="R496" s="205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</row>
    <row r="497">
      <c r="A497" s="122"/>
      <c r="B497" s="204"/>
      <c r="C497" s="204"/>
      <c r="D497" s="204"/>
      <c r="E497" s="205"/>
      <c r="F497" s="205"/>
      <c r="G497" s="205"/>
      <c r="H497" s="206"/>
      <c r="I497" s="207"/>
      <c r="J497" s="207"/>
      <c r="K497" s="207"/>
      <c r="L497" s="122"/>
      <c r="M497" s="207"/>
      <c r="N497" s="207"/>
      <c r="O497" s="122"/>
      <c r="P497" s="205"/>
      <c r="Q497" s="205"/>
      <c r="R497" s="205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</row>
    <row r="498">
      <c r="A498" s="122"/>
      <c r="B498" s="204"/>
      <c r="C498" s="204"/>
      <c r="D498" s="204"/>
      <c r="E498" s="205"/>
      <c r="F498" s="205"/>
      <c r="G498" s="205"/>
      <c r="H498" s="206"/>
      <c r="I498" s="207"/>
      <c r="J498" s="207"/>
      <c r="K498" s="207"/>
      <c r="L498" s="122"/>
      <c r="M498" s="207"/>
      <c r="N498" s="207"/>
      <c r="O498" s="122"/>
      <c r="P498" s="205"/>
      <c r="Q498" s="205"/>
      <c r="R498" s="205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</row>
    <row r="499">
      <c r="A499" s="122"/>
      <c r="B499" s="204"/>
      <c r="C499" s="204"/>
      <c r="D499" s="204"/>
      <c r="E499" s="205"/>
      <c r="F499" s="205"/>
      <c r="G499" s="205"/>
      <c r="H499" s="206"/>
      <c r="I499" s="207"/>
      <c r="J499" s="207"/>
      <c r="K499" s="207"/>
      <c r="L499" s="122"/>
      <c r="M499" s="207"/>
      <c r="N499" s="207"/>
      <c r="O499" s="122"/>
      <c r="P499" s="205"/>
      <c r="Q499" s="205"/>
      <c r="R499" s="205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</row>
    <row r="500">
      <c r="A500" s="122"/>
      <c r="B500" s="204"/>
      <c r="C500" s="204"/>
      <c r="D500" s="204"/>
      <c r="E500" s="205"/>
      <c r="F500" s="205"/>
      <c r="G500" s="205"/>
      <c r="H500" s="206"/>
      <c r="I500" s="207"/>
      <c r="J500" s="207"/>
      <c r="K500" s="207"/>
      <c r="L500" s="122"/>
      <c r="M500" s="207"/>
      <c r="N500" s="207"/>
      <c r="O500" s="122"/>
      <c r="P500" s="205"/>
      <c r="Q500" s="205"/>
      <c r="R500" s="205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</row>
    <row r="501">
      <c r="A501" s="122"/>
      <c r="B501" s="204"/>
      <c r="C501" s="204"/>
      <c r="D501" s="204"/>
      <c r="E501" s="205"/>
      <c r="F501" s="205"/>
      <c r="G501" s="205"/>
      <c r="H501" s="206"/>
      <c r="I501" s="207"/>
      <c r="J501" s="207"/>
      <c r="K501" s="207"/>
      <c r="L501" s="122"/>
      <c r="M501" s="207"/>
      <c r="N501" s="207"/>
      <c r="O501" s="122"/>
      <c r="P501" s="205"/>
      <c r="Q501" s="205"/>
      <c r="R501" s="205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</row>
    <row r="502">
      <c r="A502" s="122"/>
      <c r="B502" s="204"/>
      <c r="C502" s="204"/>
      <c r="D502" s="204"/>
      <c r="E502" s="205"/>
      <c r="F502" s="205"/>
      <c r="G502" s="205"/>
      <c r="H502" s="206"/>
      <c r="I502" s="207"/>
      <c r="J502" s="207"/>
      <c r="K502" s="207"/>
      <c r="L502" s="122"/>
      <c r="M502" s="207"/>
      <c r="N502" s="207"/>
      <c r="O502" s="122"/>
      <c r="P502" s="205"/>
      <c r="Q502" s="205"/>
      <c r="R502" s="205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</row>
    <row r="503">
      <c r="A503" s="122"/>
      <c r="B503" s="204"/>
      <c r="C503" s="204"/>
      <c r="D503" s="204"/>
      <c r="E503" s="205"/>
      <c r="F503" s="205"/>
      <c r="G503" s="205"/>
      <c r="H503" s="206"/>
      <c r="I503" s="207"/>
      <c r="J503" s="207"/>
      <c r="K503" s="207"/>
      <c r="L503" s="122"/>
      <c r="M503" s="207"/>
      <c r="N503" s="207"/>
      <c r="O503" s="122"/>
      <c r="P503" s="205"/>
      <c r="Q503" s="205"/>
      <c r="R503" s="205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</row>
    <row r="504">
      <c r="A504" s="122"/>
      <c r="B504" s="204"/>
      <c r="C504" s="204"/>
      <c r="D504" s="204"/>
      <c r="E504" s="205"/>
      <c r="F504" s="205"/>
      <c r="G504" s="205"/>
      <c r="H504" s="206"/>
      <c r="I504" s="207"/>
      <c r="J504" s="207"/>
      <c r="K504" s="207"/>
      <c r="L504" s="122"/>
      <c r="M504" s="207"/>
      <c r="N504" s="207"/>
      <c r="O504" s="122"/>
      <c r="P504" s="205"/>
      <c r="Q504" s="205"/>
      <c r="R504" s="205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</row>
    <row r="505">
      <c r="A505" s="122"/>
      <c r="B505" s="204"/>
      <c r="C505" s="204"/>
      <c r="D505" s="204"/>
      <c r="E505" s="205"/>
      <c r="F505" s="205"/>
      <c r="G505" s="205"/>
      <c r="H505" s="206"/>
      <c r="I505" s="207"/>
      <c r="J505" s="207"/>
      <c r="K505" s="207"/>
      <c r="L505" s="122"/>
      <c r="M505" s="207"/>
      <c r="N505" s="207"/>
      <c r="O505" s="122"/>
      <c r="P505" s="205"/>
      <c r="Q505" s="205"/>
      <c r="R505" s="205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</row>
    <row r="506">
      <c r="A506" s="122"/>
      <c r="B506" s="204"/>
      <c r="C506" s="204"/>
      <c r="D506" s="204"/>
      <c r="E506" s="205"/>
      <c r="F506" s="205"/>
      <c r="G506" s="205"/>
      <c r="H506" s="206"/>
      <c r="I506" s="207"/>
      <c r="J506" s="207"/>
      <c r="K506" s="207"/>
      <c r="L506" s="122"/>
      <c r="M506" s="207"/>
      <c r="N506" s="207"/>
      <c r="O506" s="122"/>
      <c r="P506" s="205"/>
      <c r="Q506" s="205"/>
      <c r="R506" s="205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</row>
    <row r="507">
      <c r="A507" s="122"/>
      <c r="B507" s="204"/>
      <c r="C507" s="204"/>
      <c r="D507" s="204"/>
      <c r="E507" s="205"/>
      <c r="F507" s="205"/>
      <c r="G507" s="205"/>
      <c r="H507" s="206"/>
      <c r="I507" s="207"/>
      <c r="J507" s="207"/>
      <c r="K507" s="207"/>
      <c r="L507" s="122"/>
      <c r="M507" s="207"/>
      <c r="N507" s="207"/>
      <c r="O507" s="122"/>
      <c r="P507" s="205"/>
      <c r="Q507" s="205"/>
      <c r="R507" s="205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</row>
    <row r="508">
      <c r="A508" s="122"/>
      <c r="B508" s="204"/>
      <c r="C508" s="204"/>
      <c r="D508" s="204"/>
      <c r="E508" s="205"/>
      <c r="F508" s="205"/>
      <c r="G508" s="205"/>
      <c r="H508" s="206"/>
      <c r="I508" s="207"/>
      <c r="J508" s="207"/>
      <c r="K508" s="207"/>
      <c r="L508" s="122"/>
      <c r="M508" s="207"/>
      <c r="N508" s="207"/>
      <c r="O508" s="122"/>
      <c r="P508" s="205"/>
      <c r="Q508" s="205"/>
      <c r="R508" s="205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</row>
    <row r="509">
      <c r="A509" s="122"/>
      <c r="B509" s="204"/>
      <c r="C509" s="204"/>
      <c r="D509" s="204"/>
      <c r="E509" s="205"/>
      <c r="F509" s="205"/>
      <c r="G509" s="205"/>
      <c r="H509" s="206"/>
      <c r="I509" s="207"/>
      <c r="J509" s="207"/>
      <c r="K509" s="207"/>
      <c r="L509" s="122"/>
      <c r="M509" s="207"/>
      <c r="N509" s="207"/>
      <c r="O509" s="122"/>
      <c r="P509" s="205"/>
      <c r="Q509" s="205"/>
      <c r="R509" s="205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</row>
    <row r="510">
      <c r="A510" s="122"/>
      <c r="B510" s="204"/>
      <c r="C510" s="204"/>
      <c r="D510" s="204"/>
      <c r="E510" s="205"/>
      <c r="F510" s="205"/>
      <c r="G510" s="205"/>
      <c r="H510" s="206"/>
      <c r="I510" s="207"/>
      <c r="J510" s="207"/>
      <c r="K510" s="207"/>
      <c r="L510" s="122"/>
      <c r="M510" s="207"/>
      <c r="N510" s="207"/>
      <c r="O510" s="122"/>
      <c r="P510" s="205"/>
      <c r="Q510" s="205"/>
      <c r="R510" s="205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</row>
    <row r="511">
      <c r="A511" s="122"/>
      <c r="B511" s="204"/>
      <c r="C511" s="204"/>
      <c r="D511" s="204"/>
      <c r="E511" s="205"/>
      <c r="F511" s="205"/>
      <c r="G511" s="205"/>
      <c r="H511" s="206"/>
      <c r="I511" s="207"/>
      <c r="J511" s="207"/>
      <c r="K511" s="207"/>
      <c r="L511" s="122"/>
      <c r="M511" s="207"/>
      <c r="N511" s="207"/>
      <c r="O511" s="122"/>
      <c r="P511" s="205"/>
      <c r="Q511" s="205"/>
      <c r="R511" s="205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</row>
    <row r="512">
      <c r="A512" s="122"/>
      <c r="B512" s="204"/>
      <c r="C512" s="204"/>
      <c r="D512" s="204"/>
      <c r="E512" s="205"/>
      <c r="F512" s="205"/>
      <c r="G512" s="205"/>
      <c r="H512" s="206"/>
      <c r="I512" s="207"/>
      <c r="J512" s="207"/>
      <c r="K512" s="207"/>
      <c r="L512" s="122"/>
      <c r="M512" s="207"/>
      <c r="N512" s="207"/>
      <c r="O512" s="122"/>
      <c r="P512" s="205"/>
      <c r="Q512" s="205"/>
      <c r="R512" s="205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</row>
    <row r="513">
      <c r="A513" s="122"/>
      <c r="B513" s="204"/>
      <c r="C513" s="204"/>
      <c r="D513" s="204"/>
      <c r="E513" s="205"/>
      <c r="F513" s="205"/>
      <c r="G513" s="205"/>
      <c r="H513" s="206"/>
      <c r="I513" s="207"/>
      <c r="J513" s="207"/>
      <c r="K513" s="207"/>
      <c r="L513" s="122"/>
      <c r="M513" s="207"/>
      <c r="N513" s="207"/>
      <c r="O513" s="122"/>
      <c r="P513" s="205"/>
      <c r="Q513" s="205"/>
      <c r="R513" s="205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</row>
    <row r="514">
      <c r="A514" s="122"/>
      <c r="B514" s="204"/>
      <c r="C514" s="204"/>
      <c r="D514" s="204"/>
      <c r="E514" s="205"/>
      <c r="F514" s="205"/>
      <c r="G514" s="205"/>
      <c r="H514" s="206"/>
      <c r="I514" s="207"/>
      <c r="J514" s="207"/>
      <c r="K514" s="207"/>
      <c r="L514" s="122"/>
      <c r="M514" s="207"/>
      <c r="N514" s="207"/>
      <c r="O514" s="122"/>
      <c r="P514" s="205"/>
      <c r="Q514" s="205"/>
      <c r="R514" s="205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</row>
    <row r="515">
      <c r="A515" s="122"/>
      <c r="B515" s="204"/>
      <c r="C515" s="204"/>
      <c r="D515" s="204"/>
      <c r="E515" s="205"/>
      <c r="F515" s="205"/>
      <c r="G515" s="205"/>
      <c r="H515" s="206"/>
      <c r="I515" s="207"/>
      <c r="J515" s="207"/>
      <c r="K515" s="207"/>
      <c r="L515" s="122"/>
      <c r="M515" s="207"/>
      <c r="N515" s="207"/>
      <c r="O515" s="122"/>
      <c r="P515" s="205"/>
      <c r="Q515" s="205"/>
      <c r="R515" s="205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</row>
    <row r="516">
      <c r="A516" s="122"/>
      <c r="B516" s="204"/>
      <c r="C516" s="204"/>
      <c r="D516" s="204"/>
      <c r="E516" s="205"/>
      <c r="F516" s="205"/>
      <c r="G516" s="205"/>
      <c r="H516" s="206"/>
      <c r="I516" s="207"/>
      <c r="J516" s="207"/>
      <c r="K516" s="207"/>
      <c r="L516" s="122"/>
      <c r="M516" s="207"/>
      <c r="N516" s="207"/>
      <c r="O516" s="122"/>
      <c r="P516" s="205"/>
      <c r="Q516" s="205"/>
      <c r="R516" s="205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</row>
    <row r="517">
      <c r="A517" s="122"/>
      <c r="B517" s="204"/>
      <c r="C517" s="204"/>
      <c r="D517" s="204"/>
      <c r="E517" s="205"/>
      <c r="F517" s="205"/>
      <c r="G517" s="205"/>
      <c r="H517" s="206"/>
      <c r="I517" s="207"/>
      <c r="J517" s="207"/>
      <c r="K517" s="207"/>
      <c r="L517" s="122"/>
      <c r="M517" s="207"/>
      <c r="N517" s="207"/>
      <c r="O517" s="122"/>
      <c r="P517" s="205"/>
      <c r="Q517" s="205"/>
      <c r="R517" s="205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</row>
    <row r="518">
      <c r="A518" s="122"/>
      <c r="B518" s="204"/>
      <c r="C518" s="204"/>
      <c r="D518" s="204"/>
      <c r="E518" s="205"/>
      <c r="F518" s="205"/>
      <c r="G518" s="205"/>
      <c r="H518" s="206"/>
      <c r="I518" s="207"/>
      <c r="J518" s="207"/>
      <c r="K518" s="207"/>
      <c r="L518" s="122"/>
      <c r="M518" s="207"/>
      <c r="N518" s="207"/>
      <c r="O518" s="122"/>
      <c r="P518" s="205"/>
      <c r="Q518" s="205"/>
      <c r="R518" s="205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</row>
    <row r="519">
      <c r="A519" s="122"/>
      <c r="B519" s="204"/>
      <c r="C519" s="204"/>
      <c r="D519" s="204"/>
      <c r="E519" s="205"/>
      <c r="F519" s="205"/>
      <c r="G519" s="205"/>
      <c r="H519" s="206"/>
      <c r="I519" s="207"/>
      <c r="J519" s="207"/>
      <c r="K519" s="207"/>
      <c r="L519" s="122"/>
      <c r="M519" s="207"/>
      <c r="N519" s="207"/>
      <c r="O519" s="122"/>
      <c r="P519" s="205"/>
      <c r="Q519" s="205"/>
      <c r="R519" s="205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</row>
    <row r="520">
      <c r="A520" s="122"/>
      <c r="B520" s="204"/>
      <c r="C520" s="204"/>
      <c r="D520" s="204"/>
      <c r="E520" s="205"/>
      <c r="F520" s="205"/>
      <c r="G520" s="205"/>
      <c r="H520" s="206"/>
      <c r="I520" s="207"/>
      <c r="J520" s="207"/>
      <c r="K520" s="207"/>
      <c r="L520" s="122"/>
      <c r="M520" s="207"/>
      <c r="N520" s="207"/>
      <c r="O520" s="122"/>
      <c r="P520" s="205"/>
      <c r="Q520" s="205"/>
      <c r="R520" s="205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</row>
    <row r="521">
      <c r="A521" s="122"/>
      <c r="B521" s="204"/>
      <c r="C521" s="204"/>
      <c r="D521" s="204"/>
      <c r="E521" s="205"/>
      <c r="F521" s="205"/>
      <c r="G521" s="205"/>
      <c r="H521" s="206"/>
      <c r="I521" s="207"/>
      <c r="J521" s="207"/>
      <c r="K521" s="207"/>
      <c r="L521" s="122"/>
      <c r="M521" s="207"/>
      <c r="N521" s="207"/>
      <c r="O521" s="122"/>
      <c r="P521" s="205"/>
      <c r="Q521" s="205"/>
      <c r="R521" s="205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</row>
    <row r="522">
      <c r="A522" s="122"/>
      <c r="B522" s="204"/>
      <c r="C522" s="204"/>
      <c r="D522" s="204"/>
      <c r="E522" s="205"/>
      <c r="F522" s="205"/>
      <c r="G522" s="205"/>
      <c r="H522" s="206"/>
      <c r="I522" s="207"/>
      <c r="J522" s="207"/>
      <c r="K522" s="207"/>
      <c r="L522" s="122"/>
      <c r="M522" s="207"/>
      <c r="N522" s="207"/>
      <c r="O522" s="122"/>
      <c r="P522" s="205"/>
      <c r="Q522" s="205"/>
      <c r="R522" s="205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</row>
    <row r="523">
      <c r="A523" s="122"/>
      <c r="B523" s="204"/>
      <c r="C523" s="204"/>
      <c r="D523" s="204"/>
      <c r="E523" s="205"/>
      <c r="F523" s="205"/>
      <c r="G523" s="205"/>
      <c r="H523" s="206"/>
      <c r="I523" s="207"/>
      <c r="J523" s="207"/>
      <c r="K523" s="207"/>
      <c r="L523" s="122"/>
      <c r="M523" s="207"/>
      <c r="N523" s="207"/>
      <c r="O523" s="122"/>
      <c r="P523" s="205"/>
      <c r="Q523" s="205"/>
      <c r="R523" s="205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</row>
    <row r="524">
      <c r="A524" s="122"/>
      <c r="B524" s="204"/>
      <c r="C524" s="204"/>
      <c r="D524" s="204"/>
      <c r="E524" s="205"/>
      <c r="F524" s="205"/>
      <c r="G524" s="205"/>
      <c r="H524" s="206"/>
      <c r="I524" s="207"/>
      <c r="J524" s="207"/>
      <c r="K524" s="207"/>
      <c r="L524" s="122"/>
      <c r="M524" s="207"/>
      <c r="N524" s="207"/>
      <c r="O524" s="122"/>
      <c r="P524" s="205"/>
      <c r="Q524" s="205"/>
      <c r="R524" s="205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</row>
    <row r="525">
      <c r="A525" s="122"/>
      <c r="B525" s="204"/>
      <c r="C525" s="204"/>
      <c r="D525" s="204"/>
      <c r="E525" s="205"/>
      <c r="F525" s="205"/>
      <c r="G525" s="205"/>
      <c r="H525" s="206"/>
      <c r="I525" s="207"/>
      <c r="J525" s="207"/>
      <c r="K525" s="207"/>
      <c r="L525" s="122"/>
      <c r="M525" s="207"/>
      <c r="N525" s="207"/>
      <c r="O525" s="122"/>
      <c r="P525" s="205"/>
      <c r="Q525" s="205"/>
      <c r="R525" s="205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</row>
    <row r="526">
      <c r="A526" s="122"/>
      <c r="B526" s="204"/>
      <c r="C526" s="204"/>
      <c r="D526" s="204"/>
      <c r="E526" s="205"/>
      <c r="F526" s="205"/>
      <c r="G526" s="205"/>
      <c r="H526" s="206"/>
      <c r="I526" s="207"/>
      <c r="J526" s="207"/>
      <c r="K526" s="207"/>
      <c r="L526" s="122"/>
      <c r="M526" s="207"/>
      <c r="N526" s="207"/>
      <c r="O526" s="122"/>
      <c r="P526" s="205"/>
      <c r="Q526" s="205"/>
      <c r="R526" s="205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</row>
    <row r="527">
      <c r="A527" s="122"/>
      <c r="B527" s="204"/>
      <c r="C527" s="204"/>
      <c r="D527" s="204"/>
      <c r="E527" s="205"/>
      <c r="F527" s="205"/>
      <c r="G527" s="205"/>
      <c r="H527" s="206"/>
      <c r="I527" s="207"/>
      <c r="J527" s="207"/>
      <c r="K527" s="207"/>
      <c r="L527" s="122"/>
      <c r="M527" s="207"/>
      <c r="N527" s="207"/>
      <c r="O527" s="122"/>
      <c r="P527" s="205"/>
      <c r="Q527" s="205"/>
      <c r="R527" s="205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</row>
    <row r="528">
      <c r="A528" s="122"/>
      <c r="B528" s="204"/>
      <c r="C528" s="204"/>
      <c r="D528" s="204"/>
      <c r="E528" s="205"/>
      <c r="F528" s="205"/>
      <c r="G528" s="205"/>
      <c r="H528" s="206"/>
      <c r="I528" s="207"/>
      <c r="J528" s="207"/>
      <c r="K528" s="207"/>
      <c r="L528" s="122"/>
      <c r="M528" s="207"/>
      <c r="N528" s="207"/>
      <c r="O528" s="122"/>
      <c r="P528" s="205"/>
      <c r="Q528" s="205"/>
      <c r="R528" s="205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</row>
    <row r="529">
      <c r="A529" s="122"/>
      <c r="B529" s="204"/>
      <c r="C529" s="204"/>
      <c r="D529" s="204"/>
      <c r="E529" s="205"/>
      <c r="F529" s="205"/>
      <c r="G529" s="205"/>
      <c r="H529" s="206"/>
      <c r="I529" s="207"/>
      <c r="J529" s="207"/>
      <c r="K529" s="207"/>
      <c r="L529" s="122"/>
      <c r="M529" s="207"/>
      <c r="N529" s="207"/>
      <c r="O529" s="122"/>
      <c r="P529" s="205"/>
      <c r="Q529" s="205"/>
      <c r="R529" s="205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</row>
    <row r="530">
      <c r="A530" s="122"/>
      <c r="B530" s="204"/>
      <c r="C530" s="204"/>
      <c r="D530" s="204"/>
      <c r="E530" s="205"/>
      <c r="F530" s="205"/>
      <c r="G530" s="205"/>
      <c r="H530" s="206"/>
      <c r="I530" s="207"/>
      <c r="J530" s="207"/>
      <c r="K530" s="207"/>
      <c r="L530" s="122"/>
      <c r="M530" s="207"/>
      <c r="N530" s="207"/>
      <c r="O530" s="122"/>
      <c r="P530" s="205"/>
      <c r="Q530" s="205"/>
      <c r="R530" s="205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</row>
    <row r="531">
      <c r="A531" s="122"/>
      <c r="B531" s="204"/>
      <c r="C531" s="204"/>
      <c r="D531" s="204"/>
      <c r="E531" s="205"/>
      <c r="F531" s="205"/>
      <c r="G531" s="205"/>
      <c r="H531" s="206"/>
      <c r="I531" s="207"/>
      <c r="J531" s="207"/>
      <c r="K531" s="207"/>
      <c r="L531" s="122"/>
      <c r="M531" s="207"/>
      <c r="N531" s="207"/>
      <c r="O531" s="122"/>
      <c r="P531" s="205"/>
      <c r="Q531" s="205"/>
      <c r="R531" s="205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</row>
    <row r="532">
      <c r="A532" s="122"/>
      <c r="B532" s="204"/>
      <c r="C532" s="204"/>
      <c r="D532" s="204"/>
      <c r="E532" s="205"/>
      <c r="F532" s="205"/>
      <c r="G532" s="205"/>
      <c r="H532" s="206"/>
      <c r="I532" s="207"/>
      <c r="J532" s="207"/>
      <c r="K532" s="207"/>
      <c r="L532" s="122"/>
      <c r="M532" s="207"/>
      <c r="N532" s="207"/>
      <c r="O532" s="122"/>
      <c r="P532" s="205"/>
      <c r="Q532" s="205"/>
      <c r="R532" s="205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</row>
    <row r="533">
      <c r="A533" s="122"/>
      <c r="B533" s="204"/>
      <c r="C533" s="204"/>
      <c r="D533" s="204"/>
      <c r="E533" s="205"/>
      <c r="F533" s="205"/>
      <c r="G533" s="205"/>
      <c r="H533" s="206"/>
      <c r="I533" s="207"/>
      <c r="J533" s="207"/>
      <c r="K533" s="207"/>
      <c r="L533" s="122"/>
      <c r="M533" s="207"/>
      <c r="N533" s="207"/>
      <c r="O533" s="122"/>
      <c r="P533" s="205"/>
      <c r="Q533" s="205"/>
      <c r="R533" s="205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</row>
    <row r="534">
      <c r="A534" s="122"/>
      <c r="B534" s="204"/>
      <c r="C534" s="204"/>
      <c r="D534" s="204"/>
      <c r="E534" s="205"/>
      <c r="F534" s="205"/>
      <c r="G534" s="205"/>
      <c r="H534" s="206"/>
      <c r="I534" s="207"/>
      <c r="J534" s="207"/>
      <c r="K534" s="207"/>
      <c r="L534" s="122"/>
      <c r="M534" s="207"/>
      <c r="N534" s="207"/>
      <c r="O534" s="122"/>
      <c r="P534" s="205"/>
      <c r="Q534" s="205"/>
      <c r="R534" s="205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</row>
    <row r="535">
      <c r="A535" s="122"/>
      <c r="B535" s="204"/>
      <c r="C535" s="204"/>
      <c r="D535" s="204"/>
      <c r="E535" s="205"/>
      <c r="F535" s="205"/>
      <c r="G535" s="205"/>
      <c r="H535" s="206"/>
      <c r="I535" s="207"/>
      <c r="J535" s="207"/>
      <c r="K535" s="207"/>
      <c r="L535" s="122"/>
      <c r="M535" s="207"/>
      <c r="N535" s="207"/>
      <c r="O535" s="122"/>
      <c r="P535" s="205"/>
      <c r="Q535" s="205"/>
      <c r="R535" s="205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</row>
    <row r="536">
      <c r="A536" s="122"/>
      <c r="B536" s="204"/>
      <c r="C536" s="204"/>
      <c r="D536" s="204"/>
      <c r="E536" s="205"/>
      <c r="F536" s="205"/>
      <c r="G536" s="205"/>
      <c r="H536" s="206"/>
      <c r="I536" s="207"/>
      <c r="J536" s="207"/>
      <c r="K536" s="207"/>
      <c r="L536" s="122"/>
      <c r="M536" s="207"/>
      <c r="N536" s="207"/>
      <c r="O536" s="122"/>
      <c r="P536" s="205"/>
      <c r="Q536" s="205"/>
      <c r="R536" s="205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</row>
    <row r="537">
      <c r="A537" s="122"/>
      <c r="B537" s="204"/>
      <c r="C537" s="204"/>
      <c r="D537" s="204"/>
      <c r="E537" s="205"/>
      <c r="F537" s="205"/>
      <c r="G537" s="205"/>
      <c r="H537" s="206"/>
      <c r="I537" s="207"/>
      <c r="J537" s="207"/>
      <c r="K537" s="207"/>
      <c r="L537" s="122"/>
      <c r="M537" s="207"/>
      <c r="N537" s="207"/>
      <c r="O537" s="122"/>
      <c r="P537" s="205"/>
      <c r="Q537" s="205"/>
      <c r="R537" s="205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</row>
    <row r="538">
      <c r="A538" s="122"/>
      <c r="B538" s="204"/>
      <c r="C538" s="204"/>
      <c r="D538" s="204"/>
      <c r="E538" s="205"/>
      <c r="F538" s="205"/>
      <c r="G538" s="205"/>
      <c r="H538" s="206"/>
      <c r="I538" s="207"/>
      <c r="J538" s="207"/>
      <c r="K538" s="207"/>
      <c r="L538" s="122"/>
      <c r="M538" s="207"/>
      <c r="N538" s="207"/>
      <c r="O538" s="122"/>
      <c r="P538" s="205"/>
      <c r="Q538" s="205"/>
      <c r="R538" s="205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</row>
    <row r="539">
      <c r="A539" s="122"/>
      <c r="B539" s="204"/>
      <c r="C539" s="204"/>
      <c r="D539" s="204"/>
      <c r="E539" s="205"/>
      <c r="F539" s="205"/>
      <c r="G539" s="205"/>
      <c r="H539" s="206"/>
      <c r="I539" s="207"/>
      <c r="J539" s="207"/>
      <c r="K539" s="207"/>
      <c r="L539" s="122"/>
      <c r="M539" s="207"/>
      <c r="N539" s="207"/>
      <c r="O539" s="122"/>
      <c r="P539" s="205"/>
      <c r="Q539" s="205"/>
      <c r="R539" s="205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</row>
    <row r="540">
      <c r="A540" s="122"/>
      <c r="B540" s="204"/>
      <c r="C540" s="204"/>
      <c r="D540" s="204"/>
      <c r="E540" s="205"/>
      <c r="F540" s="205"/>
      <c r="G540" s="205"/>
      <c r="H540" s="206"/>
      <c r="I540" s="207"/>
      <c r="J540" s="207"/>
      <c r="K540" s="207"/>
      <c r="L540" s="122"/>
      <c r="M540" s="207"/>
      <c r="N540" s="207"/>
      <c r="O540" s="122"/>
      <c r="P540" s="205"/>
      <c r="Q540" s="205"/>
      <c r="R540" s="205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</row>
    <row r="541">
      <c r="A541" s="122"/>
      <c r="B541" s="204"/>
      <c r="C541" s="204"/>
      <c r="D541" s="204"/>
      <c r="E541" s="205"/>
      <c r="F541" s="205"/>
      <c r="G541" s="205"/>
      <c r="H541" s="206"/>
      <c r="I541" s="207"/>
      <c r="J541" s="207"/>
      <c r="K541" s="207"/>
      <c r="L541" s="122"/>
      <c r="M541" s="207"/>
      <c r="N541" s="207"/>
      <c r="O541" s="122"/>
      <c r="P541" s="205"/>
      <c r="Q541" s="205"/>
      <c r="R541" s="205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</row>
    <row r="542">
      <c r="A542" s="122"/>
      <c r="B542" s="204"/>
      <c r="C542" s="204"/>
      <c r="D542" s="204"/>
      <c r="E542" s="205"/>
      <c r="F542" s="205"/>
      <c r="G542" s="205"/>
      <c r="H542" s="206"/>
      <c r="I542" s="207"/>
      <c r="J542" s="207"/>
      <c r="K542" s="207"/>
      <c r="L542" s="122"/>
      <c r="M542" s="207"/>
      <c r="N542" s="207"/>
      <c r="O542" s="122"/>
      <c r="P542" s="205"/>
      <c r="Q542" s="205"/>
      <c r="R542" s="205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</row>
    <row r="543">
      <c r="A543" s="122"/>
      <c r="B543" s="204"/>
      <c r="C543" s="204"/>
      <c r="D543" s="204"/>
      <c r="E543" s="205"/>
      <c r="F543" s="205"/>
      <c r="G543" s="205"/>
      <c r="H543" s="206"/>
      <c r="I543" s="207"/>
      <c r="J543" s="207"/>
      <c r="K543" s="207"/>
      <c r="L543" s="122"/>
      <c r="M543" s="207"/>
      <c r="N543" s="207"/>
      <c r="O543" s="122"/>
      <c r="P543" s="205"/>
      <c r="Q543" s="205"/>
      <c r="R543" s="205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</row>
    <row r="544">
      <c r="A544" s="122"/>
      <c r="B544" s="204"/>
      <c r="C544" s="204"/>
      <c r="D544" s="204"/>
      <c r="E544" s="205"/>
      <c r="F544" s="205"/>
      <c r="G544" s="205"/>
      <c r="H544" s="206"/>
      <c r="I544" s="207"/>
      <c r="J544" s="207"/>
      <c r="K544" s="207"/>
      <c r="L544" s="122"/>
      <c r="M544" s="207"/>
      <c r="N544" s="207"/>
      <c r="O544" s="122"/>
      <c r="P544" s="205"/>
      <c r="Q544" s="205"/>
      <c r="R544" s="205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</row>
    <row r="545">
      <c r="A545" s="122"/>
      <c r="B545" s="204"/>
      <c r="C545" s="204"/>
      <c r="D545" s="204"/>
      <c r="E545" s="205"/>
      <c r="F545" s="205"/>
      <c r="G545" s="205"/>
      <c r="H545" s="206"/>
      <c r="I545" s="207"/>
      <c r="J545" s="207"/>
      <c r="K545" s="207"/>
      <c r="L545" s="122"/>
      <c r="M545" s="207"/>
      <c r="N545" s="207"/>
      <c r="O545" s="122"/>
      <c r="P545" s="205"/>
      <c r="Q545" s="205"/>
      <c r="R545" s="205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</row>
    <row r="546">
      <c r="A546" s="122"/>
      <c r="B546" s="204"/>
      <c r="C546" s="204"/>
      <c r="D546" s="204"/>
      <c r="E546" s="205"/>
      <c r="F546" s="205"/>
      <c r="G546" s="205"/>
      <c r="H546" s="206"/>
      <c r="I546" s="207"/>
      <c r="J546" s="207"/>
      <c r="K546" s="207"/>
      <c r="L546" s="122"/>
      <c r="M546" s="207"/>
      <c r="N546" s="207"/>
      <c r="O546" s="122"/>
      <c r="P546" s="205"/>
      <c r="Q546" s="205"/>
      <c r="R546" s="205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</row>
    <row r="547">
      <c r="A547" s="122"/>
      <c r="B547" s="204"/>
      <c r="C547" s="204"/>
      <c r="D547" s="204"/>
      <c r="E547" s="205"/>
      <c r="F547" s="205"/>
      <c r="G547" s="205"/>
      <c r="H547" s="206"/>
      <c r="I547" s="207"/>
      <c r="J547" s="207"/>
      <c r="K547" s="207"/>
      <c r="L547" s="122"/>
      <c r="M547" s="207"/>
      <c r="N547" s="207"/>
      <c r="O547" s="122"/>
      <c r="P547" s="205"/>
      <c r="Q547" s="205"/>
      <c r="R547" s="205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</row>
    <row r="548">
      <c r="A548" s="122"/>
      <c r="B548" s="204"/>
      <c r="C548" s="204"/>
      <c r="D548" s="204"/>
      <c r="E548" s="205"/>
      <c r="F548" s="205"/>
      <c r="G548" s="205"/>
      <c r="H548" s="206"/>
      <c r="I548" s="207"/>
      <c r="J548" s="207"/>
      <c r="K548" s="207"/>
      <c r="L548" s="122"/>
      <c r="M548" s="207"/>
      <c r="N548" s="207"/>
      <c r="O548" s="122"/>
      <c r="P548" s="205"/>
      <c r="Q548" s="205"/>
      <c r="R548" s="205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</row>
    <row r="549">
      <c r="A549" s="122"/>
      <c r="B549" s="204"/>
      <c r="C549" s="204"/>
      <c r="D549" s="204"/>
      <c r="E549" s="205"/>
      <c r="F549" s="205"/>
      <c r="G549" s="205"/>
      <c r="H549" s="206"/>
      <c r="I549" s="207"/>
      <c r="J549" s="207"/>
      <c r="K549" s="207"/>
      <c r="L549" s="122"/>
      <c r="M549" s="207"/>
      <c r="N549" s="207"/>
      <c r="O549" s="122"/>
      <c r="P549" s="205"/>
      <c r="Q549" s="205"/>
      <c r="R549" s="205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</row>
    <row r="550">
      <c r="A550" s="122"/>
      <c r="B550" s="204"/>
      <c r="C550" s="204"/>
      <c r="D550" s="204"/>
      <c r="E550" s="205"/>
      <c r="F550" s="205"/>
      <c r="G550" s="205"/>
      <c r="H550" s="206"/>
      <c r="I550" s="207"/>
      <c r="J550" s="207"/>
      <c r="K550" s="207"/>
      <c r="L550" s="122"/>
      <c r="M550" s="207"/>
      <c r="N550" s="207"/>
      <c r="O550" s="122"/>
      <c r="P550" s="205"/>
      <c r="Q550" s="205"/>
      <c r="R550" s="205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</row>
    <row r="551">
      <c r="A551" s="122"/>
      <c r="B551" s="204"/>
      <c r="C551" s="204"/>
      <c r="D551" s="204"/>
      <c r="E551" s="205"/>
      <c r="F551" s="205"/>
      <c r="G551" s="205"/>
      <c r="H551" s="206"/>
      <c r="I551" s="207"/>
      <c r="J551" s="207"/>
      <c r="K551" s="207"/>
      <c r="L551" s="122"/>
      <c r="M551" s="207"/>
      <c r="N551" s="207"/>
      <c r="O551" s="122"/>
      <c r="P551" s="205"/>
      <c r="Q551" s="205"/>
      <c r="R551" s="205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</row>
    <row r="552">
      <c r="A552" s="122"/>
      <c r="B552" s="204"/>
      <c r="C552" s="204"/>
      <c r="D552" s="204"/>
      <c r="E552" s="205"/>
      <c r="F552" s="205"/>
      <c r="G552" s="205"/>
      <c r="H552" s="206"/>
      <c r="I552" s="207"/>
      <c r="J552" s="207"/>
      <c r="K552" s="207"/>
      <c r="L552" s="122"/>
      <c r="M552" s="207"/>
      <c r="N552" s="207"/>
      <c r="O552" s="122"/>
      <c r="P552" s="205"/>
      <c r="Q552" s="205"/>
      <c r="R552" s="205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</row>
    <row r="553">
      <c r="A553" s="122"/>
      <c r="B553" s="204"/>
      <c r="C553" s="204"/>
      <c r="D553" s="204"/>
      <c r="E553" s="205"/>
      <c r="F553" s="205"/>
      <c r="G553" s="205"/>
      <c r="H553" s="206"/>
      <c r="I553" s="207"/>
      <c r="J553" s="207"/>
      <c r="K553" s="207"/>
      <c r="L553" s="122"/>
      <c r="M553" s="207"/>
      <c r="N553" s="207"/>
      <c r="O553" s="122"/>
      <c r="P553" s="205"/>
      <c r="Q553" s="205"/>
      <c r="R553" s="205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</row>
    <row r="554">
      <c r="A554" s="122"/>
      <c r="B554" s="204"/>
      <c r="C554" s="204"/>
      <c r="D554" s="204"/>
      <c r="E554" s="205"/>
      <c r="F554" s="205"/>
      <c r="G554" s="205"/>
      <c r="H554" s="206"/>
      <c r="I554" s="207"/>
      <c r="J554" s="207"/>
      <c r="K554" s="207"/>
      <c r="L554" s="122"/>
      <c r="M554" s="207"/>
      <c r="N554" s="207"/>
      <c r="O554" s="122"/>
      <c r="P554" s="205"/>
      <c r="Q554" s="205"/>
      <c r="R554" s="205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</row>
    <row r="555">
      <c r="A555" s="122"/>
      <c r="B555" s="204"/>
      <c r="C555" s="204"/>
      <c r="D555" s="204"/>
      <c r="E555" s="205"/>
      <c r="F555" s="205"/>
      <c r="G555" s="205"/>
      <c r="H555" s="206"/>
      <c r="I555" s="207"/>
      <c r="J555" s="207"/>
      <c r="K555" s="207"/>
      <c r="L555" s="122"/>
      <c r="M555" s="207"/>
      <c r="N555" s="207"/>
      <c r="O555" s="122"/>
      <c r="P555" s="205"/>
      <c r="Q555" s="205"/>
      <c r="R555" s="205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</row>
    <row r="556">
      <c r="A556" s="122"/>
      <c r="B556" s="204"/>
      <c r="C556" s="204"/>
      <c r="D556" s="204"/>
      <c r="E556" s="205"/>
      <c r="F556" s="205"/>
      <c r="G556" s="205"/>
      <c r="H556" s="206"/>
      <c r="I556" s="207"/>
      <c r="J556" s="207"/>
      <c r="K556" s="207"/>
      <c r="L556" s="122"/>
      <c r="M556" s="207"/>
      <c r="N556" s="207"/>
      <c r="O556" s="122"/>
      <c r="P556" s="205"/>
      <c r="Q556" s="205"/>
      <c r="R556" s="205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</row>
    <row r="557">
      <c r="A557" s="122"/>
      <c r="B557" s="204"/>
      <c r="C557" s="204"/>
      <c r="D557" s="204"/>
      <c r="E557" s="205"/>
      <c r="F557" s="205"/>
      <c r="G557" s="205"/>
      <c r="H557" s="206"/>
      <c r="I557" s="207"/>
      <c r="J557" s="207"/>
      <c r="K557" s="207"/>
      <c r="L557" s="122"/>
      <c r="M557" s="207"/>
      <c r="N557" s="207"/>
      <c r="O557" s="122"/>
      <c r="P557" s="205"/>
      <c r="Q557" s="205"/>
      <c r="R557" s="205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</row>
    <row r="558">
      <c r="A558" s="122"/>
      <c r="B558" s="204"/>
      <c r="C558" s="204"/>
      <c r="D558" s="204"/>
      <c r="E558" s="205"/>
      <c r="F558" s="205"/>
      <c r="G558" s="205"/>
      <c r="H558" s="206"/>
      <c r="I558" s="207"/>
      <c r="J558" s="207"/>
      <c r="K558" s="207"/>
      <c r="L558" s="122"/>
      <c r="M558" s="207"/>
      <c r="N558" s="207"/>
      <c r="O558" s="122"/>
      <c r="P558" s="205"/>
      <c r="Q558" s="205"/>
      <c r="R558" s="205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</row>
    <row r="559">
      <c r="A559" s="122"/>
      <c r="B559" s="204"/>
      <c r="C559" s="204"/>
      <c r="D559" s="204"/>
      <c r="E559" s="205"/>
      <c r="F559" s="205"/>
      <c r="G559" s="205"/>
      <c r="H559" s="206"/>
      <c r="I559" s="207"/>
      <c r="J559" s="207"/>
      <c r="K559" s="207"/>
      <c r="L559" s="122"/>
      <c r="M559" s="207"/>
      <c r="N559" s="207"/>
      <c r="O559" s="122"/>
      <c r="P559" s="205"/>
      <c r="Q559" s="205"/>
      <c r="R559" s="205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</row>
    <row r="560">
      <c r="A560" s="122"/>
      <c r="B560" s="204"/>
      <c r="C560" s="204"/>
      <c r="D560" s="204"/>
      <c r="E560" s="205"/>
      <c r="F560" s="205"/>
      <c r="G560" s="205"/>
      <c r="H560" s="206"/>
      <c r="I560" s="207"/>
      <c r="J560" s="207"/>
      <c r="K560" s="207"/>
      <c r="L560" s="122"/>
      <c r="M560" s="207"/>
      <c r="N560" s="207"/>
      <c r="O560" s="122"/>
      <c r="P560" s="205"/>
      <c r="Q560" s="205"/>
      <c r="R560" s="205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</row>
    <row r="561">
      <c r="A561" s="122"/>
      <c r="B561" s="204"/>
      <c r="C561" s="204"/>
      <c r="D561" s="204"/>
      <c r="E561" s="205"/>
      <c r="F561" s="205"/>
      <c r="G561" s="205"/>
      <c r="H561" s="206"/>
      <c r="I561" s="207"/>
      <c r="J561" s="207"/>
      <c r="K561" s="207"/>
      <c r="L561" s="122"/>
      <c r="M561" s="207"/>
      <c r="N561" s="207"/>
      <c r="O561" s="122"/>
      <c r="P561" s="205"/>
      <c r="Q561" s="205"/>
      <c r="R561" s="205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</row>
    <row r="562">
      <c r="A562" s="122"/>
      <c r="B562" s="204"/>
      <c r="C562" s="204"/>
      <c r="D562" s="204"/>
      <c r="E562" s="205"/>
      <c r="F562" s="205"/>
      <c r="G562" s="205"/>
      <c r="H562" s="206"/>
      <c r="I562" s="207"/>
      <c r="J562" s="207"/>
      <c r="K562" s="207"/>
      <c r="L562" s="122"/>
      <c r="M562" s="207"/>
      <c r="N562" s="207"/>
      <c r="O562" s="122"/>
      <c r="P562" s="205"/>
      <c r="Q562" s="205"/>
      <c r="R562" s="205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</row>
    <row r="563">
      <c r="A563" s="122"/>
      <c r="B563" s="204"/>
      <c r="C563" s="204"/>
      <c r="D563" s="204"/>
      <c r="E563" s="205"/>
      <c r="F563" s="205"/>
      <c r="G563" s="205"/>
      <c r="H563" s="206"/>
      <c r="I563" s="207"/>
      <c r="J563" s="207"/>
      <c r="K563" s="207"/>
      <c r="L563" s="122"/>
      <c r="M563" s="207"/>
      <c r="N563" s="207"/>
      <c r="O563" s="122"/>
      <c r="P563" s="205"/>
      <c r="Q563" s="205"/>
      <c r="R563" s="205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</row>
    <row r="564">
      <c r="A564" s="122"/>
      <c r="B564" s="204"/>
      <c r="C564" s="204"/>
      <c r="D564" s="204"/>
      <c r="E564" s="205"/>
      <c r="F564" s="205"/>
      <c r="G564" s="205"/>
      <c r="H564" s="206"/>
      <c r="I564" s="207"/>
      <c r="J564" s="207"/>
      <c r="K564" s="207"/>
      <c r="L564" s="122"/>
      <c r="M564" s="207"/>
      <c r="N564" s="207"/>
      <c r="O564" s="122"/>
      <c r="P564" s="205"/>
      <c r="Q564" s="205"/>
      <c r="R564" s="205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</row>
    <row r="565">
      <c r="A565" s="122"/>
      <c r="B565" s="204"/>
      <c r="C565" s="204"/>
      <c r="D565" s="204"/>
      <c r="E565" s="205"/>
      <c r="F565" s="205"/>
      <c r="G565" s="205"/>
      <c r="H565" s="206"/>
      <c r="I565" s="207"/>
      <c r="J565" s="207"/>
      <c r="K565" s="207"/>
      <c r="L565" s="122"/>
      <c r="M565" s="207"/>
      <c r="N565" s="207"/>
      <c r="O565" s="122"/>
      <c r="P565" s="205"/>
      <c r="Q565" s="205"/>
      <c r="R565" s="205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</row>
    <row r="566">
      <c r="A566" s="122"/>
      <c r="B566" s="204"/>
      <c r="C566" s="204"/>
      <c r="D566" s="204"/>
      <c r="E566" s="205"/>
      <c r="F566" s="205"/>
      <c r="G566" s="205"/>
      <c r="H566" s="206"/>
      <c r="I566" s="207"/>
      <c r="J566" s="207"/>
      <c r="K566" s="207"/>
      <c r="L566" s="122"/>
      <c r="M566" s="207"/>
      <c r="N566" s="207"/>
      <c r="O566" s="122"/>
      <c r="P566" s="205"/>
      <c r="Q566" s="205"/>
      <c r="R566" s="205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</row>
    <row r="567">
      <c r="A567" s="122"/>
      <c r="B567" s="204"/>
      <c r="C567" s="204"/>
      <c r="D567" s="204"/>
      <c r="E567" s="205"/>
      <c r="F567" s="205"/>
      <c r="G567" s="205"/>
      <c r="H567" s="206"/>
      <c r="I567" s="207"/>
      <c r="J567" s="207"/>
      <c r="K567" s="207"/>
      <c r="L567" s="122"/>
      <c r="M567" s="207"/>
      <c r="N567" s="207"/>
      <c r="O567" s="122"/>
      <c r="P567" s="205"/>
      <c r="Q567" s="205"/>
      <c r="R567" s="205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</row>
    <row r="568">
      <c r="A568" s="122"/>
      <c r="B568" s="204"/>
      <c r="C568" s="204"/>
      <c r="D568" s="204"/>
      <c r="E568" s="205"/>
      <c r="F568" s="205"/>
      <c r="G568" s="205"/>
      <c r="H568" s="206"/>
      <c r="I568" s="207"/>
      <c r="J568" s="207"/>
      <c r="K568" s="207"/>
      <c r="L568" s="122"/>
      <c r="M568" s="207"/>
      <c r="N568" s="207"/>
      <c r="O568" s="122"/>
      <c r="P568" s="205"/>
      <c r="Q568" s="205"/>
      <c r="R568" s="205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</row>
    <row r="569">
      <c r="A569" s="122"/>
      <c r="B569" s="204"/>
      <c r="C569" s="204"/>
      <c r="D569" s="204"/>
      <c r="E569" s="205"/>
      <c r="F569" s="205"/>
      <c r="G569" s="205"/>
      <c r="H569" s="206"/>
      <c r="I569" s="207"/>
      <c r="J569" s="207"/>
      <c r="K569" s="207"/>
      <c r="L569" s="122"/>
      <c r="M569" s="207"/>
      <c r="N569" s="207"/>
      <c r="O569" s="122"/>
      <c r="P569" s="205"/>
      <c r="Q569" s="205"/>
      <c r="R569" s="205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</row>
    <row r="570">
      <c r="A570" s="122"/>
      <c r="B570" s="204"/>
      <c r="C570" s="204"/>
      <c r="D570" s="204"/>
      <c r="E570" s="205"/>
      <c r="F570" s="205"/>
      <c r="G570" s="205"/>
      <c r="H570" s="206"/>
      <c r="I570" s="207"/>
      <c r="J570" s="207"/>
      <c r="K570" s="207"/>
      <c r="L570" s="122"/>
      <c r="M570" s="207"/>
      <c r="N570" s="207"/>
      <c r="O570" s="122"/>
      <c r="P570" s="205"/>
      <c r="Q570" s="205"/>
      <c r="R570" s="205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</row>
    <row r="571">
      <c r="A571" s="122"/>
      <c r="B571" s="204"/>
      <c r="C571" s="204"/>
      <c r="D571" s="204"/>
      <c r="E571" s="205"/>
      <c r="F571" s="205"/>
      <c r="G571" s="205"/>
      <c r="H571" s="206"/>
      <c r="I571" s="207"/>
      <c r="J571" s="207"/>
      <c r="K571" s="207"/>
      <c r="L571" s="122"/>
      <c r="M571" s="207"/>
      <c r="N571" s="207"/>
      <c r="O571" s="122"/>
      <c r="P571" s="205"/>
      <c r="Q571" s="205"/>
      <c r="R571" s="205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</row>
    <row r="572">
      <c r="A572" s="122"/>
      <c r="B572" s="204"/>
      <c r="C572" s="204"/>
      <c r="D572" s="204"/>
      <c r="E572" s="205"/>
      <c r="F572" s="205"/>
      <c r="G572" s="205"/>
      <c r="H572" s="206"/>
      <c r="I572" s="207"/>
      <c r="J572" s="207"/>
      <c r="K572" s="207"/>
      <c r="L572" s="122"/>
      <c r="M572" s="207"/>
      <c r="N572" s="207"/>
      <c r="O572" s="122"/>
      <c r="P572" s="205"/>
      <c r="Q572" s="205"/>
      <c r="R572" s="205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</row>
    <row r="573">
      <c r="A573" s="122"/>
      <c r="B573" s="204"/>
      <c r="C573" s="204"/>
      <c r="D573" s="204"/>
      <c r="E573" s="205"/>
      <c r="F573" s="205"/>
      <c r="G573" s="205"/>
      <c r="H573" s="206"/>
      <c r="I573" s="207"/>
      <c r="J573" s="207"/>
      <c r="K573" s="207"/>
      <c r="L573" s="122"/>
      <c r="M573" s="207"/>
      <c r="N573" s="207"/>
      <c r="O573" s="122"/>
      <c r="P573" s="205"/>
      <c r="Q573" s="205"/>
      <c r="R573" s="205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</row>
    <row r="574">
      <c r="A574" s="122"/>
      <c r="B574" s="204"/>
      <c r="C574" s="204"/>
      <c r="D574" s="204"/>
      <c r="E574" s="205"/>
      <c r="F574" s="205"/>
      <c r="G574" s="205"/>
      <c r="H574" s="206"/>
      <c r="I574" s="207"/>
      <c r="J574" s="207"/>
      <c r="K574" s="207"/>
      <c r="L574" s="122"/>
      <c r="M574" s="207"/>
      <c r="N574" s="207"/>
      <c r="O574" s="122"/>
      <c r="P574" s="205"/>
      <c r="Q574" s="205"/>
      <c r="R574" s="205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</row>
    <row r="575">
      <c r="A575" s="122"/>
      <c r="B575" s="204"/>
      <c r="C575" s="204"/>
      <c r="D575" s="204"/>
      <c r="E575" s="205"/>
      <c r="F575" s="205"/>
      <c r="G575" s="205"/>
      <c r="H575" s="206"/>
      <c r="I575" s="207"/>
      <c r="J575" s="207"/>
      <c r="K575" s="207"/>
      <c r="L575" s="122"/>
      <c r="M575" s="207"/>
      <c r="N575" s="207"/>
      <c r="O575" s="122"/>
      <c r="P575" s="205"/>
      <c r="Q575" s="205"/>
      <c r="R575" s="205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</row>
    <row r="576">
      <c r="A576" s="122"/>
      <c r="B576" s="204"/>
      <c r="C576" s="204"/>
      <c r="D576" s="204"/>
      <c r="E576" s="205"/>
      <c r="F576" s="205"/>
      <c r="G576" s="205"/>
      <c r="H576" s="206"/>
      <c r="I576" s="207"/>
      <c r="J576" s="207"/>
      <c r="K576" s="207"/>
      <c r="L576" s="122"/>
      <c r="M576" s="207"/>
      <c r="N576" s="207"/>
      <c r="O576" s="122"/>
      <c r="P576" s="205"/>
      <c r="Q576" s="205"/>
      <c r="R576" s="205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</row>
    <row r="577">
      <c r="A577" s="122"/>
      <c r="B577" s="204"/>
      <c r="C577" s="204"/>
      <c r="D577" s="204"/>
      <c r="E577" s="205"/>
      <c r="F577" s="205"/>
      <c r="G577" s="205"/>
      <c r="H577" s="206"/>
      <c r="I577" s="207"/>
      <c r="J577" s="207"/>
      <c r="K577" s="207"/>
      <c r="L577" s="122"/>
      <c r="M577" s="207"/>
      <c r="N577" s="207"/>
      <c r="O577" s="122"/>
      <c r="P577" s="205"/>
      <c r="Q577" s="205"/>
      <c r="R577" s="205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</row>
    <row r="578">
      <c r="A578" s="122"/>
      <c r="B578" s="204"/>
      <c r="C578" s="204"/>
      <c r="D578" s="204"/>
      <c r="E578" s="205"/>
      <c r="F578" s="205"/>
      <c r="G578" s="205"/>
      <c r="H578" s="206"/>
      <c r="I578" s="207"/>
      <c r="J578" s="207"/>
      <c r="K578" s="207"/>
      <c r="L578" s="122"/>
      <c r="M578" s="207"/>
      <c r="N578" s="207"/>
      <c r="O578" s="122"/>
      <c r="P578" s="205"/>
      <c r="Q578" s="205"/>
      <c r="R578" s="205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</row>
    <row r="579">
      <c r="A579" s="122"/>
      <c r="B579" s="204"/>
      <c r="C579" s="204"/>
      <c r="D579" s="204"/>
      <c r="E579" s="205"/>
      <c r="F579" s="205"/>
      <c r="G579" s="205"/>
      <c r="H579" s="206"/>
      <c r="I579" s="207"/>
      <c r="J579" s="207"/>
      <c r="K579" s="207"/>
      <c r="L579" s="122"/>
      <c r="M579" s="207"/>
      <c r="N579" s="207"/>
      <c r="O579" s="122"/>
      <c r="P579" s="205"/>
      <c r="Q579" s="205"/>
      <c r="R579" s="205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</row>
    <row r="580">
      <c r="A580" s="122"/>
      <c r="B580" s="204"/>
      <c r="C580" s="204"/>
      <c r="D580" s="204"/>
      <c r="E580" s="205"/>
      <c r="F580" s="205"/>
      <c r="G580" s="205"/>
      <c r="H580" s="206"/>
      <c r="I580" s="207"/>
      <c r="J580" s="207"/>
      <c r="K580" s="207"/>
      <c r="L580" s="122"/>
      <c r="M580" s="207"/>
      <c r="N580" s="207"/>
      <c r="O580" s="122"/>
      <c r="P580" s="205"/>
      <c r="Q580" s="205"/>
      <c r="R580" s="205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</row>
    <row r="581">
      <c r="A581" s="122"/>
      <c r="B581" s="204"/>
      <c r="C581" s="204"/>
      <c r="D581" s="204"/>
      <c r="E581" s="205"/>
      <c r="F581" s="205"/>
      <c r="G581" s="205"/>
      <c r="H581" s="206"/>
      <c r="I581" s="207"/>
      <c r="J581" s="207"/>
      <c r="K581" s="207"/>
      <c r="L581" s="122"/>
      <c r="M581" s="207"/>
      <c r="N581" s="207"/>
      <c r="O581" s="122"/>
      <c r="P581" s="205"/>
      <c r="Q581" s="205"/>
      <c r="R581" s="205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</row>
    <row r="582">
      <c r="A582" s="122"/>
      <c r="B582" s="204"/>
      <c r="C582" s="204"/>
      <c r="D582" s="204"/>
      <c r="E582" s="205"/>
      <c r="F582" s="205"/>
      <c r="G582" s="205"/>
      <c r="H582" s="206"/>
      <c r="I582" s="207"/>
      <c r="J582" s="207"/>
      <c r="K582" s="207"/>
      <c r="L582" s="122"/>
      <c r="M582" s="207"/>
      <c r="N582" s="207"/>
      <c r="O582" s="122"/>
      <c r="P582" s="205"/>
      <c r="Q582" s="205"/>
      <c r="R582" s="205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</row>
    <row r="583">
      <c r="A583" s="122"/>
      <c r="B583" s="204"/>
      <c r="C583" s="204"/>
      <c r="D583" s="204"/>
      <c r="E583" s="205"/>
      <c r="F583" s="205"/>
      <c r="G583" s="205"/>
      <c r="H583" s="206"/>
      <c r="I583" s="207"/>
      <c r="J583" s="207"/>
      <c r="K583" s="207"/>
      <c r="L583" s="122"/>
      <c r="M583" s="207"/>
      <c r="N583" s="207"/>
      <c r="O583" s="122"/>
      <c r="P583" s="205"/>
      <c r="Q583" s="205"/>
      <c r="R583" s="205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</row>
    <row r="584">
      <c r="A584" s="122"/>
      <c r="B584" s="204"/>
      <c r="C584" s="204"/>
      <c r="D584" s="204"/>
      <c r="E584" s="205"/>
      <c r="F584" s="205"/>
      <c r="G584" s="205"/>
      <c r="H584" s="206"/>
      <c r="I584" s="207"/>
      <c r="J584" s="207"/>
      <c r="K584" s="207"/>
      <c r="L584" s="122"/>
      <c r="M584" s="207"/>
      <c r="N584" s="207"/>
      <c r="O584" s="122"/>
      <c r="P584" s="205"/>
      <c r="Q584" s="205"/>
      <c r="R584" s="205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</row>
    <row r="585">
      <c r="A585" s="122"/>
      <c r="B585" s="204"/>
      <c r="C585" s="204"/>
      <c r="D585" s="204"/>
      <c r="E585" s="205"/>
      <c r="F585" s="205"/>
      <c r="G585" s="205"/>
      <c r="H585" s="206"/>
      <c r="I585" s="207"/>
      <c r="J585" s="207"/>
      <c r="K585" s="207"/>
      <c r="L585" s="122"/>
      <c r="M585" s="207"/>
      <c r="N585" s="207"/>
      <c r="O585" s="122"/>
      <c r="P585" s="205"/>
      <c r="Q585" s="205"/>
      <c r="R585" s="205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</row>
    <row r="586">
      <c r="A586" s="122"/>
      <c r="B586" s="204"/>
      <c r="C586" s="204"/>
      <c r="D586" s="204"/>
      <c r="E586" s="205"/>
      <c r="F586" s="205"/>
      <c r="G586" s="205"/>
      <c r="H586" s="206"/>
      <c r="I586" s="207"/>
      <c r="J586" s="207"/>
      <c r="K586" s="207"/>
      <c r="L586" s="122"/>
      <c r="M586" s="207"/>
      <c r="N586" s="207"/>
      <c r="O586" s="122"/>
      <c r="P586" s="205"/>
      <c r="Q586" s="205"/>
      <c r="R586" s="205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</row>
    <row r="587">
      <c r="A587" s="122"/>
      <c r="B587" s="204"/>
      <c r="C587" s="204"/>
      <c r="D587" s="204"/>
      <c r="E587" s="205"/>
      <c r="F587" s="205"/>
      <c r="G587" s="205"/>
      <c r="H587" s="206"/>
      <c r="I587" s="207"/>
      <c r="J587" s="207"/>
      <c r="K587" s="207"/>
      <c r="L587" s="122"/>
      <c r="M587" s="207"/>
      <c r="N587" s="207"/>
      <c r="O587" s="122"/>
      <c r="P587" s="205"/>
      <c r="Q587" s="205"/>
      <c r="R587" s="205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</row>
    <row r="588">
      <c r="A588" s="122"/>
      <c r="B588" s="204"/>
      <c r="C588" s="204"/>
      <c r="D588" s="204"/>
      <c r="E588" s="205"/>
      <c r="F588" s="205"/>
      <c r="G588" s="205"/>
      <c r="H588" s="206"/>
      <c r="I588" s="207"/>
      <c r="J588" s="207"/>
      <c r="K588" s="207"/>
      <c r="L588" s="122"/>
      <c r="M588" s="207"/>
      <c r="N588" s="207"/>
      <c r="O588" s="122"/>
      <c r="P588" s="205"/>
      <c r="Q588" s="205"/>
      <c r="R588" s="205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</row>
    <row r="589">
      <c r="A589" s="122"/>
      <c r="B589" s="204"/>
      <c r="C589" s="204"/>
      <c r="D589" s="204"/>
      <c r="E589" s="205"/>
      <c r="F589" s="205"/>
      <c r="G589" s="205"/>
      <c r="H589" s="206"/>
      <c r="I589" s="207"/>
      <c r="J589" s="207"/>
      <c r="K589" s="207"/>
      <c r="L589" s="122"/>
      <c r="M589" s="207"/>
      <c r="N589" s="207"/>
      <c r="O589" s="122"/>
      <c r="P589" s="205"/>
      <c r="Q589" s="205"/>
      <c r="R589" s="205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</row>
    <row r="590">
      <c r="A590" s="122"/>
      <c r="B590" s="204"/>
      <c r="C590" s="204"/>
      <c r="D590" s="204"/>
      <c r="E590" s="205"/>
      <c r="F590" s="205"/>
      <c r="G590" s="205"/>
      <c r="H590" s="206"/>
      <c r="I590" s="207"/>
      <c r="J590" s="207"/>
      <c r="K590" s="207"/>
      <c r="L590" s="122"/>
      <c r="M590" s="207"/>
      <c r="N590" s="207"/>
      <c r="O590" s="122"/>
      <c r="P590" s="205"/>
      <c r="Q590" s="205"/>
      <c r="R590" s="205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</row>
    <row r="591">
      <c r="A591" s="122"/>
      <c r="B591" s="204"/>
      <c r="C591" s="204"/>
      <c r="D591" s="204"/>
      <c r="E591" s="205"/>
      <c r="F591" s="205"/>
      <c r="G591" s="205"/>
      <c r="H591" s="206"/>
      <c r="I591" s="207"/>
      <c r="J591" s="207"/>
      <c r="K591" s="207"/>
      <c r="L591" s="122"/>
      <c r="M591" s="207"/>
      <c r="N591" s="207"/>
      <c r="O591" s="122"/>
      <c r="P591" s="205"/>
      <c r="Q591" s="205"/>
      <c r="R591" s="205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</row>
    <row r="592">
      <c r="A592" s="122"/>
      <c r="B592" s="204"/>
      <c r="C592" s="204"/>
      <c r="D592" s="204"/>
      <c r="E592" s="205"/>
      <c r="F592" s="205"/>
      <c r="G592" s="205"/>
      <c r="H592" s="206"/>
      <c r="I592" s="207"/>
      <c r="J592" s="207"/>
      <c r="K592" s="207"/>
      <c r="L592" s="122"/>
      <c r="M592" s="207"/>
      <c r="N592" s="207"/>
      <c r="O592" s="122"/>
      <c r="P592" s="205"/>
      <c r="Q592" s="205"/>
      <c r="R592" s="205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</row>
    <row r="593">
      <c r="A593" s="122"/>
      <c r="B593" s="204"/>
      <c r="C593" s="204"/>
      <c r="D593" s="204"/>
      <c r="E593" s="205"/>
      <c r="F593" s="205"/>
      <c r="G593" s="205"/>
      <c r="H593" s="206"/>
      <c r="I593" s="207"/>
      <c r="J593" s="207"/>
      <c r="K593" s="207"/>
      <c r="L593" s="122"/>
      <c r="M593" s="207"/>
      <c r="N593" s="207"/>
      <c r="O593" s="122"/>
      <c r="P593" s="205"/>
      <c r="Q593" s="205"/>
      <c r="R593" s="205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</row>
    <row r="594">
      <c r="A594" s="122"/>
      <c r="B594" s="204"/>
      <c r="C594" s="204"/>
      <c r="D594" s="204"/>
      <c r="E594" s="205"/>
      <c r="F594" s="205"/>
      <c r="G594" s="205"/>
      <c r="H594" s="206"/>
      <c r="I594" s="207"/>
      <c r="J594" s="207"/>
      <c r="K594" s="207"/>
      <c r="L594" s="122"/>
      <c r="M594" s="207"/>
      <c r="N594" s="207"/>
      <c r="O594" s="122"/>
      <c r="P594" s="205"/>
      <c r="Q594" s="205"/>
      <c r="R594" s="205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</row>
    <row r="595">
      <c r="A595" s="122"/>
      <c r="B595" s="204"/>
      <c r="C595" s="204"/>
      <c r="D595" s="204"/>
      <c r="E595" s="205"/>
      <c r="F595" s="205"/>
      <c r="G595" s="205"/>
      <c r="H595" s="206"/>
      <c r="I595" s="207"/>
      <c r="J595" s="207"/>
      <c r="K595" s="207"/>
      <c r="L595" s="122"/>
      <c r="M595" s="207"/>
      <c r="N595" s="207"/>
      <c r="O595" s="122"/>
      <c r="P595" s="205"/>
      <c r="Q595" s="205"/>
      <c r="R595" s="205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</row>
    <row r="596">
      <c r="A596" s="122"/>
      <c r="B596" s="204"/>
      <c r="C596" s="204"/>
      <c r="D596" s="204"/>
      <c r="E596" s="205"/>
      <c r="F596" s="205"/>
      <c r="G596" s="205"/>
      <c r="H596" s="206"/>
      <c r="I596" s="207"/>
      <c r="J596" s="207"/>
      <c r="K596" s="207"/>
      <c r="L596" s="122"/>
      <c r="M596" s="207"/>
      <c r="N596" s="207"/>
      <c r="O596" s="122"/>
      <c r="P596" s="205"/>
      <c r="Q596" s="205"/>
      <c r="R596" s="205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</row>
    <row r="597">
      <c r="A597" s="122"/>
      <c r="B597" s="204"/>
      <c r="C597" s="204"/>
      <c r="D597" s="204"/>
      <c r="E597" s="205"/>
      <c r="F597" s="205"/>
      <c r="G597" s="205"/>
      <c r="H597" s="206"/>
      <c r="I597" s="207"/>
      <c r="J597" s="207"/>
      <c r="K597" s="207"/>
      <c r="L597" s="122"/>
      <c r="M597" s="207"/>
      <c r="N597" s="207"/>
      <c r="O597" s="122"/>
      <c r="P597" s="205"/>
      <c r="Q597" s="205"/>
      <c r="R597" s="205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</row>
    <row r="598">
      <c r="A598" s="122"/>
      <c r="B598" s="204"/>
      <c r="C598" s="204"/>
      <c r="D598" s="204"/>
      <c r="E598" s="205"/>
      <c r="F598" s="205"/>
      <c r="G598" s="205"/>
      <c r="H598" s="206"/>
      <c r="I598" s="207"/>
      <c r="J598" s="207"/>
      <c r="K598" s="207"/>
      <c r="L598" s="122"/>
      <c r="M598" s="207"/>
      <c r="N598" s="207"/>
      <c r="O598" s="122"/>
      <c r="P598" s="205"/>
      <c r="Q598" s="205"/>
      <c r="R598" s="205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</row>
    <row r="599">
      <c r="A599" s="122"/>
      <c r="B599" s="204"/>
      <c r="C599" s="204"/>
      <c r="D599" s="204"/>
      <c r="E599" s="205"/>
      <c r="F599" s="205"/>
      <c r="G599" s="205"/>
      <c r="H599" s="206"/>
      <c r="I599" s="207"/>
      <c r="J599" s="207"/>
      <c r="K599" s="207"/>
      <c r="L599" s="122"/>
      <c r="M599" s="207"/>
      <c r="N599" s="207"/>
      <c r="O599" s="122"/>
      <c r="P599" s="205"/>
      <c r="Q599" s="205"/>
      <c r="R599" s="205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</row>
    <row r="600">
      <c r="A600" s="122"/>
      <c r="B600" s="204"/>
      <c r="C600" s="204"/>
      <c r="D600" s="204"/>
      <c r="E600" s="205"/>
      <c r="F600" s="205"/>
      <c r="G600" s="205"/>
      <c r="H600" s="206"/>
      <c r="I600" s="207"/>
      <c r="J600" s="207"/>
      <c r="K600" s="207"/>
      <c r="L600" s="122"/>
      <c r="M600" s="207"/>
      <c r="N600" s="207"/>
      <c r="O600" s="122"/>
      <c r="P600" s="205"/>
      <c r="Q600" s="205"/>
      <c r="R600" s="205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</row>
    <row r="601">
      <c r="A601" s="122"/>
      <c r="B601" s="204"/>
      <c r="C601" s="204"/>
      <c r="D601" s="204"/>
      <c r="E601" s="205"/>
      <c r="F601" s="205"/>
      <c r="G601" s="205"/>
      <c r="H601" s="206"/>
      <c r="I601" s="207"/>
      <c r="J601" s="207"/>
      <c r="K601" s="207"/>
      <c r="L601" s="122"/>
      <c r="M601" s="207"/>
      <c r="N601" s="207"/>
      <c r="O601" s="122"/>
      <c r="P601" s="205"/>
      <c r="Q601" s="205"/>
      <c r="R601" s="205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</row>
    <row r="602">
      <c r="A602" s="122"/>
      <c r="B602" s="204"/>
      <c r="C602" s="204"/>
      <c r="D602" s="204"/>
      <c r="E602" s="205"/>
      <c r="F602" s="205"/>
      <c r="G602" s="205"/>
      <c r="H602" s="206"/>
      <c r="I602" s="207"/>
      <c r="J602" s="207"/>
      <c r="K602" s="207"/>
      <c r="L602" s="122"/>
      <c r="M602" s="207"/>
      <c r="N602" s="207"/>
      <c r="O602" s="122"/>
      <c r="P602" s="205"/>
      <c r="Q602" s="205"/>
      <c r="R602" s="205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</row>
    <row r="603">
      <c r="A603" s="122"/>
      <c r="B603" s="204"/>
      <c r="C603" s="204"/>
      <c r="D603" s="204"/>
      <c r="E603" s="205"/>
      <c r="F603" s="205"/>
      <c r="G603" s="205"/>
      <c r="H603" s="206"/>
      <c r="I603" s="207"/>
      <c r="J603" s="207"/>
      <c r="K603" s="207"/>
      <c r="L603" s="122"/>
      <c r="M603" s="207"/>
      <c r="N603" s="207"/>
      <c r="O603" s="122"/>
      <c r="P603" s="205"/>
      <c r="Q603" s="205"/>
      <c r="R603" s="205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</row>
    <row r="604">
      <c r="A604" s="122"/>
      <c r="B604" s="204"/>
      <c r="C604" s="204"/>
      <c r="D604" s="204"/>
      <c r="E604" s="205"/>
      <c r="F604" s="205"/>
      <c r="G604" s="205"/>
      <c r="H604" s="206"/>
      <c r="I604" s="207"/>
      <c r="J604" s="207"/>
      <c r="K604" s="207"/>
      <c r="L604" s="122"/>
      <c r="M604" s="207"/>
      <c r="N604" s="207"/>
      <c r="O604" s="122"/>
      <c r="P604" s="205"/>
      <c r="Q604" s="205"/>
      <c r="R604" s="205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</row>
    <row r="605">
      <c r="A605" s="122"/>
      <c r="B605" s="204"/>
      <c r="C605" s="204"/>
      <c r="D605" s="204"/>
      <c r="E605" s="205"/>
      <c r="F605" s="205"/>
      <c r="G605" s="205"/>
      <c r="H605" s="206"/>
      <c r="I605" s="207"/>
      <c r="J605" s="207"/>
      <c r="K605" s="207"/>
      <c r="L605" s="122"/>
      <c r="M605" s="207"/>
      <c r="N605" s="207"/>
      <c r="O605" s="122"/>
      <c r="P605" s="205"/>
      <c r="Q605" s="205"/>
      <c r="R605" s="205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</row>
    <row r="606">
      <c r="A606" s="122"/>
      <c r="B606" s="204"/>
      <c r="C606" s="204"/>
      <c r="D606" s="204"/>
      <c r="E606" s="205"/>
      <c r="F606" s="205"/>
      <c r="G606" s="205"/>
      <c r="H606" s="206"/>
      <c r="I606" s="207"/>
      <c r="J606" s="207"/>
      <c r="K606" s="207"/>
      <c r="L606" s="122"/>
      <c r="M606" s="207"/>
      <c r="N606" s="207"/>
      <c r="O606" s="122"/>
      <c r="P606" s="205"/>
      <c r="Q606" s="205"/>
      <c r="R606" s="205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</row>
    <row r="607">
      <c r="A607" s="122"/>
      <c r="B607" s="204"/>
      <c r="C607" s="204"/>
      <c r="D607" s="204"/>
      <c r="E607" s="205"/>
      <c r="F607" s="205"/>
      <c r="G607" s="205"/>
      <c r="H607" s="206"/>
      <c r="I607" s="207"/>
      <c r="J607" s="207"/>
      <c r="K607" s="207"/>
      <c r="L607" s="122"/>
      <c r="M607" s="207"/>
      <c r="N607" s="207"/>
      <c r="O607" s="122"/>
      <c r="P607" s="205"/>
      <c r="Q607" s="205"/>
      <c r="R607" s="205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</row>
    <row r="608">
      <c r="A608" s="122"/>
      <c r="B608" s="204"/>
      <c r="C608" s="204"/>
      <c r="D608" s="204"/>
      <c r="E608" s="205"/>
      <c r="F608" s="205"/>
      <c r="G608" s="205"/>
      <c r="H608" s="206"/>
      <c r="I608" s="207"/>
      <c r="J608" s="207"/>
      <c r="K608" s="207"/>
      <c r="L608" s="122"/>
      <c r="M608" s="207"/>
      <c r="N608" s="207"/>
      <c r="O608" s="122"/>
      <c r="P608" s="205"/>
      <c r="Q608" s="205"/>
      <c r="R608" s="205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</row>
    <row r="609">
      <c r="A609" s="122"/>
      <c r="B609" s="204"/>
      <c r="C609" s="204"/>
      <c r="D609" s="204"/>
      <c r="E609" s="205"/>
      <c r="F609" s="205"/>
      <c r="G609" s="205"/>
      <c r="H609" s="206"/>
      <c r="I609" s="207"/>
      <c r="J609" s="207"/>
      <c r="K609" s="207"/>
      <c r="L609" s="122"/>
      <c r="M609" s="207"/>
      <c r="N609" s="207"/>
      <c r="O609" s="122"/>
      <c r="P609" s="205"/>
      <c r="Q609" s="205"/>
      <c r="R609" s="205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</row>
    <row r="610">
      <c r="A610" s="122"/>
      <c r="B610" s="204"/>
      <c r="C610" s="204"/>
      <c r="D610" s="204"/>
      <c r="E610" s="205"/>
      <c r="F610" s="205"/>
      <c r="G610" s="205"/>
      <c r="H610" s="206"/>
      <c r="I610" s="207"/>
      <c r="J610" s="207"/>
      <c r="K610" s="207"/>
      <c r="L610" s="122"/>
      <c r="M610" s="207"/>
      <c r="N610" s="207"/>
      <c r="O610" s="122"/>
      <c r="P610" s="205"/>
      <c r="Q610" s="205"/>
      <c r="R610" s="205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</row>
    <row r="611">
      <c r="A611" s="122"/>
      <c r="B611" s="204"/>
      <c r="C611" s="204"/>
      <c r="D611" s="204"/>
      <c r="E611" s="205"/>
      <c r="F611" s="205"/>
      <c r="G611" s="205"/>
      <c r="H611" s="206"/>
      <c r="I611" s="207"/>
      <c r="J611" s="207"/>
      <c r="K611" s="207"/>
      <c r="L611" s="122"/>
      <c r="M611" s="207"/>
      <c r="N611" s="207"/>
      <c r="O611" s="122"/>
      <c r="P611" s="205"/>
      <c r="Q611" s="205"/>
      <c r="R611" s="205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</row>
    <row r="612">
      <c r="A612" s="122"/>
      <c r="B612" s="204"/>
      <c r="C612" s="204"/>
      <c r="D612" s="204"/>
      <c r="E612" s="205"/>
      <c r="F612" s="205"/>
      <c r="G612" s="205"/>
      <c r="H612" s="206"/>
      <c r="I612" s="207"/>
      <c r="J612" s="207"/>
      <c r="K612" s="207"/>
      <c r="L612" s="122"/>
      <c r="M612" s="207"/>
      <c r="N612" s="207"/>
      <c r="O612" s="122"/>
      <c r="P612" s="205"/>
      <c r="Q612" s="205"/>
      <c r="R612" s="205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</row>
    <row r="613">
      <c r="A613" s="122"/>
      <c r="B613" s="204"/>
      <c r="C613" s="204"/>
      <c r="D613" s="204"/>
      <c r="E613" s="205"/>
      <c r="F613" s="205"/>
      <c r="G613" s="205"/>
      <c r="H613" s="206"/>
      <c r="I613" s="207"/>
      <c r="J613" s="207"/>
      <c r="K613" s="207"/>
      <c r="L613" s="122"/>
      <c r="M613" s="207"/>
      <c r="N613" s="207"/>
      <c r="O613" s="122"/>
      <c r="P613" s="205"/>
      <c r="Q613" s="205"/>
      <c r="R613" s="205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</row>
    <row r="614">
      <c r="A614" s="122"/>
      <c r="B614" s="204"/>
      <c r="C614" s="204"/>
      <c r="D614" s="204"/>
      <c r="E614" s="205"/>
      <c r="F614" s="205"/>
      <c r="G614" s="205"/>
      <c r="H614" s="206"/>
      <c r="I614" s="207"/>
      <c r="J614" s="207"/>
      <c r="K614" s="207"/>
      <c r="L614" s="122"/>
      <c r="M614" s="207"/>
      <c r="N614" s="207"/>
      <c r="O614" s="122"/>
      <c r="P614" s="205"/>
      <c r="Q614" s="205"/>
      <c r="R614" s="205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</row>
    <row r="615">
      <c r="A615" s="122"/>
      <c r="B615" s="204"/>
      <c r="C615" s="204"/>
      <c r="D615" s="204"/>
      <c r="E615" s="205"/>
      <c r="F615" s="205"/>
      <c r="G615" s="205"/>
      <c r="H615" s="206"/>
      <c r="I615" s="207"/>
      <c r="J615" s="207"/>
      <c r="K615" s="207"/>
      <c r="L615" s="122"/>
      <c r="M615" s="207"/>
      <c r="N615" s="207"/>
      <c r="O615" s="122"/>
      <c r="P615" s="205"/>
      <c r="Q615" s="205"/>
      <c r="R615" s="205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</row>
    <row r="616">
      <c r="A616" s="122"/>
      <c r="B616" s="204"/>
      <c r="C616" s="204"/>
      <c r="D616" s="204"/>
      <c r="E616" s="205"/>
      <c r="F616" s="205"/>
      <c r="G616" s="205"/>
      <c r="H616" s="206"/>
      <c r="I616" s="207"/>
      <c r="J616" s="207"/>
      <c r="K616" s="207"/>
      <c r="L616" s="122"/>
      <c r="M616" s="207"/>
      <c r="N616" s="207"/>
      <c r="O616" s="122"/>
      <c r="P616" s="205"/>
      <c r="Q616" s="205"/>
      <c r="R616" s="205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</row>
    <row r="617">
      <c r="A617" s="122"/>
      <c r="B617" s="204"/>
      <c r="C617" s="204"/>
      <c r="D617" s="204"/>
      <c r="E617" s="205"/>
      <c r="F617" s="205"/>
      <c r="G617" s="205"/>
      <c r="H617" s="206"/>
      <c r="I617" s="207"/>
      <c r="J617" s="207"/>
      <c r="K617" s="207"/>
      <c r="L617" s="122"/>
      <c r="M617" s="207"/>
      <c r="N617" s="207"/>
      <c r="O617" s="122"/>
      <c r="P617" s="205"/>
      <c r="Q617" s="205"/>
      <c r="R617" s="205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</row>
    <row r="618">
      <c r="A618" s="122"/>
      <c r="B618" s="204"/>
      <c r="C618" s="204"/>
      <c r="D618" s="204"/>
      <c r="E618" s="205"/>
      <c r="F618" s="205"/>
      <c r="G618" s="205"/>
      <c r="H618" s="206"/>
      <c r="I618" s="207"/>
      <c r="J618" s="207"/>
      <c r="K618" s="207"/>
      <c r="L618" s="122"/>
      <c r="M618" s="207"/>
      <c r="N618" s="207"/>
      <c r="O618" s="122"/>
      <c r="P618" s="205"/>
      <c r="Q618" s="205"/>
      <c r="R618" s="205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</row>
    <row r="619">
      <c r="A619" s="122"/>
      <c r="B619" s="204"/>
      <c r="C619" s="204"/>
      <c r="D619" s="204"/>
      <c r="E619" s="205"/>
      <c r="F619" s="205"/>
      <c r="G619" s="205"/>
      <c r="H619" s="206"/>
      <c r="I619" s="207"/>
      <c r="J619" s="207"/>
      <c r="K619" s="207"/>
      <c r="L619" s="122"/>
      <c r="M619" s="207"/>
      <c r="N619" s="207"/>
      <c r="O619" s="122"/>
      <c r="P619" s="205"/>
      <c r="Q619" s="205"/>
      <c r="R619" s="205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</row>
    <row r="620">
      <c r="A620" s="122"/>
      <c r="B620" s="204"/>
      <c r="C620" s="204"/>
      <c r="D620" s="204"/>
      <c r="E620" s="205"/>
      <c r="F620" s="205"/>
      <c r="G620" s="205"/>
      <c r="H620" s="206"/>
      <c r="I620" s="207"/>
      <c r="J620" s="207"/>
      <c r="K620" s="207"/>
      <c r="L620" s="122"/>
      <c r="M620" s="207"/>
      <c r="N620" s="207"/>
      <c r="O620" s="122"/>
      <c r="P620" s="205"/>
      <c r="Q620" s="205"/>
      <c r="R620" s="205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</row>
    <row r="621">
      <c r="A621" s="122"/>
      <c r="B621" s="204"/>
      <c r="C621" s="204"/>
      <c r="D621" s="204"/>
      <c r="E621" s="205"/>
      <c r="F621" s="205"/>
      <c r="G621" s="205"/>
      <c r="H621" s="206"/>
      <c r="I621" s="207"/>
      <c r="J621" s="207"/>
      <c r="K621" s="207"/>
      <c r="L621" s="122"/>
      <c r="M621" s="207"/>
      <c r="N621" s="207"/>
      <c r="O621" s="122"/>
      <c r="P621" s="205"/>
      <c r="Q621" s="205"/>
      <c r="R621" s="205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</row>
    <row r="622">
      <c r="A622" s="122"/>
      <c r="B622" s="204"/>
      <c r="C622" s="204"/>
      <c r="D622" s="204"/>
      <c r="E622" s="205"/>
      <c r="F622" s="205"/>
      <c r="G622" s="205"/>
      <c r="H622" s="206"/>
      <c r="I622" s="207"/>
      <c r="J622" s="207"/>
      <c r="K622" s="207"/>
      <c r="L622" s="122"/>
      <c r="M622" s="207"/>
      <c r="N622" s="207"/>
      <c r="O622" s="122"/>
      <c r="P622" s="205"/>
      <c r="Q622" s="205"/>
      <c r="R622" s="205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</row>
    <row r="623">
      <c r="A623" s="122"/>
      <c r="B623" s="204"/>
      <c r="C623" s="204"/>
      <c r="D623" s="204"/>
      <c r="E623" s="205"/>
      <c r="F623" s="205"/>
      <c r="G623" s="205"/>
      <c r="H623" s="206"/>
      <c r="I623" s="207"/>
      <c r="J623" s="207"/>
      <c r="K623" s="207"/>
      <c r="L623" s="122"/>
      <c r="M623" s="207"/>
      <c r="N623" s="207"/>
      <c r="O623" s="122"/>
      <c r="P623" s="205"/>
      <c r="Q623" s="205"/>
      <c r="R623" s="205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</row>
    <row r="624">
      <c r="A624" s="122"/>
      <c r="B624" s="204"/>
      <c r="C624" s="204"/>
      <c r="D624" s="204"/>
      <c r="E624" s="205"/>
      <c r="F624" s="205"/>
      <c r="G624" s="205"/>
      <c r="H624" s="206"/>
      <c r="I624" s="207"/>
      <c r="J624" s="207"/>
      <c r="K624" s="207"/>
      <c r="L624" s="122"/>
      <c r="M624" s="207"/>
      <c r="N624" s="207"/>
      <c r="O624" s="122"/>
      <c r="P624" s="205"/>
      <c r="Q624" s="205"/>
      <c r="R624" s="205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</row>
    <row r="625">
      <c r="A625" s="122"/>
      <c r="B625" s="204"/>
      <c r="C625" s="204"/>
      <c r="D625" s="204"/>
      <c r="E625" s="205"/>
      <c r="F625" s="205"/>
      <c r="G625" s="205"/>
      <c r="H625" s="206"/>
      <c r="I625" s="207"/>
      <c r="J625" s="207"/>
      <c r="K625" s="207"/>
      <c r="L625" s="122"/>
      <c r="M625" s="207"/>
      <c r="N625" s="207"/>
      <c r="O625" s="122"/>
      <c r="P625" s="205"/>
      <c r="Q625" s="205"/>
      <c r="R625" s="205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</row>
    <row r="626">
      <c r="A626" s="122"/>
      <c r="B626" s="204"/>
      <c r="C626" s="204"/>
      <c r="D626" s="204"/>
      <c r="E626" s="205"/>
      <c r="F626" s="205"/>
      <c r="G626" s="205"/>
      <c r="H626" s="206"/>
      <c r="I626" s="207"/>
      <c r="J626" s="207"/>
      <c r="K626" s="207"/>
      <c r="L626" s="122"/>
      <c r="M626" s="207"/>
      <c r="N626" s="207"/>
      <c r="O626" s="122"/>
      <c r="P626" s="205"/>
      <c r="Q626" s="205"/>
      <c r="R626" s="205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</row>
    <row r="627">
      <c r="A627" s="122"/>
      <c r="B627" s="204"/>
      <c r="C627" s="204"/>
      <c r="D627" s="204"/>
      <c r="E627" s="205"/>
      <c r="F627" s="205"/>
      <c r="G627" s="205"/>
      <c r="H627" s="206"/>
      <c r="I627" s="207"/>
      <c r="J627" s="207"/>
      <c r="K627" s="207"/>
      <c r="L627" s="122"/>
      <c r="M627" s="207"/>
      <c r="N627" s="207"/>
      <c r="O627" s="122"/>
      <c r="P627" s="205"/>
      <c r="Q627" s="205"/>
      <c r="R627" s="205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</row>
    <row r="628">
      <c r="A628" s="122"/>
      <c r="B628" s="204"/>
      <c r="C628" s="204"/>
      <c r="D628" s="204"/>
      <c r="E628" s="205"/>
      <c r="F628" s="205"/>
      <c r="G628" s="205"/>
      <c r="H628" s="206"/>
      <c r="I628" s="207"/>
      <c r="J628" s="207"/>
      <c r="K628" s="207"/>
      <c r="L628" s="122"/>
      <c r="M628" s="207"/>
      <c r="N628" s="207"/>
      <c r="O628" s="122"/>
      <c r="P628" s="205"/>
      <c r="Q628" s="205"/>
      <c r="R628" s="205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</row>
    <row r="629">
      <c r="A629" s="122"/>
      <c r="B629" s="204"/>
      <c r="C629" s="204"/>
      <c r="D629" s="204"/>
      <c r="E629" s="205"/>
      <c r="F629" s="205"/>
      <c r="G629" s="205"/>
      <c r="H629" s="206"/>
      <c r="I629" s="207"/>
      <c r="J629" s="207"/>
      <c r="K629" s="207"/>
      <c r="L629" s="122"/>
      <c r="M629" s="207"/>
      <c r="N629" s="207"/>
      <c r="O629" s="122"/>
      <c r="P629" s="205"/>
      <c r="Q629" s="205"/>
      <c r="R629" s="205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</row>
    <row r="630">
      <c r="A630" s="122"/>
      <c r="B630" s="204"/>
      <c r="C630" s="204"/>
      <c r="D630" s="204"/>
      <c r="E630" s="205"/>
      <c r="F630" s="205"/>
      <c r="G630" s="205"/>
      <c r="H630" s="206"/>
      <c r="I630" s="207"/>
      <c r="J630" s="207"/>
      <c r="K630" s="207"/>
      <c r="L630" s="122"/>
      <c r="M630" s="207"/>
      <c r="N630" s="207"/>
      <c r="O630" s="122"/>
      <c r="P630" s="205"/>
      <c r="Q630" s="205"/>
      <c r="R630" s="205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</row>
    <row r="631">
      <c r="A631" s="122"/>
      <c r="B631" s="204"/>
      <c r="C631" s="204"/>
      <c r="D631" s="204"/>
      <c r="E631" s="205"/>
      <c r="F631" s="205"/>
      <c r="G631" s="205"/>
      <c r="H631" s="206"/>
      <c r="I631" s="207"/>
      <c r="J631" s="207"/>
      <c r="K631" s="207"/>
      <c r="L631" s="122"/>
      <c r="M631" s="207"/>
      <c r="N631" s="207"/>
      <c r="O631" s="122"/>
      <c r="P631" s="205"/>
      <c r="Q631" s="205"/>
      <c r="R631" s="205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</row>
    <row r="632">
      <c r="A632" s="122"/>
      <c r="B632" s="204"/>
      <c r="C632" s="204"/>
      <c r="D632" s="204"/>
      <c r="E632" s="205"/>
      <c r="F632" s="205"/>
      <c r="G632" s="205"/>
      <c r="H632" s="206"/>
      <c r="I632" s="207"/>
      <c r="J632" s="207"/>
      <c r="K632" s="207"/>
      <c r="L632" s="122"/>
      <c r="M632" s="207"/>
      <c r="N632" s="207"/>
      <c r="O632" s="122"/>
      <c r="P632" s="205"/>
      <c r="Q632" s="205"/>
      <c r="R632" s="205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</row>
    <row r="633">
      <c r="A633" s="122"/>
      <c r="B633" s="204"/>
      <c r="C633" s="204"/>
      <c r="D633" s="204"/>
      <c r="E633" s="205"/>
      <c r="F633" s="205"/>
      <c r="G633" s="205"/>
      <c r="H633" s="206"/>
      <c r="I633" s="207"/>
      <c r="J633" s="207"/>
      <c r="K633" s="207"/>
      <c r="L633" s="122"/>
      <c r="M633" s="207"/>
      <c r="N633" s="207"/>
      <c r="O633" s="122"/>
      <c r="P633" s="205"/>
      <c r="Q633" s="205"/>
      <c r="R633" s="205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</row>
    <row r="634">
      <c r="A634" s="122"/>
      <c r="B634" s="204"/>
      <c r="C634" s="204"/>
      <c r="D634" s="204"/>
      <c r="E634" s="205"/>
      <c r="F634" s="205"/>
      <c r="G634" s="205"/>
      <c r="H634" s="206"/>
      <c r="I634" s="207"/>
      <c r="J634" s="207"/>
      <c r="K634" s="207"/>
      <c r="L634" s="122"/>
      <c r="M634" s="207"/>
      <c r="N634" s="207"/>
      <c r="O634" s="122"/>
      <c r="P634" s="205"/>
      <c r="Q634" s="205"/>
      <c r="R634" s="205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</row>
    <row r="635">
      <c r="A635" s="122"/>
      <c r="B635" s="204"/>
      <c r="C635" s="204"/>
      <c r="D635" s="204"/>
      <c r="E635" s="205"/>
      <c r="F635" s="205"/>
      <c r="G635" s="205"/>
      <c r="H635" s="206"/>
      <c r="I635" s="207"/>
      <c r="J635" s="207"/>
      <c r="K635" s="207"/>
      <c r="L635" s="122"/>
      <c r="M635" s="207"/>
      <c r="N635" s="207"/>
      <c r="O635" s="122"/>
      <c r="P635" s="205"/>
      <c r="Q635" s="205"/>
      <c r="R635" s="205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</row>
    <row r="636">
      <c r="A636" s="122"/>
      <c r="B636" s="204"/>
      <c r="C636" s="204"/>
      <c r="D636" s="204"/>
      <c r="E636" s="205"/>
      <c r="F636" s="205"/>
      <c r="G636" s="205"/>
      <c r="H636" s="206"/>
      <c r="I636" s="207"/>
      <c r="J636" s="207"/>
      <c r="K636" s="207"/>
      <c r="L636" s="122"/>
      <c r="M636" s="207"/>
      <c r="N636" s="207"/>
      <c r="O636" s="122"/>
      <c r="P636" s="205"/>
      <c r="Q636" s="205"/>
      <c r="R636" s="205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</row>
    <row r="637">
      <c r="A637" s="122"/>
      <c r="B637" s="204"/>
      <c r="C637" s="204"/>
      <c r="D637" s="204"/>
      <c r="E637" s="205"/>
      <c r="F637" s="205"/>
      <c r="G637" s="205"/>
      <c r="H637" s="206"/>
      <c r="I637" s="207"/>
      <c r="J637" s="207"/>
      <c r="K637" s="207"/>
      <c r="L637" s="122"/>
      <c r="M637" s="207"/>
      <c r="N637" s="207"/>
      <c r="O637" s="122"/>
      <c r="P637" s="205"/>
      <c r="Q637" s="205"/>
      <c r="R637" s="205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</row>
    <row r="638">
      <c r="A638" s="122"/>
      <c r="B638" s="204"/>
      <c r="C638" s="204"/>
      <c r="D638" s="204"/>
      <c r="E638" s="205"/>
      <c r="F638" s="205"/>
      <c r="G638" s="205"/>
      <c r="H638" s="206"/>
      <c r="I638" s="207"/>
      <c r="J638" s="207"/>
      <c r="K638" s="207"/>
      <c r="L638" s="122"/>
      <c r="M638" s="207"/>
      <c r="N638" s="207"/>
      <c r="O638" s="122"/>
      <c r="P638" s="205"/>
      <c r="Q638" s="205"/>
      <c r="R638" s="205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</row>
    <row r="639">
      <c r="A639" s="122"/>
      <c r="B639" s="204"/>
      <c r="C639" s="204"/>
      <c r="D639" s="204"/>
      <c r="E639" s="205"/>
      <c r="F639" s="205"/>
      <c r="G639" s="205"/>
      <c r="H639" s="206"/>
      <c r="I639" s="207"/>
      <c r="J639" s="207"/>
      <c r="K639" s="207"/>
      <c r="L639" s="122"/>
      <c r="M639" s="207"/>
      <c r="N639" s="207"/>
      <c r="O639" s="122"/>
      <c r="P639" s="205"/>
      <c r="Q639" s="205"/>
      <c r="R639" s="205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</row>
    <row r="640">
      <c r="A640" s="122"/>
      <c r="B640" s="204"/>
      <c r="C640" s="204"/>
      <c r="D640" s="204"/>
      <c r="E640" s="205"/>
      <c r="F640" s="205"/>
      <c r="G640" s="205"/>
      <c r="H640" s="206"/>
      <c r="I640" s="207"/>
      <c r="J640" s="207"/>
      <c r="K640" s="207"/>
      <c r="L640" s="122"/>
      <c r="M640" s="207"/>
      <c r="N640" s="207"/>
      <c r="O640" s="122"/>
      <c r="P640" s="205"/>
      <c r="Q640" s="205"/>
      <c r="R640" s="205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</row>
    <row r="641">
      <c r="A641" s="122"/>
      <c r="B641" s="204"/>
      <c r="C641" s="204"/>
      <c r="D641" s="204"/>
      <c r="E641" s="205"/>
      <c r="F641" s="205"/>
      <c r="G641" s="205"/>
      <c r="H641" s="206"/>
      <c r="I641" s="207"/>
      <c r="J641" s="207"/>
      <c r="K641" s="207"/>
      <c r="L641" s="122"/>
      <c r="M641" s="207"/>
      <c r="N641" s="207"/>
      <c r="O641" s="122"/>
      <c r="P641" s="205"/>
      <c r="Q641" s="205"/>
      <c r="R641" s="205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</row>
    <row r="642">
      <c r="A642" s="122"/>
      <c r="B642" s="204"/>
      <c r="C642" s="204"/>
      <c r="D642" s="204"/>
      <c r="E642" s="205"/>
      <c r="F642" s="205"/>
      <c r="G642" s="205"/>
      <c r="H642" s="206"/>
      <c r="I642" s="207"/>
      <c r="J642" s="207"/>
      <c r="K642" s="207"/>
      <c r="L642" s="122"/>
      <c r="M642" s="207"/>
      <c r="N642" s="207"/>
      <c r="O642" s="122"/>
      <c r="P642" s="205"/>
      <c r="Q642" s="205"/>
      <c r="R642" s="205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</row>
    <row r="643">
      <c r="A643" s="122"/>
      <c r="B643" s="204"/>
      <c r="C643" s="204"/>
      <c r="D643" s="204"/>
      <c r="E643" s="205"/>
      <c r="F643" s="205"/>
      <c r="G643" s="205"/>
      <c r="H643" s="206"/>
      <c r="I643" s="207"/>
      <c r="J643" s="207"/>
      <c r="K643" s="207"/>
      <c r="L643" s="122"/>
      <c r="M643" s="207"/>
      <c r="N643" s="207"/>
      <c r="O643" s="122"/>
      <c r="P643" s="205"/>
      <c r="Q643" s="205"/>
      <c r="R643" s="205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</row>
    <row r="644">
      <c r="A644" s="122"/>
      <c r="B644" s="204"/>
      <c r="C644" s="204"/>
      <c r="D644" s="204"/>
      <c r="E644" s="205"/>
      <c r="F644" s="205"/>
      <c r="G644" s="205"/>
      <c r="H644" s="206"/>
      <c r="I644" s="207"/>
      <c r="J644" s="207"/>
      <c r="K644" s="207"/>
      <c r="L644" s="122"/>
      <c r="M644" s="207"/>
      <c r="N644" s="207"/>
      <c r="O644" s="122"/>
      <c r="P644" s="205"/>
      <c r="Q644" s="205"/>
      <c r="R644" s="205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</row>
    <row r="645">
      <c r="A645" s="122"/>
      <c r="B645" s="204"/>
      <c r="C645" s="204"/>
      <c r="D645" s="204"/>
      <c r="E645" s="205"/>
      <c r="F645" s="205"/>
      <c r="G645" s="205"/>
      <c r="H645" s="206"/>
      <c r="I645" s="207"/>
      <c r="J645" s="207"/>
      <c r="K645" s="207"/>
      <c r="L645" s="122"/>
      <c r="M645" s="207"/>
      <c r="N645" s="207"/>
      <c r="O645" s="122"/>
      <c r="P645" s="205"/>
      <c r="Q645" s="205"/>
      <c r="R645" s="205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</row>
    <row r="646">
      <c r="A646" s="122"/>
      <c r="B646" s="204"/>
      <c r="C646" s="204"/>
      <c r="D646" s="204"/>
      <c r="E646" s="205"/>
      <c r="F646" s="205"/>
      <c r="G646" s="205"/>
      <c r="H646" s="206"/>
      <c r="I646" s="207"/>
      <c r="J646" s="207"/>
      <c r="K646" s="207"/>
      <c r="L646" s="122"/>
      <c r="M646" s="207"/>
      <c r="N646" s="207"/>
      <c r="O646" s="122"/>
      <c r="P646" s="205"/>
      <c r="Q646" s="205"/>
      <c r="R646" s="205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</row>
    <row r="647">
      <c r="A647" s="122"/>
      <c r="B647" s="204"/>
      <c r="C647" s="204"/>
      <c r="D647" s="204"/>
      <c r="E647" s="205"/>
      <c r="F647" s="205"/>
      <c r="G647" s="205"/>
      <c r="H647" s="206"/>
      <c r="I647" s="207"/>
      <c r="J647" s="207"/>
      <c r="K647" s="207"/>
      <c r="L647" s="122"/>
      <c r="M647" s="207"/>
      <c r="N647" s="207"/>
      <c r="O647" s="122"/>
      <c r="P647" s="205"/>
      <c r="Q647" s="205"/>
      <c r="R647" s="205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</row>
    <row r="648">
      <c r="A648" s="122"/>
      <c r="B648" s="204"/>
      <c r="C648" s="204"/>
      <c r="D648" s="204"/>
      <c r="E648" s="205"/>
      <c r="F648" s="205"/>
      <c r="G648" s="205"/>
      <c r="H648" s="206"/>
      <c r="I648" s="207"/>
      <c r="J648" s="207"/>
      <c r="K648" s="207"/>
      <c r="L648" s="122"/>
      <c r="M648" s="207"/>
      <c r="N648" s="207"/>
      <c r="O648" s="122"/>
      <c r="P648" s="205"/>
      <c r="Q648" s="205"/>
      <c r="R648" s="205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</row>
    <row r="649">
      <c r="A649" s="122"/>
      <c r="B649" s="204"/>
      <c r="C649" s="204"/>
      <c r="D649" s="204"/>
      <c r="E649" s="205"/>
      <c r="F649" s="205"/>
      <c r="G649" s="205"/>
      <c r="H649" s="206"/>
      <c r="I649" s="207"/>
      <c r="J649" s="207"/>
      <c r="K649" s="207"/>
      <c r="L649" s="122"/>
      <c r="M649" s="207"/>
      <c r="N649" s="207"/>
      <c r="O649" s="122"/>
      <c r="P649" s="205"/>
      <c r="Q649" s="205"/>
      <c r="R649" s="205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</row>
    <row r="650">
      <c r="A650" s="122"/>
      <c r="B650" s="204"/>
      <c r="C650" s="204"/>
      <c r="D650" s="204"/>
      <c r="E650" s="205"/>
      <c r="F650" s="205"/>
      <c r="G650" s="205"/>
      <c r="H650" s="206"/>
      <c r="I650" s="207"/>
      <c r="J650" s="207"/>
      <c r="K650" s="207"/>
      <c r="L650" s="122"/>
      <c r="M650" s="207"/>
      <c r="N650" s="207"/>
      <c r="O650" s="122"/>
      <c r="P650" s="205"/>
      <c r="Q650" s="205"/>
      <c r="R650" s="205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</row>
    <row r="651">
      <c r="A651" s="122"/>
      <c r="B651" s="204"/>
      <c r="C651" s="204"/>
      <c r="D651" s="204"/>
      <c r="E651" s="205"/>
      <c r="F651" s="205"/>
      <c r="G651" s="205"/>
      <c r="H651" s="206"/>
      <c r="I651" s="207"/>
      <c r="J651" s="207"/>
      <c r="K651" s="207"/>
      <c r="L651" s="122"/>
      <c r="M651" s="207"/>
      <c r="N651" s="207"/>
      <c r="O651" s="122"/>
      <c r="P651" s="205"/>
      <c r="Q651" s="205"/>
      <c r="R651" s="205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</row>
    <row r="652">
      <c r="A652" s="122"/>
      <c r="B652" s="204"/>
      <c r="C652" s="204"/>
      <c r="D652" s="204"/>
      <c r="E652" s="205"/>
      <c r="F652" s="205"/>
      <c r="G652" s="205"/>
      <c r="H652" s="206"/>
      <c r="I652" s="207"/>
      <c r="J652" s="207"/>
      <c r="K652" s="207"/>
      <c r="L652" s="122"/>
      <c r="M652" s="207"/>
      <c r="N652" s="207"/>
      <c r="O652" s="122"/>
      <c r="P652" s="205"/>
      <c r="Q652" s="205"/>
      <c r="R652" s="205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</row>
    <row r="653">
      <c r="A653" s="122"/>
      <c r="B653" s="204"/>
      <c r="C653" s="204"/>
      <c r="D653" s="204"/>
      <c r="E653" s="205"/>
      <c r="F653" s="205"/>
      <c r="G653" s="205"/>
      <c r="H653" s="206"/>
      <c r="I653" s="207"/>
      <c r="J653" s="207"/>
      <c r="K653" s="207"/>
      <c r="L653" s="122"/>
      <c r="M653" s="207"/>
      <c r="N653" s="207"/>
      <c r="O653" s="122"/>
      <c r="P653" s="205"/>
      <c r="Q653" s="205"/>
      <c r="R653" s="205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</row>
    <row r="654">
      <c r="A654" s="122"/>
      <c r="B654" s="204"/>
      <c r="C654" s="204"/>
      <c r="D654" s="204"/>
      <c r="E654" s="205"/>
      <c r="F654" s="205"/>
      <c r="G654" s="205"/>
      <c r="H654" s="206"/>
      <c r="I654" s="207"/>
      <c r="J654" s="207"/>
      <c r="K654" s="207"/>
      <c r="L654" s="122"/>
      <c r="M654" s="207"/>
      <c r="N654" s="207"/>
      <c r="O654" s="122"/>
      <c r="P654" s="205"/>
      <c r="Q654" s="205"/>
      <c r="R654" s="205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</row>
    <row r="655">
      <c r="A655" s="122"/>
      <c r="B655" s="204"/>
      <c r="C655" s="204"/>
      <c r="D655" s="204"/>
      <c r="E655" s="205"/>
      <c r="F655" s="205"/>
      <c r="G655" s="205"/>
      <c r="H655" s="206"/>
      <c r="I655" s="207"/>
      <c r="J655" s="207"/>
      <c r="K655" s="207"/>
      <c r="L655" s="122"/>
      <c r="M655" s="207"/>
      <c r="N655" s="207"/>
      <c r="O655" s="122"/>
      <c r="P655" s="205"/>
      <c r="Q655" s="205"/>
      <c r="R655" s="205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</row>
    <row r="656">
      <c r="A656" s="122"/>
      <c r="B656" s="204"/>
      <c r="C656" s="204"/>
      <c r="D656" s="204"/>
      <c r="E656" s="205"/>
      <c r="F656" s="205"/>
      <c r="G656" s="205"/>
      <c r="H656" s="206"/>
      <c r="I656" s="207"/>
      <c r="J656" s="207"/>
      <c r="K656" s="207"/>
      <c r="L656" s="122"/>
      <c r="M656" s="207"/>
      <c r="N656" s="207"/>
      <c r="O656" s="122"/>
      <c r="P656" s="205"/>
      <c r="Q656" s="205"/>
      <c r="R656" s="205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</row>
    <row r="657">
      <c r="A657" s="122"/>
      <c r="B657" s="204"/>
      <c r="C657" s="204"/>
      <c r="D657" s="204"/>
      <c r="E657" s="205"/>
      <c r="F657" s="205"/>
      <c r="G657" s="205"/>
      <c r="H657" s="206"/>
      <c r="I657" s="207"/>
      <c r="J657" s="207"/>
      <c r="K657" s="207"/>
      <c r="L657" s="122"/>
      <c r="M657" s="207"/>
      <c r="N657" s="207"/>
      <c r="O657" s="122"/>
      <c r="P657" s="205"/>
      <c r="Q657" s="205"/>
      <c r="R657" s="205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</row>
    <row r="658">
      <c r="A658" s="122"/>
      <c r="B658" s="204"/>
      <c r="C658" s="204"/>
      <c r="D658" s="204"/>
      <c r="E658" s="205"/>
      <c r="F658" s="205"/>
      <c r="G658" s="205"/>
      <c r="H658" s="206"/>
      <c r="I658" s="207"/>
      <c r="J658" s="207"/>
      <c r="K658" s="207"/>
      <c r="L658" s="122"/>
      <c r="M658" s="207"/>
      <c r="N658" s="207"/>
      <c r="O658" s="122"/>
      <c r="P658" s="205"/>
      <c r="Q658" s="205"/>
      <c r="R658" s="205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</row>
    <row r="659">
      <c r="A659" s="122"/>
      <c r="B659" s="204"/>
      <c r="C659" s="204"/>
      <c r="D659" s="204"/>
      <c r="E659" s="205"/>
      <c r="F659" s="205"/>
      <c r="G659" s="205"/>
      <c r="H659" s="206"/>
      <c r="I659" s="207"/>
      <c r="J659" s="207"/>
      <c r="K659" s="207"/>
      <c r="L659" s="122"/>
      <c r="M659" s="207"/>
      <c r="N659" s="207"/>
      <c r="O659" s="122"/>
      <c r="P659" s="205"/>
      <c r="Q659" s="205"/>
      <c r="R659" s="205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</row>
    <row r="660">
      <c r="A660" s="122"/>
      <c r="B660" s="204"/>
      <c r="C660" s="204"/>
      <c r="D660" s="204"/>
      <c r="E660" s="205"/>
      <c r="F660" s="205"/>
      <c r="G660" s="205"/>
      <c r="H660" s="206"/>
      <c r="I660" s="207"/>
      <c r="J660" s="207"/>
      <c r="K660" s="207"/>
      <c r="L660" s="122"/>
      <c r="M660" s="207"/>
      <c r="N660" s="207"/>
      <c r="O660" s="122"/>
      <c r="P660" s="205"/>
      <c r="Q660" s="205"/>
      <c r="R660" s="205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</row>
    <row r="661">
      <c r="A661" s="122"/>
      <c r="B661" s="204"/>
      <c r="C661" s="204"/>
      <c r="D661" s="204"/>
      <c r="E661" s="205"/>
      <c r="F661" s="205"/>
      <c r="G661" s="205"/>
      <c r="H661" s="206"/>
      <c r="I661" s="207"/>
      <c r="J661" s="207"/>
      <c r="K661" s="207"/>
      <c r="L661" s="122"/>
      <c r="M661" s="207"/>
      <c r="N661" s="207"/>
      <c r="O661" s="122"/>
      <c r="P661" s="205"/>
      <c r="Q661" s="205"/>
      <c r="R661" s="205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</row>
    <row r="662">
      <c r="A662" s="122"/>
      <c r="B662" s="204"/>
      <c r="C662" s="204"/>
      <c r="D662" s="204"/>
      <c r="E662" s="205"/>
      <c r="F662" s="205"/>
      <c r="G662" s="205"/>
      <c r="H662" s="206"/>
      <c r="I662" s="207"/>
      <c r="J662" s="207"/>
      <c r="K662" s="207"/>
      <c r="L662" s="122"/>
      <c r="M662" s="207"/>
      <c r="N662" s="207"/>
      <c r="O662" s="122"/>
      <c r="P662" s="205"/>
      <c r="Q662" s="205"/>
      <c r="R662" s="205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</row>
    <row r="663">
      <c r="A663" s="122"/>
      <c r="B663" s="204"/>
      <c r="C663" s="204"/>
      <c r="D663" s="204"/>
      <c r="E663" s="205"/>
      <c r="F663" s="205"/>
      <c r="G663" s="205"/>
      <c r="H663" s="206"/>
      <c r="I663" s="207"/>
      <c r="J663" s="207"/>
      <c r="K663" s="207"/>
      <c r="L663" s="122"/>
      <c r="M663" s="207"/>
      <c r="N663" s="207"/>
      <c r="O663" s="122"/>
      <c r="P663" s="205"/>
      <c r="Q663" s="205"/>
      <c r="R663" s="205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</row>
    <row r="664">
      <c r="A664" s="122"/>
      <c r="B664" s="204"/>
      <c r="C664" s="204"/>
      <c r="D664" s="204"/>
      <c r="E664" s="205"/>
      <c r="F664" s="205"/>
      <c r="G664" s="205"/>
      <c r="H664" s="206"/>
      <c r="I664" s="207"/>
      <c r="J664" s="207"/>
      <c r="K664" s="207"/>
      <c r="L664" s="122"/>
      <c r="M664" s="207"/>
      <c r="N664" s="207"/>
      <c r="O664" s="122"/>
      <c r="P664" s="205"/>
      <c r="Q664" s="205"/>
      <c r="R664" s="205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</row>
    <row r="665">
      <c r="A665" s="122"/>
      <c r="B665" s="204"/>
      <c r="C665" s="204"/>
      <c r="D665" s="204"/>
      <c r="E665" s="205"/>
      <c r="F665" s="205"/>
      <c r="G665" s="205"/>
      <c r="H665" s="206"/>
      <c r="I665" s="207"/>
      <c r="J665" s="207"/>
      <c r="K665" s="207"/>
      <c r="L665" s="122"/>
      <c r="M665" s="207"/>
      <c r="N665" s="207"/>
      <c r="O665" s="122"/>
      <c r="P665" s="205"/>
      <c r="Q665" s="205"/>
      <c r="R665" s="205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</row>
    <row r="666">
      <c r="A666" s="122"/>
      <c r="B666" s="204"/>
      <c r="C666" s="204"/>
      <c r="D666" s="204"/>
      <c r="E666" s="205"/>
      <c r="F666" s="205"/>
      <c r="G666" s="205"/>
      <c r="H666" s="206"/>
      <c r="I666" s="207"/>
      <c r="J666" s="207"/>
      <c r="K666" s="207"/>
      <c r="L666" s="122"/>
      <c r="M666" s="207"/>
      <c r="N666" s="207"/>
      <c r="O666" s="122"/>
      <c r="P666" s="205"/>
      <c r="Q666" s="205"/>
      <c r="R666" s="205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</row>
    <row r="667">
      <c r="A667" s="122"/>
      <c r="B667" s="204"/>
      <c r="C667" s="204"/>
      <c r="D667" s="204"/>
      <c r="E667" s="205"/>
      <c r="F667" s="205"/>
      <c r="G667" s="205"/>
      <c r="H667" s="206"/>
      <c r="I667" s="207"/>
      <c r="J667" s="207"/>
      <c r="K667" s="207"/>
      <c r="L667" s="122"/>
      <c r="M667" s="207"/>
      <c r="N667" s="207"/>
      <c r="O667" s="122"/>
      <c r="P667" s="205"/>
      <c r="Q667" s="205"/>
      <c r="R667" s="205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</row>
    <row r="668">
      <c r="A668" s="122"/>
      <c r="B668" s="204"/>
      <c r="C668" s="204"/>
      <c r="D668" s="204"/>
      <c r="E668" s="205"/>
      <c r="F668" s="205"/>
      <c r="G668" s="205"/>
      <c r="H668" s="206"/>
      <c r="I668" s="207"/>
      <c r="J668" s="207"/>
      <c r="K668" s="207"/>
      <c r="L668" s="122"/>
      <c r="M668" s="207"/>
      <c r="N668" s="207"/>
      <c r="O668" s="122"/>
      <c r="P668" s="205"/>
      <c r="Q668" s="205"/>
      <c r="R668" s="205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</row>
    <row r="669">
      <c r="A669" s="122"/>
      <c r="B669" s="204"/>
      <c r="C669" s="204"/>
      <c r="D669" s="204"/>
      <c r="E669" s="205"/>
      <c r="F669" s="205"/>
      <c r="G669" s="205"/>
      <c r="H669" s="206"/>
      <c r="I669" s="207"/>
      <c r="J669" s="207"/>
      <c r="K669" s="207"/>
      <c r="L669" s="122"/>
      <c r="M669" s="207"/>
      <c r="N669" s="207"/>
      <c r="O669" s="122"/>
      <c r="P669" s="205"/>
      <c r="Q669" s="205"/>
      <c r="R669" s="205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</row>
    <row r="670">
      <c r="A670" s="122"/>
      <c r="B670" s="204"/>
      <c r="C670" s="204"/>
      <c r="D670" s="204"/>
      <c r="E670" s="205"/>
      <c r="F670" s="205"/>
      <c r="G670" s="205"/>
      <c r="H670" s="206"/>
      <c r="I670" s="207"/>
      <c r="J670" s="207"/>
      <c r="K670" s="207"/>
      <c r="L670" s="122"/>
      <c r="M670" s="207"/>
      <c r="N670" s="207"/>
      <c r="O670" s="122"/>
      <c r="P670" s="205"/>
      <c r="Q670" s="205"/>
      <c r="R670" s="205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</row>
    <row r="671">
      <c r="A671" s="122"/>
      <c r="B671" s="204"/>
      <c r="C671" s="204"/>
      <c r="D671" s="204"/>
      <c r="E671" s="205"/>
      <c r="F671" s="205"/>
      <c r="G671" s="205"/>
      <c r="H671" s="206"/>
      <c r="I671" s="207"/>
      <c r="J671" s="207"/>
      <c r="K671" s="207"/>
      <c r="L671" s="122"/>
      <c r="M671" s="207"/>
      <c r="N671" s="207"/>
      <c r="O671" s="122"/>
      <c r="P671" s="205"/>
      <c r="Q671" s="205"/>
      <c r="R671" s="205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</row>
    <row r="672">
      <c r="A672" s="122"/>
      <c r="B672" s="204"/>
      <c r="C672" s="204"/>
      <c r="D672" s="204"/>
      <c r="E672" s="205"/>
      <c r="F672" s="205"/>
      <c r="G672" s="205"/>
      <c r="H672" s="206"/>
      <c r="I672" s="207"/>
      <c r="J672" s="207"/>
      <c r="K672" s="207"/>
      <c r="L672" s="122"/>
      <c r="M672" s="207"/>
      <c r="N672" s="207"/>
      <c r="O672" s="122"/>
      <c r="P672" s="205"/>
      <c r="Q672" s="205"/>
      <c r="R672" s="205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</row>
    <row r="673">
      <c r="A673" s="122"/>
      <c r="B673" s="204"/>
      <c r="C673" s="204"/>
      <c r="D673" s="204"/>
      <c r="E673" s="205"/>
      <c r="F673" s="205"/>
      <c r="G673" s="205"/>
      <c r="H673" s="206"/>
      <c r="I673" s="207"/>
      <c r="J673" s="207"/>
      <c r="K673" s="207"/>
      <c r="L673" s="122"/>
      <c r="M673" s="207"/>
      <c r="N673" s="207"/>
      <c r="O673" s="122"/>
      <c r="P673" s="205"/>
      <c r="Q673" s="205"/>
      <c r="R673" s="205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</row>
    <row r="674">
      <c r="A674" s="122"/>
      <c r="B674" s="204"/>
      <c r="C674" s="204"/>
      <c r="D674" s="204"/>
      <c r="E674" s="205"/>
      <c r="F674" s="205"/>
      <c r="G674" s="205"/>
      <c r="H674" s="206"/>
      <c r="I674" s="207"/>
      <c r="J674" s="207"/>
      <c r="K674" s="207"/>
      <c r="L674" s="122"/>
      <c r="M674" s="207"/>
      <c r="N674" s="207"/>
      <c r="O674" s="122"/>
      <c r="P674" s="205"/>
      <c r="Q674" s="205"/>
      <c r="R674" s="205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</row>
    <row r="675">
      <c r="A675" s="122"/>
      <c r="B675" s="204"/>
      <c r="C675" s="204"/>
      <c r="D675" s="204"/>
      <c r="E675" s="205"/>
      <c r="F675" s="205"/>
      <c r="G675" s="205"/>
      <c r="H675" s="206"/>
      <c r="I675" s="207"/>
      <c r="J675" s="207"/>
      <c r="K675" s="207"/>
      <c r="L675" s="122"/>
      <c r="M675" s="207"/>
      <c r="N675" s="207"/>
      <c r="O675" s="122"/>
      <c r="P675" s="205"/>
      <c r="Q675" s="205"/>
      <c r="R675" s="205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</row>
    <row r="676">
      <c r="A676" s="122"/>
      <c r="B676" s="204"/>
      <c r="C676" s="204"/>
      <c r="D676" s="204"/>
      <c r="E676" s="205"/>
      <c r="F676" s="205"/>
      <c r="G676" s="205"/>
      <c r="H676" s="206"/>
      <c r="I676" s="207"/>
      <c r="J676" s="207"/>
      <c r="K676" s="207"/>
      <c r="L676" s="122"/>
      <c r="M676" s="207"/>
      <c r="N676" s="207"/>
      <c r="O676" s="122"/>
      <c r="P676" s="205"/>
      <c r="Q676" s="205"/>
      <c r="R676" s="205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</row>
    <row r="677">
      <c r="A677" s="122"/>
      <c r="B677" s="204"/>
      <c r="C677" s="204"/>
      <c r="D677" s="204"/>
      <c r="E677" s="205"/>
      <c r="F677" s="205"/>
      <c r="G677" s="205"/>
      <c r="H677" s="206"/>
      <c r="I677" s="207"/>
      <c r="J677" s="207"/>
      <c r="K677" s="207"/>
      <c r="L677" s="122"/>
      <c r="M677" s="207"/>
      <c r="N677" s="207"/>
      <c r="O677" s="122"/>
      <c r="P677" s="205"/>
      <c r="Q677" s="205"/>
      <c r="R677" s="205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</row>
    <row r="678">
      <c r="A678" s="122"/>
      <c r="B678" s="204"/>
      <c r="C678" s="204"/>
      <c r="D678" s="204"/>
      <c r="E678" s="205"/>
      <c r="F678" s="205"/>
      <c r="G678" s="205"/>
      <c r="H678" s="206"/>
      <c r="I678" s="207"/>
      <c r="J678" s="207"/>
      <c r="K678" s="207"/>
      <c r="L678" s="122"/>
      <c r="M678" s="207"/>
      <c r="N678" s="207"/>
      <c r="O678" s="122"/>
      <c r="P678" s="205"/>
      <c r="Q678" s="205"/>
      <c r="R678" s="205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</row>
    <row r="679">
      <c r="A679" s="122"/>
      <c r="B679" s="204"/>
      <c r="C679" s="204"/>
      <c r="D679" s="204"/>
      <c r="E679" s="205"/>
      <c r="F679" s="205"/>
      <c r="G679" s="205"/>
      <c r="H679" s="206"/>
      <c r="I679" s="207"/>
      <c r="J679" s="207"/>
      <c r="K679" s="207"/>
      <c r="L679" s="122"/>
      <c r="M679" s="207"/>
      <c r="N679" s="207"/>
      <c r="O679" s="122"/>
      <c r="P679" s="205"/>
      <c r="Q679" s="205"/>
      <c r="R679" s="205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</row>
    <row r="680">
      <c r="A680" s="122"/>
      <c r="B680" s="204"/>
      <c r="C680" s="204"/>
      <c r="D680" s="204"/>
      <c r="E680" s="205"/>
      <c r="F680" s="205"/>
      <c r="G680" s="205"/>
      <c r="H680" s="206"/>
      <c r="I680" s="207"/>
      <c r="J680" s="207"/>
      <c r="K680" s="207"/>
      <c r="L680" s="122"/>
      <c r="M680" s="207"/>
      <c r="N680" s="207"/>
      <c r="O680" s="122"/>
      <c r="P680" s="205"/>
      <c r="Q680" s="205"/>
      <c r="R680" s="205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</row>
    <row r="681">
      <c r="A681" s="122"/>
      <c r="B681" s="204"/>
      <c r="C681" s="204"/>
      <c r="D681" s="204"/>
      <c r="E681" s="205"/>
      <c r="F681" s="205"/>
      <c r="G681" s="205"/>
      <c r="H681" s="206"/>
      <c r="I681" s="207"/>
      <c r="J681" s="207"/>
      <c r="K681" s="207"/>
      <c r="L681" s="122"/>
      <c r="M681" s="207"/>
      <c r="N681" s="207"/>
      <c r="O681" s="122"/>
      <c r="P681" s="205"/>
      <c r="Q681" s="205"/>
      <c r="R681" s="205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</row>
    <row r="682">
      <c r="A682" s="122"/>
      <c r="B682" s="204"/>
      <c r="C682" s="204"/>
      <c r="D682" s="204"/>
      <c r="E682" s="205"/>
      <c r="F682" s="205"/>
      <c r="G682" s="205"/>
      <c r="H682" s="206"/>
      <c r="I682" s="207"/>
      <c r="J682" s="207"/>
      <c r="K682" s="207"/>
      <c r="L682" s="122"/>
      <c r="M682" s="207"/>
      <c r="N682" s="207"/>
      <c r="O682" s="122"/>
      <c r="P682" s="205"/>
      <c r="Q682" s="205"/>
      <c r="R682" s="205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</row>
    <row r="683">
      <c r="A683" s="122"/>
      <c r="B683" s="204"/>
      <c r="C683" s="204"/>
      <c r="D683" s="204"/>
      <c r="E683" s="205"/>
      <c r="F683" s="205"/>
      <c r="G683" s="205"/>
      <c r="H683" s="206"/>
      <c r="I683" s="207"/>
      <c r="J683" s="207"/>
      <c r="K683" s="207"/>
      <c r="L683" s="122"/>
      <c r="M683" s="207"/>
      <c r="N683" s="207"/>
      <c r="O683" s="122"/>
      <c r="P683" s="205"/>
      <c r="Q683" s="205"/>
      <c r="R683" s="205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</row>
    <row r="684">
      <c r="A684" s="122"/>
      <c r="B684" s="204"/>
      <c r="C684" s="204"/>
      <c r="D684" s="204"/>
      <c r="E684" s="205"/>
      <c r="F684" s="205"/>
      <c r="G684" s="205"/>
      <c r="H684" s="206"/>
      <c r="I684" s="207"/>
      <c r="J684" s="207"/>
      <c r="K684" s="207"/>
      <c r="L684" s="122"/>
      <c r="M684" s="207"/>
      <c r="N684" s="207"/>
      <c r="O684" s="122"/>
      <c r="P684" s="205"/>
      <c r="Q684" s="205"/>
      <c r="R684" s="205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</row>
    <row r="685">
      <c r="A685" s="122"/>
      <c r="B685" s="204"/>
      <c r="C685" s="204"/>
      <c r="D685" s="204"/>
      <c r="E685" s="205"/>
      <c r="F685" s="205"/>
      <c r="G685" s="205"/>
      <c r="H685" s="206"/>
      <c r="I685" s="207"/>
      <c r="J685" s="207"/>
      <c r="K685" s="207"/>
      <c r="L685" s="122"/>
      <c r="M685" s="207"/>
      <c r="N685" s="207"/>
      <c r="O685" s="122"/>
      <c r="P685" s="205"/>
      <c r="Q685" s="205"/>
      <c r="R685" s="205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</row>
    <row r="686">
      <c r="A686" s="122"/>
      <c r="B686" s="204"/>
      <c r="C686" s="204"/>
      <c r="D686" s="204"/>
      <c r="E686" s="205"/>
      <c r="F686" s="205"/>
      <c r="G686" s="205"/>
      <c r="H686" s="206"/>
      <c r="I686" s="207"/>
      <c r="J686" s="207"/>
      <c r="K686" s="207"/>
      <c r="L686" s="122"/>
      <c r="M686" s="207"/>
      <c r="N686" s="207"/>
      <c r="O686" s="122"/>
      <c r="P686" s="205"/>
      <c r="Q686" s="205"/>
      <c r="R686" s="205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</row>
    <row r="687">
      <c r="A687" s="122"/>
      <c r="B687" s="204"/>
      <c r="C687" s="204"/>
      <c r="D687" s="204"/>
      <c r="E687" s="205"/>
      <c r="F687" s="205"/>
      <c r="G687" s="205"/>
      <c r="H687" s="206"/>
      <c r="I687" s="207"/>
      <c r="J687" s="207"/>
      <c r="K687" s="207"/>
      <c r="L687" s="122"/>
      <c r="M687" s="207"/>
      <c r="N687" s="207"/>
      <c r="O687" s="122"/>
      <c r="P687" s="205"/>
      <c r="Q687" s="205"/>
      <c r="R687" s="205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</row>
    <row r="688">
      <c r="A688" s="122"/>
      <c r="B688" s="204"/>
      <c r="C688" s="204"/>
      <c r="D688" s="204"/>
      <c r="E688" s="205"/>
      <c r="F688" s="205"/>
      <c r="G688" s="205"/>
      <c r="H688" s="206"/>
      <c r="I688" s="207"/>
      <c r="J688" s="207"/>
      <c r="K688" s="207"/>
      <c r="L688" s="122"/>
      <c r="M688" s="207"/>
      <c r="N688" s="207"/>
      <c r="O688" s="122"/>
      <c r="P688" s="205"/>
      <c r="Q688" s="205"/>
      <c r="R688" s="205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</row>
    <row r="689">
      <c r="A689" s="122"/>
      <c r="B689" s="204"/>
      <c r="C689" s="204"/>
      <c r="D689" s="204"/>
      <c r="E689" s="205"/>
      <c r="F689" s="205"/>
      <c r="G689" s="205"/>
      <c r="H689" s="206"/>
      <c r="I689" s="207"/>
      <c r="J689" s="207"/>
      <c r="K689" s="207"/>
      <c r="L689" s="122"/>
      <c r="M689" s="207"/>
      <c r="N689" s="207"/>
      <c r="O689" s="122"/>
      <c r="P689" s="205"/>
      <c r="Q689" s="205"/>
      <c r="R689" s="205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</row>
    <row r="690">
      <c r="A690" s="122"/>
      <c r="B690" s="204"/>
      <c r="C690" s="204"/>
      <c r="D690" s="204"/>
      <c r="E690" s="205"/>
      <c r="F690" s="205"/>
      <c r="G690" s="205"/>
      <c r="H690" s="206"/>
      <c r="I690" s="207"/>
      <c r="J690" s="207"/>
      <c r="K690" s="207"/>
      <c r="L690" s="122"/>
      <c r="M690" s="207"/>
      <c r="N690" s="207"/>
      <c r="O690" s="122"/>
      <c r="P690" s="205"/>
      <c r="Q690" s="205"/>
      <c r="R690" s="205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</row>
    <row r="691">
      <c r="A691" s="122"/>
      <c r="B691" s="204"/>
      <c r="C691" s="204"/>
      <c r="D691" s="204"/>
      <c r="E691" s="205"/>
      <c r="F691" s="205"/>
      <c r="G691" s="205"/>
      <c r="H691" s="206"/>
      <c r="I691" s="207"/>
      <c r="J691" s="207"/>
      <c r="K691" s="207"/>
      <c r="L691" s="122"/>
      <c r="M691" s="207"/>
      <c r="N691" s="207"/>
      <c r="O691" s="122"/>
      <c r="P691" s="205"/>
      <c r="Q691" s="205"/>
      <c r="R691" s="205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</row>
    <row r="692">
      <c r="A692" s="122"/>
      <c r="B692" s="204"/>
      <c r="C692" s="204"/>
      <c r="D692" s="204"/>
      <c r="E692" s="205"/>
      <c r="F692" s="205"/>
      <c r="G692" s="205"/>
      <c r="H692" s="206"/>
      <c r="I692" s="207"/>
      <c r="J692" s="207"/>
      <c r="K692" s="207"/>
      <c r="L692" s="122"/>
      <c r="M692" s="207"/>
      <c r="N692" s="207"/>
      <c r="O692" s="122"/>
      <c r="P692" s="205"/>
      <c r="Q692" s="205"/>
      <c r="R692" s="205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</row>
    <row r="693">
      <c r="A693" s="122"/>
      <c r="B693" s="204"/>
      <c r="C693" s="204"/>
      <c r="D693" s="204"/>
      <c r="E693" s="205"/>
      <c r="F693" s="205"/>
      <c r="G693" s="205"/>
      <c r="H693" s="206"/>
      <c r="I693" s="207"/>
      <c r="J693" s="207"/>
      <c r="K693" s="207"/>
      <c r="L693" s="122"/>
      <c r="M693" s="207"/>
      <c r="N693" s="207"/>
      <c r="O693" s="122"/>
      <c r="P693" s="205"/>
      <c r="Q693" s="205"/>
      <c r="R693" s="205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</row>
    <row r="694">
      <c r="A694" s="122"/>
      <c r="B694" s="204"/>
      <c r="C694" s="204"/>
      <c r="D694" s="204"/>
      <c r="E694" s="205"/>
      <c r="F694" s="205"/>
      <c r="G694" s="205"/>
      <c r="H694" s="206"/>
      <c r="I694" s="207"/>
      <c r="J694" s="207"/>
      <c r="K694" s="207"/>
      <c r="L694" s="122"/>
      <c r="M694" s="207"/>
      <c r="N694" s="207"/>
      <c r="O694" s="122"/>
      <c r="P694" s="205"/>
      <c r="Q694" s="205"/>
      <c r="R694" s="205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</row>
    <row r="695">
      <c r="A695" s="122"/>
      <c r="B695" s="204"/>
      <c r="C695" s="204"/>
      <c r="D695" s="204"/>
      <c r="E695" s="205"/>
      <c r="F695" s="205"/>
      <c r="G695" s="205"/>
      <c r="H695" s="206"/>
      <c r="I695" s="207"/>
      <c r="J695" s="207"/>
      <c r="K695" s="207"/>
      <c r="L695" s="122"/>
      <c r="M695" s="207"/>
      <c r="N695" s="207"/>
      <c r="O695" s="122"/>
      <c r="P695" s="205"/>
      <c r="Q695" s="205"/>
      <c r="R695" s="205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</row>
    <row r="696">
      <c r="A696" s="122"/>
      <c r="B696" s="204"/>
      <c r="C696" s="204"/>
      <c r="D696" s="204"/>
      <c r="E696" s="205"/>
      <c r="F696" s="205"/>
      <c r="G696" s="205"/>
      <c r="H696" s="206"/>
      <c r="I696" s="207"/>
      <c r="J696" s="207"/>
      <c r="K696" s="207"/>
      <c r="L696" s="122"/>
      <c r="M696" s="207"/>
      <c r="N696" s="207"/>
      <c r="O696" s="122"/>
      <c r="P696" s="205"/>
      <c r="Q696" s="205"/>
      <c r="R696" s="205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</row>
    <row r="697">
      <c r="A697" s="122"/>
      <c r="B697" s="204"/>
      <c r="C697" s="204"/>
      <c r="D697" s="204"/>
      <c r="E697" s="205"/>
      <c r="F697" s="205"/>
      <c r="G697" s="205"/>
      <c r="H697" s="206"/>
      <c r="I697" s="207"/>
      <c r="J697" s="207"/>
      <c r="K697" s="207"/>
      <c r="L697" s="122"/>
      <c r="M697" s="207"/>
      <c r="N697" s="207"/>
      <c r="O697" s="122"/>
      <c r="P697" s="205"/>
      <c r="Q697" s="205"/>
      <c r="R697" s="205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</row>
    <row r="698">
      <c r="A698" s="122"/>
      <c r="B698" s="204"/>
      <c r="C698" s="204"/>
      <c r="D698" s="204"/>
      <c r="E698" s="205"/>
      <c r="F698" s="205"/>
      <c r="G698" s="205"/>
      <c r="H698" s="206"/>
      <c r="I698" s="207"/>
      <c r="J698" s="207"/>
      <c r="K698" s="207"/>
      <c r="L698" s="122"/>
      <c r="M698" s="207"/>
      <c r="N698" s="207"/>
      <c r="O698" s="122"/>
      <c r="P698" s="205"/>
      <c r="Q698" s="205"/>
      <c r="R698" s="205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</row>
    <row r="699">
      <c r="A699" s="122"/>
      <c r="B699" s="204"/>
      <c r="C699" s="204"/>
      <c r="D699" s="204"/>
      <c r="E699" s="205"/>
      <c r="F699" s="205"/>
      <c r="G699" s="205"/>
      <c r="H699" s="206"/>
      <c r="I699" s="207"/>
      <c r="J699" s="207"/>
      <c r="K699" s="207"/>
      <c r="L699" s="122"/>
      <c r="M699" s="207"/>
      <c r="N699" s="207"/>
      <c r="O699" s="122"/>
      <c r="P699" s="205"/>
      <c r="Q699" s="205"/>
      <c r="R699" s="205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</row>
    <row r="700">
      <c r="A700" s="122"/>
      <c r="B700" s="204"/>
      <c r="C700" s="204"/>
      <c r="D700" s="204"/>
      <c r="E700" s="205"/>
      <c r="F700" s="205"/>
      <c r="G700" s="205"/>
      <c r="H700" s="206"/>
      <c r="I700" s="207"/>
      <c r="J700" s="207"/>
      <c r="K700" s="207"/>
      <c r="L700" s="122"/>
      <c r="M700" s="207"/>
      <c r="N700" s="207"/>
      <c r="O700" s="122"/>
      <c r="P700" s="205"/>
      <c r="Q700" s="205"/>
      <c r="R700" s="205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</row>
    <row r="701">
      <c r="A701" s="122"/>
      <c r="B701" s="204"/>
      <c r="C701" s="204"/>
      <c r="D701" s="204"/>
      <c r="E701" s="205"/>
      <c r="F701" s="205"/>
      <c r="G701" s="205"/>
      <c r="H701" s="206"/>
      <c r="I701" s="207"/>
      <c r="J701" s="207"/>
      <c r="K701" s="207"/>
      <c r="L701" s="122"/>
      <c r="M701" s="207"/>
      <c r="N701" s="207"/>
      <c r="O701" s="122"/>
      <c r="P701" s="205"/>
      <c r="Q701" s="205"/>
      <c r="R701" s="205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</row>
    <row r="702">
      <c r="A702" s="122"/>
      <c r="B702" s="204"/>
      <c r="C702" s="204"/>
      <c r="D702" s="204"/>
      <c r="E702" s="205"/>
      <c r="F702" s="205"/>
      <c r="G702" s="205"/>
      <c r="H702" s="206"/>
      <c r="I702" s="207"/>
      <c r="J702" s="207"/>
      <c r="K702" s="207"/>
      <c r="L702" s="122"/>
      <c r="M702" s="207"/>
      <c r="N702" s="207"/>
      <c r="O702" s="122"/>
      <c r="P702" s="205"/>
      <c r="Q702" s="205"/>
      <c r="R702" s="205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</row>
    <row r="703">
      <c r="A703" s="122"/>
      <c r="B703" s="204"/>
      <c r="C703" s="204"/>
      <c r="D703" s="204"/>
      <c r="E703" s="205"/>
      <c r="F703" s="205"/>
      <c r="G703" s="205"/>
      <c r="H703" s="206"/>
      <c r="I703" s="207"/>
      <c r="J703" s="207"/>
      <c r="K703" s="207"/>
      <c r="L703" s="122"/>
      <c r="M703" s="207"/>
      <c r="N703" s="207"/>
      <c r="O703" s="122"/>
      <c r="P703" s="205"/>
      <c r="Q703" s="205"/>
      <c r="R703" s="205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</row>
    <row r="704">
      <c r="A704" s="122"/>
      <c r="B704" s="204"/>
      <c r="C704" s="204"/>
      <c r="D704" s="204"/>
      <c r="E704" s="205"/>
      <c r="F704" s="205"/>
      <c r="G704" s="205"/>
      <c r="H704" s="206"/>
      <c r="I704" s="207"/>
      <c r="J704" s="207"/>
      <c r="K704" s="207"/>
      <c r="L704" s="122"/>
      <c r="M704" s="207"/>
      <c r="N704" s="207"/>
      <c r="O704" s="122"/>
      <c r="P704" s="205"/>
      <c r="Q704" s="205"/>
      <c r="R704" s="205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</row>
    <row r="705">
      <c r="A705" s="122"/>
      <c r="B705" s="204"/>
      <c r="C705" s="204"/>
      <c r="D705" s="204"/>
      <c r="E705" s="205"/>
      <c r="F705" s="205"/>
      <c r="G705" s="205"/>
      <c r="H705" s="206"/>
      <c r="I705" s="207"/>
      <c r="J705" s="207"/>
      <c r="K705" s="207"/>
      <c r="L705" s="122"/>
      <c r="M705" s="207"/>
      <c r="N705" s="207"/>
      <c r="O705" s="122"/>
      <c r="P705" s="205"/>
      <c r="Q705" s="205"/>
      <c r="R705" s="205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</row>
    <row r="706">
      <c r="A706" s="122"/>
      <c r="B706" s="204"/>
      <c r="C706" s="204"/>
      <c r="D706" s="204"/>
      <c r="E706" s="205"/>
      <c r="F706" s="205"/>
      <c r="G706" s="205"/>
      <c r="H706" s="206"/>
      <c r="I706" s="207"/>
      <c r="J706" s="207"/>
      <c r="K706" s="207"/>
      <c r="L706" s="122"/>
      <c r="M706" s="207"/>
      <c r="N706" s="207"/>
      <c r="O706" s="122"/>
      <c r="P706" s="205"/>
      <c r="Q706" s="205"/>
      <c r="R706" s="205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</row>
    <row r="707">
      <c r="A707" s="122"/>
      <c r="B707" s="204"/>
      <c r="C707" s="204"/>
      <c r="D707" s="204"/>
      <c r="E707" s="205"/>
      <c r="F707" s="205"/>
      <c r="G707" s="205"/>
      <c r="H707" s="206"/>
      <c r="I707" s="207"/>
      <c r="J707" s="207"/>
      <c r="K707" s="207"/>
      <c r="L707" s="122"/>
      <c r="M707" s="207"/>
      <c r="N707" s="207"/>
      <c r="O707" s="122"/>
      <c r="P707" s="205"/>
      <c r="Q707" s="205"/>
      <c r="R707" s="205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</row>
    <row r="708">
      <c r="A708" s="122"/>
      <c r="B708" s="204"/>
      <c r="C708" s="204"/>
      <c r="D708" s="204"/>
      <c r="E708" s="205"/>
      <c r="F708" s="205"/>
      <c r="G708" s="205"/>
      <c r="H708" s="206"/>
      <c r="I708" s="207"/>
      <c r="J708" s="207"/>
      <c r="K708" s="207"/>
      <c r="L708" s="122"/>
      <c r="M708" s="207"/>
      <c r="N708" s="207"/>
      <c r="O708" s="122"/>
      <c r="P708" s="205"/>
      <c r="Q708" s="205"/>
      <c r="R708" s="205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</row>
    <row r="709">
      <c r="A709" s="122"/>
      <c r="B709" s="204"/>
      <c r="C709" s="204"/>
      <c r="D709" s="204"/>
      <c r="E709" s="205"/>
      <c r="F709" s="205"/>
      <c r="G709" s="205"/>
      <c r="H709" s="206"/>
      <c r="I709" s="207"/>
      <c r="J709" s="207"/>
      <c r="K709" s="207"/>
      <c r="L709" s="122"/>
      <c r="M709" s="207"/>
      <c r="N709" s="207"/>
      <c r="O709" s="122"/>
      <c r="P709" s="205"/>
      <c r="Q709" s="205"/>
      <c r="R709" s="205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</row>
    <row r="710">
      <c r="A710" s="122"/>
      <c r="B710" s="204"/>
      <c r="C710" s="204"/>
      <c r="D710" s="204"/>
      <c r="E710" s="205"/>
      <c r="F710" s="205"/>
      <c r="G710" s="205"/>
      <c r="H710" s="206"/>
      <c r="I710" s="207"/>
      <c r="J710" s="207"/>
      <c r="K710" s="207"/>
      <c r="L710" s="122"/>
      <c r="M710" s="207"/>
      <c r="N710" s="207"/>
      <c r="O710" s="122"/>
      <c r="P710" s="205"/>
      <c r="Q710" s="205"/>
      <c r="R710" s="205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</row>
    <row r="711">
      <c r="A711" s="122"/>
      <c r="B711" s="204"/>
      <c r="C711" s="204"/>
      <c r="D711" s="204"/>
      <c r="E711" s="205"/>
      <c r="F711" s="205"/>
      <c r="G711" s="205"/>
      <c r="H711" s="206"/>
      <c r="I711" s="207"/>
      <c r="J711" s="207"/>
      <c r="K711" s="207"/>
      <c r="L711" s="122"/>
      <c r="M711" s="207"/>
      <c r="N711" s="207"/>
      <c r="O711" s="122"/>
      <c r="P711" s="205"/>
      <c r="Q711" s="205"/>
      <c r="R711" s="205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</row>
    <row r="712">
      <c r="A712" s="122"/>
      <c r="B712" s="204"/>
      <c r="C712" s="204"/>
      <c r="D712" s="204"/>
      <c r="E712" s="205"/>
      <c r="F712" s="205"/>
      <c r="G712" s="205"/>
      <c r="H712" s="206"/>
      <c r="I712" s="207"/>
      <c r="J712" s="207"/>
      <c r="K712" s="207"/>
      <c r="L712" s="122"/>
      <c r="M712" s="207"/>
      <c r="N712" s="207"/>
      <c r="O712" s="122"/>
      <c r="P712" s="205"/>
      <c r="Q712" s="205"/>
      <c r="R712" s="205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</row>
    <row r="713">
      <c r="A713" s="122"/>
      <c r="B713" s="204"/>
      <c r="C713" s="204"/>
      <c r="D713" s="204"/>
      <c r="E713" s="205"/>
      <c r="F713" s="205"/>
      <c r="G713" s="205"/>
      <c r="H713" s="206"/>
      <c r="I713" s="207"/>
      <c r="J713" s="207"/>
      <c r="K713" s="207"/>
      <c r="L713" s="122"/>
      <c r="M713" s="207"/>
      <c r="N713" s="207"/>
      <c r="O713" s="122"/>
      <c r="P713" s="205"/>
      <c r="Q713" s="205"/>
      <c r="R713" s="205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</row>
    <row r="714">
      <c r="A714" s="122"/>
      <c r="B714" s="204"/>
      <c r="C714" s="204"/>
      <c r="D714" s="204"/>
      <c r="E714" s="205"/>
      <c r="F714" s="205"/>
      <c r="G714" s="205"/>
      <c r="H714" s="206"/>
      <c r="I714" s="207"/>
      <c r="J714" s="207"/>
      <c r="K714" s="207"/>
      <c r="L714" s="122"/>
      <c r="M714" s="207"/>
      <c r="N714" s="207"/>
      <c r="O714" s="122"/>
      <c r="P714" s="205"/>
      <c r="Q714" s="205"/>
      <c r="R714" s="205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</row>
    <row r="715">
      <c r="A715" s="122"/>
      <c r="B715" s="204"/>
      <c r="C715" s="204"/>
      <c r="D715" s="204"/>
      <c r="E715" s="205"/>
      <c r="F715" s="205"/>
      <c r="G715" s="205"/>
      <c r="H715" s="206"/>
      <c r="I715" s="207"/>
      <c r="J715" s="207"/>
      <c r="K715" s="207"/>
      <c r="L715" s="122"/>
      <c r="M715" s="207"/>
      <c r="N715" s="207"/>
      <c r="O715" s="122"/>
      <c r="P715" s="205"/>
      <c r="Q715" s="205"/>
      <c r="R715" s="205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</row>
    <row r="716">
      <c r="A716" s="122"/>
      <c r="B716" s="204"/>
      <c r="C716" s="204"/>
      <c r="D716" s="204"/>
      <c r="E716" s="205"/>
      <c r="F716" s="205"/>
      <c r="G716" s="205"/>
      <c r="H716" s="206"/>
      <c r="I716" s="207"/>
      <c r="J716" s="207"/>
      <c r="K716" s="207"/>
      <c r="L716" s="122"/>
      <c r="M716" s="207"/>
      <c r="N716" s="207"/>
      <c r="O716" s="122"/>
      <c r="P716" s="205"/>
      <c r="Q716" s="205"/>
      <c r="R716" s="205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</row>
    <row r="717">
      <c r="A717" s="122"/>
      <c r="B717" s="204"/>
      <c r="C717" s="204"/>
      <c r="D717" s="204"/>
      <c r="E717" s="205"/>
      <c r="F717" s="205"/>
      <c r="G717" s="205"/>
      <c r="H717" s="206"/>
      <c r="I717" s="207"/>
      <c r="J717" s="207"/>
      <c r="K717" s="207"/>
      <c r="L717" s="122"/>
      <c r="M717" s="207"/>
      <c r="N717" s="207"/>
      <c r="O717" s="122"/>
      <c r="P717" s="205"/>
      <c r="Q717" s="205"/>
      <c r="R717" s="205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</row>
    <row r="718">
      <c r="A718" s="122"/>
      <c r="B718" s="204"/>
      <c r="C718" s="204"/>
      <c r="D718" s="204"/>
      <c r="E718" s="205"/>
      <c r="F718" s="205"/>
      <c r="G718" s="205"/>
      <c r="H718" s="206"/>
      <c r="I718" s="207"/>
      <c r="J718" s="207"/>
      <c r="K718" s="207"/>
      <c r="L718" s="122"/>
      <c r="M718" s="207"/>
      <c r="N718" s="207"/>
      <c r="O718" s="122"/>
      <c r="P718" s="205"/>
      <c r="Q718" s="205"/>
      <c r="R718" s="205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</row>
    <row r="719">
      <c r="A719" s="122"/>
      <c r="B719" s="204"/>
      <c r="C719" s="204"/>
      <c r="D719" s="204"/>
      <c r="E719" s="205"/>
      <c r="F719" s="205"/>
      <c r="G719" s="205"/>
      <c r="H719" s="206"/>
      <c r="I719" s="207"/>
      <c r="J719" s="207"/>
      <c r="K719" s="207"/>
      <c r="L719" s="122"/>
      <c r="M719" s="207"/>
      <c r="N719" s="207"/>
      <c r="O719" s="122"/>
      <c r="P719" s="205"/>
      <c r="Q719" s="205"/>
      <c r="R719" s="205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</row>
    <row r="720">
      <c r="A720" s="122"/>
      <c r="B720" s="204"/>
      <c r="C720" s="204"/>
      <c r="D720" s="204"/>
      <c r="E720" s="205"/>
      <c r="F720" s="205"/>
      <c r="G720" s="205"/>
      <c r="H720" s="206"/>
      <c r="I720" s="207"/>
      <c r="J720" s="207"/>
      <c r="K720" s="207"/>
      <c r="L720" s="122"/>
      <c r="M720" s="207"/>
      <c r="N720" s="207"/>
      <c r="O720" s="122"/>
      <c r="P720" s="205"/>
      <c r="Q720" s="205"/>
      <c r="R720" s="205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</row>
    <row r="721">
      <c r="A721" s="122"/>
      <c r="B721" s="204"/>
      <c r="C721" s="204"/>
      <c r="D721" s="204"/>
      <c r="E721" s="205"/>
      <c r="F721" s="205"/>
      <c r="G721" s="205"/>
      <c r="H721" s="206"/>
      <c r="I721" s="207"/>
      <c r="J721" s="207"/>
      <c r="K721" s="207"/>
      <c r="L721" s="122"/>
      <c r="M721" s="207"/>
      <c r="N721" s="207"/>
      <c r="O721" s="122"/>
      <c r="P721" s="205"/>
      <c r="Q721" s="205"/>
      <c r="R721" s="205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</row>
    <row r="722">
      <c r="A722" s="122"/>
      <c r="B722" s="204"/>
      <c r="C722" s="204"/>
      <c r="D722" s="204"/>
      <c r="E722" s="205"/>
      <c r="F722" s="205"/>
      <c r="G722" s="205"/>
      <c r="H722" s="206"/>
      <c r="I722" s="207"/>
      <c r="J722" s="207"/>
      <c r="K722" s="207"/>
      <c r="L722" s="122"/>
      <c r="M722" s="207"/>
      <c r="N722" s="207"/>
      <c r="O722" s="122"/>
      <c r="P722" s="205"/>
      <c r="Q722" s="205"/>
      <c r="R722" s="205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</row>
    <row r="723">
      <c r="A723" s="122"/>
      <c r="B723" s="204"/>
      <c r="C723" s="204"/>
      <c r="D723" s="204"/>
      <c r="E723" s="205"/>
      <c r="F723" s="205"/>
      <c r="G723" s="205"/>
      <c r="H723" s="206"/>
      <c r="I723" s="207"/>
      <c r="J723" s="207"/>
      <c r="K723" s="207"/>
      <c r="L723" s="122"/>
      <c r="M723" s="207"/>
      <c r="N723" s="207"/>
      <c r="O723" s="122"/>
      <c r="P723" s="205"/>
      <c r="Q723" s="205"/>
      <c r="R723" s="205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</row>
    <row r="724">
      <c r="A724" s="122"/>
      <c r="B724" s="204"/>
      <c r="C724" s="204"/>
      <c r="D724" s="204"/>
      <c r="E724" s="205"/>
      <c r="F724" s="205"/>
      <c r="G724" s="205"/>
      <c r="H724" s="206"/>
      <c r="I724" s="207"/>
      <c r="J724" s="207"/>
      <c r="K724" s="207"/>
      <c r="L724" s="122"/>
      <c r="M724" s="207"/>
      <c r="N724" s="207"/>
      <c r="O724" s="122"/>
      <c r="P724" s="205"/>
      <c r="Q724" s="205"/>
      <c r="R724" s="205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</row>
    <row r="725">
      <c r="A725" s="122"/>
      <c r="B725" s="204"/>
      <c r="C725" s="204"/>
      <c r="D725" s="204"/>
      <c r="E725" s="205"/>
      <c r="F725" s="205"/>
      <c r="G725" s="205"/>
      <c r="H725" s="206"/>
      <c r="I725" s="207"/>
      <c r="J725" s="207"/>
      <c r="K725" s="207"/>
      <c r="L725" s="122"/>
      <c r="M725" s="207"/>
      <c r="N725" s="207"/>
      <c r="O725" s="122"/>
      <c r="P725" s="205"/>
      <c r="Q725" s="205"/>
      <c r="R725" s="205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</row>
    <row r="726">
      <c r="A726" s="122"/>
      <c r="B726" s="204"/>
      <c r="C726" s="204"/>
      <c r="D726" s="204"/>
      <c r="E726" s="205"/>
      <c r="F726" s="205"/>
      <c r="G726" s="205"/>
      <c r="H726" s="206"/>
      <c r="I726" s="207"/>
      <c r="J726" s="207"/>
      <c r="K726" s="207"/>
      <c r="L726" s="122"/>
      <c r="M726" s="207"/>
      <c r="N726" s="207"/>
      <c r="O726" s="122"/>
      <c r="P726" s="205"/>
      <c r="Q726" s="205"/>
      <c r="R726" s="205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</row>
    <row r="727">
      <c r="A727" s="122"/>
      <c r="B727" s="204"/>
      <c r="C727" s="204"/>
      <c r="D727" s="204"/>
      <c r="E727" s="205"/>
      <c r="F727" s="205"/>
      <c r="G727" s="205"/>
      <c r="H727" s="206"/>
      <c r="I727" s="207"/>
      <c r="J727" s="207"/>
      <c r="K727" s="207"/>
      <c r="L727" s="122"/>
      <c r="M727" s="207"/>
      <c r="N727" s="207"/>
      <c r="O727" s="122"/>
      <c r="P727" s="205"/>
      <c r="Q727" s="205"/>
      <c r="R727" s="205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</row>
    <row r="728">
      <c r="A728" s="122"/>
      <c r="B728" s="204"/>
      <c r="C728" s="204"/>
      <c r="D728" s="204"/>
      <c r="E728" s="205"/>
      <c r="F728" s="205"/>
      <c r="G728" s="205"/>
      <c r="H728" s="206"/>
      <c r="I728" s="207"/>
      <c r="J728" s="207"/>
      <c r="K728" s="207"/>
      <c r="L728" s="122"/>
      <c r="M728" s="207"/>
      <c r="N728" s="207"/>
      <c r="O728" s="122"/>
      <c r="P728" s="205"/>
      <c r="Q728" s="205"/>
      <c r="R728" s="205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</row>
    <row r="729">
      <c r="A729" s="122"/>
      <c r="B729" s="204"/>
      <c r="C729" s="204"/>
      <c r="D729" s="204"/>
      <c r="E729" s="205"/>
      <c r="F729" s="205"/>
      <c r="G729" s="205"/>
      <c r="H729" s="206"/>
      <c r="I729" s="207"/>
      <c r="J729" s="207"/>
      <c r="K729" s="207"/>
      <c r="L729" s="122"/>
      <c r="M729" s="207"/>
      <c r="N729" s="207"/>
      <c r="O729" s="122"/>
      <c r="P729" s="205"/>
      <c r="Q729" s="205"/>
      <c r="R729" s="205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</row>
    <row r="730">
      <c r="A730" s="122"/>
      <c r="B730" s="204"/>
      <c r="C730" s="204"/>
      <c r="D730" s="204"/>
      <c r="E730" s="205"/>
      <c r="F730" s="205"/>
      <c r="G730" s="205"/>
      <c r="H730" s="206"/>
      <c r="I730" s="207"/>
      <c r="J730" s="207"/>
      <c r="K730" s="207"/>
      <c r="L730" s="122"/>
      <c r="M730" s="207"/>
      <c r="N730" s="207"/>
      <c r="O730" s="122"/>
      <c r="P730" s="205"/>
      <c r="Q730" s="205"/>
      <c r="R730" s="205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</row>
    <row r="731">
      <c r="A731" s="122"/>
      <c r="B731" s="204"/>
      <c r="C731" s="204"/>
      <c r="D731" s="204"/>
      <c r="E731" s="205"/>
      <c r="F731" s="205"/>
      <c r="G731" s="205"/>
      <c r="H731" s="206"/>
      <c r="I731" s="207"/>
      <c r="J731" s="207"/>
      <c r="K731" s="207"/>
      <c r="L731" s="122"/>
      <c r="M731" s="207"/>
      <c r="N731" s="207"/>
      <c r="O731" s="122"/>
      <c r="P731" s="205"/>
      <c r="Q731" s="205"/>
      <c r="R731" s="205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</row>
    <row r="732">
      <c r="A732" s="122"/>
      <c r="B732" s="204"/>
      <c r="C732" s="204"/>
      <c r="D732" s="204"/>
      <c r="E732" s="205"/>
      <c r="F732" s="205"/>
      <c r="G732" s="205"/>
      <c r="H732" s="206"/>
      <c r="I732" s="207"/>
      <c r="J732" s="207"/>
      <c r="K732" s="207"/>
      <c r="L732" s="122"/>
      <c r="M732" s="207"/>
      <c r="N732" s="207"/>
      <c r="O732" s="122"/>
      <c r="P732" s="205"/>
      <c r="Q732" s="205"/>
      <c r="R732" s="205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</row>
    <row r="733">
      <c r="A733" s="122"/>
      <c r="B733" s="204"/>
      <c r="C733" s="204"/>
      <c r="D733" s="204"/>
      <c r="E733" s="205"/>
      <c r="F733" s="205"/>
      <c r="G733" s="205"/>
      <c r="H733" s="206"/>
      <c r="I733" s="207"/>
      <c r="J733" s="207"/>
      <c r="K733" s="207"/>
      <c r="L733" s="122"/>
      <c r="M733" s="207"/>
      <c r="N733" s="207"/>
      <c r="O733" s="122"/>
      <c r="P733" s="205"/>
      <c r="Q733" s="205"/>
      <c r="R733" s="205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</row>
    <row r="734">
      <c r="A734" s="122"/>
      <c r="B734" s="204"/>
      <c r="C734" s="204"/>
      <c r="D734" s="204"/>
      <c r="E734" s="205"/>
      <c r="F734" s="205"/>
      <c r="G734" s="205"/>
      <c r="H734" s="206"/>
      <c r="I734" s="207"/>
      <c r="J734" s="207"/>
      <c r="K734" s="207"/>
      <c r="L734" s="122"/>
      <c r="M734" s="207"/>
      <c r="N734" s="207"/>
      <c r="O734" s="122"/>
      <c r="P734" s="205"/>
      <c r="Q734" s="205"/>
      <c r="R734" s="205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</row>
    <row r="735">
      <c r="A735" s="122"/>
      <c r="B735" s="204"/>
      <c r="C735" s="204"/>
      <c r="D735" s="204"/>
      <c r="E735" s="205"/>
      <c r="F735" s="205"/>
      <c r="G735" s="205"/>
      <c r="H735" s="206"/>
      <c r="I735" s="207"/>
      <c r="J735" s="207"/>
      <c r="K735" s="207"/>
      <c r="L735" s="122"/>
      <c r="M735" s="207"/>
      <c r="N735" s="207"/>
      <c r="O735" s="122"/>
      <c r="P735" s="205"/>
      <c r="Q735" s="205"/>
      <c r="R735" s="205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</row>
    <row r="736">
      <c r="A736" s="122"/>
      <c r="B736" s="204"/>
      <c r="C736" s="204"/>
      <c r="D736" s="204"/>
      <c r="E736" s="205"/>
      <c r="F736" s="205"/>
      <c r="G736" s="205"/>
      <c r="H736" s="206"/>
      <c r="I736" s="207"/>
      <c r="J736" s="207"/>
      <c r="K736" s="207"/>
      <c r="L736" s="122"/>
      <c r="M736" s="207"/>
      <c r="N736" s="207"/>
      <c r="O736" s="122"/>
      <c r="P736" s="205"/>
      <c r="Q736" s="205"/>
      <c r="R736" s="205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</row>
    <row r="737">
      <c r="A737" s="122"/>
      <c r="B737" s="204"/>
      <c r="C737" s="204"/>
      <c r="D737" s="204"/>
      <c r="E737" s="205"/>
      <c r="F737" s="205"/>
      <c r="G737" s="205"/>
      <c r="H737" s="206"/>
      <c r="I737" s="207"/>
      <c r="J737" s="207"/>
      <c r="K737" s="207"/>
      <c r="L737" s="122"/>
      <c r="M737" s="207"/>
      <c r="N737" s="207"/>
      <c r="O737" s="122"/>
      <c r="P737" s="205"/>
      <c r="Q737" s="205"/>
      <c r="R737" s="205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</row>
    <row r="738">
      <c r="A738" s="122"/>
      <c r="B738" s="204"/>
      <c r="C738" s="204"/>
      <c r="D738" s="204"/>
      <c r="E738" s="205"/>
      <c r="F738" s="205"/>
      <c r="G738" s="205"/>
      <c r="H738" s="206"/>
      <c r="I738" s="207"/>
      <c r="J738" s="207"/>
      <c r="K738" s="207"/>
      <c r="L738" s="122"/>
      <c r="M738" s="207"/>
      <c r="N738" s="207"/>
      <c r="O738" s="122"/>
      <c r="P738" s="205"/>
      <c r="Q738" s="205"/>
      <c r="R738" s="205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</row>
    <row r="739">
      <c r="A739" s="122"/>
      <c r="B739" s="204"/>
      <c r="C739" s="204"/>
      <c r="D739" s="204"/>
      <c r="E739" s="205"/>
      <c r="F739" s="205"/>
      <c r="G739" s="205"/>
      <c r="H739" s="206"/>
      <c r="I739" s="207"/>
      <c r="J739" s="207"/>
      <c r="K739" s="207"/>
      <c r="L739" s="122"/>
      <c r="M739" s="207"/>
      <c r="N739" s="207"/>
      <c r="O739" s="122"/>
      <c r="P739" s="205"/>
      <c r="Q739" s="205"/>
      <c r="R739" s="205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</row>
    <row r="740">
      <c r="A740" s="122"/>
      <c r="B740" s="204"/>
      <c r="C740" s="204"/>
      <c r="D740" s="204"/>
      <c r="E740" s="205"/>
      <c r="F740" s="205"/>
      <c r="G740" s="205"/>
      <c r="H740" s="206"/>
      <c r="I740" s="207"/>
      <c r="J740" s="207"/>
      <c r="K740" s="207"/>
      <c r="L740" s="122"/>
      <c r="M740" s="207"/>
      <c r="N740" s="207"/>
      <c r="O740" s="122"/>
      <c r="P740" s="205"/>
      <c r="Q740" s="205"/>
      <c r="R740" s="205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</row>
    <row r="741">
      <c r="A741" s="122"/>
      <c r="B741" s="204"/>
      <c r="C741" s="204"/>
      <c r="D741" s="204"/>
      <c r="E741" s="205"/>
      <c r="F741" s="205"/>
      <c r="G741" s="205"/>
      <c r="H741" s="206"/>
      <c r="I741" s="207"/>
      <c r="J741" s="207"/>
      <c r="K741" s="207"/>
      <c r="L741" s="122"/>
      <c r="M741" s="207"/>
      <c r="N741" s="207"/>
      <c r="O741" s="122"/>
      <c r="P741" s="205"/>
      <c r="Q741" s="205"/>
      <c r="R741" s="205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</row>
    <row r="742">
      <c r="A742" s="122"/>
      <c r="B742" s="204"/>
      <c r="C742" s="204"/>
      <c r="D742" s="204"/>
      <c r="E742" s="205"/>
      <c r="F742" s="205"/>
      <c r="G742" s="205"/>
      <c r="H742" s="206"/>
      <c r="I742" s="207"/>
      <c r="J742" s="207"/>
      <c r="K742" s="207"/>
      <c r="L742" s="122"/>
      <c r="M742" s="207"/>
      <c r="N742" s="207"/>
      <c r="O742" s="122"/>
      <c r="P742" s="205"/>
      <c r="Q742" s="205"/>
      <c r="R742" s="205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</row>
    <row r="743">
      <c r="A743" s="122"/>
      <c r="B743" s="204"/>
      <c r="C743" s="204"/>
      <c r="D743" s="204"/>
      <c r="E743" s="205"/>
      <c r="F743" s="205"/>
      <c r="G743" s="205"/>
      <c r="H743" s="206"/>
      <c r="I743" s="207"/>
      <c r="J743" s="207"/>
      <c r="K743" s="207"/>
      <c r="L743" s="122"/>
      <c r="M743" s="207"/>
      <c r="N743" s="207"/>
      <c r="O743" s="122"/>
      <c r="P743" s="205"/>
      <c r="Q743" s="205"/>
      <c r="R743" s="205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</row>
    <row r="744">
      <c r="A744" s="122"/>
      <c r="B744" s="204"/>
      <c r="C744" s="204"/>
      <c r="D744" s="204"/>
      <c r="E744" s="205"/>
      <c r="F744" s="205"/>
      <c r="G744" s="205"/>
      <c r="H744" s="206"/>
      <c r="I744" s="207"/>
      <c r="J744" s="207"/>
      <c r="K744" s="207"/>
      <c r="L744" s="122"/>
      <c r="M744" s="207"/>
      <c r="N744" s="207"/>
      <c r="O744" s="122"/>
      <c r="P744" s="205"/>
      <c r="Q744" s="205"/>
      <c r="R744" s="205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</row>
    <row r="745">
      <c r="A745" s="122"/>
      <c r="B745" s="204"/>
      <c r="C745" s="204"/>
      <c r="D745" s="204"/>
      <c r="E745" s="205"/>
      <c r="F745" s="205"/>
      <c r="G745" s="205"/>
      <c r="H745" s="206"/>
      <c r="I745" s="207"/>
      <c r="J745" s="207"/>
      <c r="K745" s="207"/>
      <c r="L745" s="122"/>
      <c r="M745" s="207"/>
      <c r="N745" s="207"/>
      <c r="O745" s="122"/>
      <c r="P745" s="205"/>
      <c r="Q745" s="205"/>
      <c r="R745" s="205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</row>
    <row r="746">
      <c r="A746" s="122"/>
      <c r="B746" s="204"/>
      <c r="C746" s="204"/>
      <c r="D746" s="204"/>
      <c r="E746" s="205"/>
      <c r="F746" s="205"/>
      <c r="G746" s="205"/>
      <c r="H746" s="206"/>
      <c r="I746" s="207"/>
      <c r="J746" s="207"/>
      <c r="K746" s="207"/>
      <c r="L746" s="122"/>
      <c r="M746" s="207"/>
      <c r="N746" s="207"/>
      <c r="O746" s="122"/>
      <c r="P746" s="205"/>
      <c r="Q746" s="205"/>
      <c r="R746" s="205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</row>
    <row r="747">
      <c r="A747" s="122"/>
      <c r="B747" s="204"/>
      <c r="C747" s="204"/>
      <c r="D747" s="204"/>
      <c r="E747" s="205"/>
      <c r="F747" s="205"/>
      <c r="G747" s="205"/>
      <c r="H747" s="206"/>
      <c r="I747" s="207"/>
      <c r="J747" s="207"/>
      <c r="K747" s="207"/>
      <c r="L747" s="122"/>
      <c r="M747" s="207"/>
      <c r="N747" s="207"/>
      <c r="O747" s="122"/>
      <c r="P747" s="205"/>
      <c r="Q747" s="205"/>
      <c r="R747" s="205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</row>
    <row r="748">
      <c r="A748" s="122"/>
      <c r="B748" s="204"/>
      <c r="C748" s="204"/>
      <c r="D748" s="204"/>
      <c r="E748" s="205"/>
      <c r="F748" s="205"/>
      <c r="G748" s="205"/>
      <c r="H748" s="206"/>
      <c r="I748" s="207"/>
      <c r="J748" s="207"/>
      <c r="K748" s="207"/>
      <c r="L748" s="122"/>
      <c r="M748" s="207"/>
      <c r="N748" s="207"/>
      <c r="O748" s="122"/>
      <c r="P748" s="205"/>
      <c r="Q748" s="205"/>
      <c r="R748" s="205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</row>
    <row r="749">
      <c r="A749" s="122"/>
      <c r="B749" s="204"/>
      <c r="C749" s="204"/>
      <c r="D749" s="204"/>
      <c r="E749" s="205"/>
      <c r="F749" s="205"/>
      <c r="G749" s="205"/>
      <c r="H749" s="206"/>
      <c r="I749" s="207"/>
      <c r="J749" s="207"/>
      <c r="K749" s="207"/>
      <c r="L749" s="122"/>
      <c r="M749" s="207"/>
      <c r="N749" s="207"/>
      <c r="O749" s="122"/>
      <c r="P749" s="205"/>
      <c r="Q749" s="205"/>
      <c r="R749" s="205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</row>
    <row r="750">
      <c r="A750" s="122"/>
      <c r="B750" s="204"/>
      <c r="C750" s="204"/>
      <c r="D750" s="204"/>
      <c r="E750" s="205"/>
      <c r="F750" s="205"/>
      <c r="G750" s="205"/>
      <c r="H750" s="206"/>
      <c r="I750" s="207"/>
      <c r="J750" s="207"/>
      <c r="K750" s="207"/>
      <c r="L750" s="122"/>
      <c r="M750" s="207"/>
      <c r="N750" s="207"/>
      <c r="O750" s="122"/>
      <c r="P750" s="205"/>
      <c r="Q750" s="205"/>
      <c r="R750" s="205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</row>
    <row r="751">
      <c r="A751" s="122"/>
      <c r="B751" s="204"/>
      <c r="C751" s="204"/>
      <c r="D751" s="204"/>
      <c r="E751" s="205"/>
      <c r="F751" s="205"/>
      <c r="G751" s="205"/>
      <c r="H751" s="206"/>
      <c r="I751" s="207"/>
      <c r="J751" s="207"/>
      <c r="K751" s="207"/>
      <c r="L751" s="122"/>
      <c r="M751" s="207"/>
      <c r="N751" s="207"/>
      <c r="O751" s="122"/>
      <c r="P751" s="205"/>
      <c r="Q751" s="205"/>
      <c r="R751" s="205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</row>
    <row r="752">
      <c r="A752" s="122"/>
      <c r="B752" s="204"/>
      <c r="C752" s="204"/>
      <c r="D752" s="204"/>
      <c r="E752" s="205"/>
      <c r="F752" s="205"/>
      <c r="G752" s="205"/>
      <c r="H752" s="206"/>
      <c r="I752" s="207"/>
      <c r="J752" s="207"/>
      <c r="K752" s="207"/>
      <c r="L752" s="122"/>
      <c r="M752" s="207"/>
      <c r="N752" s="207"/>
      <c r="O752" s="122"/>
      <c r="P752" s="205"/>
      <c r="Q752" s="205"/>
      <c r="R752" s="205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</row>
    <row r="753">
      <c r="A753" s="122"/>
      <c r="B753" s="204"/>
      <c r="C753" s="204"/>
      <c r="D753" s="204"/>
      <c r="E753" s="205"/>
      <c r="F753" s="205"/>
      <c r="G753" s="205"/>
      <c r="H753" s="206"/>
      <c r="I753" s="207"/>
      <c r="J753" s="207"/>
      <c r="K753" s="207"/>
      <c r="L753" s="122"/>
      <c r="M753" s="207"/>
      <c r="N753" s="207"/>
      <c r="O753" s="122"/>
      <c r="P753" s="205"/>
      <c r="Q753" s="205"/>
      <c r="R753" s="205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</row>
    <row r="754">
      <c r="A754" s="122"/>
      <c r="B754" s="204"/>
      <c r="C754" s="204"/>
      <c r="D754" s="204"/>
      <c r="E754" s="205"/>
      <c r="F754" s="205"/>
      <c r="G754" s="205"/>
      <c r="H754" s="206"/>
      <c r="I754" s="207"/>
      <c r="J754" s="207"/>
      <c r="K754" s="207"/>
      <c r="L754" s="122"/>
      <c r="M754" s="207"/>
      <c r="N754" s="207"/>
      <c r="O754" s="122"/>
      <c r="P754" s="205"/>
      <c r="Q754" s="205"/>
      <c r="R754" s="205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</row>
    <row r="755">
      <c r="A755" s="122"/>
      <c r="B755" s="204"/>
      <c r="C755" s="204"/>
      <c r="D755" s="204"/>
      <c r="E755" s="205"/>
      <c r="F755" s="205"/>
      <c r="G755" s="205"/>
      <c r="H755" s="206"/>
      <c r="I755" s="207"/>
      <c r="J755" s="207"/>
      <c r="K755" s="207"/>
      <c r="L755" s="122"/>
      <c r="M755" s="207"/>
      <c r="N755" s="207"/>
      <c r="O755" s="122"/>
      <c r="P755" s="205"/>
      <c r="Q755" s="205"/>
      <c r="R755" s="205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</row>
    <row r="756">
      <c r="A756" s="122"/>
      <c r="B756" s="204"/>
      <c r="C756" s="204"/>
      <c r="D756" s="204"/>
      <c r="E756" s="205"/>
      <c r="F756" s="205"/>
      <c r="G756" s="205"/>
      <c r="H756" s="206"/>
      <c r="I756" s="207"/>
      <c r="J756" s="207"/>
      <c r="K756" s="207"/>
      <c r="L756" s="122"/>
      <c r="M756" s="207"/>
      <c r="N756" s="207"/>
      <c r="O756" s="122"/>
      <c r="P756" s="205"/>
      <c r="Q756" s="205"/>
      <c r="R756" s="205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</row>
    <row r="757">
      <c r="A757" s="122"/>
      <c r="B757" s="204"/>
      <c r="C757" s="204"/>
      <c r="D757" s="204"/>
      <c r="E757" s="205"/>
      <c r="F757" s="205"/>
      <c r="G757" s="205"/>
      <c r="H757" s="206"/>
      <c r="I757" s="207"/>
      <c r="J757" s="207"/>
      <c r="K757" s="207"/>
      <c r="L757" s="122"/>
      <c r="M757" s="207"/>
      <c r="N757" s="207"/>
      <c r="O757" s="122"/>
      <c r="P757" s="205"/>
      <c r="Q757" s="205"/>
      <c r="R757" s="205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</row>
    <row r="758">
      <c r="A758" s="122"/>
      <c r="B758" s="204"/>
      <c r="C758" s="204"/>
      <c r="D758" s="204"/>
      <c r="E758" s="205"/>
      <c r="F758" s="205"/>
      <c r="G758" s="205"/>
      <c r="H758" s="206"/>
      <c r="I758" s="207"/>
      <c r="J758" s="207"/>
      <c r="K758" s="207"/>
      <c r="L758" s="122"/>
      <c r="M758" s="207"/>
      <c r="N758" s="207"/>
      <c r="O758" s="122"/>
      <c r="P758" s="205"/>
      <c r="Q758" s="205"/>
      <c r="R758" s="205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</row>
    <row r="759">
      <c r="A759" s="122"/>
      <c r="B759" s="204"/>
      <c r="C759" s="204"/>
      <c r="D759" s="204"/>
      <c r="E759" s="205"/>
      <c r="F759" s="205"/>
      <c r="G759" s="205"/>
      <c r="H759" s="206"/>
      <c r="I759" s="207"/>
      <c r="J759" s="207"/>
      <c r="K759" s="207"/>
      <c r="L759" s="122"/>
      <c r="M759" s="207"/>
      <c r="N759" s="207"/>
      <c r="O759" s="122"/>
      <c r="P759" s="205"/>
      <c r="Q759" s="205"/>
      <c r="R759" s="205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</row>
    <row r="760">
      <c r="A760" s="122"/>
      <c r="B760" s="204"/>
      <c r="C760" s="204"/>
      <c r="D760" s="204"/>
      <c r="E760" s="205"/>
      <c r="F760" s="205"/>
      <c r="G760" s="205"/>
      <c r="H760" s="206"/>
      <c r="I760" s="207"/>
      <c r="J760" s="207"/>
      <c r="K760" s="207"/>
      <c r="L760" s="122"/>
      <c r="M760" s="207"/>
      <c r="N760" s="207"/>
      <c r="O760" s="122"/>
      <c r="P760" s="205"/>
      <c r="Q760" s="205"/>
      <c r="R760" s="205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</row>
    <row r="761">
      <c r="A761" s="122"/>
      <c r="B761" s="204"/>
      <c r="C761" s="204"/>
      <c r="D761" s="204"/>
      <c r="E761" s="205"/>
      <c r="F761" s="205"/>
      <c r="G761" s="205"/>
      <c r="H761" s="206"/>
      <c r="I761" s="207"/>
      <c r="J761" s="207"/>
      <c r="K761" s="207"/>
      <c r="L761" s="122"/>
      <c r="M761" s="207"/>
      <c r="N761" s="207"/>
      <c r="O761" s="122"/>
      <c r="P761" s="205"/>
      <c r="Q761" s="205"/>
      <c r="R761" s="205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</row>
    <row r="762">
      <c r="A762" s="122"/>
      <c r="B762" s="204"/>
      <c r="C762" s="204"/>
      <c r="D762" s="204"/>
      <c r="E762" s="205"/>
      <c r="F762" s="205"/>
      <c r="G762" s="205"/>
      <c r="H762" s="206"/>
      <c r="I762" s="207"/>
      <c r="J762" s="207"/>
      <c r="K762" s="207"/>
      <c r="L762" s="122"/>
      <c r="M762" s="207"/>
      <c r="N762" s="207"/>
      <c r="O762" s="122"/>
      <c r="P762" s="205"/>
      <c r="Q762" s="205"/>
      <c r="R762" s="205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</row>
    <row r="763">
      <c r="A763" s="122"/>
      <c r="B763" s="204"/>
      <c r="C763" s="204"/>
      <c r="D763" s="204"/>
      <c r="E763" s="205"/>
      <c r="F763" s="205"/>
      <c r="G763" s="205"/>
      <c r="H763" s="206"/>
      <c r="I763" s="207"/>
      <c r="J763" s="207"/>
      <c r="K763" s="207"/>
      <c r="L763" s="122"/>
      <c r="M763" s="207"/>
      <c r="N763" s="207"/>
      <c r="O763" s="122"/>
      <c r="P763" s="205"/>
      <c r="Q763" s="205"/>
      <c r="R763" s="205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</row>
    <row r="764">
      <c r="A764" s="122"/>
      <c r="B764" s="204"/>
      <c r="C764" s="204"/>
      <c r="D764" s="204"/>
      <c r="E764" s="205"/>
      <c r="F764" s="205"/>
      <c r="G764" s="205"/>
      <c r="H764" s="206"/>
      <c r="I764" s="207"/>
      <c r="J764" s="207"/>
      <c r="K764" s="207"/>
      <c r="L764" s="122"/>
      <c r="M764" s="207"/>
      <c r="N764" s="207"/>
      <c r="O764" s="122"/>
      <c r="P764" s="205"/>
      <c r="Q764" s="205"/>
      <c r="R764" s="205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</row>
    <row r="765">
      <c r="A765" s="122"/>
      <c r="B765" s="204"/>
      <c r="C765" s="204"/>
      <c r="D765" s="204"/>
      <c r="E765" s="205"/>
      <c r="F765" s="205"/>
      <c r="G765" s="205"/>
      <c r="H765" s="206"/>
      <c r="I765" s="207"/>
      <c r="J765" s="207"/>
      <c r="K765" s="207"/>
      <c r="L765" s="122"/>
      <c r="M765" s="207"/>
      <c r="N765" s="207"/>
      <c r="O765" s="122"/>
      <c r="P765" s="205"/>
      <c r="Q765" s="205"/>
      <c r="R765" s="205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</row>
    <row r="766">
      <c r="A766" s="122"/>
      <c r="B766" s="204"/>
      <c r="C766" s="204"/>
      <c r="D766" s="204"/>
      <c r="E766" s="205"/>
      <c r="F766" s="205"/>
      <c r="G766" s="205"/>
      <c r="H766" s="206"/>
      <c r="I766" s="207"/>
      <c r="J766" s="207"/>
      <c r="K766" s="207"/>
      <c r="L766" s="122"/>
      <c r="M766" s="207"/>
      <c r="N766" s="207"/>
      <c r="O766" s="122"/>
      <c r="P766" s="205"/>
      <c r="Q766" s="205"/>
      <c r="R766" s="205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</row>
    <row r="767">
      <c r="A767" s="122"/>
      <c r="B767" s="204"/>
      <c r="C767" s="204"/>
      <c r="D767" s="204"/>
      <c r="E767" s="205"/>
      <c r="F767" s="205"/>
      <c r="G767" s="205"/>
      <c r="H767" s="206"/>
      <c r="I767" s="207"/>
      <c r="J767" s="207"/>
      <c r="K767" s="207"/>
      <c r="L767" s="122"/>
      <c r="M767" s="207"/>
      <c r="N767" s="207"/>
      <c r="O767" s="122"/>
      <c r="P767" s="205"/>
      <c r="Q767" s="205"/>
      <c r="R767" s="205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</row>
    <row r="768">
      <c r="A768" s="122"/>
      <c r="B768" s="204"/>
      <c r="C768" s="204"/>
      <c r="D768" s="204"/>
      <c r="E768" s="205"/>
      <c r="F768" s="205"/>
      <c r="G768" s="205"/>
      <c r="H768" s="206"/>
      <c r="I768" s="207"/>
      <c r="J768" s="207"/>
      <c r="K768" s="207"/>
      <c r="L768" s="122"/>
      <c r="M768" s="207"/>
      <c r="N768" s="207"/>
      <c r="O768" s="122"/>
      <c r="P768" s="205"/>
      <c r="Q768" s="205"/>
      <c r="R768" s="205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</row>
    <row r="769">
      <c r="A769" s="122"/>
      <c r="B769" s="204"/>
      <c r="C769" s="204"/>
      <c r="D769" s="204"/>
      <c r="E769" s="205"/>
      <c r="F769" s="205"/>
      <c r="G769" s="205"/>
      <c r="H769" s="206"/>
      <c r="I769" s="207"/>
      <c r="J769" s="207"/>
      <c r="K769" s="207"/>
      <c r="L769" s="122"/>
      <c r="M769" s="207"/>
      <c r="N769" s="207"/>
      <c r="O769" s="122"/>
      <c r="P769" s="205"/>
      <c r="Q769" s="205"/>
      <c r="R769" s="205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</row>
    <row r="770">
      <c r="A770" s="122"/>
      <c r="B770" s="204"/>
      <c r="C770" s="204"/>
      <c r="D770" s="204"/>
      <c r="E770" s="205"/>
      <c r="F770" s="205"/>
      <c r="G770" s="205"/>
      <c r="H770" s="206"/>
      <c r="I770" s="207"/>
      <c r="J770" s="207"/>
      <c r="K770" s="207"/>
      <c r="L770" s="122"/>
      <c r="M770" s="207"/>
      <c r="N770" s="207"/>
      <c r="O770" s="122"/>
      <c r="P770" s="205"/>
      <c r="Q770" s="205"/>
      <c r="R770" s="205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</row>
    <row r="771">
      <c r="A771" s="122"/>
      <c r="B771" s="204"/>
      <c r="C771" s="204"/>
      <c r="D771" s="204"/>
      <c r="E771" s="205"/>
      <c r="F771" s="205"/>
      <c r="G771" s="205"/>
      <c r="H771" s="206"/>
      <c r="I771" s="207"/>
      <c r="J771" s="207"/>
      <c r="K771" s="207"/>
      <c r="L771" s="122"/>
      <c r="M771" s="207"/>
      <c r="N771" s="207"/>
      <c r="O771" s="122"/>
      <c r="P771" s="205"/>
      <c r="Q771" s="205"/>
      <c r="R771" s="205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</row>
    <row r="772">
      <c r="A772" s="122"/>
      <c r="B772" s="204"/>
      <c r="C772" s="204"/>
      <c r="D772" s="204"/>
      <c r="E772" s="205"/>
      <c r="F772" s="205"/>
      <c r="G772" s="205"/>
      <c r="H772" s="206"/>
      <c r="I772" s="207"/>
      <c r="J772" s="207"/>
      <c r="K772" s="207"/>
      <c r="L772" s="122"/>
      <c r="M772" s="207"/>
      <c r="N772" s="207"/>
      <c r="O772" s="122"/>
      <c r="P772" s="205"/>
      <c r="Q772" s="205"/>
      <c r="R772" s="205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</row>
    <row r="773">
      <c r="A773" s="122"/>
      <c r="B773" s="204"/>
      <c r="C773" s="204"/>
      <c r="D773" s="204"/>
      <c r="E773" s="205"/>
      <c r="F773" s="205"/>
      <c r="G773" s="205"/>
      <c r="H773" s="206"/>
      <c r="I773" s="207"/>
      <c r="J773" s="207"/>
      <c r="K773" s="207"/>
      <c r="L773" s="122"/>
      <c r="M773" s="207"/>
      <c r="N773" s="207"/>
      <c r="O773" s="122"/>
      <c r="P773" s="205"/>
      <c r="Q773" s="205"/>
      <c r="R773" s="205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</row>
    <row r="774">
      <c r="A774" s="122"/>
      <c r="B774" s="204"/>
      <c r="C774" s="204"/>
      <c r="D774" s="204"/>
      <c r="E774" s="205"/>
      <c r="F774" s="205"/>
      <c r="G774" s="205"/>
      <c r="H774" s="206"/>
      <c r="I774" s="207"/>
      <c r="J774" s="207"/>
      <c r="K774" s="207"/>
      <c r="L774" s="122"/>
      <c r="M774" s="207"/>
      <c r="N774" s="207"/>
      <c r="O774" s="122"/>
      <c r="P774" s="205"/>
      <c r="Q774" s="205"/>
      <c r="R774" s="205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</row>
    <row r="775">
      <c r="A775" s="122"/>
      <c r="B775" s="204"/>
      <c r="C775" s="204"/>
      <c r="D775" s="204"/>
      <c r="E775" s="205"/>
      <c r="F775" s="205"/>
      <c r="G775" s="205"/>
      <c r="H775" s="206"/>
      <c r="I775" s="207"/>
      <c r="J775" s="207"/>
      <c r="K775" s="207"/>
      <c r="L775" s="122"/>
      <c r="M775" s="207"/>
      <c r="N775" s="207"/>
      <c r="O775" s="122"/>
      <c r="P775" s="205"/>
      <c r="Q775" s="205"/>
      <c r="R775" s="205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</row>
    <row r="776">
      <c r="A776" s="122"/>
      <c r="B776" s="204"/>
      <c r="C776" s="204"/>
      <c r="D776" s="204"/>
      <c r="E776" s="205"/>
      <c r="F776" s="205"/>
      <c r="G776" s="205"/>
      <c r="H776" s="206"/>
      <c r="I776" s="207"/>
      <c r="J776" s="207"/>
      <c r="K776" s="207"/>
      <c r="L776" s="122"/>
      <c r="M776" s="207"/>
      <c r="N776" s="207"/>
      <c r="O776" s="122"/>
      <c r="P776" s="205"/>
      <c r="Q776" s="205"/>
      <c r="R776" s="205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</row>
    <row r="777">
      <c r="A777" s="122"/>
      <c r="B777" s="204"/>
      <c r="C777" s="204"/>
      <c r="D777" s="204"/>
      <c r="E777" s="205"/>
      <c r="F777" s="205"/>
      <c r="G777" s="205"/>
      <c r="H777" s="206"/>
      <c r="I777" s="207"/>
      <c r="J777" s="207"/>
      <c r="K777" s="207"/>
      <c r="L777" s="122"/>
      <c r="M777" s="207"/>
      <c r="N777" s="207"/>
      <c r="O777" s="122"/>
      <c r="P777" s="205"/>
      <c r="Q777" s="205"/>
      <c r="R777" s="205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</row>
    <row r="778">
      <c r="A778" s="122"/>
      <c r="B778" s="204"/>
      <c r="C778" s="204"/>
      <c r="D778" s="204"/>
      <c r="E778" s="205"/>
      <c r="F778" s="205"/>
      <c r="G778" s="205"/>
      <c r="H778" s="206"/>
      <c r="I778" s="207"/>
      <c r="J778" s="207"/>
      <c r="K778" s="207"/>
      <c r="L778" s="122"/>
      <c r="M778" s="207"/>
      <c r="N778" s="207"/>
      <c r="O778" s="122"/>
      <c r="P778" s="205"/>
      <c r="Q778" s="205"/>
      <c r="R778" s="205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</row>
    <row r="779">
      <c r="A779" s="122"/>
      <c r="B779" s="204"/>
      <c r="C779" s="204"/>
      <c r="D779" s="204"/>
      <c r="E779" s="205"/>
      <c r="F779" s="205"/>
      <c r="G779" s="205"/>
      <c r="H779" s="206"/>
      <c r="I779" s="207"/>
      <c r="J779" s="207"/>
      <c r="K779" s="207"/>
      <c r="L779" s="122"/>
      <c r="M779" s="207"/>
      <c r="N779" s="207"/>
      <c r="O779" s="122"/>
      <c r="P779" s="205"/>
      <c r="Q779" s="205"/>
      <c r="R779" s="205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</row>
    <row r="780">
      <c r="A780" s="122"/>
      <c r="B780" s="204"/>
      <c r="C780" s="204"/>
      <c r="D780" s="204"/>
      <c r="E780" s="205"/>
      <c r="F780" s="205"/>
      <c r="G780" s="205"/>
      <c r="H780" s="206"/>
      <c r="I780" s="207"/>
      <c r="J780" s="207"/>
      <c r="K780" s="207"/>
      <c r="L780" s="122"/>
      <c r="M780" s="207"/>
      <c r="N780" s="207"/>
      <c r="O780" s="122"/>
      <c r="P780" s="205"/>
      <c r="Q780" s="205"/>
      <c r="R780" s="205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</row>
    <row r="781">
      <c r="A781" s="122"/>
      <c r="B781" s="204"/>
      <c r="C781" s="204"/>
      <c r="D781" s="204"/>
      <c r="E781" s="205"/>
      <c r="F781" s="205"/>
      <c r="G781" s="205"/>
      <c r="H781" s="206"/>
      <c r="I781" s="207"/>
      <c r="J781" s="207"/>
      <c r="K781" s="207"/>
      <c r="L781" s="122"/>
      <c r="M781" s="207"/>
      <c r="N781" s="207"/>
      <c r="O781" s="122"/>
      <c r="P781" s="205"/>
      <c r="Q781" s="205"/>
      <c r="R781" s="205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</row>
    <row r="782">
      <c r="A782" s="122"/>
      <c r="B782" s="204"/>
      <c r="C782" s="204"/>
      <c r="D782" s="204"/>
      <c r="E782" s="205"/>
      <c r="F782" s="205"/>
      <c r="G782" s="205"/>
      <c r="H782" s="206"/>
      <c r="I782" s="207"/>
      <c r="J782" s="207"/>
      <c r="K782" s="207"/>
      <c r="L782" s="122"/>
      <c r="M782" s="207"/>
      <c r="N782" s="207"/>
      <c r="O782" s="122"/>
      <c r="P782" s="205"/>
      <c r="Q782" s="205"/>
      <c r="R782" s="205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</row>
    <row r="783">
      <c r="A783" s="122"/>
      <c r="B783" s="204"/>
      <c r="C783" s="204"/>
      <c r="D783" s="204"/>
      <c r="E783" s="205"/>
      <c r="F783" s="205"/>
      <c r="G783" s="205"/>
      <c r="H783" s="206"/>
      <c r="I783" s="207"/>
      <c r="J783" s="207"/>
      <c r="K783" s="207"/>
      <c r="L783" s="122"/>
      <c r="M783" s="207"/>
      <c r="N783" s="207"/>
      <c r="O783" s="122"/>
      <c r="P783" s="205"/>
      <c r="Q783" s="205"/>
      <c r="R783" s="205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</row>
    <row r="784">
      <c r="A784" s="122"/>
      <c r="B784" s="204"/>
      <c r="C784" s="204"/>
      <c r="D784" s="204"/>
      <c r="E784" s="205"/>
      <c r="F784" s="205"/>
      <c r="G784" s="205"/>
      <c r="H784" s="206"/>
      <c r="I784" s="207"/>
      <c r="J784" s="207"/>
      <c r="K784" s="207"/>
      <c r="L784" s="122"/>
      <c r="M784" s="207"/>
      <c r="N784" s="207"/>
      <c r="O784" s="122"/>
      <c r="P784" s="205"/>
      <c r="Q784" s="205"/>
      <c r="R784" s="205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</row>
    <row r="785">
      <c r="A785" s="122"/>
      <c r="B785" s="204"/>
      <c r="C785" s="204"/>
      <c r="D785" s="204"/>
      <c r="E785" s="205"/>
      <c r="F785" s="205"/>
      <c r="G785" s="205"/>
      <c r="H785" s="206"/>
      <c r="I785" s="207"/>
      <c r="J785" s="207"/>
      <c r="K785" s="207"/>
      <c r="L785" s="122"/>
      <c r="M785" s="207"/>
      <c r="N785" s="207"/>
      <c r="O785" s="122"/>
      <c r="P785" s="205"/>
      <c r="Q785" s="205"/>
      <c r="R785" s="205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</row>
    <row r="786">
      <c r="A786" s="122"/>
      <c r="B786" s="204"/>
      <c r="C786" s="204"/>
      <c r="D786" s="204"/>
      <c r="E786" s="205"/>
      <c r="F786" s="205"/>
      <c r="G786" s="205"/>
      <c r="H786" s="206"/>
      <c r="I786" s="207"/>
      <c r="J786" s="207"/>
      <c r="K786" s="207"/>
      <c r="L786" s="122"/>
      <c r="M786" s="207"/>
      <c r="N786" s="207"/>
      <c r="O786" s="122"/>
      <c r="P786" s="205"/>
      <c r="Q786" s="205"/>
      <c r="R786" s="205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</row>
    <row r="787">
      <c r="A787" s="122"/>
      <c r="B787" s="204"/>
      <c r="C787" s="204"/>
      <c r="D787" s="204"/>
      <c r="E787" s="205"/>
      <c r="F787" s="205"/>
      <c r="G787" s="205"/>
      <c r="H787" s="206"/>
      <c r="I787" s="207"/>
      <c r="J787" s="207"/>
      <c r="K787" s="207"/>
      <c r="L787" s="122"/>
      <c r="M787" s="207"/>
      <c r="N787" s="207"/>
      <c r="O787" s="122"/>
      <c r="P787" s="205"/>
      <c r="Q787" s="205"/>
      <c r="R787" s="205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</row>
    <row r="788">
      <c r="A788" s="122"/>
      <c r="B788" s="204"/>
      <c r="C788" s="204"/>
      <c r="D788" s="204"/>
      <c r="E788" s="205"/>
      <c r="F788" s="205"/>
      <c r="G788" s="205"/>
      <c r="H788" s="206"/>
      <c r="I788" s="207"/>
      <c r="J788" s="207"/>
      <c r="K788" s="207"/>
      <c r="L788" s="122"/>
      <c r="M788" s="207"/>
      <c r="N788" s="207"/>
      <c r="O788" s="122"/>
      <c r="P788" s="205"/>
      <c r="Q788" s="205"/>
      <c r="R788" s="205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</row>
    <row r="789">
      <c r="A789" s="122"/>
      <c r="B789" s="204"/>
      <c r="C789" s="204"/>
      <c r="D789" s="204"/>
      <c r="E789" s="205"/>
      <c r="F789" s="205"/>
      <c r="G789" s="205"/>
      <c r="H789" s="206"/>
      <c r="I789" s="207"/>
      <c r="J789" s="207"/>
      <c r="K789" s="207"/>
      <c r="L789" s="122"/>
      <c r="M789" s="207"/>
      <c r="N789" s="207"/>
      <c r="O789" s="122"/>
      <c r="P789" s="205"/>
      <c r="Q789" s="205"/>
      <c r="R789" s="205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</row>
    <row r="790">
      <c r="A790" s="122"/>
      <c r="B790" s="204"/>
      <c r="C790" s="204"/>
      <c r="D790" s="204"/>
      <c r="E790" s="205"/>
      <c r="F790" s="205"/>
      <c r="G790" s="205"/>
      <c r="H790" s="206"/>
      <c r="I790" s="207"/>
      <c r="J790" s="207"/>
      <c r="K790" s="207"/>
      <c r="L790" s="122"/>
      <c r="M790" s="207"/>
      <c r="N790" s="207"/>
      <c r="O790" s="122"/>
      <c r="P790" s="205"/>
      <c r="Q790" s="205"/>
      <c r="R790" s="205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</row>
    <row r="791">
      <c r="A791" s="122"/>
      <c r="B791" s="204"/>
      <c r="C791" s="204"/>
      <c r="D791" s="204"/>
      <c r="E791" s="205"/>
      <c r="F791" s="205"/>
      <c r="G791" s="205"/>
      <c r="H791" s="206"/>
      <c r="I791" s="207"/>
      <c r="J791" s="207"/>
      <c r="K791" s="207"/>
      <c r="L791" s="122"/>
      <c r="M791" s="207"/>
      <c r="N791" s="207"/>
      <c r="O791" s="122"/>
      <c r="P791" s="205"/>
      <c r="Q791" s="205"/>
      <c r="R791" s="205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</row>
    <row r="792">
      <c r="A792" s="122"/>
      <c r="B792" s="204"/>
      <c r="C792" s="204"/>
      <c r="D792" s="204"/>
      <c r="E792" s="205"/>
      <c r="F792" s="205"/>
      <c r="G792" s="205"/>
      <c r="H792" s="206"/>
      <c r="I792" s="207"/>
      <c r="J792" s="207"/>
      <c r="K792" s="207"/>
      <c r="L792" s="122"/>
      <c r="M792" s="207"/>
      <c r="N792" s="207"/>
      <c r="O792" s="122"/>
      <c r="P792" s="205"/>
      <c r="Q792" s="205"/>
      <c r="R792" s="205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</row>
    <row r="793">
      <c r="A793" s="122"/>
      <c r="B793" s="204"/>
      <c r="C793" s="204"/>
      <c r="D793" s="204"/>
      <c r="E793" s="205"/>
      <c r="F793" s="205"/>
      <c r="G793" s="205"/>
      <c r="H793" s="206"/>
      <c r="I793" s="207"/>
      <c r="J793" s="207"/>
      <c r="K793" s="207"/>
      <c r="L793" s="122"/>
      <c r="M793" s="207"/>
      <c r="N793" s="207"/>
      <c r="O793" s="122"/>
      <c r="P793" s="205"/>
      <c r="Q793" s="205"/>
      <c r="R793" s="205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</row>
    <row r="794">
      <c r="A794" s="122"/>
      <c r="B794" s="204"/>
      <c r="C794" s="204"/>
      <c r="D794" s="204"/>
      <c r="E794" s="205"/>
      <c r="F794" s="205"/>
      <c r="G794" s="205"/>
      <c r="H794" s="206"/>
      <c r="I794" s="207"/>
      <c r="J794" s="207"/>
      <c r="K794" s="207"/>
      <c r="L794" s="122"/>
      <c r="M794" s="207"/>
      <c r="N794" s="207"/>
      <c r="O794" s="122"/>
      <c r="P794" s="205"/>
      <c r="Q794" s="205"/>
      <c r="R794" s="205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</row>
    <row r="795">
      <c r="A795" s="122"/>
      <c r="B795" s="204"/>
      <c r="C795" s="204"/>
      <c r="D795" s="204"/>
      <c r="E795" s="205"/>
      <c r="F795" s="205"/>
      <c r="G795" s="205"/>
      <c r="H795" s="206"/>
      <c r="I795" s="207"/>
      <c r="J795" s="207"/>
      <c r="K795" s="207"/>
      <c r="L795" s="122"/>
      <c r="M795" s="207"/>
      <c r="N795" s="207"/>
      <c r="O795" s="122"/>
      <c r="P795" s="205"/>
      <c r="Q795" s="205"/>
      <c r="R795" s="205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</row>
    <row r="796">
      <c r="A796" s="122"/>
      <c r="B796" s="204"/>
      <c r="C796" s="204"/>
      <c r="D796" s="204"/>
      <c r="E796" s="205"/>
      <c r="F796" s="205"/>
      <c r="G796" s="205"/>
      <c r="H796" s="206"/>
      <c r="I796" s="207"/>
      <c r="J796" s="207"/>
      <c r="K796" s="207"/>
      <c r="L796" s="122"/>
      <c r="M796" s="207"/>
      <c r="N796" s="207"/>
      <c r="O796" s="122"/>
      <c r="P796" s="205"/>
      <c r="Q796" s="205"/>
      <c r="R796" s="205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</row>
    <row r="797">
      <c r="A797" s="122"/>
      <c r="B797" s="204"/>
      <c r="C797" s="204"/>
      <c r="D797" s="204"/>
      <c r="E797" s="205"/>
      <c r="F797" s="205"/>
      <c r="G797" s="205"/>
      <c r="H797" s="206"/>
      <c r="I797" s="207"/>
      <c r="J797" s="207"/>
      <c r="K797" s="207"/>
      <c r="L797" s="122"/>
      <c r="M797" s="207"/>
      <c r="N797" s="207"/>
      <c r="O797" s="122"/>
      <c r="P797" s="205"/>
      <c r="Q797" s="205"/>
      <c r="R797" s="205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</row>
    <row r="798">
      <c r="A798" s="122"/>
      <c r="B798" s="204"/>
      <c r="C798" s="204"/>
      <c r="D798" s="204"/>
      <c r="E798" s="205"/>
      <c r="F798" s="205"/>
      <c r="G798" s="205"/>
      <c r="H798" s="206"/>
      <c r="I798" s="207"/>
      <c r="J798" s="207"/>
      <c r="K798" s="207"/>
      <c r="L798" s="122"/>
      <c r="M798" s="207"/>
      <c r="N798" s="207"/>
      <c r="O798" s="122"/>
      <c r="P798" s="205"/>
      <c r="Q798" s="205"/>
      <c r="R798" s="205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</row>
    <row r="799">
      <c r="A799" s="122"/>
      <c r="B799" s="204"/>
      <c r="C799" s="204"/>
      <c r="D799" s="204"/>
      <c r="E799" s="205"/>
      <c r="F799" s="205"/>
      <c r="G799" s="205"/>
      <c r="H799" s="206"/>
      <c r="I799" s="207"/>
      <c r="J799" s="207"/>
      <c r="K799" s="207"/>
      <c r="L799" s="122"/>
      <c r="M799" s="207"/>
      <c r="N799" s="207"/>
      <c r="O799" s="122"/>
      <c r="P799" s="205"/>
      <c r="Q799" s="205"/>
      <c r="R799" s="205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</row>
    <row r="800">
      <c r="A800" s="122"/>
      <c r="B800" s="204"/>
      <c r="C800" s="204"/>
      <c r="D800" s="204"/>
      <c r="E800" s="205"/>
      <c r="F800" s="205"/>
      <c r="G800" s="205"/>
      <c r="H800" s="206"/>
      <c r="I800" s="207"/>
      <c r="J800" s="207"/>
      <c r="K800" s="207"/>
      <c r="L800" s="122"/>
      <c r="M800" s="207"/>
      <c r="N800" s="207"/>
      <c r="O800" s="122"/>
      <c r="P800" s="205"/>
      <c r="Q800" s="205"/>
      <c r="R800" s="205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</row>
    <row r="801">
      <c r="A801" s="122"/>
      <c r="B801" s="204"/>
      <c r="C801" s="204"/>
      <c r="D801" s="204"/>
      <c r="E801" s="205"/>
      <c r="F801" s="205"/>
      <c r="G801" s="205"/>
      <c r="H801" s="206"/>
      <c r="I801" s="207"/>
      <c r="J801" s="207"/>
      <c r="K801" s="207"/>
      <c r="L801" s="122"/>
      <c r="M801" s="207"/>
      <c r="N801" s="207"/>
      <c r="O801" s="122"/>
      <c r="P801" s="205"/>
      <c r="Q801" s="205"/>
      <c r="R801" s="205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</row>
    <row r="802">
      <c r="A802" s="122"/>
      <c r="B802" s="204"/>
      <c r="C802" s="204"/>
      <c r="D802" s="204"/>
      <c r="E802" s="205"/>
      <c r="F802" s="205"/>
      <c r="G802" s="205"/>
      <c r="H802" s="206"/>
      <c r="I802" s="207"/>
      <c r="J802" s="207"/>
      <c r="K802" s="207"/>
      <c r="L802" s="122"/>
      <c r="M802" s="207"/>
      <c r="N802" s="207"/>
      <c r="O802" s="122"/>
      <c r="P802" s="205"/>
      <c r="Q802" s="205"/>
      <c r="R802" s="205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</row>
    <row r="803">
      <c r="A803" s="122"/>
      <c r="B803" s="204"/>
      <c r="C803" s="204"/>
      <c r="D803" s="204"/>
      <c r="E803" s="205"/>
      <c r="F803" s="205"/>
      <c r="G803" s="205"/>
      <c r="H803" s="206"/>
      <c r="I803" s="207"/>
      <c r="J803" s="207"/>
      <c r="K803" s="207"/>
      <c r="L803" s="122"/>
      <c r="M803" s="207"/>
      <c r="N803" s="207"/>
      <c r="O803" s="122"/>
      <c r="P803" s="205"/>
      <c r="Q803" s="205"/>
      <c r="R803" s="205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</row>
    <row r="804">
      <c r="A804" s="122"/>
      <c r="B804" s="204"/>
      <c r="C804" s="204"/>
      <c r="D804" s="204"/>
      <c r="E804" s="205"/>
      <c r="F804" s="205"/>
      <c r="G804" s="205"/>
      <c r="H804" s="206"/>
      <c r="I804" s="207"/>
      <c r="J804" s="207"/>
      <c r="K804" s="207"/>
      <c r="L804" s="122"/>
      <c r="M804" s="207"/>
      <c r="N804" s="207"/>
      <c r="O804" s="122"/>
      <c r="P804" s="205"/>
      <c r="Q804" s="205"/>
      <c r="R804" s="205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</row>
    <row r="805">
      <c r="A805" s="122"/>
      <c r="B805" s="204"/>
      <c r="C805" s="204"/>
      <c r="D805" s="204"/>
      <c r="E805" s="205"/>
      <c r="F805" s="205"/>
      <c r="G805" s="205"/>
      <c r="H805" s="206"/>
      <c r="I805" s="207"/>
      <c r="J805" s="207"/>
      <c r="K805" s="207"/>
      <c r="L805" s="122"/>
      <c r="M805" s="207"/>
      <c r="N805" s="207"/>
      <c r="O805" s="122"/>
      <c r="P805" s="205"/>
      <c r="Q805" s="205"/>
      <c r="R805" s="205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</row>
    <row r="806">
      <c r="A806" s="122"/>
      <c r="B806" s="204"/>
      <c r="C806" s="204"/>
      <c r="D806" s="204"/>
      <c r="E806" s="205"/>
      <c r="F806" s="205"/>
      <c r="G806" s="205"/>
      <c r="H806" s="206"/>
      <c r="I806" s="207"/>
      <c r="J806" s="207"/>
      <c r="K806" s="207"/>
      <c r="L806" s="122"/>
      <c r="M806" s="207"/>
      <c r="N806" s="207"/>
      <c r="O806" s="122"/>
      <c r="P806" s="205"/>
      <c r="Q806" s="205"/>
      <c r="R806" s="205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</row>
    <row r="807">
      <c r="A807" s="122"/>
      <c r="B807" s="204"/>
      <c r="C807" s="204"/>
      <c r="D807" s="204"/>
      <c r="E807" s="205"/>
      <c r="F807" s="205"/>
      <c r="G807" s="205"/>
      <c r="H807" s="206"/>
      <c r="I807" s="207"/>
      <c r="J807" s="207"/>
      <c r="K807" s="207"/>
      <c r="L807" s="122"/>
      <c r="M807" s="207"/>
      <c r="N807" s="207"/>
      <c r="O807" s="122"/>
      <c r="P807" s="205"/>
      <c r="Q807" s="205"/>
      <c r="R807" s="205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</row>
    <row r="808">
      <c r="A808" s="122"/>
      <c r="B808" s="204"/>
      <c r="C808" s="204"/>
      <c r="D808" s="204"/>
      <c r="E808" s="205"/>
      <c r="F808" s="205"/>
      <c r="G808" s="205"/>
      <c r="H808" s="206"/>
      <c r="I808" s="207"/>
      <c r="J808" s="207"/>
      <c r="K808" s="207"/>
      <c r="L808" s="122"/>
      <c r="M808" s="207"/>
      <c r="N808" s="207"/>
      <c r="O808" s="122"/>
      <c r="P808" s="205"/>
      <c r="Q808" s="205"/>
      <c r="R808" s="205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</row>
    <row r="809">
      <c r="A809" s="122"/>
      <c r="B809" s="204"/>
      <c r="C809" s="204"/>
      <c r="D809" s="204"/>
      <c r="E809" s="205"/>
      <c r="F809" s="205"/>
      <c r="G809" s="205"/>
      <c r="H809" s="206"/>
      <c r="I809" s="207"/>
      <c r="J809" s="207"/>
      <c r="K809" s="207"/>
      <c r="L809" s="122"/>
      <c r="M809" s="207"/>
      <c r="N809" s="207"/>
      <c r="O809" s="122"/>
      <c r="P809" s="205"/>
      <c r="Q809" s="205"/>
      <c r="R809" s="205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</row>
    <row r="810">
      <c r="A810" s="122"/>
      <c r="B810" s="204"/>
      <c r="C810" s="204"/>
      <c r="D810" s="204"/>
      <c r="E810" s="205"/>
      <c r="F810" s="205"/>
      <c r="G810" s="205"/>
      <c r="H810" s="206"/>
      <c r="I810" s="207"/>
      <c r="J810" s="207"/>
      <c r="K810" s="207"/>
      <c r="L810" s="122"/>
      <c r="M810" s="207"/>
      <c r="N810" s="207"/>
      <c r="O810" s="122"/>
      <c r="P810" s="205"/>
      <c r="Q810" s="205"/>
      <c r="R810" s="205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</row>
    <row r="811">
      <c r="A811" s="122"/>
      <c r="B811" s="204"/>
      <c r="C811" s="204"/>
      <c r="D811" s="204"/>
      <c r="E811" s="205"/>
      <c r="F811" s="205"/>
      <c r="G811" s="205"/>
      <c r="H811" s="206"/>
      <c r="I811" s="207"/>
      <c r="J811" s="207"/>
      <c r="K811" s="207"/>
      <c r="L811" s="122"/>
      <c r="M811" s="207"/>
      <c r="N811" s="207"/>
      <c r="O811" s="122"/>
      <c r="P811" s="205"/>
      <c r="Q811" s="205"/>
      <c r="R811" s="205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</row>
    <row r="812">
      <c r="A812" s="122"/>
      <c r="B812" s="204"/>
      <c r="C812" s="204"/>
      <c r="D812" s="204"/>
      <c r="E812" s="205"/>
      <c r="F812" s="205"/>
      <c r="G812" s="205"/>
      <c r="H812" s="206"/>
      <c r="I812" s="207"/>
      <c r="J812" s="207"/>
      <c r="K812" s="207"/>
      <c r="L812" s="122"/>
      <c r="M812" s="207"/>
      <c r="N812" s="207"/>
      <c r="O812" s="122"/>
      <c r="P812" s="205"/>
      <c r="Q812" s="205"/>
      <c r="R812" s="205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</row>
    <row r="813">
      <c r="A813" s="122"/>
      <c r="B813" s="204"/>
      <c r="C813" s="204"/>
      <c r="D813" s="204"/>
      <c r="E813" s="205"/>
      <c r="F813" s="205"/>
      <c r="G813" s="205"/>
      <c r="H813" s="206"/>
      <c r="I813" s="207"/>
      <c r="J813" s="207"/>
      <c r="K813" s="207"/>
      <c r="L813" s="122"/>
      <c r="M813" s="207"/>
      <c r="N813" s="207"/>
      <c r="O813" s="122"/>
      <c r="P813" s="205"/>
      <c r="Q813" s="205"/>
      <c r="R813" s="205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</row>
    <row r="814">
      <c r="A814" s="122"/>
      <c r="B814" s="204"/>
      <c r="C814" s="204"/>
      <c r="D814" s="204"/>
      <c r="E814" s="205"/>
      <c r="F814" s="205"/>
      <c r="G814" s="205"/>
      <c r="H814" s="206"/>
      <c r="I814" s="207"/>
      <c r="J814" s="207"/>
      <c r="K814" s="207"/>
      <c r="L814" s="122"/>
      <c r="M814" s="207"/>
      <c r="N814" s="207"/>
      <c r="O814" s="122"/>
      <c r="P814" s="205"/>
      <c r="Q814" s="205"/>
      <c r="R814" s="205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</row>
    <row r="815">
      <c r="A815" s="122"/>
      <c r="B815" s="204"/>
      <c r="C815" s="204"/>
      <c r="D815" s="204"/>
      <c r="E815" s="205"/>
      <c r="F815" s="205"/>
      <c r="G815" s="205"/>
      <c r="H815" s="206"/>
      <c r="I815" s="207"/>
      <c r="J815" s="207"/>
      <c r="K815" s="207"/>
      <c r="L815" s="122"/>
      <c r="M815" s="207"/>
      <c r="N815" s="207"/>
      <c r="O815" s="122"/>
      <c r="P815" s="205"/>
      <c r="Q815" s="205"/>
      <c r="R815" s="205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</row>
    <row r="816">
      <c r="A816" s="122"/>
      <c r="B816" s="204"/>
      <c r="C816" s="204"/>
      <c r="D816" s="204"/>
      <c r="E816" s="205"/>
      <c r="F816" s="205"/>
      <c r="G816" s="205"/>
      <c r="H816" s="206"/>
      <c r="I816" s="207"/>
      <c r="J816" s="207"/>
      <c r="K816" s="207"/>
      <c r="L816" s="122"/>
      <c r="M816" s="207"/>
      <c r="N816" s="207"/>
      <c r="O816" s="122"/>
      <c r="P816" s="205"/>
      <c r="Q816" s="205"/>
      <c r="R816" s="205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</row>
    <row r="817">
      <c r="A817" s="122"/>
      <c r="B817" s="204"/>
      <c r="C817" s="204"/>
      <c r="D817" s="204"/>
      <c r="E817" s="205"/>
      <c r="F817" s="205"/>
      <c r="G817" s="205"/>
      <c r="H817" s="206"/>
      <c r="I817" s="207"/>
      <c r="J817" s="207"/>
      <c r="K817" s="207"/>
      <c r="L817" s="122"/>
      <c r="M817" s="207"/>
      <c r="N817" s="207"/>
      <c r="O817" s="122"/>
      <c r="P817" s="205"/>
      <c r="Q817" s="205"/>
      <c r="R817" s="205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</row>
    <row r="818">
      <c r="A818" s="122"/>
      <c r="B818" s="204"/>
      <c r="C818" s="204"/>
      <c r="D818" s="204"/>
      <c r="E818" s="205"/>
      <c r="F818" s="205"/>
      <c r="G818" s="205"/>
      <c r="H818" s="206"/>
      <c r="I818" s="207"/>
      <c r="J818" s="207"/>
      <c r="K818" s="207"/>
      <c r="L818" s="122"/>
      <c r="M818" s="207"/>
      <c r="N818" s="207"/>
      <c r="O818" s="122"/>
      <c r="P818" s="205"/>
      <c r="Q818" s="205"/>
      <c r="R818" s="205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</row>
    <row r="819">
      <c r="A819" s="122"/>
      <c r="B819" s="204"/>
      <c r="C819" s="204"/>
      <c r="D819" s="204"/>
      <c r="E819" s="205"/>
      <c r="F819" s="205"/>
      <c r="G819" s="205"/>
      <c r="H819" s="206"/>
      <c r="I819" s="207"/>
      <c r="J819" s="207"/>
      <c r="K819" s="207"/>
      <c r="L819" s="122"/>
      <c r="M819" s="207"/>
      <c r="N819" s="207"/>
      <c r="O819" s="122"/>
      <c r="P819" s="205"/>
      <c r="Q819" s="205"/>
      <c r="R819" s="205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</row>
    <row r="820">
      <c r="A820" s="122"/>
      <c r="B820" s="204"/>
      <c r="C820" s="204"/>
      <c r="D820" s="204"/>
      <c r="E820" s="205"/>
      <c r="F820" s="205"/>
      <c r="G820" s="205"/>
      <c r="H820" s="206"/>
      <c r="I820" s="207"/>
      <c r="J820" s="207"/>
      <c r="K820" s="207"/>
      <c r="L820" s="122"/>
      <c r="M820" s="207"/>
      <c r="N820" s="207"/>
      <c r="O820" s="122"/>
      <c r="P820" s="205"/>
      <c r="Q820" s="205"/>
      <c r="R820" s="205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</row>
    <row r="821">
      <c r="A821" s="122"/>
      <c r="B821" s="204"/>
      <c r="C821" s="204"/>
      <c r="D821" s="204"/>
      <c r="E821" s="205"/>
      <c r="F821" s="205"/>
      <c r="G821" s="205"/>
      <c r="H821" s="206"/>
      <c r="I821" s="207"/>
      <c r="J821" s="207"/>
      <c r="K821" s="207"/>
      <c r="L821" s="122"/>
      <c r="M821" s="207"/>
      <c r="N821" s="207"/>
      <c r="O821" s="122"/>
      <c r="P821" s="205"/>
      <c r="Q821" s="205"/>
      <c r="R821" s="205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</row>
    <row r="822">
      <c r="A822" s="122"/>
      <c r="B822" s="204"/>
      <c r="C822" s="204"/>
      <c r="D822" s="204"/>
      <c r="E822" s="205"/>
      <c r="F822" s="205"/>
      <c r="G822" s="205"/>
      <c r="H822" s="206"/>
      <c r="I822" s="207"/>
      <c r="J822" s="207"/>
      <c r="K822" s="207"/>
      <c r="L822" s="122"/>
      <c r="M822" s="207"/>
      <c r="N822" s="207"/>
      <c r="O822" s="122"/>
      <c r="P822" s="205"/>
      <c r="Q822" s="205"/>
      <c r="R822" s="205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</row>
    <row r="823">
      <c r="A823" s="122"/>
      <c r="B823" s="204"/>
      <c r="C823" s="204"/>
      <c r="D823" s="204"/>
      <c r="E823" s="205"/>
      <c r="F823" s="205"/>
      <c r="G823" s="205"/>
      <c r="H823" s="206"/>
      <c r="I823" s="207"/>
      <c r="J823" s="207"/>
      <c r="K823" s="207"/>
      <c r="L823" s="122"/>
      <c r="M823" s="207"/>
      <c r="N823" s="207"/>
      <c r="O823" s="122"/>
      <c r="P823" s="205"/>
      <c r="Q823" s="205"/>
      <c r="R823" s="205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</row>
    <row r="824">
      <c r="A824" s="122"/>
      <c r="B824" s="204"/>
      <c r="C824" s="204"/>
      <c r="D824" s="204"/>
      <c r="E824" s="205"/>
      <c r="F824" s="205"/>
      <c r="G824" s="205"/>
      <c r="H824" s="206"/>
      <c r="I824" s="207"/>
      <c r="J824" s="207"/>
      <c r="K824" s="207"/>
      <c r="L824" s="122"/>
      <c r="M824" s="207"/>
      <c r="N824" s="207"/>
      <c r="O824" s="122"/>
      <c r="P824" s="205"/>
      <c r="Q824" s="205"/>
      <c r="R824" s="205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</row>
    <row r="825">
      <c r="A825" s="122"/>
      <c r="B825" s="204"/>
      <c r="C825" s="204"/>
      <c r="D825" s="204"/>
      <c r="E825" s="205"/>
      <c r="F825" s="205"/>
      <c r="G825" s="205"/>
      <c r="H825" s="206"/>
      <c r="I825" s="207"/>
      <c r="J825" s="207"/>
      <c r="K825" s="207"/>
      <c r="L825" s="122"/>
      <c r="M825" s="207"/>
      <c r="N825" s="207"/>
      <c r="O825" s="122"/>
      <c r="P825" s="205"/>
      <c r="Q825" s="205"/>
      <c r="R825" s="205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</row>
    <row r="826">
      <c r="A826" s="122"/>
      <c r="B826" s="204"/>
      <c r="C826" s="204"/>
      <c r="D826" s="204"/>
      <c r="E826" s="205"/>
      <c r="F826" s="205"/>
      <c r="G826" s="205"/>
      <c r="H826" s="206"/>
      <c r="I826" s="207"/>
      <c r="J826" s="207"/>
      <c r="K826" s="207"/>
      <c r="L826" s="122"/>
      <c r="M826" s="207"/>
      <c r="N826" s="207"/>
      <c r="O826" s="122"/>
      <c r="P826" s="205"/>
      <c r="Q826" s="205"/>
      <c r="R826" s="205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</row>
    <row r="827">
      <c r="A827" s="122"/>
      <c r="B827" s="204"/>
      <c r="C827" s="204"/>
      <c r="D827" s="204"/>
      <c r="E827" s="205"/>
      <c r="F827" s="205"/>
      <c r="G827" s="205"/>
      <c r="H827" s="206"/>
      <c r="I827" s="207"/>
      <c r="J827" s="207"/>
      <c r="K827" s="207"/>
      <c r="L827" s="122"/>
      <c r="M827" s="207"/>
      <c r="N827" s="207"/>
      <c r="O827" s="122"/>
      <c r="P827" s="205"/>
      <c r="Q827" s="205"/>
      <c r="R827" s="205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</row>
    <row r="828">
      <c r="A828" s="122"/>
      <c r="B828" s="204"/>
      <c r="C828" s="204"/>
      <c r="D828" s="204"/>
      <c r="E828" s="205"/>
      <c r="F828" s="205"/>
      <c r="G828" s="205"/>
      <c r="H828" s="206"/>
      <c r="I828" s="207"/>
      <c r="J828" s="207"/>
      <c r="K828" s="207"/>
      <c r="L828" s="122"/>
      <c r="M828" s="207"/>
      <c r="N828" s="207"/>
      <c r="O828" s="122"/>
      <c r="P828" s="205"/>
      <c r="Q828" s="205"/>
      <c r="R828" s="205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</row>
    <row r="829">
      <c r="A829" s="122"/>
      <c r="B829" s="204"/>
      <c r="C829" s="204"/>
      <c r="D829" s="204"/>
      <c r="E829" s="205"/>
      <c r="F829" s="205"/>
      <c r="G829" s="205"/>
      <c r="H829" s="206"/>
      <c r="I829" s="207"/>
      <c r="J829" s="207"/>
      <c r="K829" s="207"/>
      <c r="L829" s="122"/>
      <c r="M829" s="207"/>
      <c r="N829" s="207"/>
      <c r="O829" s="122"/>
      <c r="P829" s="205"/>
      <c r="Q829" s="205"/>
      <c r="R829" s="205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</row>
    <row r="830">
      <c r="A830" s="122"/>
      <c r="B830" s="204"/>
      <c r="C830" s="204"/>
      <c r="D830" s="204"/>
      <c r="E830" s="205"/>
      <c r="F830" s="205"/>
      <c r="G830" s="205"/>
      <c r="H830" s="206"/>
      <c r="I830" s="207"/>
      <c r="J830" s="207"/>
      <c r="K830" s="207"/>
      <c r="L830" s="122"/>
      <c r="M830" s="207"/>
      <c r="N830" s="207"/>
      <c r="O830" s="122"/>
      <c r="P830" s="205"/>
      <c r="Q830" s="205"/>
      <c r="R830" s="205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</row>
    <row r="831">
      <c r="A831" s="122"/>
      <c r="B831" s="204"/>
      <c r="C831" s="204"/>
      <c r="D831" s="204"/>
      <c r="E831" s="205"/>
      <c r="F831" s="205"/>
      <c r="G831" s="205"/>
      <c r="H831" s="206"/>
      <c r="I831" s="207"/>
      <c r="J831" s="207"/>
      <c r="K831" s="207"/>
      <c r="L831" s="122"/>
      <c r="M831" s="207"/>
      <c r="N831" s="207"/>
      <c r="O831" s="122"/>
      <c r="P831" s="205"/>
      <c r="Q831" s="205"/>
      <c r="R831" s="205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</row>
    <row r="832">
      <c r="A832" s="122"/>
      <c r="B832" s="204"/>
      <c r="C832" s="204"/>
      <c r="D832" s="204"/>
      <c r="E832" s="205"/>
      <c r="F832" s="205"/>
      <c r="G832" s="205"/>
      <c r="H832" s="206"/>
      <c r="I832" s="207"/>
      <c r="J832" s="207"/>
      <c r="K832" s="207"/>
      <c r="L832" s="122"/>
      <c r="M832" s="207"/>
      <c r="N832" s="207"/>
      <c r="O832" s="122"/>
      <c r="P832" s="205"/>
      <c r="Q832" s="205"/>
      <c r="R832" s="205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</row>
    <row r="833">
      <c r="A833" s="122"/>
      <c r="B833" s="204"/>
      <c r="C833" s="204"/>
      <c r="D833" s="204"/>
      <c r="E833" s="205"/>
      <c r="F833" s="205"/>
      <c r="G833" s="205"/>
      <c r="H833" s="206"/>
      <c r="I833" s="207"/>
      <c r="J833" s="207"/>
      <c r="K833" s="207"/>
      <c r="L833" s="122"/>
      <c r="M833" s="207"/>
      <c r="N833" s="207"/>
      <c r="O833" s="122"/>
      <c r="P833" s="205"/>
      <c r="Q833" s="205"/>
      <c r="R833" s="205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</row>
    <row r="834">
      <c r="A834" s="122"/>
      <c r="B834" s="204"/>
      <c r="C834" s="204"/>
      <c r="D834" s="204"/>
      <c r="E834" s="205"/>
      <c r="F834" s="205"/>
      <c r="G834" s="205"/>
      <c r="H834" s="206"/>
      <c r="I834" s="207"/>
      <c r="J834" s="207"/>
      <c r="K834" s="207"/>
      <c r="L834" s="122"/>
      <c r="M834" s="207"/>
      <c r="N834" s="207"/>
      <c r="O834" s="122"/>
      <c r="P834" s="205"/>
      <c r="Q834" s="205"/>
      <c r="R834" s="205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</row>
    <row r="835">
      <c r="A835" s="122"/>
      <c r="B835" s="204"/>
      <c r="C835" s="204"/>
      <c r="D835" s="204"/>
      <c r="E835" s="205"/>
      <c r="F835" s="205"/>
      <c r="G835" s="205"/>
      <c r="H835" s="206"/>
      <c r="I835" s="207"/>
      <c r="J835" s="207"/>
      <c r="K835" s="207"/>
      <c r="L835" s="122"/>
      <c r="M835" s="207"/>
      <c r="N835" s="207"/>
      <c r="O835" s="122"/>
      <c r="P835" s="205"/>
      <c r="Q835" s="205"/>
      <c r="R835" s="205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</row>
    <row r="836">
      <c r="A836" s="122"/>
      <c r="B836" s="204"/>
      <c r="C836" s="204"/>
      <c r="D836" s="204"/>
      <c r="E836" s="205"/>
      <c r="F836" s="205"/>
      <c r="G836" s="205"/>
      <c r="H836" s="206"/>
      <c r="I836" s="207"/>
      <c r="J836" s="207"/>
      <c r="K836" s="207"/>
      <c r="L836" s="122"/>
      <c r="M836" s="207"/>
      <c r="N836" s="207"/>
      <c r="O836" s="122"/>
      <c r="P836" s="205"/>
      <c r="Q836" s="205"/>
      <c r="R836" s="205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</row>
    <row r="837">
      <c r="A837" s="122"/>
      <c r="B837" s="204"/>
      <c r="C837" s="204"/>
      <c r="D837" s="204"/>
      <c r="E837" s="205"/>
      <c r="F837" s="205"/>
      <c r="G837" s="205"/>
      <c r="H837" s="206"/>
      <c r="I837" s="207"/>
      <c r="J837" s="207"/>
      <c r="K837" s="207"/>
      <c r="L837" s="122"/>
      <c r="M837" s="207"/>
      <c r="N837" s="207"/>
      <c r="O837" s="122"/>
      <c r="P837" s="205"/>
      <c r="Q837" s="205"/>
      <c r="R837" s="205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</row>
    <row r="838">
      <c r="A838" s="122"/>
      <c r="B838" s="204"/>
      <c r="C838" s="204"/>
      <c r="D838" s="204"/>
      <c r="E838" s="205"/>
      <c r="F838" s="205"/>
      <c r="G838" s="205"/>
      <c r="H838" s="206"/>
      <c r="I838" s="207"/>
      <c r="J838" s="207"/>
      <c r="K838" s="207"/>
      <c r="L838" s="122"/>
      <c r="M838" s="207"/>
      <c r="N838" s="207"/>
      <c r="O838" s="122"/>
      <c r="P838" s="205"/>
      <c r="Q838" s="205"/>
      <c r="R838" s="205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</row>
    <row r="839">
      <c r="A839" s="122"/>
      <c r="B839" s="204"/>
      <c r="C839" s="204"/>
      <c r="D839" s="204"/>
      <c r="E839" s="205"/>
      <c r="F839" s="205"/>
      <c r="G839" s="205"/>
      <c r="H839" s="206"/>
      <c r="I839" s="207"/>
      <c r="J839" s="207"/>
      <c r="K839" s="207"/>
      <c r="L839" s="122"/>
      <c r="M839" s="207"/>
      <c r="N839" s="207"/>
      <c r="O839" s="122"/>
      <c r="P839" s="205"/>
      <c r="Q839" s="205"/>
      <c r="R839" s="205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</row>
    <row r="840">
      <c r="A840" s="122"/>
      <c r="B840" s="204"/>
      <c r="C840" s="204"/>
      <c r="D840" s="204"/>
      <c r="E840" s="205"/>
      <c r="F840" s="205"/>
      <c r="G840" s="205"/>
      <c r="H840" s="206"/>
      <c r="I840" s="207"/>
      <c r="J840" s="207"/>
      <c r="K840" s="207"/>
      <c r="L840" s="122"/>
      <c r="M840" s="207"/>
      <c r="N840" s="207"/>
      <c r="O840" s="122"/>
      <c r="P840" s="205"/>
      <c r="Q840" s="205"/>
      <c r="R840" s="205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</row>
    <row r="841">
      <c r="A841" s="122"/>
      <c r="B841" s="204"/>
      <c r="C841" s="204"/>
      <c r="D841" s="204"/>
      <c r="E841" s="205"/>
      <c r="F841" s="205"/>
      <c r="G841" s="205"/>
      <c r="H841" s="206"/>
      <c r="I841" s="207"/>
      <c r="J841" s="207"/>
      <c r="K841" s="207"/>
      <c r="L841" s="122"/>
      <c r="M841" s="207"/>
      <c r="N841" s="207"/>
      <c r="O841" s="122"/>
      <c r="P841" s="205"/>
      <c r="Q841" s="205"/>
      <c r="R841" s="205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</row>
    <row r="842">
      <c r="A842" s="122"/>
      <c r="B842" s="204"/>
      <c r="C842" s="204"/>
      <c r="D842" s="204"/>
      <c r="E842" s="205"/>
      <c r="F842" s="205"/>
      <c r="G842" s="205"/>
      <c r="H842" s="206"/>
      <c r="I842" s="207"/>
      <c r="J842" s="207"/>
      <c r="K842" s="207"/>
      <c r="L842" s="122"/>
      <c r="M842" s="207"/>
      <c r="N842" s="207"/>
      <c r="O842" s="122"/>
      <c r="P842" s="205"/>
      <c r="Q842" s="205"/>
      <c r="R842" s="205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</row>
    <row r="843">
      <c r="A843" s="122"/>
      <c r="B843" s="204"/>
      <c r="C843" s="204"/>
      <c r="D843" s="204"/>
      <c r="E843" s="205"/>
      <c r="F843" s="205"/>
      <c r="G843" s="205"/>
      <c r="H843" s="206"/>
      <c r="I843" s="207"/>
      <c r="J843" s="207"/>
      <c r="K843" s="207"/>
      <c r="L843" s="122"/>
      <c r="M843" s="207"/>
      <c r="N843" s="207"/>
      <c r="O843" s="122"/>
      <c r="P843" s="205"/>
      <c r="Q843" s="205"/>
      <c r="R843" s="205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</row>
    <row r="844">
      <c r="A844" s="122"/>
      <c r="B844" s="204"/>
      <c r="C844" s="204"/>
      <c r="D844" s="204"/>
      <c r="E844" s="205"/>
      <c r="F844" s="205"/>
      <c r="G844" s="205"/>
      <c r="H844" s="206"/>
      <c r="I844" s="207"/>
      <c r="J844" s="207"/>
      <c r="K844" s="207"/>
      <c r="L844" s="122"/>
      <c r="M844" s="207"/>
      <c r="N844" s="207"/>
      <c r="O844" s="122"/>
      <c r="P844" s="205"/>
      <c r="Q844" s="205"/>
      <c r="R844" s="205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</row>
    <row r="845">
      <c r="A845" s="122"/>
      <c r="B845" s="204"/>
      <c r="C845" s="204"/>
      <c r="D845" s="204"/>
      <c r="E845" s="205"/>
      <c r="F845" s="205"/>
      <c r="G845" s="205"/>
      <c r="H845" s="206"/>
      <c r="I845" s="207"/>
      <c r="J845" s="207"/>
      <c r="K845" s="207"/>
      <c r="L845" s="122"/>
      <c r="M845" s="207"/>
      <c r="N845" s="207"/>
      <c r="O845" s="122"/>
      <c r="P845" s="205"/>
      <c r="Q845" s="205"/>
      <c r="R845" s="205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</row>
    <row r="846">
      <c r="A846" s="122"/>
      <c r="B846" s="204"/>
      <c r="C846" s="204"/>
      <c r="D846" s="204"/>
      <c r="E846" s="205"/>
      <c r="F846" s="205"/>
      <c r="G846" s="205"/>
      <c r="H846" s="206"/>
      <c r="I846" s="207"/>
      <c r="J846" s="207"/>
      <c r="K846" s="207"/>
      <c r="L846" s="122"/>
      <c r="M846" s="207"/>
      <c r="N846" s="207"/>
      <c r="O846" s="122"/>
      <c r="P846" s="205"/>
      <c r="Q846" s="205"/>
      <c r="R846" s="205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</row>
    <row r="847">
      <c r="A847" s="122"/>
      <c r="B847" s="204"/>
      <c r="C847" s="204"/>
      <c r="D847" s="204"/>
      <c r="E847" s="205"/>
      <c r="F847" s="205"/>
      <c r="G847" s="205"/>
      <c r="H847" s="206"/>
      <c r="I847" s="207"/>
      <c r="J847" s="207"/>
      <c r="K847" s="207"/>
      <c r="L847" s="122"/>
      <c r="M847" s="207"/>
      <c r="N847" s="207"/>
      <c r="O847" s="122"/>
      <c r="P847" s="205"/>
      <c r="Q847" s="205"/>
      <c r="R847" s="205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</row>
    <row r="848">
      <c r="A848" s="122"/>
      <c r="B848" s="204"/>
      <c r="C848" s="204"/>
      <c r="D848" s="204"/>
      <c r="E848" s="205"/>
      <c r="F848" s="205"/>
      <c r="G848" s="205"/>
      <c r="H848" s="206"/>
      <c r="I848" s="207"/>
      <c r="J848" s="207"/>
      <c r="K848" s="207"/>
      <c r="L848" s="122"/>
      <c r="M848" s="207"/>
      <c r="N848" s="207"/>
      <c r="O848" s="122"/>
      <c r="P848" s="205"/>
      <c r="Q848" s="205"/>
      <c r="R848" s="205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</row>
    <row r="849">
      <c r="A849" s="122"/>
      <c r="B849" s="204"/>
      <c r="C849" s="204"/>
      <c r="D849" s="204"/>
      <c r="E849" s="205"/>
      <c r="F849" s="205"/>
      <c r="G849" s="205"/>
      <c r="H849" s="206"/>
      <c r="I849" s="207"/>
      <c r="J849" s="207"/>
      <c r="K849" s="207"/>
      <c r="L849" s="122"/>
      <c r="M849" s="207"/>
      <c r="N849" s="207"/>
      <c r="O849" s="122"/>
      <c r="P849" s="205"/>
      <c r="Q849" s="205"/>
      <c r="R849" s="205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</row>
    <row r="850">
      <c r="A850" s="122"/>
      <c r="B850" s="204"/>
      <c r="C850" s="204"/>
      <c r="D850" s="204"/>
      <c r="E850" s="205"/>
      <c r="F850" s="205"/>
      <c r="G850" s="205"/>
      <c r="H850" s="206"/>
      <c r="I850" s="207"/>
      <c r="J850" s="207"/>
      <c r="K850" s="207"/>
      <c r="L850" s="122"/>
      <c r="M850" s="207"/>
      <c r="N850" s="207"/>
      <c r="O850" s="122"/>
      <c r="P850" s="205"/>
      <c r="Q850" s="205"/>
      <c r="R850" s="205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</row>
    <row r="851">
      <c r="A851" s="122"/>
      <c r="B851" s="204"/>
      <c r="C851" s="204"/>
      <c r="D851" s="204"/>
      <c r="E851" s="205"/>
      <c r="F851" s="205"/>
      <c r="G851" s="205"/>
      <c r="H851" s="206"/>
      <c r="I851" s="207"/>
      <c r="J851" s="207"/>
      <c r="K851" s="207"/>
      <c r="L851" s="122"/>
      <c r="M851" s="207"/>
      <c r="N851" s="207"/>
      <c r="O851" s="122"/>
      <c r="P851" s="205"/>
      <c r="Q851" s="205"/>
      <c r="R851" s="205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</row>
    <row r="852">
      <c r="A852" s="122"/>
      <c r="B852" s="204"/>
      <c r="C852" s="204"/>
      <c r="D852" s="204"/>
      <c r="E852" s="205"/>
      <c r="F852" s="205"/>
      <c r="G852" s="205"/>
      <c r="H852" s="206"/>
      <c r="I852" s="207"/>
      <c r="J852" s="207"/>
      <c r="K852" s="207"/>
      <c r="L852" s="122"/>
      <c r="M852" s="207"/>
      <c r="N852" s="207"/>
      <c r="O852" s="122"/>
      <c r="P852" s="205"/>
      <c r="Q852" s="205"/>
      <c r="R852" s="205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</row>
    <row r="853">
      <c r="A853" s="122"/>
      <c r="B853" s="204"/>
      <c r="C853" s="204"/>
      <c r="D853" s="204"/>
      <c r="E853" s="205"/>
      <c r="F853" s="205"/>
      <c r="G853" s="205"/>
      <c r="H853" s="206"/>
      <c r="I853" s="207"/>
      <c r="J853" s="207"/>
      <c r="K853" s="207"/>
      <c r="L853" s="122"/>
      <c r="M853" s="207"/>
      <c r="N853" s="207"/>
      <c r="O853" s="122"/>
      <c r="P853" s="205"/>
      <c r="Q853" s="205"/>
      <c r="R853" s="205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</row>
    <row r="854">
      <c r="A854" s="122"/>
      <c r="B854" s="204"/>
      <c r="C854" s="204"/>
      <c r="D854" s="204"/>
      <c r="E854" s="205"/>
      <c r="F854" s="205"/>
      <c r="G854" s="205"/>
      <c r="H854" s="206"/>
      <c r="I854" s="207"/>
      <c r="J854" s="207"/>
      <c r="K854" s="207"/>
      <c r="L854" s="122"/>
      <c r="M854" s="207"/>
      <c r="N854" s="207"/>
      <c r="O854" s="122"/>
      <c r="P854" s="205"/>
      <c r="Q854" s="205"/>
      <c r="R854" s="205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</row>
    <row r="855">
      <c r="A855" s="122"/>
      <c r="B855" s="204"/>
      <c r="C855" s="204"/>
      <c r="D855" s="204"/>
      <c r="E855" s="205"/>
      <c r="F855" s="205"/>
      <c r="G855" s="205"/>
      <c r="H855" s="206"/>
      <c r="I855" s="207"/>
      <c r="J855" s="207"/>
      <c r="K855" s="207"/>
      <c r="L855" s="122"/>
      <c r="M855" s="207"/>
      <c r="N855" s="207"/>
      <c r="O855" s="122"/>
      <c r="P855" s="205"/>
      <c r="Q855" s="205"/>
      <c r="R855" s="205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</row>
    <row r="856">
      <c r="A856" s="122"/>
      <c r="B856" s="204"/>
      <c r="C856" s="204"/>
      <c r="D856" s="204"/>
      <c r="E856" s="205"/>
      <c r="F856" s="205"/>
      <c r="G856" s="205"/>
      <c r="H856" s="206"/>
      <c r="I856" s="207"/>
      <c r="J856" s="207"/>
      <c r="K856" s="207"/>
      <c r="L856" s="122"/>
      <c r="M856" s="207"/>
      <c r="N856" s="207"/>
      <c r="O856" s="122"/>
      <c r="P856" s="205"/>
      <c r="Q856" s="205"/>
      <c r="R856" s="205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</row>
    <row r="857">
      <c r="A857" s="122"/>
      <c r="B857" s="204"/>
      <c r="C857" s="204"/>
      <c r="D857" s="204"/>
      <c r="E857" s="205"/>
      <c r="F857" s="205"/>
      <c r="G857" s="205"/>
      <c r="H857" s="206"/>
      <c r="I857" s="207"/>
      <c r="J857" s="207"/>
      <c r="K857" s="207"/>
      <c r="L857" s="122"/>
      <c r="M857" s="207"/>
      <c r="N857" s="207"/>
      <c r="O857" s="122"/>
      <c r="P857" s="205"/>
      <c r="Q857" s="205"/>
      <c r="R857" s="205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</row>
    <row r="858">
      <c r="A858" s="122"/>
      <c r="B858" s="204"/>
      <c r="C858" s="204"/>
      <c r="D858" s="204"/>
      <c r="E858" s="205"/>
      <c r="F858" s="205"/>
      <c r="G858" s="205"/>
      <c r="H858" s="206"/>
      <c r="I858" s="207"/>
      <c r="J858" s="207"/>
      <c r="K858" s="207"/>
      <c r="L858" s="122"/>
      <c r="M858" s="207"/>
      <c r="N858" s="207"/>
      <c r="O858" s="122"/>
      <c r="P858" s="205"/>
      <c r="Q858" s="205"/>
      <c r="R858" s="205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</row>
    <row r="859">
      <c r="A859" s="122"/>
      <c r="B859" s="204"/>
      <c r="C859" s="204"/>
      <c r="D859" s="204"/>
      <c r="E859" s="205"/>
      <c r="F859" s="205"/>
      <c r="G859" s="205"/>
      <c r="H859" s="206"/>
      <c r="I859" s="207"/>
      <c r="J859" s="207"/>
      <c r="K859" s="207"/>
      <c r="L859" s="122"/>
      <c r="M859" s="207"/>
      <c r="N859" s="207"/>
      <c r="O859" s="122"/>
      <c r="P859" s="205"/>
      <c r="Q859" s="205"/>
      <c r="R859" s="205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</row>
    <row r="860">
      <c r="A860" s="122"/>
      <c r="B860" s="204"/>
      <c r="C860" s="204"/>
      <c r="D860" s="204"/>
      <c r="E860" s="205"/>
      <c r="F860" s="205"/>
      <c r="G860" s="205"/>
      <c r="H860" s="206"/>
      <c r="I860" s="207"/>
      <c r="J860" s="207"/>
      <c r="K860" s="207"/>
      <c r="L860" s="122"/>
      <c r="M860" s="207"/>
      <c r="N860" s="207"/>
      <c r="O860" s="122"/>
      <c r="P860" s="205"/>
      <c r="Q860" s="205"/>
      <c r="R860" s="205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</row>
    <row r="861">
      <c r="A861" s="122"/>
      <c r="B861" s="204"/>
      <c r="C861" s="204"/>
      <c r="D861" s="204"/>
      <c r="E861" s="205"/>
      <c r="F861" s="205"/>
      <c r="G861" s="205"/>
      <c r="H861" s="206"/>
      <c r="I861" s="207"/>
      <c r="J861" s="207"/>
      <c r="K861" s="207"/>
      <c r="L861" s="122"/>
      <c r="M861" s="207"/>
      <c r="N861" s="207"/>
      <c r="O861" s="122"/>
      <c r="P861" s="205"/>
      <c r="Q861" s="205"/>
      <c r="R861" s="205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</row>
    <row r="862">
      <c r="A862" s="122"/>
      <c r="B862" s="204"/>
      <c r="C862" s="204"/>
      <c r="D862" s="204"/>
      <c r="E862" s="205"/>
      <c r="F862" s="205"/>
      <c r="G862" s="205"/>
      <c r="H862" s="206"/>
      <c r="I862" s="207"/>
      <c r="J862" s="207"/>
      <c r="K862" s="207"/>
      <c r="L862" s="122"/>
      <c r="M862" s="207"/>
      <c r="N862" s="207"/>
      <c r="O862" s="122"/>
      <c r="P862" s="205"/>
      <c r="Q862" s="205"/>
      <c r="R862" s="205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</row>
    <row r="863">
      <c r="A863" s="122"/>
      <c r="B863" s="204"/>
      <c r="C863" s="204"/>
      <c r="D863" s="204"/>
      <c r="E863" s="205"/>
      <c r="F863" s="205"/>
      <c r="G863" s="205"/>
      <c r="H863" s="206"/>
      <c r="I863" s="207"/>
      <c r="J863" s="207"/>
      <c r="K863" s="207"/>
      <c r="L863" s="122"/>
      <c r="M863" s="207"/>
      <c r="N863" s="207"/>
      <c r="O863" s="122"/>
      <c r="P863" s="205"/>
      <c r="Q863" s="205"/>
      <c r="R863" s="205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</row>
    <row r="864">
      <c r="A864" s="122"/>
      <c r="B864" s="204"/>
      <c r="C864" s="204"/>
      <c r="D864" s="204"/>
      <c r="E864" s="205"/>
      <c r="F864" s="205"/>
      <c r="G864" s="205"/>
      <c r="H864" s="206"/>
      <c r="I864" s="207"/>
      <c r="J864" s="207"/>
      <c r="K864" s="207"/>
      <c r="L864" s="122"/>
      <c r="M864" s="207"/>
      <c r="N864" s="207"/>
      <c r="O864" s="122"/>
      <c r="P864" s="205"/>
      <c r="Q864" s="205"/>
      <c r="R864" s="205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</row>
    <row r="865">
      <c r="A865" s="122"/>
      <c r="B865" s="204"/>
      <c r="C865" s="204"/>
      <c r="D865" s="204"/>
      <c r="E865" s="205"/>
      <c r="F865" s="205"/>
      <c r="G865" s="205"/>
      <c r="H865" s="206"/>
      <c r="I865" s="207"/>
      <c r="J865" s="207"/>
      <c r="K865" s="207"/>
      <c r="L865" s="122"/>
      <c r="M865" s="207"/>
      <c r="N865" s="207"/>
      <c r="O865" s="122"/>
      <c r="P865" s="205"/>
      <c r="Q865" s="205"/>
      <c r="R865" s="205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</row>
    <row r="866">
      <c r="A866" s="122"/>
      <c r="B866" s="204"/>
      <c r="C866" s="204"/>
      <c r="D866" s="204"/>
      <c r="E866" s="205"/>
      <c r="F866" s="205"/>
      <c r="G866" s="205"/>
      <c r="H866" s="206"/>
      <c r="I866" s="207"/>
      <c r="J866" s="207"/>
      <c r="K866" s="207"/>
      <c r="L866" s="122"/>
      <c r="M866" s="207"/>
      <c r="N866" s="207"/>
      <c r="O866" s="122"/>
      <c r="P866" s="205"/>
      <c r="Q866" s="205"/>
      <c r="R866" s="205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</row>
    <row r="867">
      <c r="A867" s="122"/>
      <c r="B867" s="204"/>
      <c r="C867" s="204"/>
      <c r="D867" s="204"/>
      <c r="E867" s="205"/>
      <c r="F867" s="205"/>
      <c r="G867" s="205"/>
      <c r="H867" s="206"/>
      <c r="I867" s="207"/>
      <c r="J867" s="207"/>
      <c r="K867" s="207"/>
      <c r="L867" s="122"/>
      <c r="M867" s="207"/>
      <c r="N867" s="207"/>
      <c r="O867" s="122"/>
      <c r="P867" s="205"/>
      <c r="Q867" s="205"/>
      <c r="R867" s="205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</row>
    <row r="868">
      <c r="A868" s="122"/>
      <c r="B868" s="204"/>
      <c r="C868" s="204"/>
      <c r="D868" s="204"/>
      <c r="E868" s="205"/>
      <c r="F868" s="205"/>
      <c r="G868" s="205"/>
      <c r="H868" s="206"/>
      <c r="I868" s="207"/>
      <c r="J868" s="207"/>
      <c r="K868" s="207"/>
      <c r="L868" s="122"/>
      <c r="M868" s="207"/>
      <c r="N868" s="207"/>
      <c r="O868" s="122"/>
      <c r="P868" s="205"/>
      <c r="Q868" s="205"/>
      <c r="R868" s="205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</row>
    <row r="869">
      <c r="A869" s="122"/>
      <c r="B869" s="204"/>
      <c r="C869" s="204"/>
      <c r="D869" s="204"/>
      <c r="E869" s="205"/>
      <c r="F869" s="205"/>
      <c r="G869" s="205"/>
      <c r="H869" s="206"/>
      <c r="I869" s="207"/>
      <c r="J869" s="207"/>
      <c r="K869" s="207"/>
      <c r="L869" s="122"/>
      <c r="M869" s="207"/>
      <c r="N869" s="207"/>
      <c r="O869" s="122"/>
      <c r="P869" s="205"/>
      <c r="Q869" s="205"/>
      <c r="R869" s="205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</row>
    <row r="870">
      <c r="A870" s="122"/>
      <c r="B870" s="204"/>
      <c r="C870" s="204"/>
      <c r="D870" s="204"/>
      <c r="E870" s="205"/>
      <c r="F870" s="205"/>
      <c r="G870" s="205"/>
      <c r="H870" s="206"/>
      <c r="I870" s="207"/>
      <c r="J870" s="207"/>
      <c r="K870" s="207"/>
      <c r="L870" s="122"/>
      <c r="M870" s="207"/>
      <c r="N870" s="207"/>
      <c r="O870" s="122"/>
      <c r="P870" s="205"/>
      <c r="Q870" s="205"/>
      <c r="R870" s="205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</row>
    <row r="871">
      <c r="A871" s="122"/>
      <c r="B871" s="204"/>
      <c r="C871" s="204"/>
      <c r="D871" s="204"/>
      <c r="E871" s="205"/>
      <c r="F871" s="205"/>
      <c r="G871" s="205"/>
      <c r="H871" s="206"/>
      <c r="I871" s="207"/>
      <c r="J871" s="207"/>
      <c r="K871" s="207"/>
      <c r="L871" s="122"/>
      <c r="M871" s="207"/>
      <c r="N871" s="207"/>
      <c r="O871" s="122"/>
      <c r="P871" s="205"/>
      <c r="Q871" s="205"/>
      <c r="R871" s="205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</row>
    <row r="872">
      <c r="A872" s="122"/>
      <c r="B872" s="204"/>
      <c r="C872" s="204"/>
      <c r="D872" s="204"/>
      <c r="E872" s="205"/>
      <c r="F872" s="205"/>
      <c r="G872" s="205"/>
      <c r="H872" s="206"/>
      <c r="I872" s="207"/>
      <c r="J872" s="207"/>
      <c r="K872" s="207"/>
      <c r="L872" s="122"/>
      <c r="M872" s="207"/>
      <c r="N872" s="207"/>
      <c r="O872" s="122"/>
      <c r="P872" s="205"/>
      <c r="Q872" s="205"/>
      <c r="R872" s="205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</row>
    <row r="873">
      <c r="A873" s="122"/>
      <c r="B873" s="204"/>
      <c r="C873" s="204"/>
      <c r="D873" s="204"/>
      <c r="E873" s="205"/>
      <c r="F873" s="205"/>
      <c r="G873" s="205"/>
      <c r="H873" s="206"/>
      <c r="I873" s="207"/>
      <c r="J873" s="207"/>
      <c r="K873" s="207"/>
      <c r="L873" s="122"/>
      <c r="M873" s="207"/>
      <c r="N873" s="207"/>
      <c r="O873" s="122"/>
      <c r="P873" s="205"/>
      <c r="Q873" s="205"/>
      <c r="R873" s="205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</row>
    <row r="874">
      <c r="A874" s="122"/>
      <c r="B874" s="204"/>
      <c r="C874" s="204"/>
      <c r="D874" s="204"/>
      <c r="E874" s="205"/>
      <c r="F874" s="205"/>
      <c r="G874" s="205"/>
      <c r="H874" s="206"/>
      <c r="I874" s="207"/>
      <c r="J874" s="207"/>
      <c r="K874" s="207"/>
      <c r="L874" s="122"/>
      <c r="M874" s="207"/>
      <c r="N874" s="207"/>
      <c r="O874" s="122"/>
      <c r="P874" s="205"/>
      <c r="Q874" s="205"/>
      <c r="R874" s="205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</row>
    <row r="875">
      <c r="A875" s="122"/>
      <c r="B875" s="204"/>
      <c r="C875" s="204"/>
      <c r="D875" s="204"/>
      <c r="E875" s="205"/>
      <c r="F875" s="205"/>
      <c r="G875" s="205"/>
      <c r="H875" s="206"/>
      <c r="I875" s="207"/>
      <c r="J875" s="207"/>
      <c r="K875" s="207"/>
      <c r="L875" s="122"/>
      <c r="M875" s="207"/>
      <c r="N875" s="207"/>
      <c r="O875" s="122"/>
      <c r="P875" s="205"/>
      <c r="Q875" s="205"/>
      <c r="R875" s="205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</row>
    <row r="876">
      <c r="A876" s="122"/>
      <c r="B876" s="204"/>
      <c r="C876" s="204"/>
      <c r="D876" s="204"/>
      <c r="E876" s="205"/>
      <c r="F876" s="205"/>
      <c r="G876" s="205"/>
      <c r="H876" s="206"/>
      <c r="I876" s="207"/>
      <c r="J876" s="207"/>
      <c r="K876" s="207"/>
      <c r="L876" s="122"/>
      <c r="M876" s="207"/>
      <c r="N876" s="207"/>
      <c r="O876" s="122"/>
      <c r="P876" s="205"/>
      <c r="Q876" s="205"/>
      <c r="R876" s="205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</row>
    <row r="877">
      <c r="A877" s="122"/>
      <c r="B877" s="204"/>
      <c r="C877" s="204"/>
      <c r="D877" s="204"/>
      <c r="E877" s="205"/>
      <c r="F877" s="205"/>
      <c r="G877" s="205"/>
      <c r="H877" s="206"/>
      <c r="I877" s="207"/>
      <c r="J877" s="207"/>
      <c r="K877" s="207"/>
      <c r="L877" s="122"/>
      <c r="M877" s="207"/>
      <c r="N877" s="207"/>
      <c r="O877" s="122"/>
      <c r="P877" s="205"/>
      <c r="Q877" s="205"/>
      <c r="R877" s="205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</row>
    <row r="878">
      <c r="A878" s="122"/>
      <c r="B878" s="204"/>
      <c r="C878" s="204"/>
      <c r="D878" s="204"/>
      <c r="E878" s="205"/>
      <c r="F878" s="205"/>
      <c r="G878" s="205"/>
      <c r="H878" s="206"/>
      <c r="I878" s="207"/>
      <c r="J878" s="207"/>
      <c r="K878" s="207"/>
      <c r="L878" s="122"/>
      <c r="M878" s="207"/>
      <c r="N878" s="207"/>
      <c r="O878" s="122"/>
      <c r="P878" s="205"/>
      <c r="Q878" s="205"/>
      <c r="R878" s="205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</row>
    <row r="879">
      <c r="A879" s="122"/>
      <c r="B879" s="204"/>
      <c r="C879" s="204"/>
      <c r="D879" s="204"/>
      <c r="E879" s="205"/>
      <c r="F879" s="205"/>
      <c r="G879" s="205"/>
      <c r="H879" s="206"/>
      <c r="I879" s="207"/>
      <c r="J879" s="207"/>
      <c r="K879" s="207"/>
      <c r="L879" s="122"/>
      <c r="M879" s="207"/>
      <c r="N879" s="207"/>
      <c r="O879" s="122"/>
      <c r="P879" s="205"/>
      <c r="Q879" s="205"/>
      <c r="R879" s="205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</row>
    <row r="880">
      <c r="A880" s="122"/>
      <c r="B880" s="204"/>
      <c r="C880" s="204"/>
      <c r="D880" s="204"/>
      <c r="E880" s="205"/>
      <c r="F880" s="205"/>
      <c r="G880" s="205"/>
      <c r="H880" s="206"/>
      <c r="I880" s="207"/>
      <c r="J880" s="207"/>
      <c r="K880" s="207"/>
      <c r="L880" s="122"/>
      <c r="M880" s="207"/>
      <c r="N880" s="207"/>
      <c r="O880" s="122"/>
      <c r="P880" s="205"/>
      <c r="Q880" s="205"/>
      <c r="R880" s="205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</row>
    <row r="881">
      <c r="A881" s="122"/>
      <c r="B881" s="204"/>
      <c r="C881" s="204"/>
      <c r="D881" s="204"/>
      <c r="E881" s="205"/>
      <c r="F881" s="205"/>
      <c r="G881" s="205"/>
      <c r="H881" s="206"/>
      <c r="I881" s="207"/>
      <c r="J881" s="207"/>
      <c r="K881" s="207"/>
      <c r="L881" s="122"/>
      <c r="M881" s="207"/>
      <c r="N881" s="207"/>
      <c r="O881" s="122"/>
      <c r="P881" s="205"/>
      <c r="Q881" s="205"/>
      <c r="R881" s="205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</row>
    <row r="882">
      <c r="A882" s="122"/>
      <c r="B882" s="204"/>
      <c r="C882" s="204"/>
      <c r="D882" s="204"/>
      <c r="E882" s="205"/>
      <c r="F882" s="205"/>
      <c r="G882" s="205"/>
      <c r="H882" s="206"/>
      <c r="I882" s="207"/>
      <c r="J882" s="207"/>
      <c r="K882" s="207"/>
      <c r="L882" s="122"/>
      <c r="M882" s="207"/>
      <c r="N882" s="207"/>
      <c r="O882" s="122"/>
      <c r="P882" s="205"/>
      <c r="Q882" s="205"/>
      <c r="R882" s="205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</row>
    <row r="883">
      <c r="A883" s="122"/>
      <c r="B883" s="204"/>
      <c r="C883" s="204"/>
      <c r="D883" s="204"/>
      <c r="E883" s="205"/>
      <c r="F883" s="205"/>
      <c r="G883" s="205"/>
      <c r="H883" s="206"/>
      <c r="I883" s="207"/>
      <c r="J883" s="207"/>
      <c r="K883" s="207"/>
      <c r="L883" s="122"/>
      <c r="M883" s="207"/>
      <c r="N883" s="207"/>
      <c r="O883" s="122"/>
      <c r="P883" s="205"/>
      <c r="Q883" s="205"/>
      <c r="R883" s="205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</row>
    <row r="884">
      <c r="A884" s="122"/>
      <c r="B884" s="204"/>
      <c r="C884" s="204"/>
      <c r="D884" s="204"/>
      <c r="E884" s="205"/>
      <c r="F884" s="205"/>
      <c r="G884" s="205"/>
      <c r="H884" s="206"/>
      <c r="I884" s="207"/>
      <c r="J884" s="207"/>
      <c r="K884" s="207"/>
      <c r="L884" s="122"/>
      <c r="M884" s="207"/>
      <c r="N884" s="207"/>
      <c r="O884" s="122"/>
      <c r="P884" s="205"/>
      <c r="Q884" s="205"/>
      <c r="R884" s="205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</row>
    <row r="885">
      <c r="A885" s="122"/>
      <c r="B885" s="204"/>
      <c r="C885" s="204"/>
      <c r="D885" s="204"/>
      <c r="E885" s="205"/>
      <c r="F885" s="205"/>
      <c r="G885" s="205"/>
      <c r="H885" s="206"/>
      <c r="I885" s="207"/>
      <c r="J885" s="207"/>
      <c r="K885" s="207"/>
      <c r="L885" s="122"/>
      <c r="M885" s="207"/>
      <c r="N885" s="207"/>
      <c r="O885" s="122"/>
      <c r="P885" s="205"/>
      <c r="Q885" s="205"/>
      <c r="R885" s="205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</row>
    <row r="886">
      <c r="A886" s="122"/>
      <c r="B886" s="204"/>
      <c r="C886" s="204"/>
      <c r="D886" s="204"/>
      <c r="E886" s="205"/>
      <c r="F886" s="205"/>
      <c r="G886" s="205"/>
      <c r="H886" s="206"/>
      <c r="I886" s="207"/>
      <c r="J886" s="207"/>
      <c r="K886" s="207"/>
      <c r="L886" s="122"/>
      <c r="M886" s="207"/>
      <c r="N886" s="207"/>
      <c r="O886" s="122"/>
      <c r="P886" s="205"/>
      <c r="Q886" s="205"/>
      <c r="R886" s="205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</row>
    <row r="887">
      <c r="A887" s="122"/>
      <c r="B887" s="204"/>
      <c r="C887" s="204"/>
      <c r="D887" s="204"/>
      <c r="E887" s="205"/>
      <c r="F887" s="205"/>
      <c r="G887" s="205"/>
      <c r="H887" s="206"/>
      <c r="I887" s="207"/>
      <c r="J887" s="207"/>
      <c r="K887" s="207"/>
      <c r="L887" s="122"/>
      <c r="M887" s="207"/>
      <c r="N887" s="207"/>
      <c r="O887" s="122"/>
      <c r="P887" s="205"/>
      <c r="Q887" s="205"/>
      <c r="R887" s="205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</row>
    <row r="888">
      <c r="A888" s="122"/>
      <c r="B888" s="204"/>
      <c r="C888" s="204"/>
      <c r="D888" s="204"/>
      <c r="E888" s="205"/>
      <c r="F888" s="205"/>
      <c r="G888" s="205"/>
      <c r="H888" s="206"/>
      <c r="I888" s="207"/>
      <c r="J888" s="207"/>
      <c r="K888" s="207"/>
      <c r="L888" s="122"/>
      <c r="M888" s="207"/>
      <c r="N888" s="207"/>
      <c r="O888" s="122"/>
      <c r="P888" s="205"/>
      <c r="Q888" s="205"/>
      <c r="R888" s="205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</row>
    <row r="889">
      <c r="A889" s="122"/>
      <c r="B889" s="204"/>
      <c r="C889" s="204"/>
      <c r="D889" s="204"/>
      <c r="E889" s="205"/>
      <c r="F889" s="205"/>
      <c r="G889" s="205"/>
      <c r="H889" s="206"/>
      <c r="I889" s="207"/>
      <c r="J889" s="207"/>
      <c r="K889" s="207"/>
      <c r="L889" s="122"/>
      <c r="M889" s="207"/>
      <c r="N889" s="207"/>
      <c r="O889" s="122"/>
      <c r="P889" s="205"/>
      <c r="Q889" s="205"/>
      <c r="R889" s="205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</row>
    <row r="890">
      <c r="A890" s="122"/>
      <c r="B890" s="204"/>
      <c r="C890" s="204"/>
      <c r="D890" s="204"/>
      <c r="E890" s="205"/>
      <c r="F890" s="205"/>
      <c r="G890" s="205"/>
      <c r="H890" s="206"/>
      <c r="I890" s="207"/>
      <c r="J890" s="207"/>
      <c r="K890" s="207"/>
      <c r="L890" s="122"/>
      <c r="M890" s="207"/>
      <c r="N890" s="207"/>
      <c r="O890" s="122"/>
      <c r="P890" s="205"/>
      <c r="Q890" s="205"/>
      <c r="R890" s="205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</row>
    <row r="891">
      <c r="A891" s="122"/>
      <c r="B891" s="204"/>
      <c r="C891" s="204"/>
      <c r="D891" s="204"/>
      <c r="E891" s="205"/>
      <c r="F891" s="205"/>
      <c r="G891" s="205"/>
      <c r="H891" s="206"/>
      <c r="I891" s="207"/>
      <c r="J891" s="207"/>
      <c r="K891" s="207"/>
      <c r="L891" s="122"/>
      <c r="M891" s="207"/>
      <c r="N891" s="207"/>
      <c r="O891" s="122"/>
      <c r="P891" s="205"/>
      <c r="Q891" s="205"/>
      <c r="R891" s="205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</row>
    <row r="892">
      <c r="A892" s="122"/>
      <c r="B892" s="204"/>
      <c r="C892" s="204"/>
      <c r="D892" s="204"/>
      <c r="E892" s="205"/>
      <c r="F892" s="205"/>
      <c r="G892" s="205"/>
      <c r="H892" s="206"/>
      <c r="I892" s="207"/>
      <c r="J892" s="207"/>
      <c r="K892" s="207"/>
      <c r="L892" s="122"/>
      <c r="M892" s="207"/>
      <c r="N892" s="207"/>
      <c r="O892" s="122"/>
      <c r="P892" s="205"/>
      <c r="Q892" s="205"/>
      <c r="R892" s="205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</row>
    <row r="893">
      <c r="A893" s="122"/>
      <c r="B893" s="204"/>
      <c r="C893" s="204"/>
      <c r="D893" s="204"/>
      <c r="E893" s="205"/>
      <c r="F893" s="205"/>
      <c r="G893" s="205"/>
      <c r="H893" s="206"/>
      <c r="I893" s="207"/>
      <c r="J893" s="207"/>
      <c r="K893" s="207"/>
      <c r="L893" s="122"/>
      <c r="M893" s="207"/>
      <c r="N893" s="207"/>
      <c r="O893" s="122"/>
      <c r="P893" s="205"/>
      <c r="Q893" s="205"/>
      <c r="R893" s="205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</row>
    <row r="894">
      <c r="A894" s="122"/>
      <c r="B894" s="204"/>
      <c r="C894" s="204"/>
      <c r="D894" s="204"/>
      <c r="E894" s="205"/>
      <c r="F894" s="205"/>
      <c r="G894" s="205"/>
      <c r="H894" s="206"/>
      <c r="I894" s="207"/>
      <c r="J894" s="207"/>
      <c r="K894" s="207"/>
      <c r="L894" s="122"/>
      <c r="M894" s="207"/>
      <c r="N894" s="207"/>
      <c r="O894" s="122"/>
      <c r="P894" s="205"/>
      <c r="Q894" s="205"/>
      <c r="R894" s="205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</row>
    <row r="895">
      <c r="A895" s="122"/>
      <c r="B895" s="204"/>
      <c r="C895" s="204"/>
      <c r="D895" s="204"/>
      <c r="E895" s="205"/>
      <c r="F895" s="205"/>
      <c r="G895" s="205"/>
      <c r="H895" s="206"/>
      <c r="I895" s="207"/>
      <c r="J895" s="207"/>
      <c r="K895" s="207"/>
      <c r="L895" s="122"/>
      <c r="M895" s="207"/>
      <c r="N895" s="207"/>
      <c r="O895" s="122"/>
      <c r="P895" s="205"/>
      <c r="Q895" s="205"/>
      <c r="R895" s="205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</row>
    <row r="896">
      <c r="A896" s="122"/>
      <c r="B896" s="204"/>
      <c r="C896" s="204"/>
      <c r="D896" s="204"/>
      <c r="E896" s="205"/>
      <c r="F896" s="205"/>
      <c r="G896" s="205"/>
      <c r="H896" s="206"/>
      <c r="I896" s="207"/>
      <c r="J896" s="207"/>
      <c r="K896" s="207"/>
      <c r="L896" s="122"/>
      <c r="M896" s="207"/>
      <c r="N896" s="207"/>
      <c r="O896" s="122"/>
      <c r="P896" s="205"/>
      <c r="Q896" s="205"/>
      <c r="R896" s="205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</row>
    <row r="897">
      <c r="A897" s="122"/>
      <c r="B897" s="204"/>
      <c r="C897" s="204"/>
      <c r="D897" s="204"/>
      <c r="E897" s="205"/>
      <c r="F897" s="205"/>
      <c r="G897" s="205"/>
      <c r="H897" s="206"/>
      <c r="I897" s="207"/>
      <c r="J897" s="207"/>
      <c r="K897" s="207"/>
      <c r="L897" s="122"/>
      <c r="M897" s="207"/>
      <c r="N897" s="207"/>
      <c r="O897" s="122"/>
      <c r="P897" s="205"/>
      <c r="Q897" s="205"/>
      <c r="R897" s="205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</row>
    <row r="898">
      <c r="A898" s="122"/>
      <c r="B898" s="204"/>
      <c r="C898" s="204"/>
      <c r="D898" s="204"/>
      <c r="E898" s="205"/>
      <c r="F898" s="205"/>
      <c r="G898" s="205"/>
      <c r="H898" s="206"/>
      <c r="I898" s="207"/>
      <c r="J898" s="207"/>
      <c r="K898" s="207"/>
      <c r="L898" s="122"/>
      <c r="M898" s="207"/>
      <c r="N898" s="207"/>
      <c r="O898" s="122"/>
      <c r="P898" s="205"/>
      <c r="Q898" s="205"/>
      <c r="R898" s="205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</row>
    <row r="899">
      <c r="A899" s="122"/>
      <c r="B899" s="204"/>
      <c r="C899" s="204"/>
      <c r="D899" s="204"/>
      <c r="E899" s="205"/>
      <c r="F899" s="205"/>
      <c r="G899" s="205"/>
      <c r="H899" s="206"/>
      <c r="I899" s="207"/>
      <c r="J899" s="207"/>
      <c r="K899" s="207"/>
      <c r="L899" s="122"/>
      <c r="M899" s="207"/>
      <c r="N899" s="207"/>
      <c r="O899" s="122"/>
      <c r="P899" s="205"/>
      <c r="Q899" s="205"/>
      <c r="R899" s="205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</row>
    <row r="900">
      <c r="A900" s="122"/>
      <c r="B900" s="204"/>
      <c r="C900" s="204"/>
      <c r="D900" s="204"/>
      <c r="E900" s="205"/>
      <c r="F900" s="205"/>
      <c r="G900" s="205"/>
      <c r="H900" s="206"/>
      <c r="I900" s="207"/>
      <c r="J900" s="207"/>
      <c r="K900" s="207"/>
      <c r="L900" s="122"/>
      <c r="M900" s="207"/>
      <c r="N900" s="207"/>
      <c r="O900" s="122"/>
      <c r="P900" s="205"/>
      <c r="Q900" s="205"/>
      <c r="R900" s="205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</row>
    <row r="901">
      <c r="A901" s="122"/>
      <c r="B901" s="204"/>
      <c r="C901" s="204"/>
      <c r="D901" s="204"/>
      <c r="E901" s="205"/>
      <c r="F901" s="205"/>
      <c r="G901" s="205"/>
      <c r="H901" s="206"/>
      <c r="I901" s="207"/>
      <c r="J901" s="207"/>
      <c r="K901" s="207"/>
      <c r="L901" s="122"/>
      <c r="M901" s="207"/>
      <c r="N901" s="207"/>
      <c r="O901" s="122"/>
      <c r="P901" s="205"/>
      <c r="Q901" s="205"/>
      <c r="R901" s="205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</row>
    <row r="902">
      <c r="A902" s="122"/>
      <c r="B902" s="204"/>
      <c r="C902" s="204"/>
      <c r="D902" s="204"/>
      <c r="E902" s="205"/>
      <c r="F902" s="205"/>
      <c r="G902" s="205"/>
      <c r="H902" s="206"/>
      <c r="I902" s="207"/>
      <c r="J902" s="207"/>
      <c r="K902" s="207"/>
      <c r="L902" s="122"/>
      <c r="M902" s="207"/>
      <c r="N902" s="207"/>
      <c r="O902" s="122"/>
      <c r="P902" s="205"/>
      <c r="Q902" s="205"/>
      <c r="R902" s="205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</row>
    <row r="903">
      <c r="A903" s="122"/>
      <c r="B903" s="204"/>
      <c r="C903" s="204"/>
      <c r="D903" s="204"/>
      <c r="E903" s="205"/>
      <c r="F903" s="205"/>
      <c r="G903" s="205"/>
      <c r="H903" s="206"/>
      <c r="I903" s="207"/>
      <c r="J903" s="207"/>
      <c r="K903" s="207"/>
      <c r="L903" s="122"/>
      <c r="M903" s="207"/>
      <c r="N903" s="207"/>
      <c r="O903" s="122"/>
      <c r="P903" s="205"/>
      <c r="Q903" s="205"/>
      <c r="R903" s="205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</row>
    <row r="904">
      <c r="A904" s="122"/>
      <c r="B904" s="204"/>
      <c r="C904" s="204"/>
      <c r="D904" s="204"/>
      <c r="E904" s="205"/>
      <c r="F904" s="205"/>
      <c r="G904" s="205"/>
      <c r="H904" s="206"/>
      <c r="I904" s="207"/>
      <c r="J904" s="207"/>
      <c r="K904" s="207"/>
      <c r="L904" s="122"/>
      <c r="M904" s="207"/>
      <c r="N904" s="207"/>
      <c r="O904" s="122"/>
      <c r="P904" s="205"/>
      <c r="Q904" s="205"/>
      <c r="R904" s="205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</row>
    <row r="905">
      <c r="A905" s="122"/>
      <c r="B905" s="204"/>
      <c r="C905" s="204"/>
      <c r="D905" s="204"/>
      <c r="E905" s="205"/>
      <c r="F905" s="205"/>
      <c r="G905" s="205"/>
      <c r="H905" s="206"/>
      <c r="I905" s="207"/>
      <c r="J905" s="207"/>
      <c r="K905" s="207"/>
      <c r="L905" s="122"/>
      <c r="M905" s="207"/>
      <c r="N905" s="207"/>
      <c r="O905" s="122"/>
      <c r="P905" s="205"/>
      <c r="Q905" s="205"/>
      <c r="R905" s="205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</row>
    <row r="906">
      <c r="A906" s="122"/>
      <c r="B906" s="204"/>
      <c r="C906" s="204"/>
      <c r="D906" s="204"/>
      <c r="E906" s="205"/>
      <c r="F906" s="205"/>
      <c r="G906" s="205"/>
      <c r="H906" s="206"/>
      <c r="I906" s="207"/>
      <c r="J906" s="207"/>
      <c r="K906" s="207"/>
      <c r="L906" s="122"/>
      <c r="M906" s="207"/>
      <c r="N906" s="207"/>
      <c r="O906" s="122"/>
      <c r="P906" s="205"/>
      <c r="Q906" s="205"/>
      <c r="R906" s="205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</row>
    <row r="907">
      <c r="A907" s="122"/>
      <c r="B907" s="204"/>
      <c r="C907" s="204"/>
      <c r="D907" s="204"/>
      <c r="E907" s="205"/>
      <c r="F907" s="205"/>
      <c r="G907" s="205"/>
      <c r="H907" s="206"/>
      <c r="I907" s="207"/>
      <c r="J907" s="207"/>
      <c r="K907" s="207"/>
      <c r="L907" s="122"/>
      <c r="M907" s="207"/>
      <c r="N907" s="207"/>
      <c r="O907" s="122"/>
      <c r="P907" s="205"/>
      <c r="Q907" s="205"/>
      <c r="R907" s="205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</row>
    <row r="908">
      <c r="A908" s="122"/>
      <c r="B908" s="204"/>
      <c r="C908" s="204"/>
      <c r="D908" s="204"/>
      <c r="E908" s="205"/>
      <c r="F908" s="205"/>
      <c r="G908" s="205"/>
      <c r="H908" s="206"/>
      <c r="I908" s="207"/>
      <c r="J908" s="207"/>
      <c r="K908" s="207"/>
      <c r="L908" s="122"/>
      <c r="M908" s="207"/>
      <c r="N908" s="207"/>
      <c r="O908" s="122"/>
      <c r="P908" s="205"/>
      <c r="Q908" s="205"/>
      <c r="R908" s="205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</row>
    <row r="909">
      <c r="A909" s="122"/>
      <c r="B909" s="204"/>
      <c r="C909" s="204"/>
      <c r="D909" s="204"/>
      <c r="E909" s="205"/>
      <c r="F909" s="205"/>
      <c r="G909" s="205"/>
      <c r="H909" s="206"/>
      <c r="I909" s="207"/>
      <c r="J909" s="207"/>
      <c r="K909" s="207"/>
      <c r="L909" s="122"/>
      <c r="M909" s="207"/>
      <c r="N909" s="207"/>
      <c r="O909" s="122"/>
      <c r="P909" s="205"/>
      <c r="Q909" s="205"/>
      <c r="R909" s="205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</row>
    <row r="910">
      <c r="A910" s="122"/>
      <c r="B910" s="204"/>
      <c r="C910" s="204"/>
      <c r="D910" s="204"/>
      <c r="E910" s="205"/>
      <c r="F910" s="205"/>
      <c r="G910" s="205"/>
      <c r="H910" s="206"/>
      <c r="I910" s="207"/>
      <c r="J910" s="207"/>
      <c r="K910" s="207"/>
      <c r="L910" s="122"/>
      <c r="M910" s="207"/>
      <c r="N910" s="207"/>
      <c r="O910" s="122"/>
      <c r="P910" s="205"/>
      <c r="Q910" s="205"/>
      <c r="R910" s="205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</row>
    <row r="911">
      <c r="A911" s="122"/>
      <c r="B911" s="204"/>
      <c r="C911" s="204"/>
      <c r="D911" s="204"/>
      <c r="E911" s="205"/>
      <c r="F911" s="205"/>
      <c r="G911" s="205"/>
      <c r="H911" s="206"/>
      <c r="I911" s="207"/>
      <c r="J911" s="207"/>
      <c r="K911" s="207"/>
      <c r="L911" s="122"/>
      <c r="M911" s="207"/>
      <c r="N911" s="207"/>
      <c r="O911" s="122"/>
      <c r="P911" s="205"/>
      <c r="Q911" s="205"/>
      <c r="R911" s="205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</row>
    <row r="912">
      <c r="A912" s="122"/>
      <c r="B912" s="204"/>
      <c r="C912" s="204"/>
      <c r="D912" s="204"/>
      <c r="E912" s="205"/>
      <c r="F912" s="205"/>
      <c r="G912" s="205"/>
      <c r="H912" s="206"/>
      <c r="I912" s="207"/>
      <c r="J912" s="207"/>
      <c r="K912" s="207"/>
      <c r="L912" s="122"/>
      <c r="M912" s="207"/>
      <c r="N912" s="207"/>
      <c r="O912" s="122"/>
      <c r="P912" s="205"/>
      <c r="Q912" s="205"/>
      <c r="R912" s="205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</row>
    <row r="913">
      <c r="A913" s="122"/>
      <c r="B913" s="204"/>
      <c r="C913" s="204"/>
      <c r="D913" s="204"/>
      <c r="E913" s="205"/>
      <c r="F913" s="205"/>
      <c r="G913" s="205"/>
      <c r="H913" s="206"/>
      <c r="I913" s="207"/>
      <c r="J913" s="207"/>
      <c r="K913" s="207"/>
      <c r="L913" s="122"/>
      <c r="M913" s="207"/>
      <c r="N913" s="207"/>
      <c r="O913" s="122"/>
      <c r="P913" s="205"/>
      <c r="Q913" s="205"/>
      <c r="R913" s="205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</row>
    <row r="914">
      <c r="A914" s="122"/>
      <c r="B914" s="204"/>
      <c r="C914" s="204"/>
      <c r="D914" s="204"/>
      <c r="E914" s="205"/>
      <c r="F914" s="205"/>
      <c r="G914" s="205"/>
      <c r="H914" s="206"/>
      <c r="I914" s="207"/>
      <c r="J914" s="207"/>
      <c r="K914" s="207"/>
      <c r="L914" s="122"/>
      <c r="M914" s="207"/>
      <c r="N914" s="207"/>
      <c r="O914" s="122"/>
      <c r="P914" s="205"/>
      <c r="Q914" s="205"/>
      <c r="R914" s="205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</row>
    <row r="915">
      <c r="A915" s="122"/>
      <c r="B915" s="204"/>
      <c r="C915" s="204"/>
      <c r="D915" s="204"/>
      <c r="E915" s="205"/>
      <c r="F915" s="205"/>
      <c r="G915" s="205"/>
      <c r="H915" s="206"/>
      <c r="I915" s="207"/>
      <c r="J915" s="207"/>
      <c r="K915" s="207"/>
      <c r="L915" s="122"/>
      <c r="M915" s="207"/>
      <c r="N915" s="207"/>
      <c r="O915" s="122"/>
      <c r="P915" s="205"/>
      <c r="Q915" s="205"/>
      <c r="R915" s="205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</row>
    <row r="916">
      <c r="A916" s="122"/>
      <c r="B916" s="204"/>
      <c r="C916" s="204"/>
      <c r="D916" s="204"/>
      <c r="E916" s="205"/>
      <c r="F916" s="205"/>
      <c r="G916" s="205"/>
      <c r="H916" s="206"/>
      <c r="I916" s="207"/>
      <c r="J916" s="207"/>
      <c r="K916" s="207"/>
      <c r="L916" s="122"/>
      <c r="M916" s="207"/>
      <c r="N916" s="207"/>
      <c r="O916" s="122"/>
      <c r="P916" s="205"/>
      <c r="Q916" s="205"/>
      <c r="R916" s="205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</row>
    <row r="917">
      <c r="A917" s="122"/>
      <c r="B917" s="204"/>
      <c r="C917" s="204"/>
      <c r="D917" s="204"/>
      <c r="E917" s="205"/>
      <c r="F917" s="205"/>
      <c r="G917" s="205"/>
      <c r="H917" s="206"/>
      <c r="I917" s="207"/>
      <c r="J917" s="207"/>
      <c r="K917" s="207"/>
      <c r="L917" s="122"/>
      <c r="M917" s="207"/>
      <c r="N917" s="207"/>
      <c r="O917" s="122"/>
      <c r="P917" s="205"/>
      <c r="Q917" s="205"/>
      <c r="R917" s="205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</row>
    <row r="918">
      <c r="A918" s="122"/>
      <c r="B918" s="204"/>
      <c r="C918" s="204"/>
      <c r="D918" s="204"/>
      <c r="E918" s="205"/>
      <c r="F918" s="205"/>
      <c r="G918" s="205"/>
      <c r="H918" s="206"/>
      <c r="I918" s="207"/>
      <c r="J918" s="207"/>
      <c r="K918" s="207"/>
      <c r="L918" s="122"/>
      <c r="M918" s="207"/>
      <c r="N918" s="207"/>
      <c r="O918" s="122"/>
      <c r="P918" s="205"/>
      <c r="Q918" s="205"/>
      <c r="R918" s="205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</row>
    <row r="919">
      <c r="A919" s="122"/>
      <c r="B919" s="204"/>
      <c r="C919" s="204"/>
      <c r="D919" s="204"/>
      <c r="E919" s="205"/>
      <c r="F919" s="205"/>
      <c r="G919" s="205"/>
      <c r="H919" s="206"/>
      <c r="I919" s="207"/>
      <c r="J919" s="207"/>
      <c r="K919" s="207"/>
      <c r="L919" s="122"/>
      <c r="M919" s="207"/>
      <c r="N919" s="207"/>
      <c r="O919" s="122"/>
      <c r="P919" s="205"/>
      <c r="Q919" s="205"/>
      <c r="R919" s="205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</row>
    <row r="920">
      <c r="A920" s="122"/>
      <c r="B920" s="204"/>
      <c r="C920" s="204"/>
      <c r="D920" s="204"/>
      <c r="E920" s="205"/>
      <c r="F920" s="205"/>
      <c r="G920" s="205"/>
      <c r="H920" s="206"/>
      <c r="I920" s="207"/>
      <c r="J920" s="207"/>
      <c r="K920" s="207"/>
      <c r="L920" s="122"/>
      <c r="M920" s="207"/>
      <c r="N920" s="207"/>
      <c r="O920" s="122"/>
      <c r="P920" s="205"/>
      <c r="Q920" s="205"/>
      <c r="R920" s="205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</row>
    <row r="921">
      <c r="A921" s="122"/>
      <c r="B921" s="204"/>
      <c r="C921" s="204"/>
      <c r="D921" s="204"/>
      <c r="E921" s="205"/>
      <c r="F921" s="205"/>
      <c r="G921" s="205"/>
      <c r="H921" s="206"/>
      <c r="I921" s="207"/>
      <c r="J921" s="207"/>
      <c r="K921" s="207"/>
      <c r="L921" s="122"/>
      <c r="M921" s="207"/>
      <c r="N921" s="207"/>
      <c r="O921" s="122"/>
      <c r="P921" s="205"/>
      <c r="Q921" s="205"/>
      <c r="R921" s="205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</row>
    <row r="922">
      <c r="A922" s="122"/>
      <c r="B922" s="204"/>
      <c r="C922" s="204"/>
      <c r="D922" s="204"/>
      <c r="E922" s="205"/>
      <c r="F922" s="205"/>
      <c r="G922" s="205"/>
      <c r="H922" s="206"/>
      <c r="I922" s="207"/>
      <c r="J922" s="207"/>
      <c r="K922" s="207"/>
      <c r="L922" s="122"/>
      <c r="M922" s="207"/>
      <c r="N922" s="207"/>
      <c r="O922" s="122"/>
      <c r="P922" s="205"/>
      <c r="Q922" s="205"/>
      <c r="R922" s="205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</row>
    <row r="923">
      <c r="A923" s="122"/>
      <c r="B923" s="204"/>
      <c r="C923" s="204"/>
      <c r="D923" s="204"/>
      <c r="E923" s="205"/>
      <c r="F923" s="205"/>
      <c r="G923" s="205"/>
      <c r="H923" s="206"/>
      <c r="I923" s="207"/>
      <c r="J923" s="207"/>
      <c r="K923" s="207"/>
      <c r="L923" s="122"/>
      <c r="M923" s="207"/>
      <c r="N923" s="207"/>
      <c r="O923" s="122"/>
      <c r="P923" s="205"/>
      <c r="Q923" s="205"/>
      <c r="R923" s="205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</row>
    <row r="924">
      <c r="A924" s="122"/>
      <c r="B924" s="204"/>
      <c r="C924" s="204"/>
      <c r="D924" s="204"/>
      <c r="E924" s="205"/>
      <c r="F924" s="205"/>
      <c r="G924" s="205"/>
      <c r="H924" s="206"/>
      <c r="I924" s="207"/>
      <c r="J924" s="207"/>
      <c r="K924" s="207"/>
      <c r="L924" s="122"/>
      <c r="M924" s="207"/>
      <c r="N924" s="207"/>
      <c r="O924" s="122"/>
      <c r="P924" s="205"/>
      <c r="Q924" s="205"/>
      <c r="R924" s="205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</row>
    <row r="925">
      <c r="A925" s="122"/>
      <c r="B925" s="204"/>
      <c r="C925" s="204"/>
      <c r="D925" s="204"/>
      <c r="E925" s="205"/>
      <c r="F925" s="205"/>
      <c r="G925" s="205"/>
      <c r="H925" s="206"/>
      <c r="I925" s="207"/>
      <c r="J925" s="207"/>
      <c r="K925" s="207"/>
      <c r="L925" s="122"/>
      <c r="M925" s="207"/>
      <c r="N925" s="207"/>
      <c r="O925" s="122"/>
      <c r="P925" s="205"/>
      <c r="Q925" s="205"/>
      <c r="R925" s="205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</row>
    <row r="926">
      <c r="A926" s="122"/>
      <c r="B926" s="204"/>
      <c r="C926" s="204"/>
      <c r="D926" s="204"/>
      <c r="E926" s="205"/>
      <c r="F926" s="205"/>
      <c r="G926" s="205"/>
      <c r="H926" s="206"/>
      <c r="I926" s="207"/>
      <c r="J926" s="207"/>
      <c r="K926" s="207"/>
      <c r="L926" s="122"/>
      <c r="M926" s="207"/>
      <c r="N926" s="207"/>
      <c r="O926" s="122"/>
      <c r="P926" s="205"/>
      <c r="Q926" s="205"/>
      <c r="R926" s="205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</row>
    <row r="927">
      <c r="A927" s="122"/>
      <c r="B927" s="204"/>
      <c r="C927" s="204"/>
      <c r="D927" s="204"/>
      <c r="E927" s="205"/>
      <c r="F927" s="205"/>
      <c r="G927" s="205"/>
      <c r="H927" s="206"/>
      <c r="I927" s="207"/>
      <c r="J927" s="207"/>
      <c r="K927" s="207"/>
      <c r="L927" s="122"/>
      <c r="M927" s="207"/>
      <c r="N927" s="207"/>
      <c r="O927" s="122"/>
      <c r="P927" s="205"/>
      <c r="Q927" s="205"/>
      <c r="R927" s="205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</row>
    <row r="928">
      <c r="A928" s="122"/>
      <c r="B928" s="204"/>
      <c r="C928" s="204"/>
      <c r="D928" s="204"/>
      <c r="E928" s="205"/>
      <c r="F928" s="205"/>
      <c r="G928" s="205"/>
      <c r="H928" s="206"/>
      <c r="I928" s="207"/>
      <c r="J928" s="207"/>
      <c r="K928" s="207"/>
      <c r="L928" s="122"/>
      <c r="M928" s="207"/>
      <c r="N928" s="207"/>
      <c r="O928" s="122"/>
      <c r="P928" s="205"/>
      <c r="Q928" s="205"/>
      <c r="R928" s="205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</row>
    <row r="929">
      <c r="A929" s="122"/>
      <c r="B929" s="204"/>
      <c r="C929" s="204"/>
      <c r="D929" s="204"/>
      <c r="E929" s="205"/>
      <c r="F929" s="205"/>
      <c r="G929" s="205"/>
      <c r="H929" s="206"/>
      <c r="I929" s="207"/>
      <c r="J929" s="207"/>
      <c r="K929" s="207"/>
      <c r="L929" s="122"/>
      <c r="M929" s="207"/>
      <c r="N929" s="207"/>
      <c r="O929" s="122"/>
      <c r="P929" s="205"/>
      <c r="Q929" s="205"/>
      <c r="R929" s="205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</row>
    <row r="930">
      <c r="A930" s="122"/>
      <c r="B930" s="204"/>
      <c r="C930" s="204"/>
      <c r="D930" s="204"/>
      <c r="E930" s="205"/>
      <c r="F930" s="205"/>
      <c r="G930" s="205"/>
      <c r="H930" s="206"/>
      <c r="I930" s="207"/>
      <c r="J930" s="207"/>
      <c r="K930" s="207"/>
      <c r="L930" s="122"/>
      <c r="M930" s="207"/>
      <c r="N930" s="207"/>
      <c r="O930" s="122"/>
      <c r="P930" s="205"/>
      <c r="Q930" s="205"/>
      <c r="R930" s="205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</row>
    <row r="931">
      <c r="A931" s="122"/>
      <c r="B931" s="204"/>
      <c r="C931" s="204"/>
      <c r="D931" s="204"/>
      <c r="E931" s="205"/>
      <c r="F931" s="205"/>
      <c r="G931" s="205"/>
      <c r="H931" s="206"/>
      <c r="I931" s="207"/>
      <c r="J931" s="207"/>
      <c r="K931" s="207"/>
      <c r="L931" s="122"/>
      <c r="M931" s="207"/>
      <c r="N931" s="207"/>
      <c r="O931" s="122"/>
      <c r="P931" s="205"/>
      <c r="Q931" s="205"/>
      <c r="R931" s="205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</row>
    <row r="932">
      <c r="A932" s="122"/>
      <c r="B932" s="204"/>
      <c r="C932" s="204"/>
      <c r="D932" s="204"/>
      <c r="E932" s="205"/>
      <c r="F932" s="205"/>
      <c r="G932" s="205"/>
      <c r="H932" s="206"/>
      <c r="I932" s="207"/>
      <c r="J932" s="207"/>
      <c r="K932" s="207"/>
      <c r="L932" s="122"/>
      <c r="M932" s="207"/>
      <c r="N932" s="207"/>
      <c r="O932" s="122"/>
      <c r="P932" s="205"/>
      <c r="Q932" s="205"/>
      <c r="R932" s="205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</row>
    <row r="933">
      <c r="A933" s="122"/>
      <c r="B933" s="204"/>
      <c r="C933" s="204"/>
      <c r="D933" s="204"/>
      <c r="E933" s="205"/>
      <c r="F933" s="205"/>
      <c r="G933" s="205"/>
      <c r="H933" s="206"/>
      <c r="I933" s="207"/>
      <c r="J933" s="207"/>
      <c r="K933" s="207"/>
      <c r="L933" s="122"/>
      <c r="M933" s="207"/>
      <c r="N933" s="207"/>
      <c r="O933" s="122"/>
      <c r="P933" s="205"/>
      <c r="Q933" s="205"/>
      <c r="R933" s="205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</row>
    <row r="934">
      <c r="A934" s="122"/>
      <c r="B934" s="204"/>
      <c r="C934" s="204"/>
      <c r="D934" s="204"/>
      <c r="E934" s="205"/>
      <c r="F934" s="205"/>
      <c r="G934" s="205"/>
      <c r="H934" s="206"/>
      <c r="I934" s="207"/>
      <c r="J934" s="207"/>
      <c r="K934" s="207"/>
      <c r="L934" s="122"/>
      <c r="M934" s="207"/>
      <c r="N934" s="207"/>
      <c r="O934" s="122"/>
      <c r="P934" s="205"/>
      <c r="Q934" s="205"/>
      <c r="R934" s="205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</row>
    <row r="935">
      <c r="A935" s="122"/>
      <c r="B935" s="204"/>
      <c r="C935" s="204"/>
      <c r="D935" s="204"/>
      <c r="E935" s="205"/>
      <c r="F935" s="205"/>
      <c r="G935" s="205"/>
      <c r="H935" s="206"/>
      <c r="I935" s="207"/>
      <c r="J935" s="207"/>
      <c r="K935" s="207"/>
      <c r="L935" s="122"/>
      <c r="M935" s="207"/>
      <c r="N935" s="207"/>
      <c r="O935" s="122"/>
      <c r="P935" s="205"/>
      <c r="Q935" s="205"/>
      <c r="R935" s="205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</row>
    <row r="936">
      <c r="A936" s="122"/>
      <c r="B936" s="204"/>
      <c r="C936" s="204"/>
      <c r="D936" s="204"/>
      <c r="E936" s="205"/>
      <c r="F936" s="205"/>
      <c r="G936" s="205"/>
      <c r="H936" s="206"/>
      <c r="I936" s="207"/>
      <c r="J936" s="207"/>
      <c r="K936" s="207"/>
      <c r="L936" s="122"/>
      <c r="M936" s="207"/>
      <c r="N936" s="207"/>
      <c r="O936" s="122"/>
      <c r="P936" s="205"/>
      <c r="Q936" s="205"/>
      <c r="R936" s="205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</row>
    <row r="937">
      <c r="A937" s="122"/>
      <c r="B937" s="204"/>
      <c r="C937" s="204"/>
      <c r="D937" s="204"/>
      <c r="E937" s="205"/>
      <c r="F937" s="205"/>
      <c r="G937" s="205"/>
      <c r="H937" s="206"/>
      <c r="I937" s="207"/>
      <c r="J937" s="207"/>
      <c r="K937" s="207"/>
      <c r="L937" s="122"/>
      <c r="M937" s="207"/>
      <c r="N937" s="207"/>
      <c r="O937" s="122"/>
      <c r="P937" s="205"/>
      <c r="Q937" s="205"/>
      <c r="R937" s="205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</row>
    <row r="938">
      <c r="A938" s="122"/>
      <c r="B938" s="204"/>
      <c r="C938" s="204"/>
      <c r="D938" s="204"/>
      <c r="E938" s="205"/>
      <c r="F938" s="205"/>
      <c r="G938" s="205"/>
      <c r="H938" s="206"/>
      <c r="I938" s="207"/>
      <c r="J938" s="207"/>
      <c r="K938" s="207"/>
      <c r="L938" s="122"/>
      <c r="M938" s="207"/>
      <c r="N938" s="207"/>
      <c r="O938" s="122"/>
      <c r="P938" s="205"/>
      <c r="Q938" s="205"/>
      <c r="R938" s="205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</row>
    <row r="939">
      <c r="A939" s="122"/>
      <c r="B939" s="204"/>
      <c r="C939" s="204"/>
      <c r="D939" s="204"/>
      <c r="E939" s="205"/>
      <c r="F939" s="205"/>
      <c r="G939" s="205"/>
      <c r="H939" s="206"/>
      <c r="I939" s="207"/>
      <c r="J939" s="207"/>
      <c r="K939" s="207"/>
      <c r="L939" s="122"/>
      <c r="M939" s="207"/>
      <c r="N939" s="207"/>
      <c r="O939" s="122"/>
      <c r="P939" s="205"/>
      <c r="Q939" s="205"/>
      <c r="R939" s="205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</row>
    <row r="940">
      <c r="A940" s="122"/>
      <c r="B940" s="204"/>
      <c r="C940" s="204"/>
      <c r="D940" s="204"/>
      <c r="E940" s="205"/>
      <c r="F940" s="205"/>
      <c r="G940" s="205"/>
      <c r="H940" s="206"/>
      <c r="I940" s="207"/>
      <c r="J940" s="207"/>
      <c r="K940" s="207"/>
      <c r="L940" s="122"/>
      <c r="M940" s="207"/>
      <c r="N940" s="207"/>
      <c r="O940" s="122"/>
      <c r="P940" s="205"/>
      <c r="Q940" s="205"/>
      <c r="R940" s="205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</row>
    <row r="941">
      <c r="A941" s="122"/>
      <c r="B941" s="204"/>
      <c r="C941" s="204"/>
      <c r="D941" s="204"/>
      <c r="E941" s="205"/>
      <c r="F941" s="205"/>
      <c r="G941" s="205"/>
      <c r="H941" s="206"/>
      <c r="I941" s="207"/>
      <c r="J941" s="207"/>
      <c r="K941" s="207"/>
      <c r="L941" s="122"/>
      <c r="M941" s="207"/>
      <c r="N941" s="207"/>
      <c r="O941" s="122"/>
      <c r="P941" s="205"/>
      <c r="Q941" s="205"/>
      <c r="R941" s="205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</row>
    <row r="942">
      <c r="A942" s="122"/>
      <c r="B942" s="204"/>
      <c r="C942" s="204"/>
      <c r="D942" s="204"/>
      <c r="E942" s="205"/>
      <c r="F942" s="205"/>
      <c r="G942" s="205"/>
      <c r="H942" s="206"/>
      <c r="I942" s="207"/>
      <c r="J942" s="207"/>
      <c r="K942" s="207"/>
      <c r="L942" s="122"/>
      <c r="M942" s="207"/>
      <c r="N942" s="207"/>
      <c r="O942" s="122"/>
      <c r="P942" s="205"/>
      <c r="Q942" s="205"/>
      <c r="R942" s="205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</row>
    <row r="943">
      <c r="A943" s="122"/>
      <c r="B943" s="204"/>
      <c r="C943" s="204"/>
      <c r="D943" s="204"/>
      <c r="E943" s="205"/>
      <c r="F943" s="205"/>
      <c r="G943" s="205"/>
      <c r="H943" s="206"/>
      <c r="I943" s="207"/>
      <c r="J943" s="207"/>
      <c r="K943" s="207"/>
      <c r="L943" s="122"/>
      <c r="M943" s="207"/>
      <c r="N943" s="207"/>
      <c r="O943" s="122"/>
      <c r="P943" s="205"/>
      <c r="Q943" s="205"/>
      <c r="R943" s="205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</row>
    <row r="944">
      <c r="A944" s="122"/>
      <c r="B944" s="204"/>
      <c r="C944" s="204"/>
      <c r="D944" s="204"/>
      <c r="E944" s="205"/>
      <c r="F944" s="205"/>
      <c r="G944" s="205"/>
      <c r="H944" s="206"/>
      <c r="I944" s="207"/>
      <c r="J944" s="207"/>
      <c r="K944" s="207"/>
      <c r="L944" s="122"/>
      <c r="M944" s="207"/>
      <c r="N944" s="207"/>
      <c r="O944" s="122"/>
      <c r="P944" s="205"/>
      <c r="Q944" s="205"/>
      <c r="R944" s="205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</row>
    <row r="945">
      <c r="A945" s="122"/>
      <c r="B945" s="204"/>
      <c r="C945" s="204"/>
      <c r="D945" s="204"/>
      <c r="E945" s="205"/>
      <c r="F945" s="205"/>
      <c r="G945" s="205"/>
      <c r="H945" s="206"/>
      <c r="I945" s="207"/>
      <c r="J945" s="207"/>
      <c r="K945" s="207"/>
      <c r="L945" s="122"/>
      <c r="M945" s="207"/>
      <c r="N945" s="207"/>
      <c r="O945" s="122"/>
      <c r="P945" s="205"/>
      <c r="Q945" s="205"/>
      <c r="R945" s="205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</row>
    <row r="946">
      <c r="A946" s="122"/>
      <c r="B946" s="204"/>
      <c r="C946" s="204"/>
      <c r="D946" s="204"/>
      <c r="E946" s="205"/>
      <c r="F946" s="205"/>
      <c r="G946" s="205"/>
      <c r="H946" s="206"/>
      <c r="I946" s="207"/>
      <c r="J946" s="207"/>
      <c r="K946" s="207"/>
      <c r="L946" s="122"/>
      <c r="M946" s="207"/>
      <c r="N946" s="207"/>
      <c r="O946" s="122"/>
      <c r="P946" s="205"/>
      <c r="Q946" s="205"/>
      <c r="R946" s="205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</row>
    <row r="947">
      <c r="A947" s="122"/>
      <c r="B947" s="204"/>
      <c r="C947" s="204"/>
      <c r="D947" s="204"/>
      <c r="E947" s="205"/>
      <c r="F947" s="205"/>
      <c r="G947" s="205"/>
      <c r="H947" s="206"/>
      <c r="I947" s="207"/>
      <c r="J947" s="207"/>
      <c r="K947" s="207"/>
      <c r="L947" s="122"/>
      <c r="M947" s="207"/>
      <c r="N947" s="207"/>
      <c r="O947" s="122"/>
      <c r="P947" s="205"/>
      <c r="Q947" s="205"/>
      <c r="R947" s="205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</row>
    <row r="948">
      <c r="A948" s="122"/>
      <c r="B948" s="204"/>
      <c r="C948" s="204"/>
      <c r="D948" s="204"/>
      <c r="E948" s="205"/>
      <c r="F948" s="205"/>
      <c r="G948" s="205"/>
      <c r="H948" s="206"/>
      <c r="I948" s="207"/>
      <c r="J948" s="207"/>
      <c r="K948" s="207"/>
      <c r="L948" s="122"/>
      <c r="M948" s="207"/>
      <c r="N948" s="207"/>
      <c r="O948" s="122"/>
      <c r="P948" s="205"/>
      <c r="Q948" s="205"/>
      <c r="R948" s="205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</row>
    <row r="949">
      <c r="A949" s="122"/>
      <c r="B949" s="204"/>
      <c r="C949" s="204"/>
      <c r="D949" s="204"/>
      <c r="E949" s="205"/>
      <c r="F949" s="205"/>
      <c r="G949" s="205"/>
      <c r="H949" s="206"/>
      <c r="I949" s="207"/>
      <c r="J949" s="207"/>
      <c r="K949" s="207"/>
      <c r="L949" s="122"/>
      <c r="M949" s="207"/>
      <c r="N949" s="207"/>
      <c r="O949" s="122"/>
      <c r="P949" s="205"/>
      <c r="Q949" s="205"/>
      <c r="R949" s="205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</row>
    <row r="950">
      <c r="A950" s="122"/>
      <c r="B950" s="204"/>
      <c r="C950" s="204"/>
      <c r="D950" s="204"/>
      <c r="E950" s="205"/>
      <c r="F950" s="205"/>
      <c r="G950" s="205"/>
      <c r="H950" s="206"/>
      <c r="I950" s="207"/>
      <c r="J950" s="207"/>
      <c r="K950" s="207"/>
      <c r="L950" s="122"/>
      <c r="M950" s="207"/>
      <c r="N950" s="207"/>
      <c r="O950" s="122"/>
      <c r="P950" s="205"/>
      <c r="Q950" s="205"/>
      <c r="R950" s="205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</row>
    <row r="951">
      <c r="A951" s="122"/>
      <c r="B951" s="204"/>
      <c r="C951" s="204"/>
      <c r="D951" s="204"/>
      <c r="E951" s="205"/>
      <c r="F951" s="205"/>
      <c r="G951" s="205"/>
      <c r="H951" s="206"/>
      <c r="I951" s="207"/>
      <c r="J951" s="207"/>
      <c r="K951" s="207"/>
      <c r="L951" s="122"/>
      <c r="M951" s="207"/>
      <c r="N951" s="207"/>
      <c r="O951" s="122"/>
      <c r="P951" s="205"/>
      <c r="Q951" s="205"/>
      <c r="R951" s="205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</row>
    <row r="952">
      <c r="A952" s="122"/>
      <c r="B952" s="204"/>
      <c r="C952" s="204"/>
      <c r="D952" s="204"/>
      <c r="E952" s="205"/>
      <c r="F952" s="205"/>
      <c r="G952" s="205"/>
      <c r="H952" s="206"/>
      <c r="I952" s="207"/>
      <c r="J952" s="207"/>
      <c r="K952" s="207"/>
      <c r="L952" s="122"/>
      <c r="M952" s="207"/>
      <c r="N952" s="207"/>
      <c r="O952" s="122"/>
      <c r="P952" s="205"/>
      <c r="Q952" s="205"/>
      <c r="R952" s="205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</row>
    <row r="953">
      <c r="A953" s="122"/>
      <c r="B953" s="204"/>
      <c r="C953" s="204"/>
      <c r="D953" s="204"/>
      <c r="E953" s="205"/>
      <c r="F953" s="205"/>
      <c r="G953" s="205"/>
      <c r="H953" s="206"/>
      <c r="I953" s="207"/>
      <c r="J953" s="207"/>
      <c r="K953" s="207"/>
      <c r="L953" s="122"/>
      <c r="M953" s="207"/>
      <c r="N953" s="207"/>
      <c r="O953" s="122"/>
      <c r="P953" s="205"/>
      <c r="Q953" s="205"/>
      <c r="R953" s="205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</row>
    <row r="954">
      <c r="A954" s="122"/>
      <c r="B954" s="204"/>
      <c r="C954" s="204"/>
      <c r="D954" s="204"/>
      <c r="E954" s="205"/>
      <c r="F954" s="205"/>
      <c r="G954" s="205"/>
      <c r="H954" s="206"/>
      <c r="I954" s="207"/>
      <c r="J954" s="207"/>
      <c r="K954" s="207"/>
      <c r="L954" s="122"/>
      <c r="M954" s="207"/>
      <c r="N954" s="207"/>
      <c r="O954" s="122"/>
      <c r="P954" s="205"/>
      <c r="Q954" s="205"/>
      <c r="R954" s="205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</row>
    <row r="955">
      <c r="A955" s="122"/>
      <c r="B955" s="204"/>
      <c r="C955" s="204"/>
      <c r="D955" s="204"/>
      <c r="E955" s="205"/>
      <c r="F955" s="205"/>
      <c r="G955" s="205"/>
      <c r="H955" s="206"/>
      <c r="I955" s="207"/>
      <c r="J955" s="207"/>
      <c r="K955" s="207"/>
      <c r="L955" s="122"/>
      <c r="M955" s="207"/>
      <c r="N955" s="207"/>
      <c r="O955" s="122"/>
      <c r="P955" s="205"/>
      <c r="Q955" s="205"/>
      <c r="R955" s="205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</row>
    <row r="956">
      <c r="A956" s="122"/>
      <c r="B956" s="204"/>
      <c r="C956" s="204"/>
      <c r="D956" s="204"/>
      <c r="E956" s="205"/>
      <c r="F956" s="205"/>
      <c r="G956" s="205"/>
      <c r="H956" s="206"/>
      <c r="I956" s="207"/>
      <c r="J956" s="207"/>
      <c r="K956" s="207"/>
      <c r="L956" s="122"/>
      <c r="M956" s="207"/>
      <c r="N956" s="207"/>
      <c r="O956" s="122"/>
      <c r="P956" s="205"/>
      <c r="Q956" s="205"/>
      <c r="R956" s="205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</row>
    <row r="957">
      <c r="A957" s="122"/>
      <c r="B957" s="204"/>
      <c r="C957" s="204"/>
      <c r="D957" s="204"/>
      <c r="E957" s="205"/>
      <c r="F957" s="205"/>
      <c r="G957" s="205"/>
      <c r="H957" s="206"/>
      <c r="I957" s="207"/>
      <c r="J957" s="207"/>
      <c r="K957" s="207"/>
      <c r="L957" s="122"/>
      <c r="M957" s="207"/>
      <c r="N957" s="207"/>
      <c r="O957" s="122"/>
      <c r="P957" s="205"/>
      <c r="Q957" s="205"/>
      <c r="R957" s="205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</row>
    <row r="958">
      <c r="A958" s="122"/>
      <c r="B958" s="204"/>
      <c r="C958" s="204"/>
      <c r="D958" s="204"/>
      <c r="E958" s="205"/>
      <c r="F958" s="205"/>
      <c r="G958" s="205"/>
      <c r="H958" s="206"/>
      <c r="I958" s="207"/>
      <c r="J958" s="207"/>
      <c r="K958" s="207"/>
      <c r="L958" s="122"/>
      <c r="M958" s="207"/>
      <c r="N958" s="207"/>
      <c r="O958" s="122"/>
      <c r="P958" s="205"/>
      <c r="Q958" s="205"/>
      <c r="R958" s="205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</row>
    <row r="959">
      <c r="A959" s="122"/>
      <c r="B959" s="204"/>
      <c r="C959" s="204"/>
      <c r="D959" s="204"/>
      <c r="E959" s="205"/>
      <c r="F959" s="205"/>
      <c r="G959" s="205"/>
      <c r="H959" s="206"/>
      <c r="I959" s="207"/>
      <c r="J959" s="207"/>
      <c r="K959" s="207"/>
      <c r="L959" s="122"/>
      <c r="M959" s="207"/>
      <c r="N959" s="207"/>
      <c r="O959" s="122"/>
      <c r="P959" s="205"/>
      <c r="Q959" s="205"/>
      <c r="R959" s="205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</row>
    <row r="960">
      <c r="A960" s="122"/>
      <c r="B960" s="204"/>
      <c r="C960" s="204"/>
      <c r="D960" s="204"/>
      <c r="E960" s="205"/>
      <c r="F960" s="205"/>
      <c r="G960" s="205"/>
      <c r="H960" s="206"/>
      <c r="I960" s="207"/>
      <c r="J960" s="207"/>
      <c r="K960" s="207"/>
      <c r="L960" s="122"/>
      <c r="M960" s="207"/>
      <c r="N960" s="207"/>
      <c r="O960" s="122"/>
      <c r="P960" s="205"/>
      <c r="Q960" s="205"/>
      <c r="R960" s="205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</row>
    <row r="961">
      <c r="A961" s="122"/>
      <c r="B961" s="204"/>
      <c r="C961" s="204"/>
      <c r="D961" s="204"/>
      <c r="E961" s="205"/>
      <c r="F961" s="205"/>
      <c r="G961" s="205"/>
      <c r="H961" s="206"/>
      <c r="I961" s="207"/>
      <c r="J961" s="207"/>
      <c r="K961" s="207"/>
      <c r="L961" s="122"/>
      <c r="M961" s="207"/>
      <c r="N961" s="207"/>
      <c r="O961" s="122"/>
      <c r="P961" s="205"/>
      <c r="Q961" s="205"/>
      <c r="R961" s="205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</row>
    <row r="962">
      <c r="A962" s="122"/>
      <c r="B962" s="204"/>
      <c r="C962" s="204"/>
      <c r="D962" s="204"/>
      <c r="E962" s="205"/>
      <c r="F962" s="205"/>
      <c r="G962" s="205"/>
      <c r="H962" s="206"/>
      <c r="I962" s="207"/>
      <c r="J962" s="207"/>
      <c r="K962" s="207"/>
      <c r="L962" s="122"/>
      <c r="M962" s="207"/>
      <c r="N962" s="207"/>
      <c r="O962" s="122"/>
      <c r="P962" s="205"/>
      <c r="Q962" s="205"/>
      <c r="R962" s="205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</row>
    <row r="963">
      <c r="A963" s="122"/>
      <c r="B963" s="204"/>
      <c r="C963" s="204"/>
      <c r="D963" s="204"/>
      <c r="E963" s="205"/>
      <c r="F963" s="205"/>
      <c r="G963" s="205"/>
      <c r="H963" s="206"/>
      <c r="I963" s="207"/>
      <c r="J963" s="207"/>
      <c r="K963" s="207"/>
      <c r="L963" s="122"/>
      <c r="M963" s="207"/>
      <c r="N963" s="207"/>
      <c r="O963" s="122"/>
      <c r="P963" s="205"/>
      <c r="Q963" s="205"/>
      <c r="R963" s="205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</row>
    <row r="964">
      <c r="A964" s="122"/>
      <c r="B964" s="204"/>
      <c r="C964" s="204"/>
      <c r="D964" s="204"/>
      <c r="E964" s="205"/>
      <c r="F964" s="205"/>
      <c r="G964" s="205"/>
      <c r="H964" s="206"/>
      <c r="I964" s="207"/>
      <c r="J964" s="207"/>
      <c r="K964" s="207"/>
      <c r="L964" s="122"/>
      <c r="M964" s="207"/>
      <c r="N964" s="207"/>
      <c r="O964" s="122"/>
      <c r="P964" s="205"/>
      <c r="Q964" s="205"/>
      <c r="R964" s="205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</row>
    <row r="965">
      <c r="A965" s="122"/>
      <c r="B965" s="204"/>
      <c r="C965" s="204"/>
      <c r="D965" s="204"/>
      <c r="E965" s="205"/>
      <c r="F965" s="205"/>
      <c r="G965" s="205"/>
      <c r="H965" s="206"/>
      <c r="I965" s="207"/>
      <c r="J965" s="207"/>
      <c r="K965" s="207"/>
      <c r="L965" s="122"/>
      <c r="M965" s="207"/>
      <c r="N965" s="207"/>
      <c r="O965" s="122"/>
      <c r="P965" s="205"/>
      <c r="Q965" s="205"/>
      <c r="R965" s="205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</row>
    <row r="966">
      <c r="A966" s="122"/>
      <c r="B966" s="204"/>
      <c r="C966" s="204"/>
      <c r="D966" s="204"/>
      <c r="E966" s="205"/>
      <c r="F966" s="205"/>
      <c r="G966" s="205"/>
      <c r="H966" s="206"/>
      <c r="I966" s="207"/>
      <c r="J966" s="207"/>
      <c r="K966" s="207"/>
      <c r="L966" s="122"/>
      <c r="M966" s="207"/>
      <c r="N966" s="207"/>
      <c r="O966" s="122"/>
      <c r="P966" s="205"/>
      <c r="Q966" s="205"/>
      <c r="R966" s="205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</row>
    <row r="967">
      <c r="A967" s="122"/>
      <c r="B967" s="204"/>
      <c r="C967" s="204"/>
      <c r="D967" s="204"/>
      <c r="E967" s="205"/>
      <c r="F967" s="205"/>
      <c r="G967" s="205"/>
      <c r="H967" s="206"/>
      <c r="I967" s="207"/>
      <c r="J967" s="207"/>
      <c r="K967" s="207"/>
      <c r="L967" s="122"/>
      <c r="M967" s="207"/>
      <c r="N967" s="207"/>
      <c r="O967" s="122"/>
      <c r="P967" s="205"/>
      <c r="Q967" s="205"/>
      <c r="R967" s="205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</row>
    <row r="968">
      <c r="A968" s="122"/>
      <c r="B968" s="204"/>
      <c r="C968" s="204"/>
      <c r="D968" s="204"/>
      <c r="E968" s="205"/>
      <c r="F968" s="205"/>
      <c r="G968" s="205"/>
      <c r="H968" s="206"/>
      <c r="I968" s="207"/>
      <c r="J968" s="207"/>
      <c r="K968" s="207"/>
      <c r="L968" s="122"/>
      <c r="M968" s="207"/>
      <c r="N968" s="207"/>
      <c r="O968" s="122"/>
      <c r="P968" s="205"/>
      <c r="Q968" s="205"/>
      <c r="R968" s="205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</row>
    <row r="969">
      <c r="A969" s="122"/>
      <c r="B969" s="204"/>
      <c r="C969" s="204"/>
      <c r="D969" s="204"/>
      <c r="E969" s="205"/>
      <c r="F969" s="205"/>
      <c r="G969" s="205"/>
      <c r="H969" s="206"/>
      <c r="I969" s="207"/>
      <c r="J969" s="207"/>
      <c r="K969" s="207"/>
      <c r="L969" s="122"/>
      <c r="M969" s="207"/>
      <c r="N969" s="207"/>
      <c r="O969" s="122"/>
      <c r="P969" s="205"/>
      <c r="Q969" s="205"/>
      <c r="R969" s="205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</row>
    <row r="970">
      <c r="A970" s="122"/>
      <c r="B970" s="204"/>
      <c r="C970" s="204"/>
      <c r="D970" s="204"/>
      <c r="E970" s="205"/>
      <c r="F970" s="205"/>
      <c r="G970" s="205"/>
      <c r="H970" s="206"/>
      <c r="I970" s="207"/>
      <c r="J970" s="207"/>
      <c r="K970" s="207"/>
      <c r="L970" s="122"/>
      <c r="M970" s="207"/>
      <c r="N970" s="207"/>
      <c r="O970" s="122"/>
      <c r="P970" s="205"/>
      <c r="Q970" s="205"/>
      <c r="R970" s="205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</row>
    <row r="971">
      <c r="A971" s="122"/>
      <c r="B971" s="204"/>
      <c r="C971" s="204"/>
      <c r="D971" s="204"/>
      <c r="E971" s="205"/>
      <c r="F971" s="205"/>
      <c r="G971" s="205"/>
      <c r="H971" s="206"/>
      <c r="I971" s="207"/>
      <c r="J971" s="207"/>
      <c r="K971" s="207"/>
      <c r="L971" s="122"/>
      <c r="M971" s="207"/>
      <c r="N971" s="207"/>
      <c r="O971" s="122"/>
      <c r="P971" s="205"/>
      <c r="Q971" s="205"/>
      <c r="R971" s="205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</row>
    <row r="972">
      <c r="A972" s="122"/>
      <c r="B972" s="204"/>
      <c r="C972" s="204"/>
      <c r="D972" s="204"/>
      <c r="E972" s="205"/>
      <c r="F972" s="205"/>
      <c r="G972" s="205"/>
      <c r="H972" s="206"/>
      <c r="I972" s="207"/>
      <c r="J972" s="207"/>
      <c r="K972" s="207"/>
      <c r="L972" s="122"/>
      <c r="M972" s="207"/>
      <c r="N972" s="207"/>
      <c r="O972" s="122"/>
      <c r="P972" s="205"/>
      <c r="Q972" s="205"/>
      <c r="R972" s="205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</row>
    <row r="973">
      <c r="A973" s="122"/>
      <c r="B973" s="204"/>
      <c r="C973" s="204"/>
      <c r="D973" s="204"/>
      <c r="E973" s="205"/>
      <c r="F973" s="205"/>
      <c r="G973" s="205"/>
      <c r="H973" s="206"/>
      <c r="I973" s="207"/>
      <c r="J973" s="207"/>
      <c r="K973" s="207"/>
      <c r="L973" s="122"/>
      <c r="M973" s="207"/>
      <c r="N973" s="207"/>
      <c r="O973" s="122"/>
      <c r="P973" s="205"/>
      <c r="Q973" s="205"/>
      <c r="R973" s="205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</row>
    <row r="974">
      <c r="A974" s="122"/>
      <c r="B974" s="204"/>
      <c r="C974" s="204"/>
      <c r="D974" s="204"/>
      <c r="E974" s="205"/>
      <c r="F974" s="205"/>
      <c r="G974" s="205"/>
      <c r="H974" s="206"/>
      <c r="I974" s="207"/>
      <c r="J974" s="207"/>
      <c r="K974" s="207"/>
      <c r="L974" s="122"/>
      <c r="M974" s="207"/>
      <c r="N974" s="207"/>
      <c r="O974" s="122"/>
      <c r="P974" s="205"/>
      <c r="Q974" s="205"/>
      <c r="R974" s="205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</row>
    <row r="975">
      <c r="A975" s="122"/>
      <c r="B975" s="204"/>
      <c r="C975" s="204"/>
      <c r="D975" s="204"/>
      <c r="E975" s="205"/>
      <c r="F975" s="205"/>
      <c r="G975" s="205"/>
      <c r="H975" s="206"/>
      <c r="I975" s="207"/>
      <c r="J975" s="207"/>
      <c r="K975" s="207"/>
      <c r="L975" s="122"/>
      <c r="M975" s="207"/>
      <c r="N975" s="207"/>
      <c r="O975" s="122"/>
      <c r="P975" s="205"/>
      <c r="Q975" s="205"/>
      <c r="R975" s="205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</row>
    <row r="976">
      <c r="A976" s="122"/>
      <c r="B976" s="204"/>
      <c r="C976" s="204"/>
      <c r="D976" s="204"/>
      <c r="E976" s="205"/>
      <c r="F976" s="205"/>
      <c r="G976" s="205"/>
      <c r="H976" s="206"/>
      <c r="I976" s="207"/>
      <c r="J976" s="207"/>
      <c r="K976" s="207"/>
      <c r="L976" s="122"/>
      <c r="M976" s="207"/>
      <c r="N976" s="207"/>
      <c r="O976" s="122"/>
      <c r="P976" s="205"/>
      <c r="Q976" s="205"/>
      <c r="R976" s="205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</row>
    <row r="977">
      <c r="A977" s="122"/>
      <c r="B977" s="204"/>
      <c r="C977" s="204"/>
      <c r="D977" s="204"/>
      <c r="E977" s="205"/>
      <c r="F977" s="205"/>
      <c r="G977" s="205"/>
      <c r="H977" s="206"/>
      <c r="I977" s="207"/>
      <c r="J977" s="207"/>
      <c r="K977" s="207"/>
      <c r="L977" s="122"/>
      <c r="M977" s="207"/>
      <c r="N977" s="207"/>
      <c r="O977" s="122"/>
      <c r="P977" s="205"/>
      <c r="Q977" s="205"/>
      <c r="R977" s="205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</row>
    <row r="978">
      <c r="A978" s="122"/>
      <c r="B978" s="204"/>
      <c r="C978" s="204"/>
      <c r="D978" s="204"/>
      <c r="E978" s="205"/>
      <c r="F978" s="205"/>
      <c r="G978" s="205"/>
      <c r="H978" s="206"/>
      <c r="I978" s="207"/>
      <c r="J978" s="207"/>
      <c r="K978" s="207"/>
      <c r="L978" s="122"/>
      <c r="M978" s="207"/>
      <c r="N978" s="207"/>
      <c r="O978" s="122"/>
      <c r="P978" s="205"/>
      <c r="Q978" s="205"/>
      <c r="R978" s="205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</row>
    <row r="979">
      <c r="A979" s="122"/>
      <c r="B979" s="204"/>
      <c r="C979" s="204"/>
      <c r="D979" s="204"/>
      <c r="E979" s="205"/>
      <c r="F979" s="205"/>
      <c r="G979" s="205"/>
      <c r="H979" s="206"/>
      <c r="I979" s="207"/>
      <c r="J979" s="207"/>
      <c r="K979" s="207"/>
      <c r="L979" s="122"/>
      <c r="M979" s="207"/>
      <c r="N979" s="207"/>
      <c r="O979" s="122"/>
      <c r="P979" s="205"/>
      <c r="Q979" s="205"/>
      <c r="R979" s="205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</row>
    <row r="980">
      <c r="A980" s="122"/>
      <c r="B980" s="204"/>
      <c r="C980" s="204"/>
      <c r="D980" s="204"/>
      <c r="E980" s="205"/>
      <c r="F980" s="205"/>
      <c r="G980" s="205"/>
      <c r="H980" s="206"/>
      <c r="I980" s="207"/>
      <c r="J980" s="207"/>
      <c r="K980" s="207"/>
      <c r="L980" s="122"/>
      <c r="M980" s="207"/>
      <c r="N980" s="207"/>
      <c r="O980" s="122"/>
      <c r="P980" s="205"/>
      <c r="Q980" s="205"/>
      <c r="R980" s="205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</row>
    <row r="981">
      <c r="A981" s="122"/>
      <c r="B981" s="204"/>
      <c r="C981" s="204"/>
      <c r="D981" s="204"/>
      <c r="E981" s="205"/>
      <c r="F981" s="205"/>
      <c r="G981" s="205"/>
      <c r="H981" s="206"/>
      <c r="I981" s="207"/>
      <c r="J981" s="207"/>
      <c r="K981" s="207"/>
      <c r="L981" s="122"/>
      <c r="M981" s="207"/>
      <c r="N981" s="207"/>
      <c r="O981" s="122"/>
      <c r="P981" s="205"/>
      <c r="Q981" s="205"/>
      <c r="R981" s="205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</row>
    <row r="982">
      <c r="A982" s="122"/>
      <c r="B982" s="204"/>
      <c r="C982" s="204"/>
      <c r="D982" s="204"/>
      <c r="E982" s="205"/>
      <c r="F982" s="205"/>
      <c r="G982" s="205"/>
      <c r="H982" s="206"/>
      <c r="I982" s="207"/>
      <c r="J982" s="207"/>
      <c r="K982" s="207"/>
      <c r="L982" s="122"/>
      <c r="M982" s="207"/>
      <c r="N982" s="207"/>
      <c r="O982" s="122"/>
      <c r="P982" s="205"/>
      <c r="Q982" s="205"/>
      <c r="R982" s="205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</row>
    <row r="983">
      <c r="A983" s="122"/>
      <c r="B983" s="204"/>
      <c r="C983" s="204"/>
      <c r="D983" s="204"/>
      <c r="E983" s="205"/>
      <c r="F983" s="205"/>
      <c r="G983" s="205"/>
      <c r="H983" s="206"/>
      <c r="I983" s="207"/>
      <c r="J983" s="207"/>
      <c r="K983" s="207"/>
      <c r="L983" s="122"/>
      <c r="M983" s="207"/>
      <c r="N983" s="207"/>
      <c r="O983" s="122"/>
      <c r="P983" s="205"/>
      <c r="Q983" s="205"/>
      <c r="R983" s="205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</row>
    <row r="984">
      <c r="A984" s="122"/>
      <c r="B984" s="204"/>
      <c r="C984" s="204"/>
      <c r="D984" s="204"/>
      <c r="E984" s="205"/>
      <c r="F984" s="205"/>
      <c r="G984" s="205"/>
      <c r="H984" s="206"/>
      <c r="I984" s="207"/>
      <c r="J984" s="207"/>
      <c r="K984" s="207"/>
      <c r="L984" s="122"/>
      <c r="M984" s="207"/>
      <c r="N984" s="207"/>
      <c r="O984" s="122"/>
      <c r="P984" s="205"/>
      <c r="Q984" s="205"/>
      <c r="R984" s="205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</row>
    <row r="985">
      <c r="A985" s="122"/>
      <c r="B985" s="204"/>
      <c r="C985" s="204"/>
      <c r="D985" s="204"/>
      <c r="E985" s="205"/>
      <c r="F985" s="205"/>
      <c r="G985" s="205"/>
      <c r="H985" s="206"/>
      <c r="I985" s="207"/>
      <c r="J985" s="207"/>
      <c r="K985" s="207"/>
      <c r="L985" s="122"/>
      <c r="M985" s="207"/>
      <c r="N985" s="207"/>
      <c r="O985" s="122"/>
      <c r="P985" s="205"/>
      <c r="Q985" s="205"/>
      <c r="R985" s="205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</row>
    <row r="986">
      <c r="A986" s="122"/>
      <c r="B986" s="204"/>
      <c r="C986" s="204"/>
      <c r="D986" s="204"/>
      <c r="E986" s="205"/>
      <c r="F986" s="205"/>
      <c r="G986" s="205"/>
      <c r="H986" s="206"/>
      <c r="I986" s="207"/>
      <c r="J986" s="207"/>
      <c r="K986" s="207"/>
      <c r="L986" s="122"/>
      <c r="M986" s="207"/>
      <c r="N986" s="207"/>
      <c r="O986" s="122"/>
      <c r="P986" s="205"/>
      <c r="Q986" s="205"/>
      <c r="R986" s="205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</row>
    <row r="987">
      <c r="A987" s="122"/>
      <c r="B987" s="204"/>
      <c r="C987" s="204"/>
      <c r="D987" s="204"/>
      <c r="E987" s="205"/>
      <c r="F987" s="205"/>
      <c r="G987" s="205"/>
      <c r="H987" s="206"/>
      <c r="I987" s="207"/>
      <c r="J987" s="207"/>
      <c r="K987" s="207"/>
      <c r="L987" s="122"/>
      <c r="M987" s="207"/>
      <c r="N987" s="207"/>
      <c r="O987" s="122"/>
      <c r="P987" s="205"/>
      <c r="Q987" s="205"/>
      <c r="R987" s="205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</row>
    <row r="988">
      <c r="A988" s="122"/>
      <c r="B988" s="204"/>
      <c r="C988" s="204"/>
      <c r="D988" s="204"/>
      <c r="E988" s="205"/>
      <c r="F988" s="205"/>
      <c r="G988" s="205"/>
      <c r="H988" s="206"/>
      <c r="I988" s="207"/>
      <c r="J988" s="207"/>
      <c r="K988" s="207"/>
      <c r="L988" s="122"/>
      <c r="M988" s="207"/>
      <c r="N988" s="207"/>
      <c r="O988" s="122"/>
      <c r="P988" s="205"/>
      <c r="Q988" s="205"/>
      <c r="R988" s="205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</row>
    <row r="989">
      <c r="A989" s="122"/>
      <c r="B989" s="204"/>
      <c r="C989" s="204"/>
      <c r="D989" s="204"/>
      <c r="E989" s="205"/>
      <c r="F989" s="205"/>
      <c r="G989" s="205"/>
      <c r="H989" s="206"/>
      <c r="I989" s="207"/>
      <c r="J989" s="207"/>
      <c r="K989" s="207"/>
      <c r="L989" s="122"/>
      <c r="M989" s="207"/>
      <c r="N989" s="207"/>
      <c r="O989" s="122"/>
      <c r="P989" s="205"/>
      <c r="Q989" s="205"/>
      <c r="R989" s="205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</row>
    <row r="990">
      <c r="A990" s="122"/>
      <c r="B990" s="204"/>
      <c r="C990" s="204"/>
      <c r="D990" s="204"/>
      <c r="E990" s="205"/>
      <c r="F990" s="205"/>
      <c r="G990" s="205"/>
      <c r="H990" s="206"/>
      <c r="I990" s="207"/>
      <c r="J990" s="207"/>
      <c r="K990" s="207"/>
      <c r="L990" s="122"/>
      <c r="M990" s="207"/>
      <c r="N990" s="207"/>
      <c r="O990" s="122"/>
      <c r="P990" s="205"/>
      <c r="Q990" s="205"/>
      <c r="R990" s="205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</row>
    <row r="991">
      <c r="A991" s="122"/>
      <c r="B991" s="204"/>
      <c r="C991" s="204"/>
      <c r="D991" s="204"/>
      <c r="E991" s="205"/>
      <c r="F991" s="205"/>
      <c r="G991" s="205"/>
      <c r="H991" s="206"/>
      <c r="I991" s="207"/>
      <c r="J991" s="207"/>
      <c r="K991" s="207"/>
      <c r="L991" s="122"/>
      <c r="M991" s="207"/>
      <c r="N991" s="207"/>
      <c r="O991" s="122"/>
      <c r="P991" s="205"/>
      <c r="Q991" s="205"/>
      <c r="R991" s="205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</row>
    <row r="992">
      <c r="A992" s="122"/>
      <c r="B992" s="204"/>
      <c r="C992" s="204"/>
      <c r="D992" s="204"/>
      <c r="E992" s="205"/>
      <c r="F992" s="205"/>
      <c r="G992" s="205"/>
      <c r="H992" s="206"/>
      <c r="I992" s="207"/>
      <c r="J992" s="207"/>
      <c r="K992" s="207"/>
      <c r="L992" s="122"/>
      <c r="M992" s="207"/>
      <c r="N992" s="207"/>
      <c r="O992" s="122"/>
      <c r="P992" s="205"/>
      <c r="Q992" s="205"/>
      <c r="R992" s="205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</row>
    <row r="993">
      <c r="A993" s="122"/>
      <c r="B993" s="204"/>
      <c r="C993" s="204"/>
      <c r="D993" s="204"/>
      <c r="E993" s="205"/>
      <c r="F993" s="205"/>
      <c r="G993" s="205"/>
      <c r="H993" s="206"/>
      <c r="I993" s="207"/>
      <c r="J993" s="207"/>
      <c r="K993" s="207"/>
      <c r="L993" s="122"/>
      <c r="M993" s="207"/>
      <c r="N993" s="207"/>
      <c r="O993" s="122"/>
      <c r="P993" s="205"/>
      <c r="Q993" s="205"/>
      <c r="R993" s="205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</row>
    <row r="994">
      <c r="A994" s="122"/>
      <c r="B994" s="204"/>
      <c r="C994" s="204"/>
      <c r="D994" s="204"/>
      <c r="E994" s="205"/>
      <c r="F994" s="205"/>
      <c r="G994" s="205"/>
      <c r="H994" s="206"/>
      <c r="I994" s="207"/>
      <c r="J994" s="207"/>
      <c r="K994" s="207"/>
      <c r="L994" s="122"/>
      <c r="M994" s="207"/>
      <c r="N994" s="207"/>
      <c r="O994" s="122"/>
      <c r="P994" s="205"/>
      <c r="Q994" s="205"/>
      <c r="R994" s="205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</row>
    <row r="995">
      <c r="A995" s="122"/>
      <c r="B995" s="204"/>
      <c r="C995" s="204"/>
      <c r="D995" s="204"/>
      <c r="E995" s="205"/>
      <c r="F995" s="205"/>
      <c r="G995" s="205"/>
      <c r="H995" s="206"/>
      <c r="I995" s="207"/>
      <c r="J995" s="207"/>
      <c r="K995" s="207"/>
      <c r="L995" s="122"/>
      <c r="M995" s="207"/>
      <c r="N995" s="207"/>
      <c r="O995" s="122"/>
      <c r="P995" s="205"/>
      <c r="Q995" s="205"/>
      <c r="R995" s="205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</row>
    <row r="996">
      <c r="A996" s="122"/>
      <c r="B996" s="204"/>
      <c r="C996" s="204"/>
      <c r="D996" s="204"/>
      <c r="E996" s="205"/>
      <c r="F996" s="205"/>
      <c r="G996" s="205"/>
      <c r="H996" s="206"/>
      <c r="I996" s="207"/>
      <c r="J996" s="207"/>
      <c r="K996" s="207"/>
      <c r="L996" s="122"/>
      <c r="M996" s="207"/>
      <c r="N996" s="207"/>
      <c r="O996" s="122"/>
      <c r="P996" s="205"/>
      <c r="Q996" s="205"/>
      <c r="R996" s="205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</row>
    <row r="997">
      <c r="A997" s="122"/>
      <c r="B997" s="204"/>
      <c r="C997" s="204"/>
      <c r="D997" s="204"/>
      <c r="E997" s="205"/>
      <c r="F997" s="205"/>
      <c r="G997" s="205"/>
      <c r="H997" s="206"/>
      <c r="I997" s="207"/>
      <c r="J997" s="207"/>
      <c r="K997" s="207"/>
      <c r="L997" s="122"/>
      <c r="M997" s="207"/>
      <c r="N997" s="207"/>
      <c r="O997" s="122"/>
      <c r="P997" s="205"/>
      <c r="Q997" s="205"/>
      <c r="R997" s="205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</row>
    <row r="998">
      <c r="A998" s="122"/>
      <c r="B998" s="204"/>
      <c r="C998" s="204"/>
      <c r="D998" s="204"/>
      <c r="E998" s="205"/>
      <c r="F998" s="205"/>
      <c r="G998" s="205"/>
      <c r="H998" s="206"/>
      <c r="I998" s="207"/>
      <c r="J998" s="207"/>
      <c r="K998" s="207"/>
      <c r="L998" s="122"/>
      <c r="M998" s="207"/>
      <c r="N998" s="207"/>
      <c r="O998" s="122"/>
      <c r="P998" s="205"/>
      <c r="Q998" s="205"/>
      <c r="R998" s="205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</row>
    <row r="999">
      <c r="A999" s="122"/>
      <c r="B999" s="204"/>
      <c r="C999" s="204"/>
      <c r="D999" s="204"/>
      <c r="E999" s="205"/>
      <c r="F999" s="205"/>
      <c r="G999" s="205"/>
      <c r="H999" s="206"/>
      <c r="I999" s="207"/>
      <c r="J999" s="207"/>
      <c r="K999" s="207"/>
      <c r="L999" s="122"/>
      <c r="M999" s="207"/>
      <c r="N999" s="207"/>
      <c r="O999" s="122"/>
      <c r="P999" s="205"/>
      <c r="Q999" s="205"/>
      <c r="R999" s="205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</row>
    <row r="1000">
      <c r="A1000" s="122"/>
      <c r="B1000" s="204"/>
      <c r="C1000" s="204"/>
      <c r="D1000" s="204"/>
      <c r="E1000" s="205"/>
      <c r="F1000" s="205"/>
      <c r="G1000" s="205"/>
      <c r="H1000" s="206"/>
      <c r="I1000" s="207"/>
      <c r="J1000" s="207"/>
      <c r="K1000" s="207"/>
      <c r="L1000" s="122"/>
      <c r="M1000" s="207"/>
      <c r="N1000" s="207"/>
      <c r="O1000" s="122"/>
      <c r="P1000" s="205"/>
      <c r="Q1000" s="205"/>
      <c r="R1000" s="205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</row>
    <row r="1001">
      <c r="A1001" s="122"/>
      <c r="B1001" s="204"/>
      <c r="C1001" s="204"/>
      <c r="D1001" s="204"/>
      <c r="E1001" s="205"/>
      <c r="F1001" s="205"/>
      <c r="G1001" s="205"/>
      <c r="H1001" s="206"/>
      <c r="I1001" s="207"/>
      <c r="J1001" s="207"/>
      <c r="K1001" s="207"/>
      <c r="L1001" s="122"/>
      <c r="M1001" s="207"/>
      <c r="N1001" s="207"/>
      <c r="O1001" s="122"/>
      <c r="P1001" s="205"/>
      <c r="Q1001" s="205"/>
      <c r="R1001" s="205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2"/>
    </row>
    <row r="1002">
      <c r="A1002" s="122"/>
      <c r="B1002" s="204"/>
      <c r="C1002" s="204"/>
      <c r="D1002" s="204"/>
      <c r="E1002" s="205"/>
      <c r="F1002" s="205"/>
      <c r="G1002" s="205"/>
      <c r="H1002" s="206"/>
      <c r="I1002" s="207"/>
      <c r="J1002" s="207"/>
      <c r="K1002" s="207"/>
      <c r="L1002" s="122"/>
      <c r="M1002" s="207"/>
      <c r="N1002" s="207"/>
      <c r="O1002" s="122"/>
      <c r="P1002" s="205"/>
      <c r="Q1002" s="205"/>
      <c r="R1002" s="205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2"/>
    </row>
    <row r="1003">
      <c r="A1003" s="122"/>
      <c r="B1003" s="204"/>
      <c r="C1003" s="204"/>
      <c r="D1003" s="204"/>
      <c r="E1003" s="205"/>
      <c r="F1003" s="205"/>
      <c r="G1003" s="205"/>
      <c r="H1003" s="206"/>
      <c r="I1003" s="207"/>
      <c r="J1003" s="207"/>
      <c r="K1003" s="207"/>
      <c r="L1003" s="122"/>
      <c r="M1003" s="207"/>
      <c r="N1003" s="207"/>
      <c r="O1003" s="122"/>
      <c r="P1003" s="205"/>
      <c r="Q1003" s="205"/>
      <c r="R1003" s="205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2"/>
    </row>
    <row r="1004">
      <c r="A1004" s="122"/>
      <c r="B1004" s="204"/>
      <c r="C1004" s="204"/>
      <c r="D1004" s="204"/>
      <c r="E1004" s="205"/>
      <c r="F1004" s="205"/>
      <c r="G1004" s="205"/>
      <c r="H1004" s="206"/>
      <c r="I1004" s="207"/>
      <c r="J1004" s="207"/>
      <c r="K1004" s="207"/>
      <c r="L1004" s="122"/>
      <c r="M1004" s="207"/>
      <c r="N1004" s="207"/>
      <c r="O1004" s="122"/>
      <c r="P1004" s="205"/>
      <c r="Q1004" s="205"/>
      <c r="R1004" s="205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2"/>
    </row>
    <row r="1005">
      <c r="A1005" s="122"/>
      <c r="B1005" s="204"/>
      <c r="C1005" s="204"/>
      <c r="D1005" s="204"/>
      <c r="E1005" s="205"/>
      <c r="F1005" s="205"/>
      <c r="G1005" s="205"/>
      <c r="H1005" s="206"/>
      <c r="I1005" s="207"/>
      <c r="J1005" s="207"/>
      <c r="K1005" s="207"/>
      <c r="L1005" s="122"/>
      <c r="M1005" s="207"/>
      <c r="N1005" s="207"/>
      <c r="O1005" s="122"/>
      <c r="P1005" s="205"/>
      <c r="Q1005" s="205"/>
      <c r="R1005" s="205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2"/>
    </row>
    <row r="1006">
      <c r="A1006" s="122"/>
      <c r="B1006" s="204"/>
      <c r="C1006" s="204"/>
      <c r="D1006" s="204"/>
      <c r="E1006" s="205"/>
      <c r="F1006" s="205"/>
      <c r="G1006" s="205"/>
      <c r="H1006" s="206"/>
      <c r="I1006" s="207"/>
      <c r="J1006" s="207"/>
      <c r="K1006" s="207"/>
      <c r="L1006" s="122"/>
      <c r="M1006" s="207"/>
      <c r="N1006" s="207"/>
      <c r="O1006" s="122"/>
      <c r="P1006" s="205"/>
      <c r="Q1006" s="205"/>
      <c r="R1006" s="205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2"/>
    </row>
    <row r="1007">
      <c r="A1007" s="122"/>
      <c r="B1007" s="204"/>
      <c r="C1007" s="204"/>
      <c r="D1007" s="204"/>
      <c r="E1007" s="205"/>
      <c r="F1007" s="205"/>
      <c r="G1007" s="205"/>
      <c r="H1007" s="206"/>
      <c r="I1007" s="207"/>
      <c r="J1007" s="207"/>
      <c r="K1007" s="207"/>
      <c r="L1007" s="122"/>
      <c r="M1007" s="207"/>
      <c r="N1007" s="207"/>
      <c r="O1007" s="122"/>
      <c r="P1007" s="205"/>
      <c r="Q1007" s="205"/>
      <c r="R1007" s="205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2"/>
    </row>
    <row r="1008">
      <c r="A1008" s="122"/>
      <c r="B1008" s="204"/>
      <c r="C1008" s="204"/>
      <c r="D1008" s="204"/>
      <c r="E1008" s="205"/>
      <c r="F1008" s="205"/>
      <c r="G1008" s="205"/>
      <c r="H1008" s="206"/>
      <c r="I1008" s="207"/>
      <c r="J1008" s="207"/>
      <c r="K1008" s="207"/>
      <c r="L1008" s="122"/>
      <c r="M1008" s="207"/>
      <c r="N1008" s="207"/>
      <c r="O1008" s="122"/>
      <c r="P1008" s="205"/>
      <c r="Q1008" s="205"/>
      <c r="R1008" s="205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2"/>
    </row>
    <row r="1009">
      <c r="A1009" s="122"/>
      <c r="B1009" s="204"/>
      <c r="C1009" s="204"/>
      <c r="D1009" s="204"/>
      <c r="E1009" s="205"/>
      <c r="F1009" s="205"/>
      <c r="G1009" s="205"/>
      <c r="H1009" s="206"/>
      <c r="I1009" s="207"/>
      <c r="J1009" s="207"/>
      <c r="K1009" s="207"/>
      <c r="L1009" s="122"/>
      <c r="M1009" s="207"/>
      <c r="N1009" s="207"/>
      <c r="O1009" s="122"/>
      <c r="P1009" s="205"/>
      <c r="Q1009" s="205"/>
      <c r="R1009" s="205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  <c r="AD1009" s="122"/>
    </row>
    <row r="1010">
      <c r="A1010" s="122"/>
      <c r="B1010" s="204"/>
      <c r="C1010" s="204"/>
      <c r="D1010" s="204"/>
      <c r="E1010" s="205"/>
      <c r="F1010" s="205"/>
      <c r="G1010" s="205"/>
      <c r="H1010" s="206"/>
      <c r="I1010" s="207"/>
      <c r="J1010" s="207"/>
      <c r="K1010" s="207"/>
      <c r="L1010" s="122"/>
      <c r="M1010" s="207"/>
      <c r="N1010" s="207"/>
      <c r="O1010" s="122"/>
      <c r="P1010" s="205"/>
      <c r="Q1010" s="205"/>
      <c r="R1010" s="205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  <c r="AD1010" s="122"/>
    </row>
    <row r="1011">
      <c r="A1011" s="122"/>
      <c r="B1011" s="204"/>
      <c r="C1011" s="204"/>
      <c r="D1011" s="204"/>
      <c r="E1011" s="205"/>
      <c r="F1011" s="205"/>
      <c r="G1011" s="205"/>
      <c r="H1011" s="206"/>
      <c r="I1011" s="207"/>
      <c r="J1011" s="207"/>
      <c r="K1011" s="207"/>
      <c r="L1011" s="122"/>
      <c r="M1011" s="207"/>
      <c r="N1011" s="207"/>
      <c r="O1011" s="122"/>
      <c r="P1011" s="205"/>
      <c r="Q1011" s="205"/>
      <c r="R1011" s="205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  <c r="AD1011" s="122"/>
    </row>
    <row r="1012">
      <c r="A1012" s="122"/>
      <c r="B1012" s="204"/>
      <c r="C1012" s="204"/>
      <c r="D1012" s="204"/>
      <c r="E1012" s="205"/>
      <c r="F1012" s="205"/>
      <c r="G1012" s="205"/>
      <c r="H1012" s="206"/>
      <c r="I1012" s="207"/>
      <c r="J1012" s="207"/>
      <c r="K1012" s="207"/>
      <c r="L1012" s="122"/>
      <c r="M1012" s="207"/>
      <c r="N1012" s="207"/>
      <c r="O1012" s="122"/>
      <c r="P1012" s="205"/>
      <c r="Q1012" s="205"/>
      <c r="R1012" s="205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  <c r="AC1012" s="122"/>
      <c r="AD1012" s="122"/>
    </row>
    <row r="1013">
      <c r="A1013" s="122"/>
      <c r="B1013" s="204"/>
      <c r="C1013" s="204"/>
      <c r="D1013" s="204"/>
      <c r="E1013" s="205"/>
      <c r="F1013" s="205"/>
      <c r="G1013" s="205"/>
      <c r="H1013" s="206"/>
      <c r="I1013" s="207"/>
      <c r="J1013" s="207"/>
      <c r="K1013" s="207"/>
      <c r="L1013" s="122"/>
      <c r="M1013" s="207"/>
      <c r="N1013" s="207"/>
      <c r="O1013" s="122"/>
      <c r="P1013" s="205"/>
      <c r="Q1013" s="205"/>
      <c r="R1013" s="205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  <c r="AC1013" s="122"/>
      <c r="AD1013" s="122"/>
    </row>
    <row r="1014">
      <c r="A1014" s="122"/>
      <c r="B1014" s="204"/>
      <c r="C1014" s="204"/>
      <c r="D1014" s="204"/>
      <c r="E1014" s="205"/>
      <c r="F1014" s="205"/>
      <c r="G1014" s="205"/>
      <c r="H1014" s="206"/>
      <c r="I1014" s="207"/>
      <c r="J1014" s="207"/>
      <c r="K1014" s="207"/>
      <c r="L1014" s="122"/>
      <c r="M1014" s="207"/>
      <c r="N1014" s="207"/>
      <c r="O1014" s="122"/>
      <c r="P1014" s="205"/>
      <c r="Q1014" s="205"/>
      <c r="R1014" s="205"/>
      <c r="S1014" s="122"/>
      <c r="T1014" s="122"/>
      <c r="U1014" s="122"/>
      <c r="V1014" s="122"/>
      <c r="W1014" s="122"/>
      <c r="X1014" s="122"/>
      <c r="Y1014" s="122"/>
      <c r="Z1014" s="122"/>
      <c r="AA1014" s="122"/>
      <c r="AB1014" s="122"/>
      <c r="AC1014" s="122"/>
      <c r="AD1014" s="122"/>
    </row>
    <row r="1015">
      <c r="A1015" s="122"/>
      <c r="B1015" s="204"/>
      <c r="C1015" s="204"/>
      <c r="D1015" s="204"/>
      <c r="E1015" s="205"/>
      <c r="F1015" s="205"/>
      <c r="G1015" s="205"/>
      <c r="H1015" s="206"/>
      <c r="I1015" s="207"/>
      <c r="J1015" s="207"/>
      <c r="K1015" s="207"/>
      <c r="L1015" s="122"/>
      <c r="M1015" s="207"/>
      <c r="N1015" s="207"/>
      <c r="O1015" s="122"/>
      <c r="P1015" s="205"/>
      <c r="Q1015" s="205"/>
      <c r="R1015" s="205"/>
      <c r="S1015" s="122"/>
      <c r="T1015" s="122"/>
      <c r="U1015" s="122"/>
      <c r="V1015" s="122"/>
      <c r="W1015" s="122"/>
      <c r="X1015" s="122"/>
      <c r="Y1015" s="122"/>
      <c r="Z1015" s="122"/>
      <c r="AA1015" s="122"/>
      <c r="AB1015" s="122"/>
      <c r="AC1015" s="122"/>
      <c r="AD1015" s="122"/>
    </row>
    <row r="1016">
      <c r="A1016" s="122"/>
      <c r="B1016" s="204"/>
      <c r="C1016" s="204"/>
      <c r="D1016" s="204"/>
      <c r="E1016" s="205"/>
      <c r="F1016" s="205"/>
      <c r="G1016" s="205"/>
      <c r="H1016" s="206"/>
      <c r="I1016" s="207"/>
      <c r="J1016" s="207"/>
      <c r="K1016" s="207"/>
      <c r="L1016" s="122"/>
      <c r="M1016" s="207"/>
      <c r="N1016" s="207"/>
      <c r="O1016" s="122"/>
      <c r="P1016" s="205"/>
      <c r="Q1016" s="205"/>
      <c r="R1016" s="205"/>
      <c r="S1016" s="122"/>
      <c r="T1016" s="122"/>
      <c r="U1016" s="122"/>
      <c r="V1016" s="122"/>
      <c r="W1016" s="122"/>
      <c r="X1016" s="122"/>
      <c r="Y1016" s="122"/>
      <c r="Z1016" s="122"/>
      <c r="AA1016" s="122"/>
      <c r="AB1016" s="122"/>
      <c r="AC1016" s="122"/>
      <c r="AD1016" s="122"/>
    </row>
    <row r="1017">
      <c r="A1017" s="122"/>
      <c r="B1017" s="204"/>
      <c r="C1017" s="204"/>
      <c r="D1017" s="204"/>
      <c r="E1017" s="205"/>
      <c r="F1017" s="205"/>
      <c r="G1017" s="205"/>
      <c r="H1017" s="206"/>
      <c r="I1017" s="207"/>
      <c r="J1017" s="207"/>
      <c r="K1017" s="207"/>
      <c r="L1017" s="122"/>
      <c r="M1017" s="207"/>
      <c r="N1017" s="207"/>
      <c r="O1017" s="122"/>
      <c r="P1017" s="205"/>
      <c r="Q1017" s="205"/>
      <c r="R1017" s="205"/>
      <c r="S1017" s="122"/>
      <c r="T1017" s="122"/>
      <c r="U1017" s="122"/>
      <c r="V1017" s="122"/>
      <c r="W1017" s="122"/>
      <c r="X1017" s="122"/>
      <c r="Y1017" s="122"/>
      <c r="Z1017" s="122"/>
      <c r="AA1017" s="122"/>
      <c r="AB1017" s="122"/>
      <c r="AC1017" s="122"/>
      <c r="AD1017" s="122"/>
    </row>
    <row r="1018">
      <c r="A1018" s="122"/>
      <c r="B1018" s="204"/>
      <c r="C1018" s="204"/>
      <c r="D1018" s="204"/>
      <c r="E1018" s="205"/>
      <c r="F1018" s="205"/>
      <c r="G1018" s="205"/>
      <c r="H1018" s="206"/>
      <c r="I1018" s="207"/>
      <c r="J1018" s="207"/>
      <c r="K1018" s="207"/>
      <c r="L1018" s="122"/>
      <c r="M1018" s="207"/>
      <c r="N1018" s="207"/>
      <c r="O1018" s="122"/>
      <c r="P1018" s="205"/>
      <c r="Q1018" s="205"/>
      <c r="R1018" s="205"/>
      <c r="S1018" s="122"/>
      <c r="T1018" s="122"/>
      <c r="U1018" s="122"/>
      <c r="V1018" s="122"/>
      <c r="W1018" s="122"/>
      <c r="X1018" s="122"/>
      <c r="Y1018" s="122"/>
      <c r="Z1018" s="122"/>
      <c r="AA1018" s="122"/>
      <c r="AB1018" s="122"/>
      <c r="AC1018" s="122"/>
      <c r="AD1018" s="122"/>
    </row>
  </sheetData>
  <mergeCells count="11">
    <mergeCell ref="L2:L3"/>
    <mergeCell ref="N2:N3"/>
    <mergeCell ref="R2:R3"/>
    <mergeCell ref="J1:L1"/>
    <mergeCell ref="M1:O1"/>
    <mergeCell ref="B2:B3"/>
    <mergeCell ref="C2:C3"/>
    <mergeCell ref="D2:D3"/>
    <mergeCell ref="H2:H3"/>
    <mergeCell ref="K2:K3"/>
    <mergeCell ref="O2:O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13"/>
    <col customWidth="1" min="2" max="2" width="26.13"/>
    <col customWidth="1" min="3" max="4" width="12.63"/>
    <col customWidth="1" min="5" max="6" width="21.38"/>
    <col customWidth="1" min="7" max="7" width="24.0"/>
    <col customWidth="1" min="8" max="8" width="55.63"/>
    <col customWidth="1" min="9" max="11" width="16.88"/>
    <col customWidth="1" min="12" max="12" width="9.63"/>
    <col customWidth="1" min="13" max="14" width="18.13"/>
    <col customWidth="1" min="15" max="15" width="9.5"/>
    <col customWidth="1" min="16" max="16" width="21.63"/>
    <col customWidth="1" min="17" max="17" width="16.38"/>
    <col customWidth="1" min="18" max="18" width="61.63"/>
  </cols>
  <sheetData>
    <row r="1">
      <c r="A1" s="1"/>
      <c r="B1" s="2"/>
      <c r="C1" s="2"/>
      <c r="D1" s="209"/>
      <c r="E1" s="180"/>
      <c r="F1" s="180"/>
      <c r="G1" s="180"/>
      <c r="H1" s="2"/>
      <c r="I1" s="2"/>
      <c r="J1" s="8" t="s">
        <v>2</v>
      </c>
      <c r="K1" s="11"/>
      <c r="L1" s="13"/>
      <c r="M1" s="15" t="s">
        <v>5</v>
      </c>
      <c r="N1" s="11"/>
      <c r="O1" s="13"/>
      <c r="P1" s="2"/>
      <c r="Q1" s="4"/>
      <c r="R1" s="180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3" t="s">
        <v>0</v>
      </c>
      <c r="C2" s="6" t="s">
        <v>1</v>
      </c>
      <c r="D2" s="24" t="s">
        <v>9</v>
      </c>
      <c r="E2" s="19" t="s">
        <v>10</v>
      </c>
      <c r="F2" s="19" t="s">
        <v>11</v>
      </c>
      <c r="G2" s="19" t="s">
        <v>12</v>
      </c>
      <c r="H2" s="9" t="s">
        <v>3</v>
      </c>
      <c r="I2" s="29" t="s">
        <v>4</v>
      </c>
      <c r="J2" s="28" t="s">
        <v>14</v>
      </c>
      <c r="K2" s="31" t="s">
        <v>15</v>
      </c>
      <c r="L2" s="33" t="s">
        <v>17</v>
      </c>
      <c r="M2" s="34" t="s">
        <v>19</v>
      </c>
      <c r="N2" s="36" t="s">
        <v>15</v>
      </c>
      <c r="O2" s="38" t="s">
        <v>17</v>
      </c>
      <c r="P2" s="41" t="s">
        <v>6</v>
      </c>
      <c r="Q2" s="25" t="s">
        <v>7</v>
      </c>
      <c r="R2" s="20" t="s">
        <v>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40"/>
      <c r="C3" s="26"/>
      <c r="D3" s="26"/>
      <c r="E3" s="26"/>
      <c r="F3" s="26"/>
      <c r="G3" s="26"/>
      <c r="H3" s="26"/>
      <c r="I3" s="44" t="s">
        <v>23</v>
      </c>
      <c r="J3" s="46" t="s">
        <v>23</v>
      </c>
      <c r="K3" s="40"/>
      <c r="L3" s="40"/>
      <c r="M3" s="48" t="s">
        <v>23</v>
      </c>
      <c r="N3" s="40"/>
      <c r="O3" s="40"/>
      <c r="P3" s="49" t="s">
        <v>389</v>
      </c>
      <c r="Q3" s="42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51" t="s">
        <v>390</v>
      </c>
      <c r="C4" s="53" t="s">
        <v>391</v>
      </c>
      <c r="D4" s="54" t="s">
        <v>392</v>
      </c>
      <c r="E4" s="59"/>
      <c r="F4" s="60"/>
      <c r="G4" s="60"/>
      <c r="H4" s="62" t="s">
        <v>48</v>
      </c>
      <c r="I4" s="63"/>
      <c r="J4" s="65"/>
      <c r="K4" s="63"/>
      <c r="L4" s="67"/>
      <c r="M4" s="65"/>
      <c r="N4" s="63"/>
      <c r="O4" s="67"/>
      <c r="P4" s="59"/>
      <c r="Q4" s="59"/>
      <c r="R4" s="59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71"/>
      <c r="C5" s="73"/>
      <c r="D5" s="53" t="s">
        <v>393</v>
      </c>
      <c r="E5" s="188" t="s">
        <v>394</v>
      </c>
      <c r="F5" s="188" t="s">
        <v>395</v>
      </c>
      <c r="G5" s="188" t="s">
        <v>396</v>
      </c>
      <c r="H5" s="76" t="s">
        <v>397</v>
      </c>
      <c r="I5" s="84">
        <f>33170/1.07</f>
        <v>31000</v>
      </c>
      <c r="J5" s="86">
        <v>27500.0</v>
      </c>
      <c r="K5" s="87">
        <f>I5-J5</f>
        <v>3500</v>
      </c>
      <c r="L5" s="88">
        <f>K5/I5</f>
        <v>0.1129032258</v>
      </c>
      <c r="M5" s="86">
        <v>27500.0</v>
      </c>
      <c r="N5" s="87">
        <f>I5-M5</f>
        <v>3500</v>
      </c>
      <c r="O5" s="88">
        <f>N5/I5</f>
        <v>0.1129032258</v>
      </c>
      <c r="P5" s="129" t="s">
        <v>76</v>
      </c>
      <c r="Q5" s="130">
        <v>46204.0</v>
      </c>
      <c r="R5" s="186" t="s">
        <v>398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71"/>
      <c r="C6" s="73"/>
      <c r="D6" s="53" t="s">
        <v>399</v>
      </c>
      <c r="E6" s="188"/>
      <c r="F6" s="188"/>
      <c r="G6" s="188"/>
      <c r="H6" s="62" t="s">
        <v>400</v>
      </c>
      <c r="I6" s="84"/>
      <c r="J6" s="87"/>
      <c r="K6" s="87"/>
      <c r="L6" s="74"/>
      <c r="M6" s="86"/>
      <c r="N6" s="87"/>
      <c r="O6" s="88"/>
      <c r="P6" s="129"/>
      <c r="Q6" s="130"/>
      <c r="R6" s="184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71"/>
      <c r="C7" s="73"/>
      <c r="D7" s="210"/>
      <c r="E7" s="188" t="s">
        <v>394</v>
      </c>
      <c r="F7" s="188" t="s">
        <v>395</v>
      </c>
      <c r="G7" s="188" t="s">
        <v>401</v>
      </c>
      <c r="H7" s="76" t="s">
        <v>402</v>
      </c>
      <c r="I7" s="84">
        <f>12000/1.07</f>
        <v>11214.95327</v>
      </c>
      <c r="J7" s="86">
        <v>7500.0</v>
      </c>
      <c r="K7" s="87">
        <f t="shared" ref="K7:K14" si="1">I7-J7</f>
        <v>3714.953271</v>
      </c>
      <c r="L7" s="88">
        <f t="shared" ref="L7:L14" si="2">K7/I7</f>
        <v>0.33125</v>
      </c>
      <c r="M7" s="86">
        <v>7500.0</v>
      </c>
      <c r="N7" s="87">
        <f t="shared" ref="N7:N14" si="3">I7-M7</f>
        <v>3714.953271</v>
      </c>
      <c r="O7" s="88">
        <f t="shared" ref="O7:O14" si="4">N7/I7</f>
        <v>0.33125</v>
      </c>
      <c r="P7" s="129" t="s">
        <v>76</v>
      </c>
      <c r="Q7" s="130">
        <v>46204.0</v>
      </c>
      <c r="R7" s="186" t="s">
        <v>222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71"/>
      <c r="C8" s="73"/>
      <c r="D8" s="210"/>
      <c r="E8" s="188" t="s">
        <v>394</v>
      </c>
      <c r="F8" s="188" t="s">
        <v>395</v>
      </c>
      <c r="G8" s="188" t="s">
        <v>403</v>
      </c>
      <c r="H8" s="76" t="s">
        <v>404</v>
      </c>
      <c r="I8" s="84">
        <f t="shared" ref="I8:I9" si="5">7000/1.07</f>
        <v>6542.056075</v>
      </c>
      <c r="J8" s="86">
        <v>3071.2</v>
      </c>
      <c r="K8" s="87">
        <f t="shared" si="1"/>
        <v>3470.856075</v>
      </c>
      <c r="L8" s="88">
        <f t="shared" si="2"/>
        <v>0.5305451429</v>
      </c>
      <c r="M8" s="86">
        <v>3071.2</v>
      </c>
      <c r="N8" s="87">
        <f t="shared" si="3"/>
        <v>3470.856075</v>
      </c>
      <c r="O8" s="88">
        <f t="shared" si="4"/>
        <v>0.5305451429</v>
      </c>
      <c r="P8" s="129" t="s">
        <v>76</v>
      </c>
      <c r="Q8" s="130">
        <v>46204.0</v>
      </c>
      <c r="R8" s="186" t="s">
        <v>293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71"/>
      <c r="C9" s="73"/>
      <c r="D9" s="210"/>
      <c r="E9" s="188" t="s">
        <v>394</v>
      </c>
      <c r="F9" s="188" t="s">
        <v>395</v>
      </c>
      <c r="G9" s="188" t="s">
        <v>405</v>
      </c>
      <c r="H9" s="76" t="s">
        <v>406</v>
      </c>
      <c r="I9" s="84">
        <f t="shared" si="5"/>
        <v>6542.056075</v>
      </c>
      <c r="J9" s="86">
        <v>2117.5</v>
      </c>
      <c r="K9" s="87">
        <f t="shared" si="1"/>
        <v>4424.556075</v>
      </c>
      <c r="L9" s="88">
        <f t="shared" si="2"/>
        <v>0.676325</v>
      </c>
      <c r="M9" s="86">
        <v>2117.5</v>
      </c>
      <c r="N9" s="87">
        <f t="shared" si="3"/>
        <v>4424.556075</v>
      </c>
      <c r="O9" s="88">
        <f t="shared" si="4"/>
        <v>0.676325</v>
      </c>
      <c r="P9" s="129" t="s">
        <v>76</v>
      </c>
      <c r="Q9" s="130">
        <v>46204.0</v>
      </c>
      <c r="R9" s="186" t="s">
        <v>166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71"/>
      <c r="C10" s="73"/>
      <c r="D10" s="210"/>
      <c r="E10" s="188" t="s">
        <v>394</v>
      </c>
      <c r="F10" s="188" t="s">
        <v>395</v>
      </c>
      <c r="G10" s="188" t="s">
        <v>401</v>
      </c>
      <c r="H10" s="76" t="s">
        <v>407</v>
      </c>
      <c r="I10" s="84">
        <f>3000/1.07</f>
        <v>2803.738318</v>
      </c>
      <c r="J10" s="86">
        <v>750.0</v>
      </c>
      <c r="K10" s="87">
        <f t="shared" si="1"/>
        <v>2053.738318</v>
      </c>
      <c r="L10" s="88">
        <f t="shared" si="2"/>
        <v>0.7325</v>
      </c>
      <c r="M10" s="86">
        <v>750.0</v>
      </c>
      <c r="N10" s="87">
        <f t="shared" si="3"/>
        <v>2053.738318</v>
      </c>
      <c r="O10" s="88">
        <f t="shared" si="4"/>
        <v>0.7325</v>
      </c>
      <c r="P10" s="129" t="s">
        <v>76</v>
      </c>
      <c r="Q10" s="130">
        <v>46204.0</v>
      </c>
      <c r="R10" s="186" t="s">
        <v>222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71"/>
      <c r="C11" s="73"/>
      <c r="D11" s="210"/>
      <c r="E11" s="188" t="s">
        <v>394</v>
      </c>
      <c r="F11" s="188" t="s">
        <v>395</v>
      </c>
      <c r="G11" s="188" t="s">
        <v>408</v>
      </c>
      <c r="H11" s="76" t="s">
        <v>409</v>
      </c>
      <c r="I11" s="84">
        <f>6000/1.07</f>
        <v>5607.476636</v>
      </c>
      <c r="J11" s="86">
        <v>1267.0</v>
      </c>
      <c r="K11" s="87">
        <f t="shared" si="1"/>
        <v>4340.476636</v>
      </c>
      <c r="L11" s="88">
        <f t="shared" si="2"/>
        <v>0.7740516667</v>
      </c>
      <c r="M11" s="86">
        <v>1267.0</v>
      </c>
      <c r="N11" s="87">
        <f t="shared" si="3"/>
        <v>4340.476636</v>
      </c>
      <c r="O11" s="88">
        <f t="shared" si="4"/>
        <v>0.7740516667</v>
      </c>
      <c r="P11" s="129" t="s">
        <v>76</v>
      </c>
      <c r="Q11" s="130">
        <v>46204.0</v>
      </c>
      <c r="R11" s="186" t="s">
        <v>410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71"/>
      <c r="C12" s="73"/>
      <c r="D12" s="210"/>
      <c r="E12" s="188" t="s">
        <v>394</v>
      </c>
      <c r="F12" s="188" t="s">
        <v>395</v>
      </c>
      <c r="G12" s="188" t="s">
        <v>405</v>
      </c>
      <c r="H12" s="76" t="s">
        <v>411</v>
      </c>
      <c r="I12" s="84">
        <f>6500/1.07</f>
        <v>6074.766355</v>
      </c>
      <c r="J12" s="86">
        <v>3124.0</v>
      </c>
      <c r="K12" s="87">
        <f t="shared" si="1"/>
        <v>2950.766355</v>
      </c>
      <c r="L12" s="88">
        <f t="shared" si="2"/>
        <v>0.4857415385</v>
      </c>
      <c r="M12" s="86">
        <v>3124.0</v>
      </c>
      <c r="N12" s="87">
        <f t="shared" si="3"/>
        <v>2950.766355</v>
      </c>
      <c r="O12" s="88">
        <f t="shared" si="4"/>
        <v>0.4857415385</v>
      </c>
      <c r="P12" s="129" t="s">
        <v>76</v>
      </c>
      <c r="Q12" s="130">
        <v>46204.0</v>
      </c>
      <c r="R12" s="186" t="s">
        <v>166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71"/>
      <c r="C13" s="73"/>
      <c r="D13" s="210"/>
      <c r="E13" s="188" t="s">
        <v>394</v>
      </c>
      <c r="F13" s="188" t="s">
        <v>395</v>
      </c>
      <c r="G13" s="188" t="s">
        <v>403</v>
      </c>
      <c r="H13" s="76" t="s">
        <v>412</v>
      </c>
      <c r="I13" s="84">
        <f>6000/1.07</f>
        <v>5607.476636</v>
      </c>
      <c r="J13" s="86">
        <v>2590.0</v>
      </c>
      <c r="K13" s="87">
        <f t="shared" si="1"/>
        <v>3017.476636</v>
      </c>
      <c r="L13" s="88">
        <f t="shared" si="2"/>
        <v>0.5381166667</v>
      </c>
      <c r="M13" s="86">
        <v>2590.0</v>
      </c>
      <c r="N13" s="87">
        <f t="shared" si="3"/>
        <v>3017.476636</v>
      </c>
      <c r="O13" s="88">
        <f t="shared" si="4"/>
        <v>0.5381166667</v>
      </c>
      <c r="P13" s="129" t="s">
        <v>76</v>
      </c>
      <c r="Q13" s="130">
        <v>46204.0</v>
      </c>
      <c r="R13" s="186" t="s">
        <v>293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71"/>
      <c r="C14" s="73"/>
      <c r="D14" s="210"/>
      <c r="E14" s="188" t="s">
        <v>394</v>
      </c>
      <c r="F14" s="188" t="s">
        <v>395</v>
      </c>
      <c r="G14" s="188" t="s">
        <v>405</v>
      </c>
      <c r="H14" s="76" t="s">
        <v>413</v>
      </c>
      <c r="I14" s="84">
        <f>5000/1.07</f>
        <v>4672.897196</v>
      </c>
      <c r="J14" s="86">
        <v>2189.0</v>
      </c>
      <c r="K14" s="87">
        <f t="shared" si="1"/>
        <v>2483.897196</v>
      </c>
      <c r="L14" s="88">
        <f t="shared" si="2"/>
        <v>0.531554</v>
      </c>
      <c r="M14" s="86">
        <v>2189.0</v>
      </c>
      <c r="N14" s="87">
        <f t="shared" si="3"/>
        <v>2483.897196</v>
      </c>
      <c r="O14" s="88">
        <f t="shared" si="4"/>
        <v>0.531554</v>
      </c>
      <c r="P14" s="129" t="s">
        <v>76</v>
      </c>
      <c r="Q14" s="130">
        <v>46204.0</v>
      </c>
      <c r="R14" s="186" t="s">
        <v>166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71"/>
      <c r="C15" s="73"/>
      <c r="D15" s="210"/>
      <c r="E15" s="188"/>
      <c r="F15" s="188"/>
      <c r="G15" s="188"/>
      <c r="H15" s="62" t="s">
        <v>192</v>
      </c>
      <c r="I15" s="84"/>
      <c r="J15" s="87"/>
      <c r="K15" s="87"/>
      <c r="L15" s="74"/>
      <c r="M15" s="86"/>
      <c r="N15" s="87"/>
      <c r="O15" s="88"/>
      <c r="P15" s="129"/>
      <c r="Q15" s="130"/>
      <c r="R15" s="18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71"/>
      <c r="C16" s="73"/>
      <c r="D16" s="210"/>
      <c r="E16" s="188" t="s">
        <v>394</v>
      </c>
      <c r="F16" s="188" t="s">
        <v>395</v>
      </c>
      <c r="G16" s="188" t="s">
        <v>414</v>
      </c>
      <c r="H16" s="76" t="s">
        <v>415</v>
      </c>
      <c r="I16" s="84">
        <f>30330/1.07</f>
        <v>28345.79439</v>
      </c>
      <c r="J16" s="87">
        <f>10355+4200</f>
        <v>14555</v>
      </c>
      <c r="K16" s="87">
        <f>I16-J16</f>
        <v>13790.79439</v>
      </c>
      <c r="L16" s="88">
        <f>K16/I16</f>
        <v>0.4865199472</v>
      </c>
      <c r="M16" s="86">
        <v>8000.0</v>
      </c>
      <c r="N16" s="87">
        <f>I16-M16</f>
        <v>20345.79439</v>
      </c>
      <c r="O16" s="88">
        <f>N16/I16</f>
        <v>0.7177711836</v>
      </c>
      <c r="P16" s="129" t="s">
        <v>76</v>
      </c>
      <c r="Q16" s="130">
        <v>46204.0</v>
      </c>
      <c r="R16" s="186" t="s">
        <v>416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71"/>
      <c r="C17" s="73"/>
      <c r="D17" s="210"/>
      <c r="E17" s="105"/>
      <c r="F17" s="105"/>
      <c r="G17" s="105"/>
      <c r="H17" s="62" t="s">
        <v>417</v>
      </c>
      <c r="I17" s="84"/>
      <c r="J17" s="87"/>
      <c r="K17" s="87"/>
      <c r="L17" s="74"/>
      <c r="M17" s="86"/>
      <c r="N17" s="87"/>
      <c r="O17" s="88"/>
      <c r="P17" s="59"/>
      <c r="Q17" s="105"/>
      <c r="R17" s="18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71"/>
      <c r="C18" s="73"/>
      <c r="D18" s="210"/>
      <c r="E18" s="188" t="s">
        <v>394</v>
      </c>
      <c r="F18" s="188" t="s">
        <v>395</v>
      </c>
      <c r="G18" s="188" t="s">
        <v>418</v>
      </c>
      <c r="H18" s="76" t="s">
        <v>419</v>
      </c>
      <c r="I18" s="84">
        <f>2000/1.07</f>
        <v>1869.158879</v>
      </c>
      <c r="J18" s="86">
        <v>0.0</v>
      </c>
      <c r="K18" s="87">
        <f t="shared" ref="K18:K21" si="6">I18-J18</f>
        <v>1869.158879</v>
      </c>
      <c r="L18" s="88">
        <f t="shared" ref="L18:L21" si="7">K18/I18</f>
        <v>1</v>
      </c>
      <c r="M18" s="86">
        <v>0.0</v>
      </c>
      <c r="N18" s="87">
        <f t="shared" ref="N18:N21" si="8">I18-M18</f>
        <v>1869.158879</v>
      </c>
      <c r="O18" s="88">
        <f t="shared" ref="O18:O21" si="9">N18/I18</f>
        <v>1</v>
      </c>
      <c r="P18" s="129" t="s">
        <v>76</v>
      </c>
      <c r="Q18" s="130">
        <v>46204.0</v>
      </c>
      <c r="R18" s="18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71"/>
      <c r="C19" s="73"/>
      <c r="D19" s="210"/>
      <c r="E19" s="188" t="s">
        <v>394</v>
      </c>
      <c r="F19" s="188" t="s">
        <v>395</v>
      </c>
      <c r="G19" s="188" t="s">
        <v>420</v>
      </c>
      <c r="H19" s="76" t="s">
        <v>421</v>
      </c>
      <c r="I19" s="84">
        <f>11000/1.07</f>
        <v>10280.37383</v>
      </c>
      <c r="J19" s="86">
        <v>0.0</v>
      </c>
      <c r="K19" s="87">
        <f t="shared" si="6"/>
        <v>10280.37383</v>
      </c>
      <c r="L19" s="88">
        <f t="shared" si="7"/>
        <v>1</v>
      </c>
      <c r="M19" s="86">
        <v>0.0</v>
      </c>
      <c r="N19" s="87">
        <f t="shared" si="8"/>
        <v>10280.37383</v>
      </c>
      <c r="O19" s="88">
        <f t="shared" si="9"/>
        <v>1</v>
      </c>
      <c r="P19" s="129" t="s">
        <v>76</v>
      </c>
      <c r="Q19" s="130">
        <v>46204.0</v>
      </c>
      <c r="R19" s="18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71"/>
      <c r="C20" s="73"/>
      <c r="D20" s="210"/>
      <c r="E20" s="188" t="s">
        <v>394</v>
      </c>
      <c r="F20" s="188" t="s">
        <v>395</v>
      </c>
      <c r="G20" s="188" t="s">
        <v>420</v>
      </c>
      <c r="H20" s="76" t="s">
        <v>422</v>
      </c>
      <c r="I20" s="84">
        <f>8000/1.07</f>
        <v>7476.635514</v>
      </c>
      <c r="J20" s="86">
        <v>0.0</v>
      </c>
      <c r="K20" s="87">
        <f t="shared" si="6"/>
        <v>7476.635514</v>
      </c>
      <c r="L20" s="88">
        <f t="shared" si="7"/>
        <v>1</v>
      </c>
      <c r="M20" s="86">
        <v>0.0</v>
      </c>
      <c r="N20" s="87">
        <f t="shared" si="8"/>
        <v>7476.635514</v>
      </c>
      <c r="O20" s="88">
        <f t="shared" si="9"/>
        <v>1</v>
      </c>
      <c r="P20" s="129" t="s">
        <v>76</v>
      </c>
      <c r="Q20" s="130">
        <v>46204.0</v>
      </c>
      <c r="R20" s="18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71"/>
      <c r="C21" s="73"/>
      <c r="D21" s="210"/>
      <c r="E21" s="188" t="s">
        <v>394</v>
      </c>
      <c r="F21" s="188" t="s">
        <v>395</v>
      </c>
      <c r="G21" s="188" t="s">
        <v>408</v>
      </c>
      <c r="H21" s="76" t="s">
        <v>423</v>
      </c>
      <c r="I21" s="84">
        <f>3000/1.07</f>
        <v>2803.738318</v>
      </c>
      <c r="J21" s="87">
        <f>1543/1.07</f>
        <v>1442.056075</v>
      </c>
      <c r="K21" s="87">
        <f t="shared" si="6"/>
        <v>1361.682243</v>
      </c>
      <c r="L21" s="88">
        <f t="shared" si="7"/>
        <v>0.4856666667</v>
      </c>
      <c r="M21" s="86">
        <v>1543.0</v>
      </c>
      <c r="N21" s="87">
        <f t="shared" si="8"/>
        <v>1260.738318</v>
      </c>
      <c r="O21" s="88">
        <f t="shared" si="9"/>
        <v>0.4496633333</v>
      </c>
      <c r="P21" s="129" t="s">
        <v>76</v>
      </c>
      <c r="Q21" s="130">
        <v>46204.0</v>
      </c>
      <c r="R21" s="186" t="s">
        <v>410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71"/>
      <c r="C22" s="73"/>
      <c r="D22" s="210"/>
      <c r="E22" s="105"/>
      <c r="F22" s="105"/>
      <c r="G22" s="105"/>
      <c r="H22" s="62" t="s">
        <v>424</v>
      </c>
      <c r="I22" s="84"/>
      <c r="J22" s="87"/>
      <c r="K22" s="87"/>
      <c r="L22" s="74"/>
      <c r="M22" s="86"/>
      <c r="N22" s="87"/>
      <c r="O22" s="88"/>
      <c r="P22" s="59"/>
      <c r="Q22" s="105"/>
      <c r="R22" s="184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71"/>
      <c r="C23" s="73"/>
      <c r="D23" s="210"/>
      <c r="E23" s="188" t="s">
        <v>394</v>
      </c>
      <c r="F23" s="188" t="s">
        <v>395</v>
      </c>
      <c r="G23" s="105"/>
      <c r="H23" s="76" t="s">
        <v>425</v>
      </c>
      <c r="I23" s="84">
        <v>0.0</v>
      </c>
      <c r="J23" s="87"/>
      <c r="K23" s="87"/>
      <c r="L23" s="74"/>
      <c r="M23" s="86">
        <v>2000.0</v>
      </c>
      <c r="N23" s="87">
        <f>I23-M23</f>
        <v>-2000</v>
      </c>
      <c r="O23" s="88" t="str">
        <f>N23/I23</f>
        <v>#DIV/0!</v>
      </c>
      <c r="P23" s="129" t="s">
        <v>76</v>
      </c>
      <c r="Q23" s="130">
        <v>46204.0</v>
      </c>
      <c r="R23" s="184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71"/>
      <c r="C24" s="73"/>
      <c r="D24" s="210"/>
      <c r="E24" s="105"/>
      <c r="F24" s="105"/>
      <c r="G24" s="105"/>
      <c r="H24" s="76"/>
      <c r="I24" s="84"/>
      <c r="J24" s="87"/>
      <c r="K24" s="87"/>
      <c r="L24" s="74"/>
      <c r="M24" s="86"/>
      <c r="N24" s="87"/>
      <c r="O24" s="88"/>
      <c r="P24" s="59"/>
      <c r="Q24" s="105"/>
      <c r="R24" s="18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71"/>
      <c r="C25" s="73"/>
      <c r="D25" s="210"/>
      <c r="E25" s="105"/>
      <c r="F25" s="105"/>
      <c r="G25" s="105"/>
      <c r="H25" s="76"/>
      <c r="I25" s="84"/>
      <c r="J25" s="87"/>
      <c r="K25" s="87"/>
      <c r="L25" s="74"/>
      <c r="M25" s="86"/>
      <c r="N25" s="87"/>
      <c r="O25" s="88"/>
      <c r="P25" s="59"/>
      <c r="Q25" s="105"/>
      <c r="R25" s="18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71"/>
      <c r="C26" s="73"/>
      <c r="D26" s="210"/>
      <c r="E26" s="105"/>
      <c r="F26" s="105"/>
      <c r="G26" s="105"/>
      <c r="H26" s="76"/>
      <c r="I26" s="84"/>
      <c r="J26" s="87"/>
      <c r="K26" s="87"/>
      <c r="L26" s="74"/>
      <c r="M26" s="86"/>
      <c r="N26" s="87"/>
      <c r="O26" s="88"/>
      <c r="P26" s="59"/>
      <c r="Q26" s="105"/>
      <c r="R26" s="18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71"/>
      <c r="C27" s="73"/>
      <c r="D27" s="210"/>
      <c r="E27" s="105"/>
      <c r="F27" s="105"/>
      <c r="G27" s="105"/>
      <c r="H27" s="76"/>
      <c r="I27" s="84"/>
      <c r="J27" s="87"/>
      <c r="K27" s="87"/>
      <c r="L27" s="74"/>
      <c r="M27" s="86"/>
      <c r="N27" s="87"/>
      <c r="O27" s="88"/>
      <c r="P27" s="59"/>
      <c r="Q27" s="105"/>
      <c r="R27" s="18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3" t="str">
        <f t="shared" ref="B28:C28" si="10">B4</f>
        <v>Origin Plug &amp; Play E22 Station</v>
      </c>
      <c r="C28" s="113" t="str">
        <f t="shared" si="10"/>
        <v>Room 1833</v>
      </c>
      <c r="D28" s="115">
        <f>SUM(D4:D27)</f>
        <v>0</v>
      </c>
      <c r="E28" s="121"/>
      <c r="F28" s="121"/>
      <c r="G28" s="121"/>
      <c r="H28" s="113" t="s">
        <v>95</v>
      </c>
      <c r="I28" s="118">
        <f t="shared" ref="I28:J28" si="11">SUM(I4:I27)</f>
        <v>130841.1215</v>
      </c>
      <c r="J28" s="118">
        <f t="shared" si="11"/>
        <v>66105.75607</v>
      </c>
      <c r="K28" s="118">
        <f>I28-J28</f>
        <v>64735.36542</v>
      </c>
      <c r="L28" s="119">
        <f>K28/I28</f>
        <v>0.49476315</v>
      </c>
      <c r="M28" s="118">
        <f>SUM(M4:M27)</f>
        <v>61651.7</v>
      </c>
      <c r="N28" s="118">
        <f>I28-M28</f>
        <v>69189.4215</v>
      </c>
      <c r="O28" s="119">
        <f>N28/I28</f>
        <v>0.5288048643</v>
      </c>
      <c r="P28" s="120"/>
      <c r="Q28" s="121"/>
      <c r="R28" s="12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22"/>
      <c r="B29" s="123"/>
      <c r="C29" s="124"/>
      <c r="D29" s="124"/>
      <c r="E29" s="125"/>
      <c r="F29" s="125"/>
      <c r="G29" s="125"/>
      <c r="H29" s="126"/>
      <c r="I29" s="127"/>
      <c r="J29" s="127"/>
      <c r="K29" s="127"/>
      <c r="L29" s="128"/>
      <c r="M29" s="127"/>
      <c r="N29" s="127"/>
      <c r="O29" s="128"/>
      <c r="P29" s="125"/>
      <c r="Q29" s="125"/>
      <c r="R29" s="125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</row>
    <row r="30">
      <c r="A30" s="1"/>
      <c r="B30" s="51" t="s">
        <v>390</v>
      </c>
      <c r="C30" s="53" t="s">
        <v>391</v>
      </c>
      <c r="D30" s="54" t="s">
        <v>392</v>
      </c>
      <c r="E30" s="59"/>
      <c r="F30" s="60"/>
      <c r="G30" s="60"/>
      <c r="H30" s="62" t="s">
        <v>43</v>
      </c>
      <c r="I30" s="63"/>
      <c r="J30" s="65"/>
      <c r="K30" s="63"/>
      <c r="L30" s="67"/>
      <c r="M30" s="65"/>
      <c r="N30" s="63"/>
      <c r="O30" s="67"/>
      <c r="P30" s="59"/>
      <c r="Q30" s="59"/>
      <c r="R30" s="184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71"/>
      <c r="C31" s="73"/>
      <c r="D31" s="53" t="s">
        <v>393</v>
      </c>
      <c r="E31" s="188" t="s">
        <v>394</v>
      </c>
      <c r="F31" s="188" t="s">
        <v>395</v>
      </c>
      <c r="G31" s="188" t="s">
        <v>426</v>
      </c>
      <c r="H31" s="76" t="s">
        <v>427</v>
      </c>
      <c r="I31" s="84">
        <f>31918.1/1.07</f>
        <v>29830</v>
      </c>
      <c r="J31" s="86">
        <v>13000.0</v>
      </c>
      <c r="K31" s="87">
        <f>I31-J31</f>
        <v>16830</v>
      </c>
      <c r="L31" s="88">
        <f>K31/I31</f>
        <v>0.564197117</v>
      </c>
      <c r="M31" s="86">
        <v>13000.0</v>
      </c>
      <c r="N31" s="87">
        <f>I31-M31</f>
        <v>16830</v>
      </c>
      <c r="O31" s="88">
        <f>N31/I31</f>
        <v>0.564197117</v>
      </c>
      <c r="P31" s="129" t="s">
        <v>76</v>
      </c>
      <c r="Q31" s="130">
        <v>46204.0</v>
      </c>
      <c r="R31" s="186" t="s">
        <v>82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71"/>
      <c r="C32" s="73"/>
      <c r="D32" s="53" t="s">
        <v>399</v>
      </c>
      <c r="E32" s="188"/>
      <c r="F32" s="188"/>
      <c r="G32" s="188"/>
      <c r="H32" s="62"/>
      <c r="I32" s="84"/>
      <c r="J32" s="87"/>
      <c r="K32" s="87"/>
      <c r="L32" s="74"/>
      <c r="M32" s="86"/>
      <c r="N32" s="87"/>
      <c r="O32" s="88"/>
      <c r="P32" s="129"/>
      <c r="Q32" s="130"/>
      <c r="R32" s="18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71"/>
      <c r="C33" s="73"/>
      <c r="D33" s="210"/>
      <c r="E33" s="188"/>
      <c r="F33" s="188"/>
      <c r="G33" s="188"/>
      <c r="H33" s="76"/>
      <c r="I33" s="84"/>
      <c r="J33" s="86"/>
      <c r="K33" s="87"/>
      <c r="L33" s="88"/>
      <c r="M33" s="86"/>
      <c r="N33" s="87"/>
      <c r="O33" s="88"/>
      <c r="P33" s="129"/>
      <c r="Q33" s="130"/>
      <c r="R33" s="184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71"/>
      <c r="C34" s="73"/>
      <c r="D34" s="210"/>
      <c r="E34" s="188"/>
      <c r="F34" s="188"/>
      <c r="G34" s="188"/>
      <c r="H34" s="76"/>
      <c r="I34" s="84"/>
      <c r="J34" s="86"/>
      <c r="K34" s="87"/>
      <c r="L34" s="88"/>
      <c r="M34" s="86"/>
      <c r="N34" s="87"/>
      <c r="O34" s="88"/>
      <c r="P34" s="129"/>
      <c r="Q34" s="130"/>
      <c r="R34" s="18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71"/>
      <c r="C35" s="73"/>
      <c r="D35" s="210"/>
      <c r="E35" s="188"/>
      <c r="F35" s="188"/>
      <c r="G35" s="188"/>
      <c r="H35" s="76"/>
      <c r="I35" s="84"/>
      <c r="J35" s="86"/>
      <c r="K35" s="87"/>
      <c r="L35" s="88"/>
      <c r="M35" s="86"/>
      <c r="N35" s="87"/>
      <c r="O35" s="88"/>
      <c r="P35" s="129"/>
      <c r="Q35" s="130"/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71"/>
      <c r="C36" s="73"/>
      <c r="D36" s="210"/>
      <c r="E36" s="188"/>
      <c r="F36" s="188"/>
      <c r="G36" s="188"/>
      <c r="H36" s="76"/>
      <c r="I36" s="84"/>
      <c r="J36" s="86"/>
      <c r="K36" s="87"/>
      <c r="L36" s="88"/>
      <c r="M36" s="86"/>
      <c r="N36" s="87"/>
      <c r="O36" s="88"/>
      <c r="P36" s="129"/>
      <c r="Q36" s="130"/>
      <c r="R36" s="18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71"/>
      <c r="C37" s="73"/>
      <c r="D37" s="210"/>
      <c r="E37" s="188"/>
      <c r="F37" s="188"/>
      <c r="G37" s="188"/>
      <c r="H37" s="76"/>
      <c r="I37" s="84"/>
      <c r="J37" s="86"/>
      <c r="K37" s="87"/>
      <c r="L37" s="88"/>
      <c r="M37" s="86"/>
      <c r="N37" s="87"/>
      <c r="O37" s="88"/>
      <c r="P37" s="129"/>
      <c r="Q37" s="130"/>
      <c r="R37" s="18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71"/>
      <c r="C38" s="73"/>
      <c r="D38" s="210"/>
      <c r="E38" s="188"/>
      <c r="F38" s="188"/>
      <c r="G38" s="188"/>
      <c r="H38" s="76"/>
      <c r="I38" s="84"/>
      <c r="J38" s="86"/>
      <c r="K38" s="87"/>
      <c r="L38" s="88"/>
      <c r="M38" s="86"/>
      <c r="N38" s="87"/>
      <c r="O38" s="88"/>
      <c r="P38" s="129"/>
      <c r="Q38" s="130"/>
      <c r="R38" s="18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71"/>
      <c r="C39" s="73"/>
      <c r="D39" s="210"/>
      <c r="E39" s="105"/>
      <c r="F39" s="105"/>
      <c r="G39" s="105"/>
      <c r="H39" s="76"/>
      <c r="I39" s="84"/>
      <c r="J39" s="87"/>
      <c r="K39" s="87"/>
      <c r="L39" s="74"/>
      <c r="M39" s="86"/>
      <c r="N39" s="87"/>
      <c r="O39" s="88"/>
      <c r="P39" s="59"/>
      <c r="Q39" s="105"/>
      <c r="R39" s="18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3" t="str">
        <f t="shared" ref="B40:C40" si="12">B30</f>
        <v>Origin Plug &amp; Play E22 Station</v>
      </c>
      <c r="C40" s="113" t="str">
        <f t="shared" si="12"/>
        <v>Room 1833</v>
      </c>
      <c r="D40" s="115">
        <f>SUM(D30:D39)</f>
        <v>0</v>
      </c>
      <c r="E40" s="121"/>
      <c r="F40" s="121"/>
      <c r="G40" s="121"/>
      <c r="H40" s="113" t="s">
        <v>95</v>
      </c>
      <c r="I40" s="118">
        <f t="shared" ref="I40:J40" si="13">SUM(I30:I39)</f>
        <v>29830</v>
      </c>
      <c r="J40" s="118">
        <f t="shared" si="13"/>
        <v>13000</v>
      </c>
      <c r="K40" s="118">
        <f>I40-J40</f>
        <v>16830</v>
      </c>
      <c r="L40" s="119">
        <f>K40/I40</f>
        <v>0.564197117</v>
      </c>
      <c r="M40" s="118">
        <f>SUM(M30:M39)</f>
        <v>13000</v>
      </c>
      <c r="N40" s="118">
        <f>I40-M40</f>
        <v>16830</v>
      </c>
      <c r="O40" s="119">
        <f>N40/I40</f>
        <v>0.564197117</v>
      </c>
      <c r="P40" s="120"/>
      <c r="Q40" s="121"/>
      <c r="R40" s="12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22"/>
      <c r="B41" s="123"/>
      <c r="C41" s="124"/>
      <c r="D41" s="124"/>
      <c r="E41" s="125"/>
      <c r="F41" s="125"/>
      <c r="G41" s="125"/>
      <c r="H41" s="126"/>
      <c r="I41" s="127"/>
      <c r="J41" s="127"/>
      <c r="K41" s="127"/>
      <c r="L41" s="128"/>
      <c r="M41" s="127"/>
      <c r="N41" s="127"/>
      <c r="O41" s="128"/>
      <c r="P41" s="125"/>
      <c r="Q41" s="125"/>
      <c r="R41" s="125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</row>
    <row r="42">
      <c r="A42" s="1"/>
      <c r="B42" s="51" t="s">
        <v>390</v>
      </c>
      <c r="C42" s="53" t="s">
        <v>391</v>
      </c>
      <c r="D42" s="54" t="s">
        <v>392</v>
      </c>
      <c r="E42" s="59"/>
      <c r="F42" s="60"/>
      <c r="G42" s="60"/>
      <c r="H42" s="62" t="s">
        <v>348</v>
      </c>
      <c r="I42" s="63"/>
      <c r="J42" s="65"/>
      <c r="K42" s="63"/>
      <c r="L42" s="67"/>
      <c r="M42" s="65"/>
      <c r="N42" s="63"/>
      <c r="O42" s="67"/>
      <c r="P42" s="59"/>
      <c r="Q42" s="59"/>
      <c r="R42" s="184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71"/>
      <c r="C43" s="73"/>
      <c r="D43" s="53" t="s">
        <v>393</v>
      </c>
      <c r="E43" s="185" t="s">
        <v>394</v>
      </c>
      <c r="F43" s="185" t="s">
        <v>395</v>
      </c>
      <c r="G43" s="188" t="s">
        <v>428</v>
      </c>
      <c r="H43" s="76" t="s">
        <v>429</v>
      </c>
      <c r="I43" s="85">
        <f>9000/1.07</f>
        <v>8411.214953</v>
      </c>
      <c r="J43" s="90">
        <v>4000.0</v>
      </c>
      <c r="K43" s="94">
        <f>I43-J43-J45</f>
        <v>1701.214953</v>
      </c>
      <c r="L43" s="96">
        <f>K43/I43</f>
        <v>0.2022555556</v>
      </c>
      <c r="M43" s="90">
        <v>4000.0</v>
      </c>
      <c r="N43" s="94">
        <f>I43-SUM(M43:M45)</f>
        <v>1701.214953</v>
      </c>
      <c r="O43" s="96">
        <f>N43/I43</f>
        <v>0.2022555556</v>
      </c>
      <c r="P43" s="55" t="s">
        <v>76</v>
      </c>
      <c r="Q43" s="97">
        <v>46204.0</v>
      </c>
      <c r="R43" s="186" t="s">
        <v>349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71"/>
      <c r="C44" s="73"/>
      <c r="D44" s="53" t="s">
        <v>399</v>
      </c>
      <c r="E44" s="23"/>
      <c r="F44" s="23"/>
      <c r="G44" s="188"/>
      <c r="H44" s="62" t="s">
        <v>430</v>
      </c>
      <c r="I44" s="22"/>
      <c r="J44" s="90"/>
      <c r="K44" s="23"/>
      <c r="L44" s="23"/>
      <c r="M44" s="90"/>
      <c r="N44" s="23"/>
      <c r="O44" s="23"/>
      <c r="P44" s="23"/>
      <c r="Q44" s="23"/>
      <c r="R44" s="18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71"/>
      <c r="C45" s="73"/>
      <c r="D45" s="53"/>
      <c r="E45" s="101"/>
      <c r="F45" s="101"/>
      <c r="G45" s="188" t="s">
        <v>431</v>
      </c>
      <c r="H45" s="76" t="s">
        <v>432</v>
      </c>
      <c r="I45" s="100"/>
      <c r="J45" s="86">
        <v>2710.0</v>
      </c>
      <c r="K45" s="101"/>
      <c r="L45" s="101"/>
      <c r="M45" s="86">
        <v>2710.0</v>
      </c>
      <c r="N45" s="23"/>
      <c r="O45" s="23"/>
      <c r="P45" s="101"/>
      <c r="Q45" s="101"/>
      <c r="R45" s="186" t="s">
        <v>433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71"/>
      <c r="C46" s="73"/>
      <c r="D46" s="210"/>
      <c r="E46" s="188"/>
      <c r="F46" s="188"/>
      <c r="G46" s="188"/>
      <c r="H46" s="76"/>
      <c r="I46" s="84"/>
      <c r="J46" s="86"/>
      <c r="K46" s="87"/>
      <c r="L46" s="88"/>
      <c r="M46" s="86"/>
      <c r="N46" s="87"/>
      <c r="O46" s="88"/>
      <c r="P46" s="129"/>
      <c r="Q46" s="130"/>
      <c r="R46" s="184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71"/>
      <c r="C47" s="73"/>
      <c r="D47" s="210"/>
      <c r="E47" s="188"/>
      <c r="F47" s="188"/>
      <c r="G47" s="188"/>
      <c r="H47" s="76"/>
      <c r="I47" s="84"/>
      <c r="J47" s="86"/>
      <c r="K47" s="87"/>
      <c r="L47" s="88"/>
      <c r="M47" s="86"/>
      <c r="N47" s="87"/>
      <c r="O47" s="88"/>
      <c r="P47" s="129"/>
      <c r="Q47" s="130"/>
      <c r="R47" s="18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71"/>
      <c r="C48" s="73"/>
      <c r="D48" s="210"/>
      <c r="E48" s="188"/>
      <c r="F48" s="188"/>
      <c r="G48" s="188"/>
      <c r="H48" s="76"/>
      <c r="I48" s="84"/>
      <c r="J48" s="86"/>
      <c r="K48" s="87"/>
      <c r="L48" s="88"/>
      <c r="M48" s="86"/>
      <c r="N48" s="87"/>
      <c r="O48" s="88"/>
      <c r="P48" s="129"/>
      <c r="Q48" s="130"/>
      <c r="R48" s="184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71"/>
      <c r="C49" s="73"/>
      <c r="D49" s="210"/>
      <c r="E49" s="188"/>
      <c r="F49" s="188"/>
      <c r="G49" s="188"/>
      <c r="H49" s="76"/>
      <c r="I49" s="84"/>
      <c r="J49" s="86"/>
      <c r="K49" s="87"/>
      <c r="L49" s="88"/>
      <c r="M49" s="86"/>
      <c r="N49" s="87"/>
      <c r="O49" s="88"/>
      <c r="P49" s="129"/>
      <c r="Q49" s="130"/>
      <c r="R49" s="184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71"/>
      <c r="C50" s="73"/>
      <c r="D50" s="210"/>
      <c r="E50" s="188"/>
      <c r="F50" s="188"/>
      <c r="G50" s="188"/>
      <c r="H50" s="76"/>
      <c r="I50" s="84"/>
      <c r="J50" s="86"/>
      <c r="K50" s="87"/>
      <c r="L50" s="88"/>
      <c r="M50" s="86"/>
      <c r="N50" s="87"/>
      <c r="O50" s="88"/>
      <c r="P50" s="129"/>
      <c r="Q50" s="130"/>
      <c r="R50" s="184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71"/>
      <c r="C51" s="73"/>
      <c r="D51" s="210"/>
      <c r="E51" s="188"/>
      <c r="F51" s="188"/>
      <c r="G51" s="188"/>
      <c r="H51" s="76"/>
      <c r="I51" s="84"/>
      <c r="J51" s="86"/>
      <c r="K51" s="87"/>
      <c r="L51" s="88"/>
      <c r="M51" s="86"/>
      <c r="N51" s="87"/>
      <c r="O51" s="88"/>
      <c r="P51" s="129"/>
      <c r="Q51" s="130"/>
      <c r="R51" s="184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71"/>
      <c r="C52" s="73"/>
      <c r="D52" s="210"/>
      <c r="E52" s="105"/>
      <c r="F52" s="105"/>
      <c r="G52" s="105"/>
      <c r="H52" s="76"/>
      <c r="I52" s="84"/>
      <c r="J52" s="87"/>
      <c r="K52" s="87"/>
      <c r="L52" s="74"/>
      <c r="M52" s="86"/>
      <c r="N52" s="87"/>
      <c r="O52" s="88"/>
      <c r="P52" s="59"/>
      <c r="Q52" s="105"/>
      <c r="R52" s="18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3" t="str">
        <f t="shared" ref="B53:C53" si="14">B42</f>
        <v>Origin Plug &amp; Play E22 Station</v>
      </c>
      <c r="C53" s="113" t="str">
        <f t="shared" si="14"/>
        <v>Room 1833</v>
      </c>
      <c r="D53" s="115">
        <f>SUM(D42:D52)</f>
        <v>0</v>
      </c>
      <c r="E53" s="121"/>
      <c r="F53" s="121"/>
      <c r="G53" s="121"/>
      <c r="H53" s="113" t="s">
        <v>95</v>
      </c>
      <c r="I53" s="118">
        <f t="shared" ref="I53:J53" si="15">SUM(I42:I52)</f>
        <v>8411.214953</v>
      </c>
      <c r="J53" s="118">
        <f t="shared" si="15"/>
        <v>6710</v>
      </c>
      <c r="K53" s="118">
        <f>I53-J53</f>
        <v>1701.214953</v>
      </c>
      <c r="L53" s="119">
        <f>K53/I53</f>
        <v>0.2022555556</v>
      </c>
      <c r="M53" s="118">
        <f>SUM(M42:M52)</f>
        <v>6710</v>
      </c>
      <c r="N53" s="118">
        <f>I53-M53</f>
        <v>1701.214953</v>
      </c>
      <c r="O53" s="119">
        <f>N53/I53</f>
        <v>0.2022555556</v>
      </c>
      <c r="P53" s="120"/>
      <c r="Q53" s="121"/>
      <c r="R53" s="12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22"/>
      <c r="B54" s="123"/>
      <c r="C54" s="124"/>
      <c r="D54" s="124"/>
      <c r="E54" s="125"/>
      <c r="F54" s="125"/>
      <c r="G54" s="125"/>
      <c r="H54" s="126"/>
      <c r="I54" s="127"/>
      <c r="J54" s="127"/>
      <c r="K54" s="127"/>
      <c r="L54" s="128"/>
      <c r="M54" s="127"/>
      <c r="N54" s="127"/>
      <c r="O54" s="128"/>
      <c r="P54" s="125"/>
      <c r="Q54" s="125"/>
      <c r="R54" s="125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</row>
    <row r="55">
      <c r="A55" s="1"/>
      <c r="B55" s="51" t="s">
        <v>390</v>
      </c>
      <c r="C55" s="53" t="s">
        <v>434</v>
      </c>
      <c r="D55" s="54" t="s">
        <v>392</v>
      </c>
      <c r="E55" s="55" t="s">
        <v>394</v>
      </c>
      <c r="F55" s="58" t="s">
        <v>395</v>
      </c>
      <c r="G55" s="60"/>
      <c r="H55" s="62" t="s">
        <v>48</v>
      </c>
      <c r="I55" s="63"/>
      <c r="J55" s="65"/>
      <c r="K55" s="63"/>
      <c r="L55" s="67"/>
      <c r="M55" s="65"/>
      <c r="N55" s="63"/>
      <c r="O55" s="67"/>
      <c r="P55" s="55" t="s">
        <v>76</v>
      </c>
      <c r="Q55" s="97">
        <v>46204.0</v>
      </c>
      <c r="R55" s="59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71"/>
      <c r="C56" s="73"/>
      <c r="D56" s="53" t="s">
        <v>393</v>
      </c>
      <c r="E56" s="23"/>
      <c r="F56" s="23"/>
      <c r="G56" s="188" t="s">
        <v>435</v>
      </c>
      <c r="H56" s="76" t="s">
        <v>397</v>
      </c>
      <c r="I56" s="84">
        <f>33170/1.07</f>
        <v>31000</v>
      </c>
      <c r="J56" s="86">
        <v>27500.0</v>
      </c>
      <c r="K56" s="87">
        <f t="shared" ref="K56:K57" si="16">I56-J56</f>
        <v>3500</v>
      </c>
      <c r="L56" s="88">
        <f t="shared" ref="L56:L57" si="17">K56/I56</f>
        <v>0.1129032258</v>
      </c>
      <c r="M56" s="86">
        <v>27500.0</v>
      </c>
      <c r="N56" s="87">
        <f t="shared" ref="N56:N57" si="18">I56-M56</f>
        <v>3500</v>
      </c>
      <c r="O56" s="88">
        <f t="shared" ref="O56:O57" si="19">N56/I56</f>
        <v>0.1129032258</v>
      </c>
      <c r="P56" s="23"/>
      <c r="Q56" s="23"/>
      <c r="R56" s="186" t="s">
        <v>398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71"/>
      <c r="C57" s="73"/>
      <c r="D57" s="53" t="s">
        <v>399</v>
      </c>
      <c r="E57" s="23"/>
      <c r="F57" s="23"/>
      <c r="G57" s="188" t="s">
        <v>436</v>
      </c>
      <c r="H57" s="76" t="s">
        <v>437</v>
      </c>
      <c r="I57" s="84">
        <f>10000/1.07</f>
        <v>9345.794393</v>
      </c>
      <c r="J57" s="86">
        <v>5500.0</v>
      </c>
      <c r="K57" s="87">
        <f t="shared" si="16"/>
        <v>3845.794393</v>
      </c>
      <c r="L57" s="88">
        <f t="shared" si="17"/>
        <v>0.4115</v>
      </c>
      <c r="M57" s="86">
        <v>5500.0</v>
      </c>
      <c r="N57" s="87">
        <f t="shared" si="18"/>
        <v>3845.794393</v>
      </c>
      <c r="O57" s="88">
        <f t="shared" si="19"/>
        <v>0.4115</v>
      </c>
      <c r="P57" s="23"/>
      <c r="Q57" s="23"/>
      <c r="R57" s="186" t="s">
        <v>151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71"/>
      <c r="C58" s="73"/>
      <c r="D58" s="53"/>
      <c r="E58" s="23"/>
      <c r="F58" s="23"/>
      <c r="G58" s="188"/>
      <c r="H58" s="62" t="s">
        <v>400</v>
      </c>
      <c r="I58" s="84"/>
      <c r="J58" s="87"/>
      <c r="K58" s="87"/>
      <c r="L58" s="88"/>
      <c r="M58" s="86"/>
      <c r="N58" s="87"/>
      <c r="O58" s="88"/>
      <c r="P58" s="23"/>
      <c r="Q58" s="23"/>
      <c r="R58" s="184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71"/>
      <c r="C59" s="73"/>
      <c r="D59" s="210"/>
      <c r="E59" s="23"/>
      <c r="F59" s="23"/>
      <c r="G59" s="188" t="s">
        <v>401</v>
      </c>
      <c r="H59" s="76" t="s">
        <v>402</v>
      </c>
      <c r="I59" s="84">
        <f>12000/1.07</f>
        <v>11214.95327</v>
      </c>
      <c r="J59" s="86">
        <v>7500.0</v>
      </c>
      <c r="K59" s="87">
        <f t="shared" ref="K59:K66" si="20">I59-J59</f>
        <v>3714.953271</v>
      </c>
      <c r="L59" s="88">
        <f t="shared" ref="L59:L66" si="21">K59/I59</f>
        <v>0.33125</v>
      </c>
      <c r="M59" s="86">
        <v>7500.0</v>
      </c>
      <c r="N59" s="87">
        <f t="shared" ref="N59:N66" si="22">I59-M59</f>
        <v>3714.953271</v>
      </c>
      <c r="O59" s="88">
        <f t="shared" ref="O59:O66" si="23">N59/I59</f>
        <v>0.33125</v>
      </c>
      <c r="P59" s="23"/>
      <c r="Q59" s="23"/>
      <c r="R59" s="186" t="s">
        <v>222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71"/>
      <c r="C60" s="73"/>
      <c r="D60" s="210"/>
      <c r="E60" s="23"/>
      <c r="F60" s="23"/>
      <c r="G60" s="188" t="s">
        <v>403</v>
      </c>
      <c r="H60" s="76" t="s">
        <v>404</v>
      </c>
      <c r="I60" s="84">
        <f t="shared" ref="I60:I61" si="24">7000/1.07</f>
        <v>6542.056075</v>
      </c>
      <c r="J60" s="86">
        <v>3071.2</v>
      </c>
      <c r="K60" s="87">
        <f t="shared" si="20"/>
        <v>3470.856075</v>
      </c>
      <c r="L60" s="88">
        <f t="shared" si="21"/>
        <v>0.5305451429</v>
      </c>
      <c r="M60" s="86">
        <v>3071.2</v>
      </c>
      <c r="N60" s="87">
        <f t="shared" si="22"/>
        <v>3470.856075</v>
      </c>
      <c r="O60" s="88">
        <f t="shared" si="23"/>
        <v>0.5305451429</v>
      </c>
      <c r="P60" s="23"/>
      <c r="Q60" s="23"/>
      <c r="R60" s="186" t="s">
        <v>293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71"/>
      <c r="C61" s="73"/>
      <c r="D61" s="210"/>
      <c r="E61" s="23"/>
      <c r="F61" s="23"/>
      <c r="G61" s="188" t="s">
        <v>405</v>
      </c>
      <c r="H61" s="76" t="s">
        <v>406</v>
      </c>
      <c r="I61" s="84">
        <f t="shared" si="24"/>
        <v>6542.056075</v>
      </c>
      <c r="J61" s="86">
        <v>2117.5</v>
      </c>
      <c r="K61" s="87">
        <f t="shared" si="20"/>
        <v>4424.556075</v>
      </c>
      <c r="L61" s="88">
        <f t="shared" si="21"/>
        <v>0.676325</v>
      </c>
      <c r="M61" s="86">
        <v>2117.5</v>
      </c>
      <c r="N61" s="87">
        <f t="shared" si="22"/>
        <v>4424.556075</v>
      </c>
      <c r="O61" s="88">
        <f t="shared" si="23"/>
        <v>0.676325</v>
      </c>
      <c r="P61" s="23"/>
      <c r="Q61" s="23"/>
      <c r="R61" s="186" t="s">
        <v>166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71"/>
      <c r="C62" s="73"/>
      <c r="D62" s="210"/>
      <c r="E62" s="23"/>
      <c r="F62" s="23"/>
      <c r="G62" s="188" t="s">
        <v>401</v>
      </c>
      <c r="H62" s="76" t="s">
        <v>407</v>
      </c>
      <c r="I62" s="84">
        <f>3000/1.07</f>
        <v>2803.738318</v>
      </c>
      <c r="J62" s="86">
        <v>750.0</v>
      </c>
      <c r="K62" s="87">
        <f t="shared" si="20"/>
        <v>2053.738318</v>
      </c>
      <c r="L62" s="88">
        <f t="shared" si="21"/>
        <v>0.7325</v>
      </c>
      <c r="M62" s="86">
        <v>750.0</v>
      </c>
      <c r="N62" s="87">
        <f t="shared" si="22"/>
        <v>2053.738318</v>
      </c>
      <c r="O62" s="88">
        <f t="shared" si="23"/>
        <v>0.7325</v>
      </c>
      <c r="P62" s="23"/>
      <c r="Q62" s="23"/>
      <c r="R62" s="186" t="s">
        <v>222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71"/>
      <c r="C63" s="73"/>
      <c r="D63" s="210"/>
      <c r="E63" s="23"/>
      <c r="F63" s="23"/>
      <c r="G63" s="188" t="s">
        <v>408</v>
      </c>
      <c r="H63" s="76" t="s">
        <v>409</v>
      </c>
      <c r="I63" s="84">
        <f>6000/1.07</f>
        <v>5607.476636</v>
      </c>
      <c r="J63" s="86">
        <v>1267.0</v>
      </c>
      <c r="K63" s="87">
        <f t="shared" si="20"/>
        <v>4340.476636</v>
      </c>
      <c r="L63" s="88">
        <f t="shared" si="21"/>
        <v>0.7740516667</v>
      </c>
      <c r="M63" s="86">
        <v>1267.0</v>
      </c>
      <c r="N63" s="87">
        <f t="shared" si="22"/>
        <v>4340.476636</v>
      </c>
      <c r="O63" s="88">
        <f t="shared" si="23"/>
        <v>0.7740516667</v>
      </c>
      <c r="P63" s="23"/>
      <c r="Q63" s="23"/>
      <c r="R63" s="186" t="s">
        <v>410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71"/>
      <c r="C64" s="73"/>
      <c r="D64" s="210"/>
      <c r="E64" s="23"/>
      <c r="F64" s="23"/>
      <c r="G64" s="188" t="s">
        <v>405</v>
      </c>
      <c r="H64" s="76" t="s">
        <v>411</v>
      </c>
      <c r="I64" s="84">
        <f>6500/1.07</f>
        <v>6074.766355</v>
      </c>
      <c r="J64" s="86">
        <v>3124.0</v>
      </c>
      <c r="K64" s="87">
        <f t="shared" si="20"/>
        <v>2950.766355</v>
      </c>
      <c r="L64" s="88">
        <f t="shared" si="21"/>
        <v>0.4857415385</v>
      </c>
      <c r="M64" s="86">
        <v>3124.0</v>
      </c>
      <c r="N64" s="87">
        <f t="shared" si="22"/>
        <v>2950.766355</v>
      </c>
      <c r="O64" s="88">
        <f t="shared" si="23"/>
        <v>0.4857415385</v>
      </c>
      <c r="P64" s="23"/>
      <c r="Q64" s="23"/>
      <c r="R64" s="186" t="s">
        <v>166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71"/>
      <c r="C65" s="73"/>
      <c r="D65" s="210"/>
      <c r="E65" s="23"/>
      <c r="F65" s="23"/>
      <c r="G65" s="188" t="s">
        <v>403</v>
      </c>
      <c r="H65" s="76" t="s">
        <v>412</v>
      </c>
      <c r="I65" s="84">
        <f>6000/1.07</f>
        <v>5607.476636</v>
      </c>
      <c r="J65" s="86">
        <v>2590.0</v>
      </c>
      <c r="K65" s="87">
        <f t="shared" si="20"/>
        <v>3017.476636</v>
      </c>
      <c r="L65" s="88">
        <f t="shared" si="21"/>
        <v>0.5381166667</v>
      </c>
      <c r="M65" s="86">
        <v>2590.0</v>
      </c>
      <c r="N65" s="87">
        <f t="shared" si="22"/>
        <v>3017.476636</v>
      </c>
      <c r="O65" s="88">
        <f t="shared" si="23"/>
        <v>0.5381166667</v>
      </c>
      <c r="P65" s="23"/>
      <c r="Q65" s="23"/>
      <c r="R65" s="186" t="s">
        <v>293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71"/>
      <c r="C66" s="73"/>
      <c r="D66" s="210"/>
      <c r="E66" s="23"/>
      <c r="F66" s="23"/>
      <c r="G66" s="188" t="s">
        <v>405</v>
      </c>
      <c r="H66" s="76" t="s">
        <v>413</v>
      </c>
      <c r="I66" s="84">
        <f>5000/1.07</f>
        <v>4672.897196</v>
      </c>
      <c r="J66" s="86">
        <v>2189.0</v>
      </c>
      <c r="K66" s="87">
        <f t="shared" si="20"/>
        <v>2483.897196</v>
      </c>
      <c r="L66" s="88">
        <f t="shared" si="21"/>
        <v>0.531554</v>
      </c>
      <c r="M66" s="86">
        <v>2189.0</v>
      </c>
      <c r="N66" s="87">
        <f t="shared" si="22"/>
        <v>2483.897196</v>
      </c>
      <c r="O66" s="88">
        <f t="shared" si="23"/>
        <v>0.531554</v>
      </c>
      <c r="P66" s="23"/>
      <c r="Q66" s="23"/>
      <c r="R66" s="186" t="s">
        <v>166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71"/>
      <c r="C67" s="73"/>
      <c r="D67" s="210"/>
      <c r="E67" s="23"/>
      <c r="F67" s="58"/>
      <c r="G67" s="188"/>
      <c r="H67" s="62" t="s">
        <v>192</v>
      </c>
      <c r="I67" s="84"/>
      <c r="J67" s="87"/>
      <c r="K67" s="87"/>
      <c r="L67" s="74"/>
      <c r="M67" s="86"/>
      <c r="N67" s="87"/>
      <c r="O67" s="88"/>
      <c r="P67" s="23"/>
      <c r="Q67" s="23"/>
      <c r="R67" s="184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71"/>
      <c r="C68" s="73"/>
      <c r="D68" s="210"/>
      <c r="E68" s="23"/>
      <c r="F68" s="58" t="s">
        <v>438</v>
      </c>
      <c r="G68" s="188" t="s">
        <v>439</v>
      </c>
      <c r="H68" s="76" t="s">
        <v>415</v>
      </c>
      <c r="I68" s="84">
        <f>30330/1.07</f>
        <v>28345.79439</v>
      </c>
      <c r="J68" s="87">
        <f>10355+4200</f>
        <v>14555</v>
      </c>
      <c r="K68" s="87">
        <f>I68-J68</f>
        <v>13790.79439</v>
      </c>
      <c r="L68" s="88">
        <f>K68/I68</f>
        <v>0.4865199472</v>
      </c>
      <c r="M68" s="86">
        <v>8000.0</v>
      </c>
      <c r="N68" s="87">
        <f>I68-M68</f>
        <v>20345.79439</v>
      </c>
      <c r="O68" s="88">
        <f>N68/I68</f>
        <v>0.7177711836</v>
      </c>
      <c r="P68" s="23"/>
      <c r="Q68" s="23"/>
      <c r="R68" s="186" t="s">
        <v>416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71"/>
      <c r="C69" s="73"/>
      <c r="D69" s="210"/>
      <c r="E69" s="23"/>
      <c r="F69" s="58"/>
      <c r="G69" s="105"/>
      <c r="H69" s="62" t="s">
        <v>417</v>
      </c>
      <c r="I69" s="84"/>
      <c r="J69" s="87"/>
      <c r="K69" s="87"/>
      <c r="L69" s="74"/>
      <c r="M69" s="86"/>
      <c r="N69" s="87"/>
      <c r="O69" s="88"/>
      <c r="P69" s="23"/>
      <c r="Q69" s="23"/>
      <c r="R69" s="184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71"/>
      <c r="C70" s="73"/>
      <c r="D70" s="210"/>
      <c r="E70" s="23"/>
      <c r="F70" s="58" t="s">
        <v>395</v>
      </c>
      <c r="G70" s="188" t="s">
        <v>418</v>
      </c>
      <c r="H70" s="76" t="s">
        <v>419</v>
      </c>
      <c r="I70" s="84">
        <f>2000/1.07</f>
        <v>1869.158879</v>
      </c>
      <c r="J70" s="86">
        <v>0.0</v>
      </c>
      <c r="K70" s="87">
        <f t="shared" ref="K70:K73" si="25">I70-J70</f>
        <v>1869.158879</v>
      </c>
      <c r="L70" s="88">
        <f t="shared" ref="L70:L73" si="26">K70/I70</f>
        <v>1</v>
      </c>
      <c r="M70" s="86">
        <v>0.0</v>
      </c>
      <c r="N70" s="87">
        <f t="shared" ref="N70:N73" si="27">I70-M70</f>
        <v>1869.158879</v>
      </c>
      <c r="O70" s="88">
        <f t="shared" ref="O70:O73" si="28">N70/I70</f>
        <v>1</v>
      </c>
      <c r="P70" s="23"/>
      <c r="Q70" s="23"/>
      <c r="R70" s="184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71"/>
      <c r="C71" s="73"/>
      <c r="D71" s="210"/>
      <c r="E71" s="23"/>
      <c r="F71" s="23"/>
      <c r="G71" s="188" t="s">
        <v>420</v>
      </c>
      <c r="H71" s="76" t="s">
        <v>421</v>
      </c>
      <c r="I71" s="84">
        <f>11000/1.07</f>
        <v>10280.37383</v>
      </c>
      <c r="J71" s="86">
        <v>0.0</v>
      </c>
      <c r="K71" s="87">
        <f t="shared" si="25"/>
        <v>10280.37383</v>
      </c>
      <c r="L71" s="88">
        <f t="shared" si="26"/>
        <v>1</v>
      </c>
      <c r="M71" s="86">
        <v>0.0</v>
      </c>
      <c r="N71" s="87">
        <f t="shared" si="27"/>
        <v>10280.37383</v>
      </c>
      <c r="O71" s="88">
        <f t="shared" si="28"/>
        <v>1</v>
      </c>
      <c r="P71" s="23"/>
      <c r="Q71" s="23"/>
      <c r="R71" s="184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71"/>
      <c r="C72" s="73"/>
      <c r="D72" s="210"/>
      <c r="E72" s="23"/>
      <c r="F72" s="23"/>
      <c r="G72" s="188" t="s">
        <v>420</v>
      </c>
      <c r="H72" s="76" t="s">
        <v>422</v>
      </c>
      <c r="I72" s="84">
        <f>8000/1.07</f>
        <v>7476.635514</v>
      </c>
      <c r="J72" s="86">
        <v>0.0</v>
      </c>
      <c r="K72" s="87">
        <f t="shared" si="25"/>
        <v>7476.635514</v>
      </c>
      <c r="L72" s="88">
        <f t="shared" si="26"/>
        <v>1</v>
      </c>
      <c r="M72" s="86">
        <v>0.0</v>
      </c>
      <c r="N72" s="87">
        <f t="shared" si="27"/>
        <v>7476.635514</v>
      </c>
      <c r="O72" s="88">
        <f t="shared" si="28"/>
        <v>1</v>
      </c>
      <c r="P72" s="23"/>
      <c r="Q72" s="23"/>
      <c r="R72" s="184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71"/>
      <c r="C73" s="73"/>
      <c r="D73" s="210"/>
      <c r="E73" s="23"/>
      <c r="F73" s="23"/>
      <c r="G73" s="188" t="s">
        <v>408</v>
      </c>
      <c r="H73" s="76" t="s">
        <v>423</v>
      </c>
      <c r="I73" s="84">
        <f>3000/1.07</f>
        <v>2803.738318</v>
      </c>
      <c r="J73" s="87">
        <f>1543/1.07</f>
        <v>1442.056075</v>
      </c>
      <c r="K73" s="87">
        <f t="shared" si="25"/>
        <v>1361.682243</v>
      </c>
      <c r="L73" s="88">
        <f t="shared" si="26"/>
        <v>0.4856666667</v>
      </c>
      <c r="M73" s="86">
        <v>1543.0</v>
      </c>
      <c r="N73" s="87">
        <f t="shared" si="27"/>
        <v>1260.738318</v>
      </c>
      <c r="O73" s="88">
        <f t="shared" si="28"/>
        <v>0.4496633333</v>
      </c>
      <c r="P73" s="23"/>
      <c r="Q73" s="23"/>
      <c r="R73" s="186" t="s">
        <v>410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71"/>
      <c r="C74" s="73"/>
      <c r="D74" s="210"/>
      <c r="E74" s="23"/>
      <c r="F74" s="23"/>
      <c r="G74" s="105"/>
      <c r="H74" s="62" t="s">
        <v>424</v>
      </c>
      <c r="I74" s="84"/>
      <c r="J74" s="87"/>
      <c r="K74" s="87"/>
      <c r="L74" s="74"/>
      <c r="M74" s="86"/>
      <c r="N74" s="87"/>
      <c r="O74" s="88"/>
      <c r="P74" s="23"/>
      <c r="Q74" s="23"/>
      <c r="R74" s="184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71"/>
      <c r="C75" s="73"/>
      <c r="D75" s="210"/>
      <c r="E75" s="101"/>
      <c r="F75" s="101"/>
      <c r="G75" s="105"/>
      <c r="H75" s="76" t="s">
        <v>425</v>
      </c>
      <c r="I75" s="84">
        <v>0.0</v>
      </c>
      <c r="J75" s="87"/>
      <c r="K75" s="87"/>
      <c r="L75" s="74"/>
      <c r="M75" s="86">
        <v>2000.0</v>
      </c>
      <c r="N75" s="87">
        <f>I75-M75</f>
        <v>-2000</v>
      </c>
      <c r="O75" s="88" t="str">
        <f>N75/I75</f>
        <v>#DIV/0!</v>
      </c>
      <c r="P75" s="101"/>
      <c r="Q75" s="101"/>
      <c r="R75" s="184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71"/>
      <c r="C76" s="73"/>
      <c r="D76" s="210"/>
      <c r="E76" s="105"/>
      <c r="F76" s="105"/>
      <c r="G76" s="105"/>
      <c r="H76" s="76"/>
      <c r="I76" s="84"/>
      <c r="J76" s="87"/>
      <c r="K76" s="87"/>
      <c r="L76" s="74"/>
      <c r="M76" s="86"/>
      <c r="N76" s="87"/>
      <c r="O76" s="88"/>
      <c r="P76" s="59"/>
      <c r="Q76" s="105"/>
      <c r="R76" s="184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71"/>
      <c r="C77" s="73"/>
      <c r="D77" s="210"/>
      <c r="E77" s="105"/>
      <c r="F77" s="105"/>
      <c r="G77" s="105"/>
      <c r="H77" s="76"/>
      <c r="I77" s="84"/>
      <c r="J77" s="87"/>
      <c r="K77" s="87"/>
      <c r="L77" s="74"/>
      <c r="M77" s="86"/>
      <c r="N77" s="87"/>
      <c r="O77" s="88"/>
      <c r="P77" s="59"/>
      <c r="Q77" s="105"/>
      <c r="R77" s="184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71"/>
      <c r="C78" s="73"/>
      <c r="D78" s="210"/>
      <c r="E78" s="105"/>
      <c r="F78" s="105"/>
      <c r="G78" s="105"/>
      <c r="H78" s="76"/>
      <c r="I78" s="84"/>
      <c r="J78" s="87"/>
      <c r="K78" s="87"/>
      <c r="L78" s="74"/>
      <c r="M78" s="86"/>
      <c r="N78" s="87"/>
      <c r="O78" s="88"/>
      <c r="P78" s="59"/>
      <c r="Q78" s="105"/>
      <c r="R78" s="184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71"/>
      <c r="C79" s="73"/>
      <c r="D79" s="210"/>
      <c r="E79" s="105"/>
      <c r="F79" s="105"/>
      <c r="G79" s="105"/>
      <c r="H79" s="76"/>
      <c r="I79" s="84"/>
      <c r="J79" s="87"/>
      <c r="K79" s="87"/>
      <c r="L79" s="74"/>
      <c r="M79" s="86"/>
      <c r="N79" s="87"/>
      <c r="O79" s="88"/>
      <c r="P79" s="59"/>
      <c r="Q79" s="105"/>
      <c r="R79" s="184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3" t="str">
        <f t="shared" ref="B80:C80" si="29">B55</f>
        <v>Origin Plug &amp; Play E22 Station</v>
      </c>
      <c r="C80" s="113" t="str">
        <f t="shared" si="29"/>
        <v>Room 1628</v>
      </c>
      <c r="D80" s="115">
        <f>SUM(D55:D79)</f>
        <v>0</v>
      </c>
      <c r="E80" s="121"/>
      <c r="F80" s="121"/>
      <c r="G80" s="121"/>
      <c r="H80" s="113" t="s">
        <v>95</v>
      </c>
      <c r="I80" s="118">
        <f t="shared" ref="I80:J80" si="30">SUM(I55:I79)</f>
        <v>140186.9159</v>
      </c>
      <c r="J80" s="118">
        <f t="shared" si="30"/>
        <v>71605.75607</v>
      </c>
      <c r="K80" s="118">
        <f>I80-J80</f>
        <v>68581.15981</v>
      </c>
      <c r="L80" s="119">
        <f>K80/I80</f>
        <v>0.4892122733</v>
      </c>
      <c r="M80" s="118">
        <f>SUM(M55:M79)</f>
        <v>67151.7</v>
      </c>
      <c r="N80" s="118">
        <f>I80-M80</f>
        <v>73035.21589</v>
      </c>
      <c r="O80" s="119">
        <f>N80/I80</f>
        <v>0.52098454</v>
      </c>
      <c r="P80" s="120"/>
      <c r="Q80" s="121"/>
      <c r="R80" s="12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22"/>
      <c r="B81" s="123"/>
      <c r="C81" s="124"/>
      <c r="D81" s="124"/>
      <c r="E81" s="125"/>
      <c r="F81" s="125"/>
      <c r="G81" s="125"/>
      <c r="H81" s="126"/>
      <c r="I81" s="127"/>
      <c r="J81" s="127"/>
      <c r="K81" s="127"/>
      <c r="L81" s="128"/>
      <c r="M81" s="127"/>
      <c r="N81" s="127"/>
      <c r="O81" s="128"/>
      <c r="P81" s="125"/>
      <c r="Q81" s="125"/>
      <c r="R81" s="125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</row>
    <row r="82">
      <c r="A82" s="1"/>
      <c r="B82" s="51" t="s">
        <v>390</v>
      </c>
      <c r="C82" s="53" t="s">
        <v>434</v>
      </c>
      <c r="D82" s="54" t="s">
        <v>392</v>
      </c>
      <c r="E82" s="59"/>
      <c r="F82" s="60"/>
      <c r="G82" s="60"/>
      <c r="H82" s="62" t="s">
        <v>43</v>
      </c>
      <c r="I82" s="63"/>
      <c r="J82" s="65"/>
      <c r="K82" s="63"/>
      <c r="L82" s="67"/>
      <c r="M82" s="65"/>
      <c r="N82" s="63"/>
      <c r="O82" s="67"/>
      <c r="P82" s="59"/>
      <c r="Q82" s="59"/>
      <c r="R82" s="184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71"/>
      <c r="C83" s="73"/>
      <c r="D83" s="53" t="s">
        <v>393</v>
      </c>
      <c r="E83" s="188" t="s">
        <v>394</v>
      </c>
      <c r="F83" s="188" t="s">
        <v>395</v>
      </c>
      <c r="G83" s="188" t="s">
        <v>440</v>
      </c>
      <c r="H83" s="76" t="s">
        <v>427</v>
      </c>
      <c r="I83" s="84">
        <f>35277.9/1.07</f>
        <v>32970</v>
      </c>
      <c r="J83" s="86">
        <v>13000.0</v>
      </c>
      <c r="K83" s="87">
        <f>I83-J83</f>
        <v>19970</v>
      </c>
      <c r="L83" s="88">
        <f>K83/I83</f>
        <v>0.6057021535</v>
      </c>
      <c r="M83" s="86">
        <v>13000.0</v>
      </c>
      <c r="N83" s="87">
        <f>I83-M83</f>
        <v>19970</v>
      </c>
      <c r="O83" s="88">
        <f>N83/I83</f>
        <v>0.6057021535</v>
      </c>
      <c r="P83" s="129" t="s">
        <v>76</v>
      </c>
      <c r="Q83" s="130">
        <v>46204.0</v>
      </c>
      <c r="R83" s="186" t="s">
        <v>82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71"/>
      <c r="C84" s="73"/>
      <c r="D84" s="53" t="s">
        <v>399</v>
      </c>
      <c r="E84" s="188"/>
      <c r="F84" s="188"/>
      <c r="G84" s="188"/>
      <c r="H84" s="62"/>
      <c r="I84" s="84"/>
      <c r="J84" s="87"/>
      <c r="K84" s="87"/>
      <c r="L84" s="74"/>
      <c r="M84" s="86"/>
      <c r="N84" s="87"/>
      <c r="O84" s="88"/>
      <c r="P84" s="129"/>
      <c r="Q84" s="130"/>
      <c r="R84" s="184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71"/>
      <c r="C85" s="73"/>
      <c r="D85" s="210"/>
      <c r="E85" s="188"/>
      <c r="F85" s="188"/>
      <c r="G85" s="188"/>
      <c r="H85" s="76"/>
      <c r="I85" s="84"/>
      <c r="J85" s="86"/>
      <c r="K85" s="87"/>
      <c r="L85" s="88"/>
      <c r="M85" s="86"/>
      <c r="N85" s="87"/>
      <c r="O85" s="88"/>
      <c r="P85" s="129"/>
      <c r="Q85" s="130"/>
      <c r="R85" s="184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71"/>
      <c r="C86" s="73"/>
      <c r="D86" s="210"/>
      <c r="E86" s="188"/>
      <c r="F86" s="188"/>
      <c r="G86" s="188"/>
      <c r="H86" s="76"/>
      <c r="I86" s="84"/>
      <c r="J86" s="86"/>
      <c r="K86" s="87"/>
      <c r="L86" s="88"/>
      <c r="M86" s="86"/>
      <c r="N86" s="87"/>
      <c r="O86" s="88"/>
      <c r="P86" s="129"/>
      <c r="Q86" s="130"/>
      <c r="R86" s="184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71"/>
      <c r="C87" s="73"/>
      <c r="D87" s="210"/>
      <c r="E87" s="188"/>
      <c r="F87" s="188"/>
      <c r="G87" s="188"/>
      <c r="H87" s="76"/>
      <c r="I87" s="84"/>
      <c r="J87" s="86"/>
      <c r="K87" s="87"/>
      <c r="L87" s="88"/>
      <c r="M87" s="86"/>
      <c r="N87" s="87"/>
      <c r="O87" s="88"/>
      <c r="P87" s="129"/>
      <c r="Q87" s="130"/>
      <c r="R87" s="184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71"/>
      <c r="C88" s="73"/>
      <c r="D88" s="210"/>
      <c r="E88" s="188"/>
      <c r="F88" s="188"/>
      <c r="G88" s="188"/>
      <c r="H88" s="76"/>
      <c r="I88" s="84"/>
      <c r="J88" s="86"/>
      <c r="K88" s="87"/>
      <c r="L88" s="88"/>
      <c r="M88" s="86"/>
      <c r="N88" s="87"/>
      <c r="O88" s="88"/>
      <c r="P88" s="129"/>
      <c r="Q88" s="130"/>
      <c r="R88" s="184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71"/>
      <c r="C89" s="73"/>
      <c r="D89" s="210"/>
      <c r="E89" s="188"/>
      <c r="F89" s="188"/>
      <c r="G89" s="188"/>
      <c r="H89" s="76"/>
      <c r="I89" s="84"/>
      <c r="J89" s="86"/>
      <c r="K89" s="87"/>
      <c r="L89" s="88"/>
      <c r="M89" s="86"/>
      <c r="N89" s="87"/>
      <c r="O89" s="88"/>
      <c r="P89" s="129"/>
      <c r="Q89" s="130"/>
      <c r="R89" s="184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71"/>
      <c r="C90" s="73"/>
      <c r="D90" s="210"/>
      <c r="E90" s="188"/>
      <c r="F90" s="188"/>
      <c r="G90" s="188"/>
      <c r="H90" s="76"/>
      <c r="I90" s="84"/>
      <c r="J90" s="86"/>
      <c r="K90" s="87"/>
      <c r="L90" s="88"/>
      <c r="M90" s="86"/>
      <c r="N90" s="87"/>
      <c r="O90" s="88"/>
      <c r="P90" s="129"/>
      <c r="Q90" s="130"/>
      <c r="R90" s="184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71"/>
      <c r="C91" s="73"/>
      <c r="D91" s="210"/>
      <c r="E91" s="105"/>
      <c r="F91" s="105"/>
      <c r="G91" s="105"/>
      <c r="H91" s="76"/>
      <c r="I91" s="84"/>
      <c r="J91" s="87"/>
      <c r="K91" s="87"/>
      <c r="L91" s="74"/>
      <c r="M91" s="86"/>
      <c r="N91" s="87"/>
      <c r="O91" s="88"/>
      <c r="P91" s="59"/>
      <c r="Q91" s="105"/>
      <c r="R91" s="184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3" t="str">
        <f t="shared" ref="B92:C92" si="31">B82</f>
        <v>Origin Plug &amp; Play E22 Station</v>
      </c>
      <c r="C92" s="113" t="str">
        <f t="shared" si="31"/>
        <v>Room 1628</v>
      </c>
      <c r="D92" s="115">
        <f>SUM(D82:D91)</f>
        <v>0</v>
      </c>
      <c r="E92" s="121"/>
      <c r="F92" s="121"/>
      <c r="G92" s="121"/>
      <c r="H92" s="113" t="s">
        <v>95</v>
      </c>
      <c r="I92" s="118">
        <f t="shared" ref="I92:J92" si="32">SUM(I82:I91)</f>
        <v>32970</v>
      </c>
      <c r="J92" s="118">
        <f t="shared" si="32"/>
        <v>13000</v>
      </c>
      <c r="K92" s="118">
        <f>I92-J92</f>
        <v>19970</v>
      </c>
      <c r="L92" s="119">
        <f>K92/I92</f>
        <v>0.6057021535</v>
      </c>
      <c r="M92" s="118">
        <f>SUM(M82:M91)</f>
        <v>13000</v>
      </c>
      <c r="N92" s="118">
        <f>I92-M92</f>
        <v>19970</v>
      </c>
      <c r="O92" s="119">
        <f>N92/I92</f>
        <v>0.6057021535</v>
      </c>
      <c r="P92" s="120"/>
      <c r="Q92" s="121"/>
      <c r="R92" s="12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22"/>
      <c r="B93" s="123"/>
      <c r="C93" s="124"/>
      <c r="D93" s="124"/>
      <c r="E93" s="125"/>
      <c r="F93" s="125"/>
      <c r="G93" s="125"/>
      <c r="H93" s="126"/>
      <c r="I93" s="127"/>
      <c r="J93" s="127"/>
      <c r="K93" s="127"/>
      <c r="L93" s="128"/>
      <c r="M93" s="127"/>
      <c r="N93" s="127"/>
      <c r="O93" s="128"/>
      <c r="P93" s="125"/>
      <c r="Q93" s="125"/>
      <c r="R93" s="125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</row>
    <row r="94">
      <c r="A94" s="1"/>
      <c r="B94" s="51" t="s">
        <v>390</v>
      </c>
      <c r="C94" s="53" t="s">
        <v>434</v>
      </c>
      <c r="D94" s="54" t="s">
        <v>392</v>
      </c>
      <c r="E94" s="59"/>
      <c r="F94" s="60"/>
      <c r="G94" s="60"/>
      <c r="H94" s="62" t="s">
        <v>348</v>
      </c>
      <c r="I94" s="63"/>
      <c r="J94" s="65"/>
      <c r="K94" s="63"/>
      <c r="L94" s="67"/>
      <c r="M94" s="65"/>
      <c r="N94" s="63"/>
      <c r="O94" s="67"/>
      <c r="P94" s="59"/>
      <c r="Q94" s="59"/>
      <c r="R94" s="184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71"/>
      <c r="C95" s="73"/>
      <c r="D95" s="53" t="s">
        <v>393</v>
      </c>
      <c r="E95" s="185" t="s">
        <v>394</v>
      </c>
      <c r="F95" s="185" t="s">
        <v>395</v>
      </c>
      <c r="G95" s="188" t="s">
        <v>428</v>
      </c>
      <c r="H95" s="76" t="s">
        <v>429</v>
      </c>
      <c r="I95" s="85">
        <f>9000/1.07</f>
        <v>8411.214953</v>
      </c>
      <c r="J95" s="90">
        <v>4000.0</v>
      </c>
      <c r="K95" s="94">
        <f>I95-J95-J97</f>
        <v>1701.214953</v>
      </c>
      <c r="L95" s="96">
        <f>K95/I95</f>
        <v>0.2022555556</v>
      </c>
      <c r="M95" s="90">
        <v>4000.0</v>
      </c>
      <c r="N95" s="94">
        <f>I95-SUM(M95:M97)</f>
        <v>1701.214953</v>
      </c>
      <c r="O95" s="96">
        <f>N95/I95</f>
        <v>0.2022555556</v>
      </c>
      <c r="P95" s="55" t="s">
        <v>76</v>
      </c>
      <c r="Q95" s="97">
        <v>46204.0</v>
      </c>
      <c r="R95" s="186" t="s">
        <v>349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71"/>
      <c r="C96" s="73"/>
      <c r="D96" s="53" t="s">
        <v>399</v>
      </c>
      <c r="E96" s="23"/>
      <c r="F96" s="23"/>
      <c r="G96" s="188"/>
      <c r="H96" s="62" t="s">
        <v>430</v>
      </c>
      <c r="I96" s="22"/>
      <c r="J96" s="90"/>
      <c r="K96" s="23"/>
      <c r="L96" s="23"/>
      <c r="M96" s="90"/>
      <c r="N96" s="23"/>
      <c r="O96" s="23"/>
      <c r="P96" s="23"/>
      <c r="Q96" s="23"/>
      <c r="R96" s="18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71"/>
      <c r="C97" s="73"/>
      <c r="D97" s="53"/>
      <c r="E97" s="101"/>
      <c r="F97" s="101"/>
      <c r="G97" s="188" t="s">
        <v>431</v>
      </c>
      <c r="H97" s="76" t="s">
        <v>432</v>
      </c>
      <c r="I97" s="100"/>
      <c r="J97" s="86">
        <v>2710.0</v>
      </c>
      <c r="K97" s="101"/>
      <c r="L97" s="101"/>
      <c r="M97" s="86">
        <v>2710.0</v>
      </c>
      <c r="N97" s="23"/>
      <c r="O97" s="23"/>
      <c r="P97" s="101"/>
      <c r="Q97" s="101"/>
      <c r="R97" s="186" t="s">
        <v>433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71"/>
      <c r="C98" s="73"/>
      <c r="D98" s="210"/>
      <c r="E98" s="188"/>
      <c r="F98" s="188"/>
      <c r="G98" s="188"/>
      <c r="H98" s="76"/>
      <c r="I98" s="84"/>
      <c r="J98" s="86"/>
      <c r="K98" s="87"/>
      <c r="L98" s="88"/>
      <c r="M98" s="86"/>
      <c r="N98" s="87"/>
      <c r="O98" s="88"/>
      <c r="P98" s="129"/>
      <c r="Q98" s="130"/>
      <c r="R98" s="184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71"/>
      <c r="C99" s="73"/>
      <c r="D99" s="210"/>
      <c r="E99" s="188"/>
      <c r="F99" s="188"/>
      <c r="G99" s="188"/>
      <c r="H99" s="76"/>
      <c r="I99" s="84"/>
      <c r="J99" s="86"/>
      <c r="K99" s="87"/>
      <c r="L99" s="88"/>
      <c r="M99" s="86"/>
      <c r="N99" s="87"/>
      <c r="O99" s="88"/>
      <c r="P99" s="129"/>
      <c r="Q99" s="130"/>
      <c r="R99" s="184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71"/>
      <c r="C100" s="73"/>
      <c r="D100" s="210"/>
      <c r="E100" s="188"/>
      <c r="F100" s="188"/>
      <c r="G100" s="188"/>
      <c r="H100" s="76"/>
      <c r="I100" s="84"/>
      <c r="J100" s="86"/>
      <c r="K100" s="87"/>
      <c r="L100" s="88"/>
      <c r="M100" s="86"/>
      <c r="N100" s="87"/>
      <c r="O100" s="88"/>
      <c r="P100" s="129"/>
      <c r="Q100" s="130"/>
      <c r="R100" s="184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71"/>
      <c r="C101" s="73"/>
      <c r="D101" s="210"/>
      <c r="E101" s="188"/>
      <c r="F101" s="188"/>
      <c r="G101" s="188"/>
      <c r="H101" s="76"/>
      <c r="I101" s="84"/>
      <c r="J101" s="86"/>
      <c r="K101" s="87"/>
      <c r="L101" s="88"/>
      <c r="M101" s="86"/>
      <c r="N101" s="87"/>
      <c r="O101" s="88"/>
      <c r="P101" s="129"/>
      <c r="Q101" s="130"/>
      <c r="R101" s="184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71"/>
      <c r="C102" s="73"/>
      <c r="D102" s="210"/>
      <c r="E102" s="188"/>
      <c r="F102" s="188"/>
      <c r="G102" s="188"/>
      <c r="H102" s="76"/>
      <c r="I102" s="84"/>
      <c r="J102" s="86"/>
      <c r="K102" s="87"/>
      <c r="L102" s="88"/>
      <c r="M102" s="86"/>
      <c r="N102" s="87"/>
      <c r="O102" s="88"/>
      <c r="P102" s="129"/>
      <c r="Q102" s="130"/>
      <c r="R102" s="184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71"/>
      <c r="C103" s="73"/>
      <c r="D103" s="210"/>
      <c r="E103" s="188"/>
      <c r="F103" s="188"/>
      <c r="G103" s="188"/>
      <c r="H103" s="76"/>
      <c r="I103" s="84"/>
      <c r="J103" s="86"/>
      <c r="K103" s="87"/>
      <c r="L103" s="88"/>
      <c r="M103" s="86"/>
      <c r="N103" s="87"/>
      <c r="O103" s="88"/>
      <c r="P103" s="129"/>
      <c r="Q103" s="130"/>
      <c r="R103" s="184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71"/>
      <c r="C104" s="73"/>
      <c r="D104" s="210"/>
      <c r="E104" s="105"/>
      <c r="F104" s="105"/>
      <c r="G104" s="105"/>
      <c r="H104" s="76"/>
      <c r="I104" s="84"/>
      <c r="J104" s="87"/>
      <c r="K104" s="87"/>
      <c r="L104" s="74"/>
      <c r="M104" s="86"/>
      <c r="N104" s="87"/>
      <c r="O104" s="88"/>
      <c r="P104" s="59"/>
      <c r="Q104" s="105"/>
      <c r="R104" s="184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3" t="str">
        <f t="shared" ref="B105:C105" si="33">B94</f>
        <v>Origin Plug &amp; Play E22 Station</v>
      </c>
      <c r="C105" s="113" t="str">
        <f t="shared" si="33"/>
        <v>Room 1628</v>
      </c>
      <c r="D105" s="115">
        <f>SUM(D94:D104)</f>
        <v>0</v>
      </c>
      <c r="E105" s="121"/>
      <c r="F105" s="121"/>
      <c r="G105" s="121"/>
      <c r="H105" s="113" t="s">
        <v>95</v>
      </c>
      <c r="I105" s="118">
        <f t="shared" ref="I105:J105" si="34">SUM(I94:I104)</f>
        <v>8411.214953</v>
      </c>
      <c r="J105" s="118">
        <f t="shared" si="34"/>
        <v>6710</v>
      </c>
      <c r="K105" s="118">
        <f>I105-J105</f>
        <v>1701.214953</v>
      </c>
      <c r="L105" s="119">
        <f>K105/I105</f>
        <v>0.2022555556</v>
      </c>
      <c r="M105" s="118">
        <f>SUM(M94:M104)</f>
        <v>6710</v>
      </c>
      <c r="N105" s="118">
        <f>I105-M105</f>
        <v>1701.214953</v>
      </c>
      <c r="O105" s="119">
        <f>N105/I105</f>
        <v>0.2022555556</v>
      </c>
      <c r="P105" s="120"/>
      <c r="Q105" s="121"/>
      <c r="R105" s="12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22"/>
      <c r="B106" s="123"/>
      <c r="C106" s="124"/>
      <c r="D106" s="124"/>
      <c r="E106" s="125"/>
      <c r="F106" s="125"/>
      <c r="G106" s="125"/>
      <c r="H106" s="126"/>
      <c r="I106" s="127"/>
      <c r="J106" s="127"/>
      <c r="K106" s="127"/>
      <c r="L106" s="128"/>
      <c r="M106" s="127"/>
      <c r="N106" s="127"/>
      <c r="O106" s="128"/>
      <c r="P106" s="125"/>
      <c r="Q106" s="125"/>
      <c r="R106" s="125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</row>
    <row r="107">
      <c r="A107" s="1"/>
      <c r="B107" s="51" t="s">
        <v>390</v>
      </c>
      <c r="C107" s="53" t="s">
        <v>441</v>
      </c>
      <c r="D107" s="54" t="s">
        <v>442</v>
      </c>
      <c r="E107" s="55" t="s">
        <v>394</v>
      </c>
      <c r="F107" s="185" t="s">
        <v>443</v>
      </c>
      <c r="G107" s="60"/>
      <c r="H107" s="62" t="s">
        <v>158</v>
      </c>
      <c r="I107" s="63"/>
      <c r="J107" s="65"/>
      <c r="K107" s="63"/>
      <c r="L107" s="67"/>
      <c r="M107" s="65"/>
      <c r="N107" s="63"/>
      <c r="O107" s="67"/>
      <c r="P107" s="55" t="s">
        <v>76</v>
      </c>
      <c r="Q107" s="97">
        <v>46204.0</v>
      </c>
      <c r="R107" s="59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71"/>
      <c r="C108" s="73"/>
      <c r="D108" s="53" t="s">
        <v>444</v>
      </c>
      <c r="E108" s="23"/>
      <c r="F108" s="23"/>
      <c r="G108" s="188" t="s">
        <v>445</v>
      </c>
      <c r="H108" s="76" t="s">
        <v>446</v>
      </c>
      <c r="I108" s="84">
        <f>25000/1.07</f>
        <v>23364.48598</v>
      </c>
      <c r="J108" s="86">
        <v>4500.0</v>
      </c>
      <c r="K108" s="87">
        <f t="shared" ref="K108:K109" si="35">I108-J108</f>
        <v>18864.48598</v>
      </c>
      <c r="L108" s="88">
        <f t="shared" ref="L108:L109" si="36">K108/I108</f>
        <v>0.8074</v>
      </c>
      <c r="M108" s="86">
        <v>4500.0</v>
      </c>
      <c r="N108" s="87">
        <f t="shared" ref="N108:N109" si="37">I108-M108</f>
        <v>18864.48598</v>
      </c>
      <c r="O108" s="88">
        <f t="shared" ref="O108:O114" si="38">N108/I108</f>
        <v>0.8074</v>
      </c>
      <c r="P108" s="23"/>
      <c r="Q108" s="23"/>
      <c r="R108" s="186" t="s">
        <v>447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71"/>
      <c r="C109" s="73"/>
      <c r="D109" s="53" t="s">
        <v>399</v>
      </c>
      <c r="E109" s="23"/>
      <c r="F109" s="23"/>
      <c r="G109" s="188" t="s">
        <v>403</v>
      </c>
      <c r="H109" s="76" t="s">
        <v>448</v>
      </c>
      <c r="I109" s="84">
        <f>8000/1.07</f>
        <v>7476.635514</v>
      </c>
      <c r="J109" s="86">
        <v>3071.2</v>
      </c>
      <c r="K109" s="87">
        <f t="shared" si="35"/>
        <v>4405.435514</v>
      </c>
      <c r="L109" s="88">
        <f t="shared" si="36"/>
        <v>0.589227</v>
      </c>
      <c r="M109" s="86">
        <v>3071.2</v>
      </c>
      <c r="N109" s="87">
        <f t="shared" si="37"/>
        <v>4405.435514</v>
      </c>
      <c r="O109" s="88">
        <f t="shared" si="38"/>
        <v>0.589227</v>
      </c>
      <c r="P109" s="23"/>
      <c r="Q109" s="23"/>
      <c r="R109" s="186" t="s">
        <v>293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71"/>
      <c r="C110" s="73"/>
      <c r="D110" s="53"/>
      <c r="E110" s="23"/>
      <c r="F110" s="23"/>
      <c r="G110" s="188" t="s">
        <v>405</v>
      </c>
      <c r="H110" s="76" t="s">
        <v>449</v>
      </c>
      <c r="I110" s="84">
        <f>7000/1.07</f>
        <v>6542.056075</v>
      </c>
      <c r="J110" s="86">
        <v>2117.5</v>
      </c>
      <c r="K110" s="87"/>
      <c r="L110" s="88"/>
      <c r="M110" s="86">
        <v>2117.5</v>
      </c>
      <c r="N110" s="86">
        <v>2117.5</v>
      </c>
      <c r="O110" s="88">
        <f t="shared" si="38"/>
        <v>0.323675</v>
      </c>
      <c r="P110" s="23"/>
      <c r="Q110" s="23"/>
      <c r="R110" s="186" t="s">
        <v>166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71"/>
      <c r="C111" s="73"/>
      <c r="D111" s="210"/>
      <c r="E111" s="23"/>
      <c r="F111" s="23"/>
      <c r="G111" s="188" t="s">
        <v>401</v>
      </c>
      <c r="H111" s="76" t="s">
        <v>450</v>
      </c>
      <c r="I111" s="84">
        <f>3000/1.07</f>
        <v>2803.738318</v>
      </c>
      <c r="J111" s="86">
        <v>750.0</v>
      </c>
      <c r="K111" s="87">
        <f t="shared" ref="K111:K114" si="39">I111-J111</f>
        <v>2053.738318</v>
      </c>
      <c r="L111" s="88">
        <f t="shared" ref="L111:L114" si="40">K111/I111</f>
        <v>0.7325</v>
      </c>
      <c r="M111" s="86">
        <v>750.0</v>
      </c>
      <c r="N111" s="87">
        <f t="shared" ref="N111:N114" si="41">I111-M111</f>
        <v>2053.738318</v>
      </c>
      <c r="O111" s="88">
        <f t="shared" si="38"/>
        <v>0.7325</v>
      </c>
      <c r="P111" s="23"/>
      <c r="Q111" s="23"/>
      <c r="R111" s="186" t="s">
        <v>222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71"/>
      <c r="C112" s="73"/>
      <c r="D112" s="210"/>
      <c r="E112" s="23"/>
      <c r="F112" s="23"/>
      <c r="G112" s="188" t="s">
        <v>405</v>
      </c>
      <c r="H112" s="76" t="s">
        <v>451</v>
      </c>
      <c r="I112" s="84">
        <f>7000/1.07</f>
        <v>6542.056075</v>
      </c>
      <c r="J112" s="86">
        <v>6920.0</v>
      </c>
      <c r="K112" s="87">
        <f t="shared" si="39"/>
        <v>-377.9439252</v>
      </c>
      <c r="L112" s="88">
        <f t="shared" si="40"/>
        <v>-0.05777142857</v>
      </c>
      <c r="M112" s="86">
        <v>6920.0</v>
      </c>
      <c r="N112" s="87">
        <f t="shared" si="41"/>
        <v>-377.9439252</v>
      </c>
      <c r="O112" s="88">
        <f t="shared" si="38"/>
        <v>-0.05777142857</v>
      </c>
      <c r="P112" s="23"/>
      <c r="Q112" s="23"/>
      <c r="R112" s="186" t="s">
        <v>166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71"/>
      <c r="C113" s="73"/>
      <c r="D113" s="210"/>
      <c r="E113" s="23"/>
      <c r="F113" s="23"/>
      <c r="G113" s="188" t="s">
        <v>403</v>
      </c>
      <c r="H113" s="76" t="s">
        <v>452</v>
      </c>
      <c r="I113" s="84">
        <f>6000/1.07</f>
        <v>5607.476636</v>
      </c>
      <c r="J113" s="86">
        <v>2890.0</v>
      </c>
      <c r="K113" s="87">
        <f t="shared" si="39"/>
        <v>2717.476636</v>
      </c>
      <c r="L113" s="88">
        <f t="shared" si="40"/>
        <v>0.4846166667</v>
      </c>
      <c r="M113" s="86">
        <v>2890.0</v>
      </c>
      <c r="N113" s="87">
        <f t="shared" si="41"/>
        <v>2717.476636</v>
      </c>
      <c r="O113" s="88">
        <f t="shared" si="38"/>
        <v>0.4846166667</v>
      </c>
      <c r="P113" s="23"/>
      <c r="Q113" s="23"/>
      <c r="R113" s="186" t="s">
        <v>293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71"/>
      <c r="C114" s="73"/>
      <c r="D114" s="210"/>
      <c r="E114" s="23"/>
      <c r="F114" s="23"/>
      <c r="G114" s="188" t="s">
        <v>405</v>
      </c>
      <c r="H114" s="76" t="s">
        <v>453</v>
      </c>
      <c r="I114" s="84">
        <f>3500/1.07</f>
        <v>3271.028037</v>
      </c>
      <c r="J114" s="86">
        <v>2189.0</v>
      </c>
      <c r="K114" s="87">
        <f t="shared" si="39"/>
        <v>1082.028037</v>
      </c>
      <c r="L114" s="88">
        <f t="shared" si="40"/>
        <v>0.3307914286</v>
      </c>
      <c r="M114" s="86">
        <v>2189.0</v>
      </c>
      <c r="N114" s="87">
        <f t="shared" si="41"/>
        <v>1082.028037</v>
      </c>
      <c r="O114" s="88">
        <f t="shared" si="38"/>
        <v>0.3307914286</v>
      </c>
      <c r="P114" s="23"/>
      <c r="Q114" s="23"/>
      <c r="R114" s="186" t="s">
        <v>166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71"/>
      <c r="C115" s="73"/>
      <c r="D115" s="210"/>
      <c r="E115" s="23"/>
      <c r="F115" s="23"/>
      <c r="G115" s="188"/>
      <c r="H115" s="62" t="s">
        <v>135</v>
      </c>
      <c r="I115" s="84"/>
      <c r="J115" s="86"/>
      <c r="K115" s="87"/>
      <c r="L115" s="74"/>
      <c r="M115" s="86"/>
      <c r="N115" s="87"/>
      <c r="O115" s="88"/>
      <c r="P115" s="23"/>
      <c r="Q115" s="23"/>
      <c r="R115" s="184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71"/>
      <c r="C116" s="73"/>
      <c r="D116" s="210"/>
      <c r="E116" s="23"/>
      <c r="F116" s="23"/>
      <c r="G116" s="188" t="s">
        <v>454</v>
      </c>
      <c r="H116" s="76" t="s">
        <v>455</v>
      </c>
      <c r="I116" s="84">
        <f>30000/1.07</f>
        <v>28037.38318</v>
      </c>
      <c r="J116" s="86">
        <v>12825.0</v>
      </c>
      <c r="K116" s="87">
        <f>I116-J116</f>
        <v>15212.38318</v>
      </c>
      <c r="L116" s="88">
        <f>K116/I116</f>
        <v>0.542575</v>
      </c>
      <c r="M116" s="86">
        <v>12825.0</v>
      </c>
      <c r="N116" s="87">
        <f>I116-M116</f>
        <v>15212.38318</v>
      </c>
      <c r="O116" s="88">
        <f>N116/I116</f>
        <v>0.542575</v>
      </c>
      <c r="P116" s="23"/>
      <c r="Q116" s="23"/>
      <c r="R116" s="186" t="s">
        <v>416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71"/>
      <c r="C117" s="73"/>
      <c r="D117" s="210"/>
      <c r="E117" s="23"/>
      <c r="F117" s="23"/>
      <c r="G117" s="105"/>
      <c r="H117" s="62" t="s">
        <v>456</v>
      </c>
      <c r="I117" s="84"/>
      <c r="J117" s="86"/>
      <c r="K117" s="87"/>
      <c r="L117" s="74"/>
      <c r="M117" s="86"/>
      <c r="N117" s="87"/>
      <c r="O117" s="88"/>
      <c r="P117" s="23"/>
      <c r="Q117" s="23"/>
      <c r="R117" s="184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71"/>
      <c r="C118" s="73"/>
      <c r="D118" s="210"/>
      <c r="E118" s="23"/>
      <c r="F118" s="23"/>
      <c r="G118" s="188" t="s">
        <v>420</v>
      </c>
      <c r="H118" s="76" t="s">
        <v>457</v>
      </c>
      <c r="I118" s="84">
        <f>10500/1.07</f>
        <v>9813.084112</v>
      </c>
      <c r="J118" s="86">
        <v>0.0</v>
      </c>
      <c r="K118" s="87">
        <f>I118-J118</f>
        <v>9813.084112</v>
      </c>
      <c r="L118" s="88">
        <f>K118/I118</f>
        <v>1</v>
      </c>
      <c r="M118" s="86">
        <v>0.0</v>
      </c>
      <c r="N118" s="87">
        <f>I118-M118</f>
        <v>9813.084112</v>
      </c>
      <c r="O118" s="88">
        <f>N118/I118</f>
        <v>1</v>
      </c>
      <c r="P118" s="23"/>
      <c r="Q118" s="23"/>
      <c r="R118" s="186" t="s">
        <v>458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71"/>
      <c r="C119" s="73"/>
      <c r="D119" s="210"/>
      <c r="E119" s="23"/>
      <c r="F119" s="23"/>
      <c r="G119" s="105"/>
      <c r="H119" s="62" t="s">
        <v>459</v>
      </c>
      <c r="I119" s="84"/>
      <c r="J119" s="87"/>
      <c r="K119" s="87"/>
      <c r="L119" s="74"/>
      <c r="M119" s="86"/>
      <c r="N119" s="87"/>
      <c r="O119" s="88"/>
      <c r="P119" s="23"/>
      <c r="Q119" s="23"/>
      <c r="R119" s="184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71"/>
      <c r="C120" s="73"/>
      <c r="D120" s="210"/>
      <c r="E120" s="23"/>
      <c r="F120" s="23"/>
      <c r="G120" s="105"/>
      <c r="H120" s="76" t="s">
        <v>460</v>
      </c>
      <c r="I120" s="84">
        <v>0.0</v>
      </c>
      <c r="J120" s="87"/>
      <c r="K120" s="87">
        <f t="shared" ref="K120:K121" si="42">I120-J120</f>
        <v>0</v>
      </c>
      <c r="L120" s="88" t="str">
        <f t="shared" ref="L120:L121" si="43">K120/I120</f>
        <v>#DIV/0!</v>
      </c>
      <c r="M120" s="86">
        <v>2000.0</v>
      </c>
      <c r="N120" s="87">
        <f t="shared" ref="N120:N121" si="44">I120-M120</f>
        <v>-2000</v>
      </c>
      <c r="O120" s="88" t="str">
        <f t="shared" ref="O120:O121" si="45">N120/I120</f>
        <v>#DIV/0!</v>
      </c>
      <c r="P120" s="101"/>
      <c r="Q120" s="101"/>
      <c r="R120" s="184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71"/>
      <c r="C121" s="73"/>
      <c r="D121" s="210"/>
      <c r="E121" s="101"/>
      <c r="F121" s="101"/>
      <c r="G121" s="188" t="s">
        <v>461</v>
      </c>
      <c r="H121" s="76" t="s">
        <v>462</v>
      </c>
      <c r="I121" s="84">
        <v>0.0</v>
      </c>
      <c r="J121" s="86">
        <v>900.0</v>
      </c>
      <c r="K121" s="87">
        <f t="shared" si="42"/>
        <v>-900</v>
      </c>
      <c r="L121" s="88" t="str">
        <f t="shared" si="43"/>
        <v>#DIV/0!</v>
      </c>
      <c r="M121" s="86">
        <v>0.0</v>
      </c>
      <c r="N121" s="87">
        <f t="shared" si="44"/>
        <v>0</v>
      </c>
      <c r="O121" s="88" t="str">
        <f t="shared" si="45"/>
        <v>#DIV/0!</v>
      </c>
      <c r="P121" s="59"/>
      <c r="Q121" s="105"/>
      <c r="R121" s="186" t="s">
        <v>463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71"/>
      <c r="C122" s="73"/>
      <c r="D122" s="210"/>
      <c r="E122" s="105"/>
      <c r="F122" s="105"/>
      <c r="G122" s="105"/>
      <c r="H122" s="76"/>
      <c r="I122" s="84"/>
      <c r="J122" s="87"/>
      <c r="K122" s="87"/>
      <c r="L122" s="74"/>
      <c r="M122" s="86"/>
      <c r="N122" s="87"/>
      <c r="O122" s="88"/>
      <c r="P122" s="59"/>
      <c r="Q122" s="105"/>
      <c r="R122" s="184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71"/>
      <c r="C123" s="73"/>
      <c r="D123" s="210"/>
      <c r="E123" s="105"/>
      <c r="F123" s="105"/>
      <c r="G123" s="105"/>
      <c r="H123" s="76"/>
      <c r="I123" s="84"/>
      <c r="J123" s="87"/>
      <c r="K123" s="87"/>
      <c r="L123" s="74"/>
      <c r="M123" s="86"/>
      <c r="N123" s="87"/>
      <c r="O123" s="88"/>
      <c r="P123" s="59"/>
      <c r="Q123" s="105"/>
      <c r="R123" s="184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71"/>
      <c r="C124" s="73"/>
      <c r="D124" s="210"/>
      <c r="E124" s="105"/>
      <c r="F124" s="105"/>
      <c r="G124" s="105"/>
      <c r="H124" s="76"/>
      <c r="I124" s="84"/>
      <c r="J124" s="87"/>
      <c r="K124" s="87"/>
      <c r="L124" s="74"/>
      <c r="M124" s="86"/>
      <c r="N124" s="87"/>
      <c r="O124" s="88"/>
      <c r="P124" s="59"/>
      <c r="Q124" s="105"/>
      <c r="R124" s="184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13" t="str">
        <f t="shared" ref="B125:C125" si="46">B107</f>
        <v>Origin Plug &amp; Play E22 Station</v>
      </c>
      <c r="C125" s="113" t="str">
        <f t="shared" si="46"/>
        <v>Room 1629</v>
      </c>
      <c r="D125" s="115">
        <f>SUM(D107:D124)</f>
        <v>0</v>
      </c>
      <c r="E125" s="121"/>
      <c r="F125" s="121"/>
      <c r="G125" s="121"/>
      <c r="H125" s="113" t="s">
        <v>95</v>
      </c>
      <c r="I125" s="118">
        <f t="shared" ref="I125:J125" si="47">SUM(I107:I124)</f>
        <v>93457.94393</v>
      </c>
      <c r="J125" s="118">
        <f t="shared" si="47"/>
        <v>36162.7</v>
      </c>
      <c r="K125" s="118">
        <f>I125-J125</f>
        <v>57295.24393</v>
      </c>
      <c r="L125" s="119">
        <f>K125/I125</f>
        <v>0.61305911</v>
      </c>
      <c r="M125" s="118">
        <f>SUM(M107:M124)</f>
        <v>37262.7</v>
      </c>
      <c r="N125" s="118">
        <f>I125-M125</f>
        <v>56195.24393</v>
      </c>
      <c r="O125" s="119">
        <f>N125/I125</f>
        <v>0.60128911</v>
      </c>
      <c r="P125" s="120"/>
      <c r="Q125" s="121"/>
      <c r="R125" s="12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22"/>
      <c r="B126" s="123"/>
      <c r="C126" s="124"/>
      <c r="D126" s="124"/>
      <c r="E126" s="125"/>
      <c r="F126" s="125"/>
      <c r="G126" s="125"/>
      <c r="H126" s="126"/>
      <c r="I126" s="127"/>
      <c r="J126" s="127"/>
      <c r="K126" s="127"/>
      <c r="L126" s="128"/>
      <c r="M126" s="127"/>
      <c r="N126" s="127"/>
      <c r="O126" s="128"/>
      <c r="P126" s="125"/>
      <c r="Q126" s="125"/>
      <c r="R126" s="125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</row>
    <row r="127">
      <c r="A127" s="1"/>
      <c r="B127" s="51" t="s">
        <v>390</v>
      </c>
      <c r="C127" s="53" t="s">
        <v>441</v>
      </c>
      <c r="D127" s="54" t="s">
        <v>442</v>
      </c>
      <c r="E127" s="59"/>
      <c r="F127" s="60"/>
      <c r="G127" s="60"/>
      <c r="H127" s="62" t="s">
        <v>43</v>
      </c>
      <c r="I127" s="63"/>
      <c r="J127" s="65"/>
      <c r="K127" s="63"/>
      <c r="L127" s="67"/>
      <c r="M127" s="65"/>
      <c r="N127" s="63"/>
      <c r="O127" s="67"/>
      <c r="P127" s="59"/>
      <c r="Q127" s="59"/>
      <c r="R127" s="184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71"/>
      <c r="C128" s="73"/>
      <c r="D128" s="53" t="s">
        <v>444</v>
      </c>
      <c r="E128" s="185" t="s">
        <v>394</v>
      </c>
      <c r="F128" s="185" t="s">
        <v>395</v>
      </c>
      <c r="G128" s="185" t="s">
        <v>464</v>
      </c>
      <c r="H128" s="76" t="s">
        <v>465</v>
      </c>
      <c r="I128" s="85">
        <f>58796.5/1.07</f>
        <v>54950</v>
      </c>
      <c r="J128" s="90">
        <v>27000.0</v>
      </c>
      <c r="K128" s="94">
        <f>I128-J128</f>
        <v>27950</v>
      </c>
      <c r="L128" s="96">
        <f>K128/I128</f>
        <v>0.508644222</v>
      </c>
      <c r="M128" s="90">
        <v>27000.0</v>
      </c>
      <c r="N128" s="94">
        <f>I128-M128</f>
        <v>27950</v>
      </c>
      <c r="O128" s="96">
        <f>N128/I128</f>
        <v>0.508644222</v>
      </c>
      <c r="P128" s="55" t="s">
        <v>76</v>
      </c>
      <c r="Q128" s="97">
        <v>46204.0</v>
      </c>
      <c r="R128" s="187" t="s">
        <v>82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71"/>
      <c r="C129" s="73"/>
      <c r="D129" s="53" t="s">
        <v>399</v>
      </c>
      <c r="E129" s="23"/>
      <c r="F129" s="23"/>
      <c r="G129" s="23"/>
      <c r="H129" s="76" t="s">
        <v>466</v>
      </c>
      <c r="I129" s="22"/>
      <c r="J129" s="23"/>
      <c r="K129" s="23"/>
      <c r="L129" s="23"/>
      <c r="M129" s="23"/>
      <c r="N129" s="23"/>
      <c r="O129" s="23"/>
      <c r="P129" s="23"/>
      <c r="Q129" s="23"/>
      <c r="R129" s="2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71"/>
      <c r="C130" s="73"/>
      <c r="D130" s="210"/>
      <c r="E130" s="23"/>
      <c r="F130" s="23"/>
      <c r="G130" s="23"/>
      <c r="H130" s="76" t="s">
        <v>467</v>
      </c>
      <c r="I130" s="22"/>
      <c r="J130" s="23"/>
      <c r="K130" s="23"/>
      <c r="L130" s="23"/>
      <c r="M130" s="23"/>
      <c r="N130" s="23"/>
      <c r="O130" s="23"/>
      <c r="P130" s="23"/>
      <c r="Q130" s="23"/>
      <c r="R130" s="2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71"/>
      <c r="C131" s="73"/>
      <c r="D131" s="210"/>
      <c r="E131" s="101"/>
      <c r="F131" s="101"/>
      <c r="G131" s="101"/>
      <c r="H131" s="76" t="s">
        <v>468</v>
      </c>
      <c r="I131" s="100"/>
      <c r="J131" s="101"/>
      <c r="K131" s="101"/>
      <c r="L131" s="101"/>
      <c r="M131" s="101"/>
      <c r="N131" s="101"/>
      <c r="O131" s="101"/>
      <c r="P131" s="101"/>
      <c r="Q131" s="101"/>
      <c r="R131" s="100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71"/>
      <c r="C132" s="73"/>
      <c r="D132" s="210"/>
      <c r="E132" s="188"/>
      <c r="F132" s="188"/>
      <c r="G132" s="188"/>
      <c r="H132" s="76"/>
      <c r="I132" s="84"/>
      <c r="J132" s="86"/>
      <c r="K132" s="87"/>
      <c r="L132" s="88"/>
      <c r="M132" s="86"/>
      <c r="N132" s="87"/>
      <c r="O132" s="88"/>
      <c r="P132" s="129"/>
      <c r="Q132" s="130"/>
      <c r="R132" s="184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71"/>
      <c r="C133" s="73"/>
      <c r="D133" s="210"/>
      <c r="E133" s="188"/>
      <c r="F133" s="188"/>
      <c r="G133" s="188"/>
      <c r="H133" s="76"/>
      <c r="I133" s="84"/>
      <c r="J133" s="86"/>
      <c r="K133" s="87"/>
      <c r="L133" s="88"/>
      <c r="M133" s="86"/>
      <c r="N133" s="87"/>
      <c r="O133" s="88"/>
      <c r="P133" s="129"/>
      <c r="Q133" s="130"/>
      <c r="R133" s="184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71"/>
      <c r="C134" s="73"/>
      <c r="D134" s="210"/>
      <c r="E134" s="188"/>
      <c r="F134" s="188"/>
      <c r="G134" s="188"/>
      <c r="H134" s="76"/>
      <c r="I134" s="84"/>
      <c r="J134" s="86"/>
      <c r="K134" s="87"/>
      <c r="L134" s="88"/>
      <c r="M134" s="86"/>
      <c r="N134" s="87"/>
      <c r="O134" s="88"/>
      <c r="P134" s="129"/>
      <c r="Q134" s="130"/>
      <c r="R134" s="184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71"/>
      <c r="C135" s="73"/>
      <c r="D135" s="210"/>
      <c r="E135" s="188"/>
      <c r="F135" s="188"/>
      <c r="G135" s="188"/>
      <c r="H135" s="76"/>
      <c r="I135" s="84"/>
      <c r="J135" s="86"/>
      <c r="K135" s="87"/>
      <c r="L135" s="88"/>
      <c r="M135" s="86"/>
      <c r="N135" s="87"/>
      <c r="O135" s="88"/>
      <c r="P135" s="129"/>
      <c r="Q135" s="130"/>
      <c r="R135" s="184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71"/>
      <c r="C136" s="73"/>
      <c r="D136" s="210"/>
      <c r="E136" s="105"/>
      <c r="F136" s="105"/>
      <c r="G136" s="105"/>
      <c r="H136" s="76"/>
      <c r="I136" s="84"/>
      <c r="J136" s="87"/>
      <c r="K136" s="87"/>
      <c r="L136" s="74"/>
      <c r="M136" s="86"/>
      <c r="N136" s="87"/>
      <c r="O136" s="88"/>
      <c r="P136" s="59"/>
      <c r="Q136" s="105"/>
      <c r="R136" s="184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13" t="str">
        <f t="shared" ref="B137:C137" si="48">B127</f>
        <v>Origin Plug &amp; Play E22 Station</v>
      </c>
      <c r="C137" s="113" t="str">
        <f t="shared" si="48"/>
        <v>Room 1629</v>
      </c>
      <c r="D137" s="115">
        <f>SUM(D127:D136)</f>
        <v>0</v>
      </c>
      <c r="E137" s="121"/>
      <c r="F137" s="121"/>
      <c r="G137" s="121"/>
      <c r="H137" s="113" t="s">
        <v>95</v>
      </c>
      <c r="I137" s="118">
        <f t="shared" ref="I137:J137" si="49">SUM(I127:I136)</f>
        <v>54950</v>
      </c>
      <c r="J137" s="118">
        <f t="shared" si="49"/>
        <v>27000</v>
      </c>
      <c r="K137" s="118">
        <f>I137-J137</f>
        <v>27950</v>
      </c>
      <c r="L137" s="119">
        <f>K137/I137</f>
        <v>0.508644222</v>
      </c>
      <c r="M137" s="118">
        <f>SUM(M127:M136)</f>
        <v>27000</v>
      </c>
      <c r="N137" s="118">
        <f>I137-M137</f>
        <v>27950</v>
      </c>
      <c r="O137" s="119">
        <f>N137/I137</f>
        <v>0.508644222</v>
      </c>
      <c r="P137" s="120"/>
      <c r="Q137" s="121"/>
      <c r="R137" s="12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22"/>
      <c r="B138" s="123"/>
      <c r="C138" s="124"/>
      <c r="D138" s="124"/>
      <c r="E138" s="125"/>
      <c r="F138" s="125"/>
      <c r="G138" s="125"/>
      <c r="H138" s="126"/>
      <c r="I138" s="127"/>
      <c r="J138" s="127"/>
      <c r="K138" s="127"/>
      <c r="L138" s="128"/>
      <c r="M138" s="127"/>
      <c r="N138" s="127"/>
      <c r="O138" s="128"/>
      <c r="P138" s="125"/>
      <c r="Q138" s="125"/>
      <c r="R138" s="125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</row>
    <row r="139">
      <c r="A139" s="1"/>
      <c r="B139" s="51" t="s">
        <v>390</v>
      </c>
      <c r="C139" s="53" t="s">
        <v>441</v>
      </c>
      <c r="D139" s="54" t="s">
        <v>442</v>
      </c>
      <c r="E139" s="59"/>
      <c r="F139" s="60"/>
      <c r="G139" s="60"/>
      <c r="H139" s="62" t="s">
        <v>348</v>
      </c>
      <c r="I139" s="63"/>
      <c r="J139" s="65"/>
      <c r="K139" s="63"/>
      <c r="L139" s="67"/>
      <c r="M139" s="65"/>
      <c r="N139" s="63"/>
      <c r="O139" s="67"/>
      <c r="P139" s="59"/>
      <c r="Q139" s="59"/>
      <c r="R139" s="184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71"/>
      <c r="C140" s="73"/>
      <c r="D140" s="53" t="s">
        <v>444</v>
      </c>
      <c r="E140" s="185" t="s">
        <v>394</v>
      </c>
      <c r="F140" s="185" t="s">
        <v>395</v>
      </c>
      <c r="G140" s="188" t="s">
        <v>428</v>
      </c>
      <c r="H140" s="76" t="s">
        <v>429</v>
      </c>
      <c r="I140" s="85">
        <f>9000/1.07</f>
        <v>8411.214953</v>
      </c>
      <c r="J140" s="90">
        <v>4000.0</v>
      </c>
      <c r="K140" s="94">
        <f>I140-J140-J142</f>
        <v>1701.214953</v>
      </c>
      <c r="L140" s="96">
        <f>K140/I140</f>
        <v>0.2022555556</v>
      </c>
      <c r="M140" s="90">
        <v>4000.0</v>
      </c>
      <c r="N140" s="94">
        <f>I140-SUM(M140:M142)</f>
        <v>1701.214953</v>
      </c>
      <c r="O140" s="96">
        <f>N140/I140</f>
        <v>0.2022555556</v>
      </c>
      <c r="P140" s="55" t="s">
        <v>76</v>
      </c>
      <c r="Q140" s="97">
        <v>46204.0</v>
      </c>
      <c r="R140" s="186" t="s">
        <v>349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71"/>
      <c r="C141" s="73"/>
      <c r="D141" s="53" t="s">
        <v>399</v>
      </c>
      <c r="E141" s="23"/>
      <c r="F141" s="23"/>
      <c r="G141" s="188"/>
      <c r="H141" s="62" t="s">
        <v>430</v>
      </c>
      <c r="I141" s="22"/>
      <c r="J141" s="90"/>
      <c r="K141" s="23"/>
      <c r="L141" s="23"/>
      <c r="M141" s="90"/>
      <c r="N141" s="23"/>
      <c r="O141" s="23"/>
      <c r="P141" s="23"/>
      <c r="Q141" s="23"/>
      <c r="R141" s="186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71"/>
      <c r="C142" s="73"/>
      <c r="D142" s="53"/>
      <c r="E142" s="101"/>
      <c r="F142" s="101"/>
      <c r="G142" s="188" t="s">
        <v>431</v>
      </c>
      <c r="H142" s="76" t="s">
        <v>432</v>
      </c>
      <c r="I142" s="100"/>
      <c r="J142" s="86">
        <v>2710.0</v>
      </c>
      <c r="K142" s="101"/>
      <c r="L142" s="101"/>
      <c r="M142" s="86">
        <v>2710.0</v>
      </c>
      <c r="N142" s="23"/>
      <c r="O142" s="23"/>
      <c r="P142" s="101"/>
      <c r="Q142" s="101"/>
      <c r="R142" s="186" t="s">
        <v>433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71"/>
      <c r="C143" s="73"/>
      <c r="D143" s="210"/>
      <c r="E143" s="188"/>
      <c r="F143" s="188"/>
      <c r="G143" s="188"/>
      <c r="H143" s="76"/>
      <c r="I143" s="84"/>
      <c r="J143" s="86"/>
      <c r="K143" s="87"/>
      <c r="L143" s="88"/>
      <c r="M143" s="86"/>
      <c r="N143" s="87"/>
      <c r="O143" s="88"/>
      <c r="P143" s="129"/>
      <c r="Q143" s="130"/>
      <c r="R143" s="184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71"/>
      <c r="C144" s="73"/>
      <c r="D144" s="210"/>
      <c r="E144" s="188"/>
      <c r="F144" s="188"/>
      <c r="G144" s="188"/>
      <c r="H144" s="76"/>
      <c r="I144" s="84"/>
      <c r="J144" s="86"/>
      <c r="K144" s="87"/>
      <c r="L144" s="88"/>
      <c r="M144" s="86"/>
      <c r="N144" s="87"/>
      <c r="O144" s="88"/>
      <c r="P144" s="129"/>
      <c r="Q144" s="130"/>
      <c r="R144" s="184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71"/>
      <c r="C145" s="73"/>
      <c r="D145" s="210"/>
      <c r="E145" s="188"/>
      <c r="F145" s="188"/>
      <c r="G145" s="188"/>
      <c r="H145" s="76"/>
      <c r="I145" s="84"/>
      <c r="J145" s="86"/>
      <c r="K145" s="87"/>
      <c r="L145" s="88"/>
      <c r="M145" s="86"/>
      <c r="N145" s="87"/>
      <c r="O145" s="88"/>
      <c r="P145" s="129"/>
      <c r="Q145" s="130"/>
      <c r="R145" s="184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71"/>
      <c r="C146" s="73"/>
      <c r="D146" s="210"/>
      <c r="E146" s="188"/>
      <c r="F146" s="188"/>
      <c r="G146" s="188"/>
      <c r="H146" s="76"/>
      <c r="I146" s="84"/>
      <c r="J146" s="86"/>
      <c r="K146" s="87"/>
      <c r="L146" s="88"/>
      <c r="M146" s="86"/>
      <c r="N146" s="87"/>
      <c r="O146" s="88"/>
      <c r="P146" s="129"/>
      <c r="Q146" s="130"/>
      <c r="R146" s="184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71"/>
      <c r="C147" s="73"/>
      <c r="D147" s="210"/>
      <c r="E147" s="188"/>
      <c r="F147" s="188"/>
      <c r="G147" s="188"/>
      <c r="H147" s="76"/>
      <c r="I147" s="84"/>
      <c r="J147" s="86"/>
      <c r="K147" s="87"/>
      <c r="L147" s="88"/>
      <c r="M147" s="86"/>
      <c r="N147" s="87"/>
      <c r="O147" s="88"/>
      <c r="P147" s="129"/>
      <c r="Q147" s="130"/>
      <c r="R147" s="184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71"/>
      <c r="C148" s="73"/>
      <c r="D148" s="210"/>
      <c r="E148" s="188"/>
      <c r="F148" s="188"/>
      <c r="G148" s="188"/>
      <c r="H148" s="76"/>
      <c r="I148" s="84"/>
      <c r="J148" s="86"/>
      <c r="K148" s="87"/>
      <c r="L148" s="88"/>
      <c r="M148" s="86"/>
      <c r="N148" s="87"/>
      <c r="O148" s="88"/>
      <c r="P148" s="129"/>
      <c r="Q148" s="130"/>
      <c r="R148" s="184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71"/>
      <c r="C149" s="73"/>
      <c r="D149" s="210"/>
      <c r="E149" s="105"/>
      <c r="F149" s="105"/>
      <c r="G149" s="105"/>
      <c r="H149" s="76"/>
      <c r="I149" s="84"/>
      <c r="J149" s="87"/>
      <c r="K149" s="87"/>
      <c r="L149" s="74"/>
      <c r="M149" s="86"/>
      <c r="N149" s="87"/>
      <c r="O149" s="88"/>
      <c r="P149" s="59"/>
      <c r="Q149" s="105"/>
      <c r="R149" s="184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13" t="str">
        <f t="shared" ref="B150:C150" si="50">B139</f>
        <v>Origin Plug &amp; Play E22 Station</v>
      </c>
      <c r="C150" s="113" t="str">
        <f t="shared" si="50"/>
        <v>Room 1629</v>
      </c>
      <c r="D150" s="115">
        <f>SUM(D139:D149)</f>
        <v>0</v>
      </c>
      <c r="E150" s="121"/>
      <c r="F150" s="121"/>
      <c r="G150" s="121"/>
      <c r="H150" s="113" t="s">
        <v>95</v>
      </c>
      <c r="I150" s="118">
        <f t="shared" ref="I150:J150" si="51">SUM(I139:I149)</f>
        <v>8411.214953</v>
      </c>
      <c r="J150" s="118">
        <f t="shared" si="51"/>
        <v>6710</v>
      </c>
      <c r="K150" s="118">
        <f>I150-J150</f>
        <v>1701.214953</v>
      </c>
      <c r="L150" s="119">
        <f>K150/I150</f>
        <v>0.2022555556</v>
      </c>
      <c r="M150" s="118">
        <f>SUM(M139:M149)</f>
        <v>6710</v>
      </c>
      <c r="N150" s="118">
        <f>I150-M150</f>
        <v>1701.214953</v>
      </c>
      <c r="O150" s="119">
        <f>N150/I150</f>
        <v>0.2022555556</v>
      </c>
      <c r="P150" s="120"/>
      <c r="Q150" s="121"/>
      <c r="R150" s="12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22"/>
      <c r="B151" s="123"/>
      <c r="C151" s="124"/>
      <c r="D151" s="124"/>
      <c r="E151" s="125"/>
      <c r="F151" s="125"/>
      <c r="G151" s="125"/>
      <c r="H151" s="126"/>
      <c r="I151" s="127"/>
      <c r="J151" s="127"/>
      <c r="K151" s="127"/>
      <c r="L151" s="128"/>
      <c r="M151" s="127"/>
      <c r="N151" s="127"/>
      <c r="O151" s="128"/>
      <c r="P151" s="125"/>
      <c r="Q151" s="125"/>
      <c r="R151" s="125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</row>
    <row r="152">
      <c r="A152" s="1"/>
      <c r="B152" s="51" t="s">
        <v>390</v>
      </c>
      <c r="C152" s="53" t="s">
        <v>469</v>
      </c>
      <c r="D152" s="54" t="s">
        <v>392</v>
      </c>
      <c r="E152" s="55" t="s">
        <v>394</v>
      </c>
      <c r="F152" s="58" t="s">
        <v>395</v>
      </c>
      <c r="G152" s="60"/>
      <c r="H152" s="62" t="s">
        <v>48</v>
      </c>
      <c r="I152" s="63"/>
      <c r="J152" s="65"/>
      <c r="K152" s="63"/>
      <c r="L152" s="67"/>
      <c r="M152" s="65"/>
      <c r="N152" s="63"/>
      <c r="O152" s="67"/>
      <c r="P152" s="55" t="s">
        <v>76</v>
      </c>
      <c r="Q152" s="97">
        <v>46204.0</v>
      </c>
      <c r="R152" s="59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71"/>
      <c r="C153" s="73"/>
      <c r="D153" s="53" t="s">
        <v>393</v>
      </c>
      <c r="E153" s="23"/>
      <c r="F153" s="23"/>
      <c r="G153" s="188" t="s">
        <v>470</v>
      </c>
      <c r="H153" s="76" t="s">
        <v>397</v>
      </c>
      <c r="I153" s="84">
        <f>33170/1.07</f>
        <v>31000</v>
      </c>
      <c r="J153" s="86">
        <v>27500.0</v>
      </c>
      <c r="K153" s="87">
        <f t="shared" ref="K153:K154" si="52">I153-J153</f>
        <v>3500</v>
      </c>
      <c r="L153" s="88">
        <f t="shared" ref="L153:L154" si="53">K153/I153</f>
        <v>0.1129032258</v>
      </c>
      <c r="M153" s="86">
        <v>27500.0</v>
      </c>
      <c r="N153" s="87">
        <f t="shared" ref="N153:N154" si="54">I153-M153</f>
        <v>3500</v>
      </c>
      <c r="O153" s="88">
        <f t="shared" ref="O153:O154" si="55">N153/I153</f>
        <v>0.1129032258</v>
      </c>
      <c r="P153" s="23"/>
      <c r="Q153" s="23"/>
      <c r="R153" s="186" t="s">
        <v>398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71"/>
      <c r="C154" s="73"/>
      <c r="D154" s="53" t="s">
        <v>399</v>
      </c>
      <c r="E154" s="23"/>
      <c r="F154" s="23"/>
      <c r="G154" s="188" t="s">
        <v>471</v>
      </c>
      <c r="H154" s="76" t="s">
        <v>437</v>
      </c>
      <c r="I154" s="84">
        <f>10000/1.07</f>
        <v>9345.794393</v>
      </c>
      <c r="J154" s="86">
        <v>5500.0</v>
      </c>
      <c r="K154" s="87">
        <f t="shared" si="52"/>
        <v>3845.794393</v>
      </c>
      <c r="L154" s="88">
        <f t="shared" si="53"/>
        <v>0.4115</v>
      </c>
      <c r="M154" s="86">
        <v>5500.0</v>
      </c>
      <c r="N154" s="87">
        <f t="shared" si="54"/>
        <v>3845.794393</v>
      </c>
      <c r="O154" s="88">
        <f t="shared" si="55"/>
        <v>0.4115</v>
      </c>
      <c r="P154" s="23"/>
      <c r="Q154" s="23"/>
      <c r="R154" s="186" t="s">
        <v>151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71"/>
      <c r="C155" s="73"/>
      <c r="D155" s="53"/>
      <c r="E155" s="23"/>
      <c r="F155" s="23"/>
      <c r="G155" s="188"/>
      <c r="H155" s="62" t="s">
        <v>400</v>
      </c>
      <c r="I155" s="84"/>
      <c r="J155" s="87"/>
      <c r="K155" s="87"/>
      <c r="L155" s="88"/>
      <c r="M155" s="86"/>
      <c r="N155" s="87"/>
      <c r="O155" s="88"/>
      <c r="P155" s="23"/>
      <c r="Q155" s="23"/>
      <c r="R155" s="184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71"/>
      <c r="C156" s="73"/>
      <c r="D156" s="210"/>
      <c r="E156" s="23"/>
      <c r="F156" s="23"/>
      <c r="G156" s="188" t="s">
        <v>401</v>
      </c>
      <c r="H156" s="76" t="s">
        <v>402</v>
      </c>
      <c r="I156" s="84">
        <f>12000/1.07</f>
        <v>11214.95327</v>
      </c>
      <c r="J156" s="86">
        <v>7500.0</v>
      </c>
      <c r="K156" s="87">
        <f t="shared" ref="K156:K163" si="56">I156-J156</f>
        <v>3714.953271</v>
      </c>
      <c r="L156" s="88">
        <f t="shared" ref="L156:L163" si="57">K156/I156</f>
        <v>0.33125</v>
      </c>
      <c r="M156" s="86">
        <v>7500.0</v>
      </c>
      <c r="N156" s="87">
        <f t="shared" ref="N156:N163" si="58">I156-M156</f>
        <v>3714.953271</v>
      </c>
      <c r="O156" s="88">
        <f t="shared" ref="O156:O163" si="59">N156/I156</f>
        <v>0.33125</v>
      </c>
      <c r="P156" s="23"/>
      <c r="Q156" s="23"/>
      <c r="R156" s="186" t="s">
        <v>222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71"/>
      <c r="C157" s="73"/>
      <c r="D157" s="210"/>
      <c r="E157" s="23"/>
      <c r="F157" s="23"/>
      <c r="G157" s="188" t="s">
        <v>403</v>
      </c>
      <c r="H157" s="76" t="s">
        <v>404</v>
      </c>
      <c r="I157" s="84">
        <f t="shared" ref="I157:I158" si="60">7000/1.07</f>
        <v>6542.056075</v>
      </c>
      <c r="J157" s="86">
        <v>3071.2</v>
      </c>
      <c r="K157" s="87">
        <f t="shared" si="56"/>
        <v>3470.856075</v>
      </c>
      <c r="L157" s="88">
        <f t="shared" si="57"/>
        <v>0.5305451429</v>
      </c>
      <c r="M157" s="86">
        <v>3071.2</v>
      </c>
      <c r="N157" s="87">
        <f t="shared" si="58"/>
        <v>3470.856075</v>
      </c>
      <c r="O157" s="88">
        <f t="shared" si="59"/>
        <v>0.5305451429</v>
      </c>
      <c r="P157" s="23"/>
      <c r="Q157" s="23"/>
      <c r="R157" s="186" t="s">
        <v>293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71"/>
      <c r="C158" s="73"/>
      <c r="D158" s="210"/>
      <c r="E158" s="23"/>
      <c r="F158" s="23"/>
      <c r="G158" s="188" t="s">
        <v>405</v>
      </c>
      <c r="H158" s="76" t="s">
        <v>406</v>
      </c>
      <c r="I158" s="84">
        <f t="shared" si="60"/>
        <v>6542.056075</v>
      </c>
      <c r="J158" s="86">
        <v>2117.5</v>
      </c>
      <c r="K158" s="87">
        <f t="shared" si="56"/>
        <v>4424.556075</v>
      </c>
      <c r="L158" s="88">
        <f t="shared" si="57"/>
        <v>0.676325</v>
      </c>
      <c r="M158" s="86">
        <v>2117.5</v>
      </c>
      <c r="N158" s="87">
        <f t="shared" si="58"/>
        <v>4424.556075</v>
      </c>
      <c r="O158" s="88">
        <f t="shared" si="59"/>
        <v>0.676325</v>
      </c>
      <c r="P158" s="23"/>
      <c r="Q158" s="23"/>
      <c r="R158" s="186" t="s">
        <v>166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71"/>
      <c r="C159" s="73"/>
      <c r="D159" s="210"/>
      <c r="E159" s="23"/>
      <c r="F159" s="23"/>
      <c r="G159" s="188" t="s">
        <v>401</v>
      </c>
      <c r="H159" s="76" t="s">
        <v>407</v>
      </c>
      <c r="I159" s="84">
        <f>3000/1.07</f>
        <v>2803.738318</v>
      </c>
      <c r="J159" s="86">
        <v>750.0</v>
      </c>
      <c r="K159" s="87">
        <f t="shared" si="56"/>
        <v>2053.738318</v>
      </c>
      <c r="L159" s="88">
        <f t="shared" si="57"/>
        <v>0.7325</v>
      </c>
      <c r="M159" s="86">
        <v>750.0</v>
      </c>
      <c r="N159" s="87">
        <f t="shared" si="58"/>
        <v>2053.738318</v>
      </c>
      <c r="O159" s="88">
        <f t="shared" si="59"/>
        <v>0.7325</v>
      </c>
      <c r="P159" s="23"/>
      <c r="Q159" s="23"/>
      <c r="R159" s="186" t="s">
        <v>222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71"/>
      <c r="C160" s="73"/>
      <c r="D160" s="210"/>
      <c r="E160" s="23"/>
      <c r="F160" s="23"/>
      <c r="G160" s="188" t="s">
        <v>408</v>
      </c>
      <c r="H160" s="76" t="s">
        <v>409</v>
      </c>
      <c r="I160" s="84">
        <f>6000/1.07</f>
        <v>5607.476636</v>
      </c>
      <c r="J160" s="86">
        <v>1267.0</v>
      </c>
      <c r="K160" s="87">
        <f t="shared" si="56"/>
        <v>4340.476636</v>
      </c>
      <c r="L160" s="88">
        <f t="shared" si="57"/>
        <v>0.7740516667</v>
      </c>
      <c r="M160" s="86">
        <v>1267.0</v>
      </c>
      <c r="N160" s="87">
        <f t="shared" si="58"/>
        <v>4340.476636</v>
      </c>
      <c r="O160" s="88">
        <f t="shared" si="59"/>
        <v>0.7740516667</v>
      </c>
      <c r="P160" s="23"/>
      <c r="Q160" s="23"/>
      <c r="R160" s="186" t="s">
        <v>410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71"/>
      <c r="C161" s="73"/>
      <c r="D161" s="210"/>
      <c r="E161" s="23"/>
      <c r="F161" s="23"/>
      <c r="G161" s="188" t="s">
        <v>405</v>
      </c>
      <c r="H161" s="76" t="s">
        <v>411</v>
      </c>
      <c r="I161" s="84">
        <f>6500/1.07</f>
        <v>6074.766355</v>
      </c>
      <c r="J161" s="86">
        <v>3124.0</v>
      </c>
      <c r="K161" s="87">
        <f t="shared" si="56"/>
        <v>2950.766355</v>
      </c>
      <c r="L161" s="88">
        <f t="shared" si="57"/>
        <v>0.4857415385</v>
      </c>
      <c r="M161" s="86">
        <v>3124.0</v>
      </c>
      <c r="N161" s="87">
        <f t="shared" si="58"/>
        <v>2950.766355</v>
      </c>
      <c r="O161" s="88">
        <f t="shared" si="59"/>
        <v>0.4857415385</v>
      </c>
      <c r="P161" s="23"/>
      <c r="Q161" s="23"/>
      <c r="R161" s="186" t="s">
        <v>166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71"/>
      <c r="C162" s="73"/>
      <c r="D162" s="210"/>
      <c r="E162" s="23"/>
      <c r="F162" s="23"/>
      <c r="G162" s="188" t="s">
        <v>403</v>
      </c>
      <c r="H162" s="76" t="s">
        <v>412</v>
      </c>
      <c r="I162" s="84">
        <f>6000/1.07</f>
        <v>5607.476636</v>
      </c>
      <c r="J162" s="86">
        <v>2590.0</v>
      </c>
      <c r="K162" s="87">
        <f t="shared" si="56"/>
        <v>3017.476636</v>
      </c>
      <c r="L162" s="88">
        <f t="shared" si="57"/>
        <v>0.5381166667</v>
      </c>
      <c r="M162" s="86">
        <v>2590.0</v>
      </c>
      <c r="N162" s="87">
        <f t="shared" si="58"/>
        <v>3017.476636</v>
      </c>
      <c r="O162" s="88">
        <f t="shared" si="59"/>
        <v>0.5381166667</v>
      </c>
      <c r="P162" s="23"/>
      <c r="Q162" s="23"/>
      <c r="R162" s="186" t="s">
        <v>293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71"/>
      <c r="C163" s="73"/>
      <c r="D163" s="210"/>
      <c r="E163" s="23"/>
      <c r="F163" s="23"/>
      <c r="G163" s="188" t="s">
        <v>405</v>
      </c>
      <c r="H163" s="76" t="s">
        <v>413</v>
      </c>
      <c r="I163" s="84">
        <f>5000/1.07</f>
        <v>4672.897196</v>
      </c>
      <c r="J163" s="86">
        <v>2189.0</v>
      </c>
      <c r="K163" s="87">
        <f t="shared" si="56"/>
        <v>2483.897196</v>
      </c>
      <c r="L163" s="88">
        <f t="shared" si="57"/>
        <v>0.531554</v>
      </c>
      <c r="M163" s="86">
        <v>2189.0</v>
      </c>
      <c r="N163" s="87">
        <f t="shared" si="58"/>
        <v>2483.897196</v>
      </c>
      <c r="O163" s="88">
        <f t="shared" si="59"/>
        <v>0.531554</v>
      </c>
      <c r="P163" s="23"/>
      <c r="Q163" s="23"/>
      <c r="R163" s="186" t="s">
        <v>166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71"/>
      <c r="C164" s="73"/>
      <c r="D164" s="210"/>
      <c r="E164" s="23"/>
      <c r="F164" s="58"/>
      <c r="G164" s="188"/>
      <c r="H164" s="62" t="s">
        <v>192</v>
      </c>
      <c r="I164" s="84"/>
      <c r="J164" s="87"/>
      <c r="K164" s="87"/>
      <c r="L164" s="74"/>
      <c r="M164" s="86"/>
      <c r="N164" s="87"/>
      <c r="O164" s="88"/>
      <c r="P164" s="23"/>
      <c r="Q164" s="23"/>
      <c r="R164" s="184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71"/>
      <c r="C165" s="73"/>
      <c r="D165" s="210"/>
      <c r="E165" s="23"/>
      <c r="F165" s="58" t="s">
        <v>472</v>
      </c>
      <c r="G165" s="188" t="s">
        <v>473</v>
      </c>
      <c r="H165" s="76" t="s">
        <v>415</v>
      </c>
      <c r="I165" s="84">
        <f>30330/1.07</f>
        <v>28345.79439</v>
      </c>
      <c r="J165" s="87">
        <f>10355+4200</f>
        <v>14555</v>
      </c>
      <c r="K165" s="87">
        <f>I165-J165</f>
        <v>13790.79439</v>
      </c>
      <c r="L165" s="88">
        <f>K165/I165</f>
        <v>0.4865199472</v>
      </c>
      <c r="M165" s="86">
        <v>8000.0</v>
      </c>
      <c r="N165" s="87">
        <f>I165-M165</f>
        <v>20345.79439</v>
      </c>
      <c r="O165" s="88">
        <f>N165/I165</f>
        <v>0.7177711836</v>
      </c>
      <c r="P165" s="23"/>
      <c r="Q165" s="23"/>
      <c r="R165" s="186" t="s">
        <v>416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71"/>
      <c r="C166" s="73"/>
      <c r="D166" s="210"/>
      <c r="E166" s="23"/>
      <c r="F166" s="58"/>
      <c r="G166" s="105"/>
      <c r="H166" s="62" t="s">
        <v>417</v>
      </c>
      <c r="I166" s="84"/>
      <c r="J166" s="87"/>
      <c r="K166" s="87"/>
      <c r="L166" s="74"/>
      <c r="M166" s="86"/>
      <c r="N166" s="87"/>
      <c r="O166" s="88"/>
      <c r="P166" s="23"/>
      <c r="Q166" s="23"/>
      <c r="R166" s="184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71"/>
      <c r="C167" s="73"/>
      <c r="D167" s="210"/>
      <c r="E167" s="23"/>
      <c r="F167" s="58" t="s">
        <v>395</v>
      </c>
      <c r="G167" s="188" t="s">
        <v>418</v>
      </c>
      <c r="H167" s="76" t="s">
        <v>419</v>
      </c>
      <c r="I167" s="84">
        <f>2000/1.07</f>
        <v>1869.158879</v>
      </c>
      <c r="J167" s="86">
        <v>0.0</v>
      </c>
      <c r="K167" s="87">
        <f t="shared" ref="K167:K170" si="61">I167-J167</f>
        <v>1869.158879</v>
      </c>
      <c r="L167" s="88">
        <f t="shared" ref="L167:L170" si="62">K167/I167</f>
        <v>1</v>
      </c>
      <c r="M167" s="86">
        <v>0.0</v>
      </c>
      <c r="N167" s="87">
        <f t="shared" ref="N167:N170" si="63">I167-M167</f>
        <v>1869.158879</v>
      </c>
      <c r="O167" s="88">
        <f t="shared" ref="O167:O170" si="64">N167/I167</f>
        <v>1</v>
      </c>
      <c r="P167" s="23"/>
      <c r="Q167" s="23"/>
      <c r="R167" s="184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71"/>
      <c r="C168" s="73"/>
      <c r="D168" s="210"/>
      <c r="E168" s="23"/>
      <c r="F168" s="23"/>
      <c r="G168" s="188" t="s">
        <v>420</v>
      </c>
      <c r="H168" s="76" t="s">
        <v>421</v>
      </c>
      <c r="I168" s="84">
        <f>11000/1.07</f>
        <v>10280.37383</v>
      </c>
      <c r="J168" s="86">
        <v>0.0</v>
      </c>
      <c r="K168" s="87">
        <f t="shared" si="61"/>
        <v>10280.37383</v>
      </c>
      <c r="L168" s="88">
        <f t="shared" si="62"/>
        <v>1</v>
      </c>
      <c r="M168" s="86">
        <v>0.0</v>
      </c>
      <c r="N168" s="87">
        <f t="shared" si="63"/>
        <v>10280.37383</v>
      </c>
      <c r="O168" s="88">
        <f t="shared" si="64"/>
        <v>1</v>
      </c>
      <c r="P168" s="23"/>
      <c r="Q168" s="23"/>
      <c r="R168" s="184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71"/>
      <c r="C169" s="73"/>
      <c r="D169" s="210"/>
      <c r="E169" s="23"/>
      <c r="F169" s="23"/>
      <c r="G169" s="188" t="s">
        <v>420</v>
      </c>
      <c r="H169" s="76" t="s">
        <v>422</v>
      </c>
      <c r="I169" s="84">
        <f>8000/1.07</f>
        <v>7476.635514</v>
      </c>
      <c r="J169" s="86">
        <v>0.0</v>
      </c>
      <c r="K169" s="87">
        <f t="shared" si="61"/>
        <v>7476.635514</v>
      </c>
      <c r="L169" s="88">
        <f t="shared" si="62"/>
        <v>1</v>
      </c>
      <c r="M169" s="86">
        <v>0.0</v>
      </c>
      <c r="N169" s="87">
        <f t="shared" si="63"/>
        <v>7476.635514</v>
      </c>
      <c r="O169" s="88">
        <f t="shared" si="64"/>
        <v>1</v>
      </c>
      <c r="P169" s="23"/>
      <c r="Q169" s="23"/>
      <c r="R169" s="184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71"/>
      <c r="C170" s="73"/>
      <c r="D170" s="210"/>
      <c r="E170" s="23"/>
      <c r="F170" s="23"/>
      <c r="G170" s="188" t="s">
        <v>408</v>
      </c>
      <c r="H170" s="76" t="s">
        <v>423</v>
      </c>
      <c r="I170" s="84">
        <f>3000/1.07</f>
        <v>2803.738318</v>
      </c>
      <c r="J170" s="87">
        <f>1543/1.07</f>
        <v>1442.056075</v>
      </c>
      <c r="K170" s="87">
        <f t="shared" si="61"/>
        <v>1361.682243</v>
      </c>
      <c r="L170" s="88">
        <f t="shared" si="62"/>
        <v>0.4856666667</v>
      </c>
      <c r="M170" s="86">
        <v>1543.0</v>
      </c>
      <c r="N170" s="87">
        <f t="shared" si="63"/>
        <v>1260.738318</v>
      </c>
      <c r="O170" s="88">
        <f t="shared" si="64"/>
        <v>0.4496633333</v>
      </c>
      <c r="P170" s="23"/>
      <c r="Q170" s="23"/>
      <c r="R170" s="186" t="s">
        <v>410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71"/>
      <c r="C171" s="73"/>
      <c r="D171" s="210"/>
      <c r="E171" s="23"/>
      <c r="F171" s="23"/>
      <c r="G171" s="105"/>
      <c r="H171" s="62" t="s">
        <v>424</v>
      </c>
      <c r="I171" s="84"/>
      <c r="J171" s="87"/>
      <c r="K171" s="87"/>
      <c r="L171" s="74"/>
      <c r="M171" s="86"/>
      <c r="N171" s="87"/>
      <c r="O171" s="88"/>
      <c r="P171" s="23"/>
      <c r="Q171" s="23"/>
      <c r="R171" s="184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71"/>
      <c r="C172" s="73"/>
      <c r="D172" s="210"/>
      <c r="E172" s="101"/>
      <c r="F172" s="101"/>
      <c r="G172" s="105"/>
      <c r="H172" s="76" t="s">
        <v>425</v>
      </c>
      <c r="I172" s="84">
        <v>0.0</v>
      </c>
      <c r="J172" s="87"/>
      <c r="K172" s="87"/>
      <c r="L172" s="74"/>
      <c r="M172" s="86">
        <v>2000.0</v>
      </c>
      <c r="N172" s="87">
        <f>I172-M172</f>
        <v>-2000</v>
      </c>
      <c r="O172" s="88" t="str">
        <f>N172/I172</f>
        <v>#DIV/0!</v>
      </c>
      <c r="P172" s="101"/>
      <c r="Q172" s="101"/>
      <c r="R172" s="184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71"/>
      <c r="C173" s="73"/>
      <c r="D173" s="210"/>
      <c r="E173" s="105"/>
      <c r="F173" s="105"/>
      <c r="G173" s="105"/>
      <c r="H173" s="76"/>
      <c r="I173" s="84"/>
      <c r="J173" s="87"/>
      <c r="K173" s="87"/>
      <c r="L173" s="74"/>
      <c r="M173" s="86"/>
      <c r="N173" s="87"/>
      <c r="O173" s="88"/>
      <c r="P173" s="59"/>
      <c r="Q173" s="105"/>
      <c r="R173" s="184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71"/>
      <c r="C174" s="73"/>
      <c r="D174" s="210"/>
      <c r="E174" s="105"/>
      <c r="F174" s="105"/>
      <c r="G174" s="105"/>
      <c r="H174" s="76"/>
      <c r="I174" s="84"/>
      <c r="J174" s="87"/>
      <c r="K174" s="87"/>
      <c r="L174" s="74"/>
      <c r="M174" s="86"/>
      <c r="N174" s="87"/>
      <c r="O174" s="88"/>
      <c r="P174" s="59"/>
      <c r="Q174" s="105"/>
      <c r="R174" s="184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71"/>
      <c r="C175" s="73"/>
      <c r="D175" s="210"/>
      <c r="E175" s="105"/>
      <c r="F175" s="105"/>
      <c r="G175" s="105"/>
      <c r="H175" s="76"/>
      <c r="I175" s="84"/>
      <c r="J175" s="87"/>
      <c r="K175" s="87"/>
      <c r="L175" s="74"/>
      <c r="M175" s="86"/>
      <c r="N175" s="87"/>
      <c r="O175" s="88"/>
      <c r="P175" s="59"/>
      <c r="Q175" s="105"/>
      <c r="R175" s="184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71"/>
      <c r="C176" s="73"/>
      <c r="D176" s="210"/>
      <c r="E176" s="105"/>
      <c r="F176" s="105"/>
      <c r="G176" s="105"/>
      <c r="H176" s="76"/>
      <c r="I176" s="84"/>
      <c r="J176" s="87"/>
      <c r="K176" s="87"/>
      <c r="L176" s="74"/>
      <c r="M176" s="86"/>
      <c r="N176" s="87"/>
      <c r="O176" s="88"/>
      <c r="P176" s="59"/>
      <c r="Q176" s="105"/>
      <c r="R176" s="184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13" t="str">
        <f t="shared" ref="B177:C177" si="65">B152</f>
        <v>Origin Plug &amp; Play E22 Station</v>
      </c>
      <c r="C177" s="113" t="str">
        <f t="shared" si="65"/>
        <v>Room 2222</v>
      </c>
      <c r="D177" s="115">
        <f>SUM(D152:D176)</f>
        <v>0</v>
      </c>
      <c r="E177" s="121"/>
      <c r="F177" s="121"/>
      <c r="G177" s="121"/>
      <c r="H177" s="113" t="s">
        <v>95</v>
      </c>
      <c r="I177" s="118">
        <f t="shared" ref="I177:J177" si="66">SUM(I152:I176)</f>
        <v>140186.9159</v>
      </c>
      <c r="J177" s="118">
        <f t="shared" si="66"/>
        <v>71605.75607</v>
      </c>
      <c r="K177" s="118">
        <f>I177-J177</f>
        <v>68581.15981</v>
      </c>
      <c r="L177" s="119">
        <f>K177/I177</f>
        <v>0.4892122733</v>
      </c>
      <c r="M177" s="118">
        <f>SUM(M152:M176)</f>
        <v>67151.7</v>
      </c>
      <c r="N177" s="118">
        <f>I177-M177</f>
        <v>73035.21589</v>
      </c>
      <c r="O177" s="119">
        <f>N177/I177</f>
        <v>0.52098454</v>
      </c>
      <c r="P177" s="120"/>
      <c r="Q177" s="121"/>
      <c r="R177" s="12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22"/>
      <c r="B178" s="123"/>
      <c r="C178" s="124"/>
      <c r="D178" s="124"/>
      <c r="E178" s="125"/>
      <c r="F178" s="125"/>
      <c r="G178" s="125"/>
      <c r="H178" s="126"/>
      <c r="I178" s="127"/>
      <c r="J178" s="127"/>
      <c r="K178" s="127"/>
      <c r="L178" s="128"/>
      <c r="M178" s="127"/>
      <c r="N178" s="127"/>
      <c r="O178" s="128"/>
      <c r="P178" s="125"/>
      <c r="Q178" s="125"/>
      <c r="R178" s="125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</row>
    <row r="179">
      <c r="A179" s="1"/>
      <c r="B179" s="51" t="s">
        <v>390</v>
      </c>
      <c r="C179" s="53" t="s">
        <v>469</v>
      </c>
      <c r="D179" s="54" t="s">
        <v>392</v>
      </c>
      <c r="E179" s="59"/>
      <c r="F179" s="60"/>
      <c r="G179" s="60"/>
      <c r="H179" s="62" t="s">
        <v>43</v>
      </c>
      <c r="I179" s="63"/>
      <c r="J179" s="65"/>
      <c r="K179" s="63"/>
      <c r="L179" s="67"/>
      <c r="M179" s="65"/>
      <c r="N179" s="63"/>
      <c r="O179" s="67"/>
      <c r="P179" s="59"/>
      <c r="Q179" s="59"/>
      <c r="R179" s="184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71"/>
      <c r="C180" s="73"/>
      <c r="D180" s="53" t="s">
        <v>393</v>
      </c>
      <c r="E180" s="188" t="s">
        <v>394</v>
      </c>
      <c r="F180" s="188" t="s">
        <v>395</v>
      </c>
      <c r="G180" s="188" t="s">
        <v>474</v>
      </c>
      <c r="H180" s="76" t="s">
        <v>427</v>
      </c>
      <c r="I180" s="84">
        <f>35277.9/1.07</f>
        <v>32970</v>
      </c>
      <c r="J180" s="86">
        <v>13000.0</v>
      </c>
      <c r="K180" s="87">
        <f>I180-J180</f>
        <v>19970</v>
      </c>
      <c r="L180" s="88">
        <f>K180/I180</f>
        <v>0.6057021535</v>
      </c>
      <c r="M180" s="86">
        <v>13000.0</v>
      </c>
      <c r="N180" s="87">
        <f>I180-M180</f>
        <v>19970</v>
      </c>
      <c r="O180" s="88">
        <f>N180/I180</f>
        <v>0.6057021535</v>
      </c>
      <c r="P180" s="129" t="s">
        <v>76</v>
      </c>
      <c r="Q180" s="130">
        <v>46204.0</v>
      </c>
      <c r="R180" s="186" t="s">
        <v>82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71"/>
      <c r="C181" s="73"/>
      <c r="D181" s="53" t="s">
        <v>399</v>
      </c>
      <c r="E181" s="188"/>
      <c r="F181" s="188"/>
      <c r="G181" s="188"/>
      <c r="H181" s="62"/>
      <c r="I181" s="84"/>
      <c r="J181" s="87"/>
      <c r="K181" s="87"/>
      <c r="L181" s="74"/>
      <c r="M181" s="86"/>
      <c r="N181" s="87"/>
      <c r="O181" s="88"/>
      <c r="P181" s="129"/>
      <c r="Q181" s="130"/>
      <c r="R181" s="184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71"/>
      <c r="C182" s="73"/>
      <c r="D182" s="210"/>
      <c r="E182" s="188"/>
      <c r="F182" s="188"/>
      <c r="G182" s="188"/>
      <c r="H182" s="76"/>
      <c r="I182" s="84"/>
      <c r="J182" s="86"/>
      <c r="K182" s="87"/>
      <c r="L182" s="88"/>
      <c r="M182" s="86"/>
      <c r="N182" s="87"/>
      <c r="O182" s="88"/>
      <c r="P182" s="129"/>
      <c r="Q182" s="130"/>
      <c r="R182" s="184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71"/>
      <c r="C183" s="73"/>
      <c r="D183" s="210"/>
      <c r="E183" s="188"/>
      <c r="F183" s="188"/>
      <c r="G183" s="188"/>
      <c r="H183" s="76"/>
      <c r="I183" s="84"/>
      <c r="J183" s="86"/>
      <c r="K183" s="87"/>
      <c r="L183" s="88"/>
      <c r="M183" s="86"/>
      <c r="N183" s="87"/>
      <c r="O183" s="88"/>
      <c r="P183" s="129"/>
      <c r="Q183" s="130"/>
      <c r="R183" s="184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71"/>
      <c r="C184" s="73"/>
      <c r="D184" s="210"/>
      <c r="E184" s="188"/>
      <c r="F184" s="188"/>
      <c r="G184" s="188"/>
      <c r="H184" s="76"/>
      <c r="I184" s="84"/>
      <c r="J184" s="86"/>
      <c r="K184" s="87"/>
      <c r="L184" s="88"/>
      <c r="M184" s="86"/>
      <c r="N184" s="87"/>
      <c r="O184" s="88"/>
      <c r="P184" s="129"/>
      <c r="Q184" s="130"/>
      <c r="R184" s="184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71"/>
      <c r="C185" s="73"/>
      <c r="D185" s="210"/>
      <c r="E185" s="188"/>
      <c r="F185" s="188"/>
      <c r="G185" s="188"/>
      <c r="H185" s="76"/>
      <c r="I185" s="84"/>
      <c r="J185" s="86"/>
      <c r="K185" s="87"/>
      <c r="L185" s="88"/>
      <c r="M185" s="86"/>
      <c r="N185" s="87"/>
      <c r="O185" s="88"/>
      <c r="P185" s="129"/>
      <c r="Q185" s="130"/>
      <c r="R185" s="184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71"/>
      <c r="C186" s="73"/>
      <c r="D186" s="210"/>
      <c r="E186" s="188"/>
      <c r="F186" s="188"/>
      <c r="G186" s="188"/>
      <c r="H186" s="76"/>
      <c r="I186" s="84"/>
      <c r="J186" s="86"/>
      <c r="K186" s="87"/>
      <c r="L186" s="88"/>
      <c r="M186" s="86"/>
      <c r="N186" s="87"/>
      <c r="O186" s="88"/>
      <c r="P186" s="129"/>
      <c r="Q186" s="130"/>
      <c r="R186" s="184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71"/>
      <c r="C187" s="73"/>
      <c r="D187" s="210"/>
      <c r="E187" s="188"/>
      <c r="F187" s="188"/>
      <c r="G187" s="188"/>
      <c r="H187" s="76"/>
      <c r="I187" s="84"/>
      <c r="J187" s="86"/>
      <c r="K187" s="87"/>
      <c r="L187" s="88"/>
      <c r="M187" s="86"/>
      <c r="N187" s="87"/>
      <c r="O187" s="88"/>
      <c r="P187" s="129"/>
      <c r="Q187" s="130"/>
      <c r="R187" s="184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71"/>
      <c r="C188" s="73"/>
      <c r="D188" s="210"/>
      <c r="E188" s="105"/>
      <c r="F188" s="105"/>
      <c r="G188" s="105"/>
      <c r="H188" s="76"/>
      <c r="I188" s="84"/>
      <c r="J188" s="87"/>
      <c r="K188" s="87"/>
      <c r="L188" s="74"/>
      <c r="M188" s="86"/>
      <c r="N188" s="87"/>
      <c r="O188" s="88"/>
      <c r="P188" s="59"/>
      <c r="Q188" s="105"/>
      <c r="R188" s="184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13" t="str">
        <f t="shared" ref="B189:C189" si="67">B179</f>
        <v>Origin Plug &amp; Play E22 Station</v>
      </c>
      <c r="C189" s="113" t="str">
        <f t="shared" si="67"/>
        <v>Room 2222</v>
      </c>
      <c r="D189" s="115">
        <f>SUM(D179:D188)</f>
        <v>0</v>
      </c>
      <c r="E189" s="121"/>
      <c r="F189" s="121"/>
      <c r="G189" s="121"/>
      <c r="H189" s="113" t="s">
        <v>95</v>
      </c>
      <c r="I189" s="118">
        <f t="shared" ref="I189:J189" si="68">SUM(I179:I188)</f>
        <v>32970</v>
      </c>
      <c r="J189" s="118">
        <f t="shared" si="68"/>
        <v>13000</v>
      </c>
      <c r="K189" s="118">
        <f>I189-J189</f>
        <v>19970</v>
      </c>
      <c r="L189" s="119">
        <f>K189/I189</f>
        <v>0.6057021535</v>
      </c>
      <c r="M189" s="118">
        <f>SUM(M179:M188)</f>
        <v>13000</v>
      </c>
      <c r="N189" s="118">
        <f>I189-M189</f>
        <v>19970</v>
      </c>
      <c r="O189" s="119">
        <f>N189/I189</f>
        <v>0.6057021535</v>
      </c>
      <c r="P189" s="120"/>
      <c r="Q189" s="121"/>
      <c r="R189" s="12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22"/>
      <c r="B190" s="123"/>
      <c r="C190" s="124"/>
      <c r="D190" s="124"/>
      <c r="E190" s="125"/>
      <c r="F190" s="125"/>
      <c r="G190" s="125"/>
      <c r="H190" s="126"/>
      <c r="I190" s="127"/>
      <c r="J190" s="127"/>
      <c r="K190" s="127"/>
      <c r="L190" s="128"/>
      <c r="M190" s="127"/>
      <c r="N190" s="127"/>
      <c r="O190" s="128"/>
      <c r="P190" s="125"/>
      <c r="Q190" s="125"/>
      <c r="R190" s="125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</row>
    <row r="191">
      <c r="A191" s="1"/>
      <c r="B191" s="51" t="s">
        <v>390</v>
      </c>
      <c r="C191" s="53" t="s">
        <v>469</v>
      </c>
      <c r="D191" s="54" t="s">
        <v>392</v>
      </c>
      <c r="E191" s="59"/>
      <c r="F191" s="60"/>
      <c r="G191" s="60"/>
      <c r="H191" s="62" t="s">
        <v>348</v>
      </c>
      <c r="I191" s="63"/>
      <c r="J191" s="65"/>
      <c r="K191" s="63"/>
      <c r="L191" s="67"/>
      <c r="M191" s="65"/>
      <c r="N191" s="63"/>
      <c r="O191" s="67"/>
      <c r="P191" s="59"/>
      <c r="Q191" s="59"/>
      <c r="R191" s="184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71"/>
      <c r="C192" s="73"/>
      <c r="D192" s="53" t="s">
        <v>393</v>
      </c>
      <c r="E192" s="185" t="s">
        <v>394</v>
      </c>
      <c r="F192" s="185" t="s">
        <v>395</v>
      </c>
      <c r="G192" s="188" t="s">
        <v>428</v>
      </c>
      <c r="H192" s="76" t="s">
        <v>429</v>
      </c>
      <c r="I192" s="85">
        <f>9000/1.07</f>
        <v>8411.214953</v>
      </c>
      <c r="J192" s="90">
        <v>4000.0</v>
      </c>
      <c r="K192" s="94">
        <f>I192-J192-J194</f>
        <v>1701.214953</v>
      </c>
      <c r="L192" s="96">
        <f>K192/I192</f>
        <v>0.2022555556</v>
      </c>
      <c r="M192" s="90">
        <v>4000.0</v>
      </c>
      <c r="N192" s="94">
        <f>I192-SUM(M192:M194)</f>
        <v>1701.214953</v>
      </c>
      <c r="O192" s="96">
        <f>N192/I192</f>
        <v>0.2022555556</v>
      </c>
      <c r="P192" s="55" t="s">
        <v>76</v>
      </c>
      <c r="Q192" s="97">
        <v>46204.0</v>
      </c>
      <c r="R192" s="186" t="s">
        <v>349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71"/>
      <c r="C193" s="73"/>
      <c r="D193" s="53" t="s">
        <v>399</v>
      </c>
      <c r="E193" s="23"/>
      <c r="F193" s="23"/>
      <c r="G193" s="188"/>
      <c r="H193" s="62" t="s">
        <v>430</v>
      </c>
      <c r="I193" s="22"/>
      <c r="J193" s="90"/>
      <c r="K193" s="23"/>
      <c r="L193" s="23"/>
      <c r="M193" s="90"/>
      <c r="N193" s="23"/>
      <c r="O193" s="23"/>
      <c r="P193" s="23"/>
      <c r="Q193" s="23"/>
      <c r="R193" s="186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71"/>
      <c r="C194" s="73"/>
      <c r="D194" s="53"/>
      <c r="E194" s="101"/>
      <c r="F194" s="101"/>
      <c r="G194" s="188" t="s">
        <v>431</v>
      </c>
      <c r="H194" s="76" t="s">
        <v>432</v>
      </c>
      <c r="I194" s="100"/>
      <c r="J194" s="86">
        <v>2710.0</v>
      </c>
      <c r="K194" s="101"/>
      <c r="L194" s="101"/>
      <c r="M194" s="86">
        <v>2710.0</v>
      </c>
      <c r="N194" s="23"/>
      <c r="O194" s="23"/>
      <c r="P194" s="101"/>
      <c r="Q194" s="101"/>
      <c r="R194" s="186" t="s">
        <v>433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71"/>
      <c r="C195" s="73"/>
      <c r="D195" s="210"/>
      <c r="E195" s="188"/>
      <c r="F195" s="188"/>
      <c r="G195" s="188"/>
      <c r="H195" s="76"/>
      <c r="I195" s="84"/>
      <c r="J195" s="86"/>
      <c r="K195" s="87"/>
      <c r="L195" s="88"/>
      <c r="M195" s="86"/>
      <c r="N195" s="87"/>
      <c r="O195" s="88"/>
      <c r="P195" s="129"/>
      <c r="Q195" s="130"/>
      <c r="R195" s="184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71"/>
      <c r="C196" s="73"/>
      <c r="D196" s="210"/>
      <c r="E196" s="188"/>
      <c r="F196" s="188"/>
      <c r="G196" s="188"/>
      <c r="H196" s="76"/>
      <c r="I196" s="84"/>
      <c r="J196" s="86"/>
      <c r="K196" s="87"/>
      <c r="L196" s="88"/>
      <c r="M196" s="86"/>
      <c r="N196" s="87"/>
      <c r="O196" s="88"/>
      <c r="P196" s="129"/>
      <c r="Q196" s="130"/>
      <c r="R196" s="184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71"/>
      <c r="C197" s="73"/>
      <c r="D197" s="210"/>
      <c r="E197" s="188"/>
      <c r="F197" s="188"/>
      <c r="G197" s="188"/>
      <c r="H197" s="76"/>
      <c r="I197" s="84"/>
      <c r="J197" s="86"/>
      <c r="K197" s="87"/>
      <c r="L197" s="88"/>
      <c r="M197" s="86"/>
      <c r="N197" s="87"/>
      <c r="O197" s="88"/>
      <c r="P197" s="129"/>
      <c r="Q197" s="130"/>
      <c r="R197" s="184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71"/>
      <c r="C198" s="73"/>
      <c r="D198" s="210"/>
      <c r="E198" s="188"/>
      <c r="F198" s="188"/>
      <c r="G198" s="188"/>
      <c r="H198" s="76"/>
      <c r="I198" s="84"/>
      <c r="J198" s="86"/>
      <c r="K198" s="87"/>
      <c r="L198" s="88"/>
      <c r="M198" s="86"/>
      <c r="N198" s="87"/>
      <c r="O198" s="88"/>
      <c r="P198" s="129"/>
      <c r="Q198" s="130"/>
      <c r="R198" s="184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71"/>
      <c r="C199" s="73"/>
      <c r="D199" s="210"/>
      <c r="E199" s="188"/>
      <c r="F199" s="188"/>
      <c r="G199" s="188"/>
      <c r="H199" s="76"/>
      <c r="I199" s="84"/>
      <c r="J199" s="86"/>
      <c r="K199" s="87"/>
      <c r="L199" s="88"/>
      <c r="M199" s="86"/>
      <c r="N199" s="87"/>
      <c r="O199" s="88"/>
      <c r="P199" s="129"/>
      <c r="Q199" s="130"/>
      <c r="R199" s="184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71"/>
      <c r="C200" s="73"/>
      <c r="D200" s="210"/>
      <c r="E200" s="188"/>
      <c r="F200" s="188"/>
      <c r="G200" s="188"/>
      <c r="H200" s="76"/>
      <c r="I200" s="84"/>
      <c r="J200" s="86"/>
      <c r="K200" s="87"/>
      <c r="L200" s="88"/>
      <c r="M200" s="86"/>
      <c r="N200" s="87"/>
      <c r="O200" s="88"/>
      <c r="P200" s="129"/>
      <c r="Q200" s="130"/>
      <c r="R200" s="184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71"/>
      <c r="C201" s="73"/>
      <c r="D201" s="210"/>
      <c r="E201" s="105"/>
      <c r="F201" s="105"/>
      <c r="G201" s="105"/>
      <c r="H201" s="76"/>
      <c r="I201" s="84"/>
      <c r="J201" s="87"/>
      <c r="K201" s="87"/>
      <c r="L201" s="74"/>
      <c r="M201" s="86"/>
      <c r="N201" s="87"/>
      <c r="O201" s="88"/>
      <c r="P201" s="59"/>
      <c r="Q201" s="105"/>
      <c r="R201" s="184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13" t="str">
        <f t="shared" ref="B202:C202" si="69">B191</f>
        <v>Origin Plug &amp; Play E22 Station</v>
      </c>
      <c r="C202" s="113" t="str">
        <f t="shared" si="69"/>
        <v>Room 2222</v>
      </c>
      <c r="D202" s="115">
        <f>SUM(D191:D201)</f>
        <v>0</v>
      </c>
      <c r="E202" s="121"/>
      <c r="F202" s="121"/>
      <c r="G202" s="121"/>
      <c r="H202" s="113" t="s">
        <v>95</v>
      </c>
      <c r="I202" s="118">
        <f t="shared" ref="I202:J202" si="70">SUM(I191:I201)</f>
        <v>8411.214953</v>
      </c>
      <c r="J202" s="118">
        <f t="shared" si="70"/>
        <v>6710</v>
      </c>
      <c r="K202" s="118">
        <f>I202-J202</f>
        <v>1701.214953</v>
      </c>
      <c r="L202" s="119">
        <f>K202/I202</f>
        <v>0.2022555556</v>
      </c>
      <c r="M202" s="118">
        <f>SUM(M191:M201)</f>
        <v>6710</v>
      </c>
      <c r="N202" s="118">
        <f>I202-M202</f>
        <v>1701.214953</v>
      </c>
      <c r="O202" s="119">
        <f>N202/I202</f>
        <v>0.2022555556</v>
      </c>
      <c r="P202" s="120"/>
      <c r="Q202" s="121"/>
      <c r="R202" s="12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22"/>
      <c r="B203" s="123"/>
      <c r="C203" s="124"/>
      <c r="D203" s="124"/>
      <c r="E203" s="125"/>
      <c r="F203" s="125"/>
      <c r="G203" s="125"/>
      <c r="H203" s="126"/>
      <c r="I203" s="127"/>
      <c r="J203" s="127"/>
      <c r="K203" s="127"/>
      <c r="L203" s="128"/>
      <c r="M203" s="127"/>
      <c r="N203" s="127"/>
      <c r="O203" s="128"/>
      <c r="P203" s="125"/>
      <c r="Q203" s="125"/>
      <c r="R203" s="125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</row>
    <row r="204">
      <c r="A204" s="1"/>
      <c r="B204" s="51" t="s">
        <v>390</v>
      </c>
      <c r="C204" s="53" t="s">
        <v>475</v>
      </c>
      <c r="D204" s="54" t="s">
        <v>392</v>
      </c>
      <c r="E204" s="55" t="s">
        <v>394</v>
      </c>
      <c r="F204" s="58" t="s">
        <v>395</v>
      </c>
      <c r="G204" s="60"/>
      <c r="H204" s="62" t="s">
        <v>48</v>
      </c>
      <c r="I204" s="63"/>
      <c r="J204" s="65"/>
      <c r="K204" s="63"/>
      <c r="L204" s="67"/>
      <c r="M204" s="65"/>
      <c r="N204" s="63"/>
      <c r="O204" s="67"/>
      <c r="P204" s="55" t="s">
        <v>76</v>
      </c>
      <c r="Q204" s="97">
        <v>46204.0</v>
      </c>
      <c r="R204" s="59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71"/>
      <c r="C205" s="73"/>
      <c r="D205" s="53" t="s">
        <v>393</v>
      </c>
      <c r="E205" s="23"/>
      <c r="F205" s="23"/>
      <c r="G205" s="188" t="s">
        <v>470</v>
      </c>
      <c r="H205" s="76" t="s">
        <v>397</v>
      </c>
      <c r="I205" s="84">
        <f>33170/1.07</f>
        <v>31000</v>
      </c>
      <c r="J205" s="86">
        <v>27500.0</v>
      </c>
      <c r="K205" s="87">
        <f t="shared" ref="K205:K206" si="71">I205-J205</f>
        <v>3500</v>
      </c>
      <c r="L205" s="88">
        <f t="shared" ref="L205:L206" si="72">K205/I205</f>
        <v>0.1129032258</v>
      </c>
      <c r="M205" s="86">
        <v>27500.0</v>
      </c>
      <c r="N205" s="87">
        <f t="shared" ref="N205:N206" si="73">I205-M205</f>
        <v>3500</v>
      </c>
      <c r="O205" s="88">
        <f t="shared" ref="O205:O206" si="74">N205/I205</f>
        <v>0.1129032258</v>
      </c>
      <c r="P205" s="23"/>
      <c r="Q205" s="23"/>
      <c r="R205" s="186" t="s">
        <v>398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71"/>
      <c r="C206" s="73"/>
      <c r="D206" s="53" t="s">
        <v>399</v>
      </c>
      <c r="E206" s="23"/>
      <c r="F206" s="23"/>
      <c r="G206" s="188" t="s">
        <v>471</v>
      </c>
      <c r="H206" s="76" t="s">
        <v>437</v>
      </c>
      <c r="I206" s="84">
        <f>10000/1.07</f>
        <v>9345.794393</v>
      </c>
      <c r="J206" s="86">
        <v>5500.0</v>
      </c>
      <c r="K206" s="87">
        <f t="shared" si="71"/>
        <v>3845.794393</v>
      </c>
      <c r="L206" s="88">
        <f t="shared" si="72"/>
        <v>0.4115</v>
      </c>
      <c r="M206" s="86">
        <v>5500.0</v>
      </c>
      <c r="N206" s="87">
        <f t="shared" si="73"/>
        <v>3845.794393</v>
      </c>
      <c r="O206" s="88">
        <f t="shared" si="74"/>
        <v>0.4115</v>
      </c>
      <c r="P206" s="23"/>
      <c r="Q206" s="23"/>
      <c r="R206" s="186" t="s">
        <v>151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71"/>
      <c r="C207" s="73"/>
      <c r="D207" s="53"/>
      <c r="E207" s="23"/>
      <c r="F207" s="23"/>
      <c r="G207" s="188"/>
      <c r="H207" s="62" t="s">
        <v>400</v>
      </c>
      <c r="I207" s="84"/>
      <c r="J207" s="87"/>
      <c r="K207" s="87"/>
      <c r="L207" s="88"/>
      <c r="M207" s="86"/>
      <c r="N207" s="87"/>
      <c r="O207" s="88"/>
      <c r="P207" s="23"/>
      <c r="Q207" s="23"/>
      <c r="R207" s="184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71"/>
      <c r="C208" s="73"/>
      <c r="D208" s="210"/>
      <c r="E208" s="23"/>
      <c r="F208" s="23"/>
      <c r="G208" s="188" t="s">
        <v>401</v>
      </c>
      <c r="H208" s="76" t="s">
        <v>402</v>
      </c>
      <c r="I208" s="84">
        <f>12000/1.07</f>
        <v>11214.95327</v>
      </c>
      <c r="J208" s="86">
        <v>7500.0</v>
      </c>
      <c r="K208" s="87">
        <f t="shared" ref="K208:K215" si="75">I208-J208</f>
        <v>3714.953271</v>
      </c>
      <c r="L208" s="88">
        <f t="shared" ref="L208:L215" si="76">K208/I208</f>
        <v>0.33125</v>
      </c>
      <c r="M208" s="86">
        <v>7500.0</v>
      </c>
      <c r="N208" s="87">
        <f t="shared" ref="N208:N215" si="77">I208-M208</f>
        <v>3714.953271</v>
      </c>
      <c r="O208" s="88">
        <f t="shared" ref="O208:O215" si="78">N208/I208</f>
        <v>0.33125</v>
      </c>
      <c r="P208" s="23"/>
      <c r="Q208" s="23"/>
      <c r="R208" s="186" t="s">
        <v>222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71"/>
      <c r="C209" s="73"/>
      <c r="D209" s="210"/>
      <c r="E209" s="23"/>
      <c r="F209" s="23"/>
      <c r="G209" s="188" t="s">
        <v>403</v>
      </c>
      <c r="H209" s="76" t="s">
        <v>404</v>
      </c>
      <c r="I209" s="84">
        <f t="shared" ref="I209:I210" si="79">7000/1.07</f>
        <v>6542.056075</v>
      </c>
      <c r="J209" s="86">
        <v>3071.2</v>
      </c>
      <c r="K209" s="87">
        <f t="shared" si="75"/>
        <v>3470.856075</v>
      </c>
      <c r="L209" s="88">
        <f t="shared" si="76"/>
        <v>0.5305451429</v>
      </c>
      <c r="M209" s="86">
        <v>3071.2</v>
      </c>
      <c r="N209" s="87">
        <f t="shared" si="77"/>
        <v>3470.856075</v>
      </c>
      <c r="O209" s="88">
        <f t="shared" si="78"/>
        <v>0.5305451429</v>
      </c>
      <c r="P209" s="23"/>
      <c r="Q209" s="23"/>
      <c r="R209" s="186" t="s">
        <v>293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71"/>
      <c r="C210" s="73"/>
      <c r="D210" s="210"/>
      <c r="E210" s="23"/>
      <c r="F210" s="23"/>
      <c r="G210" s="188" t="s">
        <v>405</v>
      </c>
      <c r="H210" s="76" t="s">
        <v>406</v>
      </c>
      <c r="I210" s="84">
        <f t="shared" si="79"/>
        <v>6542.056075</v>
      </c>
      <c r="J210" s="86">
        <v>2117.5</v>
      </c>
      <c r="K210" s="87">
        <f t="shared" si="75"/>
        <v>4424.556075</v>
      </c>
      <c r="L210" s="88">
        <f t="shared" si="76"/>
        <v>0.676325</v>
      </c>
      <c r="M210" s="86">
        <v>2117.5</v>
      </c>
      <c r="N210" s="87">
        <f t="shared" si="77"/>
        <v>4424.556075</v>
      </c>
      <c r="O210" s="88">
        <f t="shared" si="78"/>
        <v>0.676325</v>
      </c>
      <c r="P210" s="23"/>
      <c r="Q210" s="23"/>
      <c r="R210" s="186" t="s">
        <v>166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71"/>
      <c r="C211" s="73"/>
      <c r="D211" s="210"/>
      <c r="E211" s="23"/>
      <c r="F211" s="23"/>
      <c r="G211" s="188" t="s">
        <v>401</v>
      </c>
      <c r="H211" s="76" t="s">
        <v>407</v>
      </c>
      <c r="I211" s="84">
        <f>3000/1.07</f>
        <v>2803.738318</v>
      </c>
      <c r="J211" s="86">
        <v>750.0</v>
      </c>
      <c r="K211" s="87">
        <f t="shared" si="75"/>
        <v>2053.738318</v>
      </c>
      <c r="L211" s="88">
        <f t="shared" si="76"/>
        <v>0.7325</v>
      </c>
      <c r="M211" s="86">
        <v>750.0</v>
      </c>
      <c r="N211" s="87">
        <f t="shared" si="77"/>
        <v>2053.738318</v>
      </c>
      <c r="O211" s="88">
        <f t="shared" si="78"/>
        <v>0.7325</v>
      </c>
      <c r="P211" s="23"/>
      <c r="Q211" s="23"/>
      <c r="R211" s="186" t="s">
        <v>222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71"/>
      <c r="C212" s="73"/>
      <c r="D212" s="210"/>
      <c r="E212" s="23"/>
      <c r="F212" s="23"/>
      <c r="G212" s="188" t="s">
        <v>408</v>
      </c>
      <c r="H212" s="76" t="s">
        <v>409</v>
      </c>
      <c r="I212" s="84">
        <f>6000/1.07</f>
        <v>5607.476636</v>
      </c>
      <c r="J212" s="86">
        <v>1267.0</v>
      </c>
      <c r="K212" s="87">
        <f t="shared" si="75"/>
        <v>4340.476636</v>
      </c>
      <c r="L212" s="88">
        <f t="shared" si="76"/>
        <v>0.7740516667</v>
      </c>
      <c r="M212" s="86">
        <v>1267.0</v>
      </c>
      <c r="N212" s="87">
        <f t="shared" si="77"/>
        <v>4340.476636</v>
      </c>
      <c r="O212" s="88">
        <f t="shared" si="78"/>
        <v>0.7740516667</v>
      </c>
      <c r="P212" s="23"/>
      <c r="Q212" s="23"/>
      <c r="R212" s="186" t="s">
        <v>410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71"/>
      <c r="C213" s="73"/>
      <c r="D213" s="210"/>
      <c r="E213" s="23"/>
      <c r="F213" s="23"/>
      <c r="G213" s="188" t="s">
        <v>405</v>
      </c>
      <c r="H213" s="76" t="s">
        <v>411</v>
      </c>
      <c r="I213" s="84">
        <f>6500/1.07</f>
        <v>6074.766355</v>
      </c>
      <c r="J213" s="86">
        <v>3124.0</v>
      </c>
      <c r="K213" s="87">
        <f t="shared" si="75"/>
        <v>2950.766355</v>
      </c>
      <c r="L213" s="88">
        <f t="shared" si="76"/>
        <v>0.4857415385</v>
      </c>
      <c r="M213" s="86">
        <v>3124.0</v>
      </c>
      <c r="N213" s="87">
        <f t="shared" si="77"/>
        <v>2950.766355</v>
      </c>
      <c r="O213" s="88">
        <f t="shared" si="78"/>
        <v>0.4857415385</v>
      </c>
      <c r="P213" s="23"/>
      <c r="Q213" s="23"/>
      <c r="R213" s="186" t="s">
        <v>166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71"/>
      <c r="C214" s="73"/>
      <c r="D214" s="210"/>
      <c r="E214" s="23"/>
      <c r="F214" s="23"/>
      <c r="G214" s="188" t="s">
        <v>403</v>
      </c>
      <c r="H214" s="76" t="s">
        <v>412</v>
      </c>
      <c r="I214" s="84">
        <f>6000/1.07</f>
        <v>5607.476636</v>
      </c>
      <c r="J214" s="86">
        <v>2590.0</v>
      </c>
      <c r="K214" s="87">
        <f t="shared" si="75"/>
        <v>3017.476636</v>
      </c>
      <c r="L214" s="88">
        <f t="shared" si="76"/>
        <v>0.5381166667</v>
      </c>
      <c r="M214" s="86">
        <v>2590.0</v>
      </c>
      <c r="N214" s="87">
        <f t="shared" si="77"/>
        <v>3017.476636</v>
      </c>
      <c r="O214" s="88">
        <f t="shared" si="78"/>
        <v>0.5381166667</v>
      </c>
      <c r="P214" s="23"/>
      <c r="Q214" s="23"/>
      <c r="R214" s="186" t="s">
        <v>293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71"/>
      <c r="C215" s="73"/>
      <c r="D215" s="210"/>
      <c r="E215" s="23"/>
      <c r="F215" s="23"/>
      <c r="G215" s="188" t="s">
        <v>405</v>
      </c>
      <c r="H215" s="76" t="s">
        <v>413</v>
      </c>
      <c r="I215" s="84">
        <f>5000/1.07</f>
        <v>4672.897196</v>
      </c>
      <c r="J215" s="86">
        <v>2189.0</v>
      </c>
      <c r="K215" s="87">
        <f t="shared" si="75"/>
        <v>2483.897196</v>
      </c>
      <c r="L215" s="88">
        <f t="shared" si="76"/>
        <v>0.531554</v>
      </c>
      <c r="M215" s="86">
        <v>2189.0</v>
      </c>
      <c r="N215" s="87">
        <f t="shared" si="77"/>
        <v>2483.897196</v>
      </c>
      <c r="O215" s="88">
        <f t="shared" si="78"/>
        <v>0.531554</v>
      </c>
      <c r="P215" s="23"/>
      <c r="Q215" s="23"/>
      <c r="R215" s="186" t="s">
        <v>166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71"/>
      <c r="C216" s="73"/>
      <c r="D216" s="210"/>
      <c r="E216" s="23"/>
      <c r="F216" s="58"/>
      <c r="G216" s="188"/>
      <c r="H216" s="62" t="s">
        <v>192</v>
      </c>
      <c r="I216" s="84"/>
      <c r="J216" s="87"/>
      <c r="K216" s="87"/>
      <c r="L216" s="74"/>
      <c r="M216" s="86"/>
      <c r="N216" s="87"/>
      <c r="O216" s="88"/>
      <c r="P216" s="23"/>
      <c r="Q216" s="23"/>
      <c r="R216" s="184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71"/>
      <c r="C217" s="73"/>
      <c r="D217" s="210"/>
      <c r="E217" s="23"/>
      <c r="F217" s="58" t="s">
        <v>472</v>
      </c>
      <c r="G217" s="188" t="s">
        <v>473</v>
      </c>
      <c r="H217" s="76" t="s">
        <v>415</v>
      </c>
      <c r="I217" s="84">
        <f>30330/1.07</f>
        <v>28345.79439</v>
      </c>
      <c r="J217" s="87">
        <f>10355+4200</f>
        <v>14555</v>
      </c>
      <c r="K217" s="87">
        <f>I217-J217</f>
        <v>13790.79439</v>
      </c>
      <c r="L217" s="88">
        <f>K217/I217</f>
        <v>0.4865199472</v>
      </c>
      <c r="M217" s="86">
        <v>8000.0</v>
      </c>
      <c r="N217" s="87">
        <f>I217-M217</f>
        <v>20345.79439</v>
      </c>
      <c r="O217" s="88">
        <f>N217/I217</f>
        <v>0.7177711836</v>
      </c>
      <c r="P217" s="23"/>
      <c r="Q217" s="23"/>
      <c r="R217" s="186" t="s">
        <v>416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71"/>
      <c r="C218" s="73"/>
      <c r="D218" s="210"/>
      <c r="E218" s="23"/>
      <c r="F218" s="58"/>
      <c r="G218" s="105"/>
      <c r="H218" s="62" t="s">
        <v>417</v>
      </c>
      <c r="I218" s="84"/>
      <c r="J218" s="87"/>
      <c r="K218" s="87"/>
      <c r="L218" s="74"/>
      <c r="M218" s="86"/>
      <c r="N218" s="87"/>
      <c r="O218" s="88"/>
      <c r="P218" s="23"/>
      <c r="Q218" s="23"/>
      <c r="R218" s="184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71"/>
      <c r="C219" s="73"/>
      <c r="D219" s="210"/>
      <c r="E219" s="23"/>
      <c r="F219" s="58" t="s">
        <v>395</v>
      </c>
      <c r="G219" s="188" t="s">
        <v>418</v>
      </c>
      <c r="H219" s="76" t="s">
        <v>419</v>
      </c>
      <c r="I219" s="84">
        <f>2000/1.07</f>
        <v>1869.158879</v>
      </c>
      <c r="J219" s="86">
        <v>0.0</v>
      </c>
      <c r="K219" s="87">
        <f t="shared" ref="K219:K222" si="80">I219-J219</f>
        <v>1869.158879</v>
      </c>
      <c r="L219" s="88">
        <f t="shared" ref="L219:L222" si="81">K219/I219</f>
        <v>1</v>
      </c>
      <c r="M219" s="86">
        <v>0.0</v>
      </c>
      <c r="N219" s="87">
        <f t="shared" ref="N219:N222" si="82">I219-M219</f>
        <v>1869.158879</v>
      </c>
      <c r="O219" s="88">
        <f t="shared" ref="O219:O222" si="83">N219/I219</f>
        <v>1</v>
      </c>
      <c r="P219" s="23"/>
      <c r="Q219" s="23"/>
      <c r="R219" s="184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71"/>
      <c r="C220" s="73"/>
      <c r="D220" s="210"/>
      <c r="E220" s="23"/>
      <c r="F220" s="23"/>
      <c r="G220" s="188" t="s">
        <v>420</v>
      </c>
      <c r="H220" s="76" t="s">
        <v>421</v>
      </c>
      <c r="I220" s="84">
        <f>11000/1.07</f>
        <v>10280.37383</v>
      </c>
      <c r="J220" s="86">
        <v>0.0</v>
      </c>
      <c r="K220" s="87">
        <f t="shared" si="80"/>
        <v>10280.37383</v>
      </c>
      <c r="L220" s="88">
        <f t="shared" si="81"/>
        <v>1</v>
      </c>
      <c r="M220" s="86">
        <v>0.0</v>
      </c>
      <c r="N220" s="87">
        <f t="shared" si="82"/>
        <v>10280.37383</v>
      </c>
      <c r="O220" s="88">
        <f t="shared" si="83"/>
        <v>1</v>
      </c>
      <c r="P220" s="23"/>
      <c r="Q220" s="23"/>
      <c r="R220" s="184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71"/>
      <c r="C221" s="73"/>
      <c r="D221" s="210"/>
      <c r="E221" s="23"/>
      <c r="F221" s="23"/>
      <c r="G221" s="188" t="s">
        <v>420</v>
      </c>
      <c r="H221" s="76" t="s">
        <v>422</v>
      </c>
      <c r="I221" s="84">
        <f>8000/1.07</f>
        <v>7476.635514</v>
      </c>
      <c r="J221" s="86">
        <v>0.0</v>
      </c>
      <c r="K221" s="87">
        <f t="shared" si="80"/>
        <v>7476.635514</v>
      </c>
      <c r="L221" s="88">
        <f t="shared" si="81"/>
        <v>1</v>
      </c>
      <c r="M221" s="86">
        <v>0.0</v>
      </c>
      <c r="N221" s="87">
        <f t="shared" si="82"/>
        <v>7476.635514</v>
      </c>
      <c r="O221" s="88">
        <f t="shared" si="83"/>
        <v>1</v>
      </c>
      <c r="P221" s="23"/>
      <c r="Q221" s="23"/>
      <c r="R221" s="184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71"/>
      <c r="C222" s="73"/>
      <c r="D222" s="210"/>
      <c r="E222" s="23"/>
      <c r="F222" s="23"/>
      <c r="G222" s="188" t="s">
        <v>408</v>
      </c>
      <c r="H222" s="76" t="s">
        <v>423</v>
      </c>
      <c r="I222" s="84">
        <f>3000/1.07</f>
        <v>2803.738318</v>
      </c>
      <c r="J222" s="87">
        <f>1543/1.07</f>
        <v>1442.056075</v>
      </c>
      <c r="K222" s="87">
        <f t="shared" si="80"/>
        <v>1361.682243</v>
      </c>
      <c r="L222" s="88">
        <f t="shared" si="81"/>
        <v>0.4856666667</v>
      </c>
      <c r="M222" s="86">
        <v>1543.0</v>
      </c>
      <c r="N222" s="87">
        <f t="shared" si="82"/>
        <v>1260.738318</v>
      </c>
      <c r="O222" s="88">
        <f t="shared" si="83"/>
        <v>0.4496633333</v>
      </c>
      <c r="P222" s="23"/>
      <c r="Q222" s="23"/>
      <c r="R222" s="186" t="s">
        <v>410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71"/>
      <c r="C223" s="73"/>
      <c r="D223" s="210"/>
      <c r="E223" s="23"/>
      <c r="F223" s="23"/>
      <c r="G223" s="105"/>
      <c r="H223" s="62" t="s">
        <v>424</v>
      </c>
      <c r="I223" s="84"/>
      <c r="J223" s="87"/>
      <c r="K223" s="87"/>
      <c r="L223" s="74"/>
      <c r="M223" s="86"/>
      <c r="N223" s="87"/>
      <c r="O223" s="88"/>
      <c r="P223" s="23"/>
      <c r="Q223" s="23"/>
      <c r="R223" s="184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71"/>
      <c r="C224" s="73"/>
      <c r="D224" s="210"/>
      <c r="E224" s="101"/>
      <c r="F224" s="101"/>
      <c r="G224" s="105"/>
      <c r="H224" s="76" t="s">
        <v>425</v>
      </c>
      <c r="I224" s="84">
        <v>0.0</v>
      </c>
      <c r="J224" s="87"/>
      <c r="K224" s="87"/>
      <c r="L224" s="74"/>
      <c r="M224" s="86">
        <v>2000.0</v>
      </c>
      <c r="N224" s="87">
        <f>I224-M224</f>
        <v>-2000</v>
      </c>
      <c r="O224" s="88" t="str">
        <f>N224/I224</f>
        <v>#DIV/0!</v>
      </c>
      <c r="P224" s="101"/>
      <c r="Q224" s="101"/>
      <c r="R224" s="184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71"/>
      <c r="C225" s="73"/>
      <c r="D225" s="210"/>
      <c r="E225" s="105"/>
      <c r="F225" s="105"/>
      <c r="G225" s="105"/>
      <c r="H225" s="76"/>
      <c r="I225" s="84"/>
      <c r="J225" s="87"/>
      <c r="K225" s="87"/>
      <c r="L225" s="74"/>
      <c r="M225" s="86"/>
      <c r="N225" s="87"/>
      <c r="O225" s="88"/>
      <c r="P225" s="59"/>
      <c r="Q225" s="105"/>
      <c r="R225" s="184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71"/>
      <c r="C226" s="73"/>
      <c r="D226" s="210"/>
      <c r="E226" s="105"/>
      <c r="F226" s="105"/>
      <c r="G226" s="105"/>
      <c r="H226" s="76"/>
      <c r="I226" s="84"/>
      <c r="J226" s="87"/>
      <c r="K226" s="87"/>
      <c r="L226" s="74"/>
      <c r="M226" s="86"/>
      <c r="N226" s="87"/>
      <c r="O226" s="88"/>
      <c r="P226" s="59"/>
      <c r="Q226" s="105"/>
      <c r="R226" s="184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71"/>
      <c r="C227" s="73"/>
      <c r="D227" s="210"/>
      <c r="E227" s="105"/>
      <c r="F227" s="105"/>
      <c r="G227" s="105"/>
      <c r="H227" s="76"/>
      <c r="I227" s="84"/>
      <c r="J227" s="87"/>
      <c r="K227" s="87"/>
      <c r="L227" s="74"/>
      <c r="M227" s="86"/>
      <c r="N227" s="87"/>
      <c r="O227" s="88"/>
      <c r="P227" s="59"/>
      <c r="Q227" s="105"/>
      <c r="R227" s="184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71"/>
      <c r="C228" s="73"/>
      <c r="D228" s="210"/>
      <c r="E228" s="105"/>
      <c r="F228" s="105"/>
      <c r="G228" s="105"/>
      <c r="H228" s="76"/>
      <c r="I228" s="84"/>
      <c r="J228" s="87"/>
      <c r="K228" s="87"/>
      <c r="L228" s="74"/>
      <c r="M228" s="86"/>
      <c r="N228" s="87"/>
      <c r="O228" s="88"/>
      <c r="P228" s="59"/>
      <c r="Q228" s="105"/>
      <c r="R228" s="184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13" t="str">
        <f t="shared" ref="B229:C229" si="84">B204</f>
        <v>Origin Plug &amp; Play E22 Station</v>
      </c>
      <c r="C229" s="113" t="str">
        <f t="shared" si="84"/>
        <v>Room 1818</v>
      </c>
      <c r="D229" s="115">
        <f>SUM(D204:D228)</f>
        <v>0</v>
      </c>
      <c r="E229" s="121"/>
      <c r="F229" s="121"/>
      <c r="G229" s="121"/>
      <c r="H229" s="113" t="s">
        <v>95</v>
      </c>
      <c r="I229" s="118">
        <f t="shared" ref="I229:J229" si="85">SUM(I204:I228)</f>
        <v>140186.9159</v>
      </c>
      <c r="J229" s="118">
        <f t="shared" si="85"/>
        <v>71605.75607</v>
      </c>
      <c r="K229" s="118">
        <f>I229-J229</f>
        <v>68581.15981</v>
      </c>
      <c r="L229" s="119">
        <f>K229/I229</f>
        <v>0.4892122733</v>
      </c>
      <c r="M229" s="118">
        <f>SUM(M204:M228)</f>
        <v>67151.7</v>
      </c>
      <c r="N229" s="118">
        <f>I229-M229</f>
        <v>73035.21589</v>
      </c>
      <c r="O229" s="119">
        <f>N229/I229</f>
        <v>0.52098454</v>
      </c>
      <c r="P229" s="120"/>
      <c r="Q229" s="121"/>
      <c r="R229" s="12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22"/>
      <c r="B230" s="123"/>
      <c r="C230" s="124"/>
      <c r="D230" s="124"/>
      <c r="E230" s="125"/>
      <c r="F230" s="125"/>
      <c r="G230" s="125"/>
      <c r="H230" s="126"/>
      <c r="I230" s="127"/>
      <c r="J230" s="127"/>
      <c r="K230" s="127"/>
      <c r="L230" s="128"/>
      <c r="M230" s="127"/>
      <c r="N230" s="127"/>
      <c r="O230" s="128"/>
      <c r="P230" s="125"/>
      <c r="Q230" s="125"/>
      <c r="R230" s="125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</row>
    <row r="231">
      <c r="A231" s="1"/>
      <c r="B231" s="51" t="s">
        <v>390</v>
      </c>
      <c r="C231" s="53" t="s">
        <v>475</v>
      </c>
      <c r="D231" s="54" t="s">
        <v>392</v>
      </c>
      <c r="E231" s="59"/>
      <c r="F231" s="60"/>
      <c r="G231" s="60"/>
      <c r="H231" s="62" t="s">
        <v>43</v>
      </c>
      <c r="I231" s="63"/>
      <c r="J231" s="65"/>
      <c r="K231" s="63"/>
      <c r="L231" s="67"/>
      <c r="M231" s="65"/>
      <c r="N231" s="63"/>
      <c r="O231" s="67"/>
      <c r="P231" s="59"/>
      <c r="Q231" s="59"/>
      <c r="R231" s="184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71"/>
      <c r="C232" s="73"/>
      <c r="D232" s="53" t="s">
        <v>393</v>
      </c>
      <c r="E232" s="188" t="s">
        <v>394</v>
      </c>
      <c r="F232" s="188" t="s">
        <v>395</v>
      </c>
      <c r="G232" s="188" t="s">
        <v>476</v>
      </c>
      <c r="H232" s="76" t="s">
        <v>427</v>
      </c>
      <c r="I232" s="84">
        <f>35277.9/1.07</f>
        <v>32970</v>
      </c>
      <c r="J232" s="86">
        <v>13000.0</v>
      </c>
      <c r="K232" s="87">
        <f>I232-J232</f>
        <v>19970</v>
      </c>
      <c r="L232" s="88">
        <f>K232/I232</f>
        <v>0.6057021535</v>
      </c>
      <c r="M232" s="86">
        <v>13000.0</v>
      </c>
      <c r="N232" s="87">
        <f>I232-M232</f>
        <v>19970</v>
      </c>
      <c r="O232" s="88">
        <f>N232/I232</f>
        <v>0.6057021535</v>
      </c>
      <c r="P232" s="129" t="s">
        <v>76</v>
      </c>
      <c r="Q232" s="130">
        <v>46204.0</v>
      </c>
      <c r="R232" s="186" t="s">
        <v>82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71"/>
      <c r="C233" s="73"/>
      <c r="D233" s="53" t="s">
        <v>399</v>
      </c>
      <c r="E233" s="188"/>
      <c r="F233" s="188"/>
      <c r="G233" s="188"/>
      <c r="H233" s="62"/>
      <c r="I233" s="84"/>
      <c r="J233" s="87"/>
      <c r="K233" s="87"/>
      <c r="L233" s="74"/>
      <c r="M233" s="86"/>
      <c r="N233" s="87"/>
      <c r="O233" s="88"/>
      <c r="P233" s="129"/>
      <c r="Q233" s="130"/>
      <c r="R233" s="184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71"/>
      <c r="C234" s="73"/>
      <c r="D234" s="210"/>
      <c r="E234" s="188"/>
      <c r="F234" s="188"/>
      <c r="G234" s="188"/>
      <c r="H234" s="76"/>
      <c r="I234" s="84"/>
      <c r="J234" s="86"/>
      <c r="K234" s="87"/>
      <c r="L234" s="88"/>
      <c r="M234" s="86"/>
      <c r="N234" s="87"/>
      <c r="O234" s="88"/>
      <c r="P234" s="129"/>
      <c r="Q234" s="130"/>
      <c r="R234" s="184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71"/>
      <c r="C235" s="73"/>
      <c r="D235" s="210"/>
      <c r="E235" s="188"/>
      <c r="F235" s="188"/>
      <c r="G235" s="188"/>
      <c r="H235" s="76"/>
      <c r="I235" s="84"/>
      <c r="J235" s="86"/>
      <c r="K235" s="87"/>
      <c r="L235" s="88"/>
      <c r="M235" s="86"/>
      <c r="N235" s="87"/>
      <c r="O235" s="88"/>
      <c r="P235" s="129"/>
      <c r="Q235" s="130"/>
      <c r="R235" s="184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71"/>
      <c r="C236" s="73"/>
      <c r="D236" s="210"/>
      <c r="E236" s="188"/>
      <c r="F236" s="188"/>
      <c r="G236" s="188"/>
      <c r="H236" s="76"/>
      <c r="I236" s="84"/>
      <c r="J236" s="86"/>
      <c r="K236" s="87"/>
      <c r="L236" s="88"/>
      <c r="M236" s="86"/>
      <c r="N236" s="87"/>
      <c r="O236" s="88"/>
      <c r="P236" s="129"/>
      <c r="Q236" s="130"/>
      <c r="R236" s="184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71"/>
      <c r="C237" s="73"/>
      <c r="D237" s="210"/>
      <c r="E237" s="188"/>
      <c r="F237" s="188"/>
      <c r="G237" s="188"/>
      <c r="H237" s="76"/>
      <c r="I237" s="84"/>
      <c r="J237" s="86"/>
      <c r="K237" s="87"/>
      <c r="L237" s="88"/>
      <c r="M237" s="86"/>
      <c r="N237" s="87"/>
      <c r="O237" s="88"/>
      <c r="P237" s="129"/>
      <c r="Q237" s="130"/>
      <c r="R237" s="184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71"/>
      <c r="C238" s="73"/>
      <c r="D238" s="210"/>
      <c r="E238" s="188"/>
      <c r="F238" s="188"/>
      <c r="G238" s="188"/>
      <c r="H238" s="76"/>
      <c r="I238" s="84"/>
      <c r="J238" s="86"/>
      <c r="K238" s="87"/>
      <c r="L238" s="88"/>
      <c r="M238" s="86"/>
      <c r="N238" s="87"/>
      <c r="O238" s="88"/>
      <c r="P238" s="129"/>
      <c r="Q238" s="130"/>
      <c r="R238" s="184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71"/>
      <c r="C239" s="73"/>
      <c r="D239" s="210"/>
      <c r="E239" s="188"/>
      <c r="F239" s="188"/>
      <c r="G239" s="188"/>
      <c r="H239" s="76"/>
      <c r="I239" s="84"/>
      <c r="J239" s="86"/>
      <c r="K239" s="87"/>
      <c r="L239" s="88"/>
      <c r="M239" s="86"/>
      <c r="N239" s="87"/>
      <c r="O239" s="88"/>
      <c r="P239" s="129"/>
      <c r="Q239" s="130"/>
      <c r="R239" s="184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71"/>
      <c r="C240" s="73"/>
      <c r="D240" s="210"/>
      <c r="E240" s="105"/>
      <c r="F240" s="105"/>
      <c r="G240" s="105"/>
      <c r="H240" s="76"/>
      <c r="I240" s="84"/>
      <c r="J240" s="87"/>
      <c r="K240" s="87"/>
      <c r="L240" s="74"/>
      <c r="M240" s="86"/>
      <c r="N240" s="87"/>
      <c r="O240" s="88"/>
      <c r="P240" s="59"/>
      <c r="Q240" s="105"/>
      <c r="R240" s="184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13" t="str">
        <f t="shared" ref="B241:C241" si="86">B231</f>
        <v>Origin Plug &amp; Play E22 Station</v>
      </c>
      <c r="C241" s="113" t="str">
        <f t="shared" si="86"/>
        <v>Room 1818</v>
      </c>
      <c r="D241" s="115">
        <f>SUM(D231:D240)</f>
        <v>0</v>
      </c>
      <c r="E241" s="121"/>
      <c r="F241" s="121"/>
      <c r="G241" s="121"/>
      <c r="H241" s="113" t="s">
        <v>95</v>
      </c>
      <c r="I241" s="118">
        <f t="shared" ref="I241:J241" si="87">SUM(I231:I240)</f>
        <v>32970</v>
      </c>
      <c r="J241" s="118">
        <f t="shared" si="87"/>
        <v>13000</v>
      </c>
      <c r="K241" s="118">
        <f>I241-J241</f>
        <v>19970</v>
      </c>
      <c r="L241" s="119">
        <f>K241/I241</f>
        <v>0.6057021535</v>
      </c>
      <c r="M241" s="118">
        <f>SUM(M231:M240)</f>
        <v>13000</v>
      </c>
      <c r="N241" s="118">
        <f>I241-M241</f>
        <v>19970</v>
      </c>
      <c r="O241" s="119">
        <f>N241/I241</f>
        <v>0.6057021535</v>
      </c>
      <c r="P241" s="120"/>
      <c r="Q241" s="121"/>
      <c r="R241" s="12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22"/>
      <c r="B242" s="123"/>
      <c r="C242" s="124"/>
      <c r="D242" s="124"/>
      <c r="E242" s="125"/>
      <c r="F242" s="125"/>
      <c r="G242" s="125"/>
      <c r="H242" s="126"/>
      <c r="I242" s="127"/>
      <c r="J242" s="127"/>
      <c r="K242" s="127"/>
      <c r="L242" s="128"/>
      <c r="M242" s="127"/>
      <c r="N242" s="127"/>
      <c r="O242" s="128"/>
      <c r="P242" s="125"/>
      <c r="Q242" s="125"/>
      <c r="R242" s="125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</row>
    <row r="243">
      <c r="A243" s="1"/>
      <c r="B243" s="51" t="s">
        <v>390</v>
      </c>
      <c r="C243" s="53" t="s">
        <v>475</v>
      </c>
      <c r="D243" s="54" t="s">
        <v>392</v>
      </c>
      <c r="E243" s="59"/>
      <c r="F243" s="60"/>
      <c r="G243" s="60"/>
      <c r="H243" s="62" t="s">
        <v>348</v>
      </c>
      <c r="I243" s="63"/>
      <c r="J243" s="65"/>
      <c r="K243" s="63"/>
      <c r="L243" s="67"/>
      <c r="M243" s="65"/>
      <c r="N243" s="63"/>
      <c r="O243" s="67"/>
      <c r="P243" s="59"/>
      <c r="Q243" s="59"/>
      <c r="R243" s="184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71"/>
      <c r="C244" s="73"/>
      <c r="D244" s="53" t="s">
        <v>393</v>
      </c>
      <c r="E244" s="185" t="s">
        <v>394</v>
      </c>
      <c r="F244" s="185" t="s">
        <v>395</v>
      </c>
      <c r="G244" s="188" t="s">
        <v>428</v>
      </c>
      <c r="H244" s="76" t="s">
        <v>429</v>
      </c>
      <c r="I244" s="85">
        <f>9000/1.07</f>
        <v>8411.214953</v>
      </c>
      <c r="J244" s="90">
        <v>4000.0</v>
      </c>
      <c r="K244" s="94">
        <f>I244-J244-J246</f>
        <v>1701.214953</v>
      </c>
      <c r="L244" s="96">
        <f>K244/I244</f>
        <v>0.2022555556</v>
      </c>
      <c r="M244" s="90">
        <v>4000.0</v>
      </c>
      <c r="N244" s="94">
        <f>I244-SUM(M244:M246)</f>
        <v>1701.214953</v>
      </c>
      <c r="O244" s="96">
        <f>N244/I244</f>
        <v>0.2022555556</v>
      </c>
      <c r="P244" s="55" t="s">
        <v>76</v>
      </c>
      <c r="Q244" s="97">
        <v>46204.0</v>
      </c>
      <c r="R244" s="186" t="s">
        <v>349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71"/>
      <c r="C245" s="73"/>
      <c r="D245" s="53" t="s">
        <v>399</v>
      </c>
      <c r="E245" s="23"/>
      <c r="F245" s="23"/>
      <c r="G245" s="188"/>
      <c r="H245" s="62" t="s">
        <v>430</v>
      </c>
      <c r="I245" s="22"/>
      <c r="J245" s="90"/>
      <c r="K245" s="23"/>
      <c r="L245" s="23"/>
      <c r="M245" s="90"/>
      <c r="N245" s="23"/>
      <c r="O245" s="23"/>
      <c r="P245" s="23"/>
      <c r="Q245" s="23"/>
      <c r="R245" s="186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71"/>
      <c r="C246" s="73"/>
      <c r="D246" s="53"/>
      <c r="E246" s="101"/>
      <c r="F246" s="101"/>
      <c r="G246" s="188" t="s">
        <v>431</v>
      </c>
      <c r="H246" s="76" t="s">
        <v>432</v>
      </c>
      <c r="I246" s="100"/>
      <c r="J246" s="86">
        <v>2710.0</v>
      </c>
      <c r="K246" s="101"/>
      <c r="L246" s="101"/>
      <c r="M246" s="86">
        <v>2710.0</v>
      </c>
      <c r="N246" s="23"/>
      <c r="O246" s="23"/>
      <c r="P246" s="101"/>
      <c r="Q246" s="101"/>
      <c r="R246" s="186" t="s">
        <v>433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71"/>
      <c r="C247" s="73"/>
      <c r="D247" s="210"/>
      <c r="E247" s="188"/>
      <c r="F247" s="188"/>
      <c r="G247" s="188"/>
      <c r="H247" s="76"/>
      <c r="I247" s="84"/>
      <c r="J247" s="86"/>
      <c r="K247" s="87"/>
      <c r="L247" s="88"/>
      <c r="M247" s="86"/>
      <c r="N247" s="87"/>
      <c r="O247" s="88"/>
      <c r="P247" s="129"/>
      <c r="Q247" s="130"/>
      <c r="R247" s="184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71"/>
      <c r="C248" s="73"/>
      <c r="D248" s="210"/>
      <c r="E248" s="188"/>
      <c r="F248" s="188"/>
      <c r="G248" s="188"/>
      <c r="H248" s="76"/>
      <c r="I248" s="84"/>
      <c r="J248" s="86"/>
      <c r="K248" s="87"/>
      <c r="L248" s="88"/>
      <c r="M248" s="86"/>
      <c r="N248" s="87"/>
      <c r="O248" s="88"/>
      <c r="P248" s="129"/>
      <c r="Q248" s="130"/>
      <c r="R248" s="184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71"/>
      <c r="C249" s="73"/>
      <c r="D249" s="210"/>
      <c r="E249" s="188"/>
      <c r="F249" s="188"/>
      <c r="G249" s="188"/>
      <c r="H249" s="76"/>
      <c r="I249" s="84"/>
      <c r="J249" s="86"/>
      <c r="K249" s="87"/>
      <c r="L249" s="88"/>
      <c r="M249" s="86"/>
      <c r="N249" s="87"/>
      <c r="O249" s="88"/>
      <c r="P249" s="129"/>
      <c r="Q249" s="130"/>
      <c r="R249" s="184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71"/>
      <c r="C250" s="73"/>
      <c r="D250" s="210"/>
      <c r="E250" s="188"/>
      <c r="F250" s="188"/>
      <c r="G250" s="188"/>
      <c r="H250" s="76"/>
      <c r="I250" s="84"/>
      <c r="J250" s="86"/>
      <c r="K250" s="87"/>
      <c r="L250" s="88"/>
      <c r="M250" s="86"/>
      <c r="N250" s="87"/>
      <c r="O250" s="88"/>
      <c r="P250" s="129"/>
      <c r="Q250" s="130"/>
      <c r="R250" s="184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71"/>
      <c r="C251" s="73"/>
      <c r="D251" s="210"/>
      <c r="E251" s="188"/>
      <c r="F251" s="188"/>
      <c r="G251" s="188"/>
      <c r="H251" s="76"/>
      <c r="I251" s="84"/>
      <c r="J251" s="86"/>
      <c r="K251" s="87"/>
      <c r="L251" s="88"/>
      <c r="M251" s="86"/>
      <c r="N251" s="87"/>
      <c r="O251" s="88"/>
      <c r="P251" s="129"/>
      <c r="Q251" s="130"/>
      <c r="R251" s="184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71"/>
      <c r="C252" s="73"/>
      <c r="D252" s="210"/>
      <c r="E252" s="188"/>
      <c r="F252" s="188"/>
      <c r="G252" s="188"/>
      <c r="H252" s="76"/>
      <c r="I252" s="84"/>
      <c r="J252" s="86"/>
      <c r="K252" s="87"/>
      <c r="L252" s="88"/>
      <c r="M252" s="86"/>
      <c r="N252" s="87"/>
      <c r="O252" s="88"/>
      <c r="P252" s="129"/>
      <c r="Q252" s="130"/>
      <c r="R252" s="184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71"/>
      <c r="C253" s="73"/>
      <c r="D253" s="210"/>
      <c r="E253" s="105"/>
      <c r="F253" s="105"/>
      <c r="G253" s="105"/>
      <c r="H253" s="76"/>
      <c r="I253" s="84"/>
      <c r="J253" s="87"/>
      <c r="K253" s="87"/>
      <c r="L253" s="74"/>
      <c r="M253" s="86"/>
      <c r="N253" s="87"/>
      <c r="O253" s="88"/>
      <c r="P253" s="59"/>
      <c r="Q253" s="105"/>
      <c r="R253" s="184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13" t="str">
        <f t="shared" ref="B254:C254" si="88">B243</f>
        <v>Origin Plug &amp; Play E22 Station</v>
      </c>
      <c r="C254" s="113" t="str">
        <f t="shared" si="88"/>
        <v>Room 1818</v>
      </c>
      <c r="D254" s="115">
        <f>SUM(D243:D253)</f>
        <v>0</v>
      </c>
      <c r="E254" s="121"/>
      <c r="F254" s="121"/>
      <c r="G254" s="121"/>
      <c r="H254" s="113" t="s">
        <v>95</v>
      </c>
      <c r="I254" s="118">
        <f t="shared" ref="I254:J254" si="89">SUM(I243:I253)</f>
        <v>8411.214953</v>
      </c>
      <c r="J254" s="118">
        <f t="shared" si="89"/>
        <v>6710</v>
      </c>
      <c r="K254" s="118">
        <f>I254-J254</f>
        <v>1701.214953</v>
      </c>
      <c r="L254" s="119">
        <f>K254/I254</f>
        <v>0.2022555556</v>
      </c>
      <c r="M254" s="118">
        <f>SUM(M243:M253)</f>
        <v>6710</v>
      </c>
      <c r="N254" s="118">
        <f>I254-M254</f>
        <v>1701.214953</v>
      </c>
      <c r="O254" s="119">
        <f>N254/I254</f>
        <v>0.2022555556</v>
      </c>
      <c r="P254" s="120"/>
      <c r="Q254" s="121"/>
      <c r="R254" s="12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22"/>
      <c r="B255" s="123"/>
      <c r="C255" s="124"/>
      <c r="D255" s="124"/>
      <c r="E255" s="125"/>
      <c r="F255" s="125"/>
      <c r="G255" s="125"/>
      <c r="H255" s="126"/>
      <c r="I255" s="127"/>
      <c r="J255" s="127"/>
      <c r="K255" s="127"/>
      <c r="L255" s="128"/>
      <c r="M255" s="127"/>
      <c r="N255" s="127"/>
      <c r="O255" s="128"/>
      <c r="P255" s="125"/>
      <c r="Q255" s="125"/>
      <c r="R255" s="125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</row>
    <row r="256">
      <c r="A256" s="1"/>
      <c r="B256" s="51" t="s">
        <v>390</v>
      </c>
      <c r="C256" s="53" t="s">
        <v>477</v>
      </c>
      <c r="D256" s="54"/>
      <c r="E256" s="59"/>
      <c r="F256" s="60"/>
      <c r="G256" s="60"/>
      <c r="H256" s="62" t="s">
        <v>48</v>
      </c>
      <c r="I256" s="63"/>
      <c r="J256" s="65"/>
      <c r="K256" s="63"/>
      <c r="L256" s="67"/>
      <c r="M256" s="65"/>
      <c r="N256" s="63"/>
      <c r="O256" s="67"/>
      <c r="P256" s="59"/>
      <c r="Q256" s="59"/>
      <c r="R256" s="184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71"/>
      <c r="C257" s="73"/>
      <c r="D257" s="53"/>
      <c r="E257" s="55" t="s">
        <v>478</v>
      </c>
      <c r="F257" s="58" t="s">
        <v>479</v>
      </c>
      <c r="G257" s="185" t="s">
        <v>480</v>
      </c>
      <c r="H257" s="76" t="s">
        <v>481</v>
      </c>
      <c r="I257" s="85">
        <f>72000/1.07</f>
        <v>67289.71963</v>
      </c>
      <c r="J257" s="90">
        <f>39500*1.1</f>
        <v>43450</v>
      </c>
      <c r="K257" s="87">
        <f t="shared" ref="K257:K263" si="90">I257-J257</f>
        <v>23839.71963</v>
      </c>
      <c r="L257" s="88">
        <f t="shared" ref="L257:L263" si="91">K257/I257</f>
        <v>0.3542847222</v>
      </c>
      <c r="M257" s="90">
        <v>43450.0</v>
      </c>
      <c r="N257" s="87">
        <f t="shared" ref="N257:N262" si="92">I257-M257</f>
        <v>23839.71963</v>
      </c>
      <c r="O257" s="88">
        <f t="shared" ref="O257:O262" si="93">N257/I257</f>
        <v>0.3542847222</v>
      </c>
      <c r="P257" s="55" t="s">
        <v>76</v>
      </c>
      <c r="Q257" s="97">
        <v>46164.0</v>
      </c>
      <c r="R257" s="187" t="s">
        <v>78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71"/>
      <c r="C258" s="73"/>
      <c r="D258" s="53"/>
      <c r="E258" s="23"/>
      <c r="F258" s="23"/>
      <c r="G258" s="23"/>
      <c r="H258" s="76" t="s">
        <v>482</v>
      </c>
      <c r="I258" s="85">
        <f>59000/1.07</f>
        <v>55140.18692</v>
      </c>
      <c r="J258" s="90">
        <f>32500*1.1</f>
        <v>35750</v>
      </c>
      <c r="K258" s="87">
        <f t="shared" si="90"/>
        <v>19390.18692</v>
      </c>
      <c r="L258" s="88">
        <f t="shared" si="91"/>
        <v>0.3516525424</v>
      </c>
      <c r="M258" s="90">
        <v>35750.0</v>
      </c>
      <c r="N258" s="87">
        <f t="shared" si="92"/>
        <v>19390.18692</v>
      </c>
      <c r="O258" s="88">
        <f t="shared" si="93"/>
        <v>0.3516525424</v>
      </c>
      <c r="P258" s="23"/>
      <c r="Q258" s="23"/>
      <c r="R258" s="2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71"/>
      <c r="C259" s="73"/>
      <c r="D259" s="53"/>
      <c r="E259" s="23"/>
      <c r="F259" s="23"/>
      <c r="G259" s="23"/>
      <c r="H259" s="76" t="s">
        <v>483</v>
      </c>
      <c r="I259" s="85">
        <f>7000/1.07</f>
        <v>6542.056075</v>
      </c>
      <c r="J259" s="90">
        <f>4700*1.1</f>
        <v>5170</v>
      </c>
      <c r="K259" s="87">
        <f t="shared" si="90"/>
        <v>1372.056075</v>
      </c>
      <c r="L259" s="88">
        <f t="shared" si="91"/>
        <v>0.2097285714</v>
      </c>
      <c r="M259" s="90">
        <v>5170.0</v>
      </c>
      <c r="N259" s="87">
        <f t="shared" si="92"/>
        <v>1372.056075</v>
      </c>
      <c r="O259" s="88">
        <f t="shared" si="93"/>
        <v>0.2097285714</v>
      </c>
      <c r="P259" s="23"/>
      <c r="Q259" s="23"/>
      <c r="R259" s="2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71"/>
      <c r="C260" s="73"/>
      <c r="D260" s="53"/>
      <c r="E260" s="23"/>
      <c r="F260" s="23"/>
      <c r="G260" s="23"/>
      <c r="H260" s="76" t="s">
        <v>484</v>
      </c>
      <c r="I260" s="85">
        <f>51000/1.07</f>
        <v>47663.5514</v>
      </c>
      <c r="J260" s="90">
        <f>28000*1.1</f>
        <v>30800</v>
      </c>
      <c r="K260" s="87">
        <f t="shared" si="90"/>
        <v>16863.5514</v>
      </c>
      <c r="L260" s="88">
        <f t="shared" si="91"/>
        <v>0.3538039216</v>
      </c>
      <c r="M260" s="90">
        <v>30800.0</v>
      </c>
      <c r="N260" s="87">
        <f t="shared" si="92"/>
        <v>16863.5514</v>
      </c>
      <c r="O260" s="88">
        <f t="shared" si="93"/>
        <v>0.3538039216</v>
      </c>
      <c r="P260" s="23"/>
      <c r="Q260" s="23"/>
      <c r="R260" s="2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71"/>
      <c r="C261" s="73"/>
      <c r="D261" s="53"/>
      <c r="E261" s="23"/>
      <c r="F261" s="23"/>
      <c r="G261" s="23"/>
      <c r="H261" s="76" t="s">
        <v>485</v>
      </c>
      <c r="I261" s="85">
        <f>26000/1.07</f>
        <v>24299.06542</v>
      </c>
      <c r="J261" s="90">
        <f>14000*1.1</f>
        <v>15400</v>
      </c>
      <c r="K261" s="87">
        <f t="shared" si="90"/>
        <v>8899.065421</v>
      </c>
      <c r="L261" s="88">
        <f t="shared" si="91"/>
        <v>0.3662307692</v>
      </c>
      <c r="M261" s="90">
        <v>15400.0</v>
      </c>
      <c r="N261" s="87">
        <f t="shared" si="92"/>
        <v>8899.065421</v>
      </c>
      <c r="O261" s="88">
        <f t="shared" si="93"/>
        <v>0.3662307692</v>
      </c>
      <c r="P261" s="23"/>
      <c r="Q261" s="23"/>
      <c r="R261" s="2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71"/>
      <c r="C262" s="73"/>
      <c r="D262" s="53"/>
      <c r="E262" s="23"/>
      <c r="F262" s="23"/>
      <c r="G262" s="101"/>
      <c r="H262" s="76" t="s">
        <v>486</v>
      </c>
      <c r="I262" s="85">
        <f>5000/1.07</f>
        <v>4672.897196</v>
      </c>
      <c r="J262" s="90">
        <f>2500*1.1</f>
        <v>2750</v>
      </c>
      <c r="K262" s="87">
        <f t="shared" si="90"/>
        <v>1922.897196</v>
      </c>
      <c r="L262" s="88">
        <f t="shared" si="91"/>
        <v>0.4115</v>
      </c>
      <c r="M262" s="90">
        <v>2750.0</v>
      </c>
      <c r="N262" s="87">
        <f t="shared" si="92"/>
        <v>1922.897196</v>
      </c>
      <c r="O262" s="88">
        <f t="shared" si="93"/>
        <v>0.4115</v>
      </c>
      <c r="P262" s="23"/>
      <c r="Q262" s="23"/>
      <c r="R262" s="100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71"/>
      <c r="C263" s="73"/>
      <c r="D263" s="53"/>
      <c r="E263" s="23"/>
      <c r="F263" s="23"/>
      <c r="G263" s="188"/>
      <c r="H263" s="62" t="s">
        <v>92</v>
      </c>
      <c r="I263" s="85">
        <v>0.0</v>
      </c>
      <c r="J263" s="211">
        <v>-4348.04</v>
      </c>
      <c r="K263" s="87">
        <f t="shared" si="90"/>
        <v>4348.04</v>
      </c>
      <c r="L263" s="88" t="str">
        <f t="shared" si="91"/>
        <v>#DIV/0!</v>
      </c>
      <c r="M263" s="90"/>
      <c r="N263" s="63"/>
      <c r="O263" s="212"/>
      <c r="P263" s="23"/>
      <c r="Q263" s="23"/>
      <c r="R263" s="186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71"/>
      <c r="C264" s="73"/>
      <c r="D264" s="53"/>
      <c r="E264" s="23"/>
      <c r="F264" s="23"/>
      <c r="G264" s="188"/>
      <c r="H264" s="62" t="s">
        <v>188</v>
      </c>
      <c r="I264" s="85"/>
      <c r="J264" s="90"/>
      <c r="K264" s="94"/>
      <c r="L264" s="212"/>
      <c r="M264" s="90"/>
      <c r="N264" s="63"/>
      <c r="O264" s="212"/>
      <c r="P264" s="23"/>
      <c r="Q264" s="23"/>
      <c r="R264" s="186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71"/>
      <c r="C265" s="73"/>
      <c r="D265" s="53"/>
      <c r="E265" s="23"/>
      <c r="F265" s="23"/>
      <c r="G265" s="185" t="s">
        <v>487</v>
      </c>
      <c r="H265" s="76" t="s">
        <v>488</v>
      </c>
      <c r="I265" s="84">
        <f>15500/1.07</f>
        <v>14485.98131</v>
      </c>
      <c r="J265" s="86">
        <v>7000.0</v>
      </c>
      <c r="K265" s="87">
        <f t="shared" ref="K265:K269" si="94">I265-J265</f>
        <v>7485.981308</v>
      </c>
      <c r="L265" s="88">
        <f t="shared" ref="L265:L269" si="95">K265/I265</f>
        <v>0.5167741935</v>
      </c>
      <c r="M265" s="86">
        <v>9000.0</v>
      </c>
      <c r="N265" s="87">
        <f t="shared" ref="N265:N269" si="96">I265-M265</f>
        <v>5485.981308</v>
      </c>
      <c r="O265" s="88">
        <f t="shared" ref="O265:O269" si="97">N265/I265</f>
        <v>0.3787096774</v>
      </c>
      <c r="P265" s="23"/>
      <c r="Q265" s="23"/>
      <c r="R265" s="187" t="s">
        <v>82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71"/>
      <c r="C266" s="73"/>
      <c r="D266" s="210"/>
      <c r="E266" s="23"/>
      <c r="F266" s="23"/>
      <c r="G266" s="101"/>
      <c r="H266" s="76" t="s">
        <v>489</v>
      </c>
      <c r="I266" s="84">
        <f>11600/1.07</f>
        <v>10841.1215</v>
      </c>
      <c r="J266" s="86">
        <v>5000.0</v>
      </c>
      <c r="K266" s="87">
        <f t="shared" si="94"/>
        <v>5841.121495</v>
      </c>
      <c r="L266" s="88">
        <f t="shared" si="95"/>
        <v>0.5387931034</v>
      </c>
      <c r="M266" s="86">
        <v>9000.0</v>
      </c>
      <c r="N266" s="87">
        <f t="shared" si="96"/>
        <v>1841.121495</v>
      </c>
      <c r="O266" s="88">
        <f t="shared" si="97"/>
        <v>0.1698275862</v>
      </c>
      <c r="P266" s="23"/>
      <c r="Q266" s="23"/>
      <c r="R266" s="2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71"/>
      <c r="C267" s="73"/>
      <c r="D267" s="210"/>
      <c r="E267" s="23"/>
      <c r="F267" s="23"/>
      <c r="G267" s="185" t="s">
        <v>490</v>
      </c>
      <c r="H267" s="76" t="s">
        <v>491</v>
      </c>
      <c r="I267" s="84">
        <f>6800/1.07</f>
        <v>6355.140187</v>
      </c>
      <c r="J267" s="86">
        <v>3800.0</v>
      </c>
      <c r="K267" s="87">
        <f t="shared" si="94"/>
        <v>2555.140187</v>
      </c>
      <c r="L267" s="88">
        <f t="shared" si="95"/>
        <v>0.4020588235</v>
      </c>
      <c r="M267" s="86">
        <v>5000.0</v>
      </c>
      <c r="N267" s="87">
        <f t="shared" si="96"/>
        <v>1355.140187</v>
      </c>
      <c r="O267" s="88">
        <f t="shared" si="97"/>
        <v>0.2132352941</v>
      </c>
      <c r="P267" s="23"/>
      <c r="Q267" s="23"/>
      <c r="R267" s="2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71"/>
      <c r="C268" s="73"/>
      <c r="D268" s="210"/>
      <c r="E268" s="23"/>
      <c r="F268" s="23"/>
      <c r="G268" s="101"/>
      <c r="H268" s="76" t="s">
        <v>492</v>
      </c>
      <c r="I268" s="84">
        <f>10000/1.07</f>
        <v>9345.794393</v>
      </c>
      <c r="J268" s="86">
        <v>4000.0</v>
      </c>
      <c r="K268" s="87">
        <f t="shared" si="94"/>
        <v>5345.794393</v>
      </c>
      <c r="L268" s="88">
        <f t="shared" si="95"/>
        <v>0.572</v>
      </c>
      <c r="M268" s="86">
        <v>5000.0</v>
      </c>
      <c r="N268" s="87">
        <f t="shared" si="96"/>
        <v>4345.794393</v>
      </c>
      <c r="O268" s="88">
        <f t="shared" si="97"/>
        <v>0.465</v>
      </c>
      <c r="P268" s="23"/>
      <c r="Q268" s="23"/>
      <c r="R268" s="2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71"/>
      <c r="C269" s="73"/>
      <c r="D269" s="210"/>
      <c r="E269" s="23"/>
      <c r="F269" s="23"/>
      <c r="G269" s="188"/>
      <c r="H269" s="76" t="s">
        <v>493</v>
      </c>
      <c r="I269" s="84">
        <v>0.0</v>
      </c>
      <c r="J269" s="86">
        <f>2000+1500</f>
        <v>3500</v>
      </c>
      <c r="K269" s="87">
        <f t="shared" si="94"/>
        <v>-3500</v>
      </c>
      <c r="L269" s="88" t="str">
        <f t="shared" si="95"/>
        <v>#DIV/0!</v>
      </c>
      <c r="M269" s="86">
        <v>2500.0</v>
      </c>
      <c r="N269" s="87">
        <f t="shared" si="96"/>
        <v>-2500</v>
      </c>
      <c r="O269" s="88" t="str">
        <f t="shared" si="97"/>
        <v>#DIV/0!</v>
      </c>
      <c r="P269" s="23"/>
      <c r="Q269" s="23"/>
      <c r="R269" s="2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71"/>
      <c r="C270" s="73"/>
      <c r="D270" s="210"/>
      <c r="E270" s="23"/>
      <c r="F270" s="23"/>
      <c r="G270" s="188"/>
      <c r="H270" s="62" t="s">
        <v>192</v>
      </c>
      <c r="I270" s="84"/>
      <c r="J270" s="86"/>
      <c r="K270" s="87"/>
      <c r="L270" s="88"/>
      <c r="M270" s="86"/>
      <c r="N270" s="87"/>
      <c r="O270" s="88"/>
      <c r="P270" s="23"/>
      <c r="Q270" s="23"/>
      <c r="R270" s="2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71"/>
      <c r="C271" s="73"/>
      <c r="D271" s="210"/>
      <c r="E271" s="23"/>
      <c r="F271" s="23"/>
      <c r="G271" s="185" t="s">
        <v>487</v>
      </c>
      <c r="H271" s="76" t="s">
        <v>494</v>
      </c>
      <c r="I271" s="84">
        <f>38400/1.07</f>
        <v>35887.85047</v>
      </c>
      <c r="J271" s="86">
        <v>13160.0</v>
      </c>
      <c r="K271" s="87">
        <f t="shared" ref="K271:K272" si="98">I271-J271</f>
        <v>22727.85047</v>
      </c>
      <c r="L271" s="88">
        <f t="shared" ref="L271:L272" si="99">K271/I271</f>
        <v>0.6333020833</v>
      </c>
      <c r="M271" s="86">
        <v>10000.0</v>
      </c>
      <c r="N271" s="87">
        <f t="shared" ref="N271:N272" si="100">I271-M271</f>
        <v>25887.85047</v>
      </c>
      <c r="O271" s="88">
        <f t="shared" ref="O271:O272" si="101">N271/I271</f>
        <v>0.7213541667</v>
      </c>
      <c r="P271" s="23"/>
      <c r="Q271" s="23"/>
      <c r="R271" s="2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71"/>
      <c r="C272" s="73"/>
      <c r="D272" s="210"/>
      <c r="E272" s="23"/>
      <c r="F272" s="23"/>
      <c r="G272" s="101"/>
      <c r="H272" s="76" t="s">
        <v>495</v>
      </c>
      <c r="I272" s="84">
        <v>0.0</v>
      </c>
      <c r="J272" s="86">
        <v>5600.0</v>
      </c>
      <c r="K272" s="87">
        <f t="shared" si="98"/>
        <v>-5600</v>
      </c>
      <c r="L272" s="88" t="str">
        <f t="shared" si="99"/>
        <v>#DIV/0!</v>
      </c>
      <c r="M272" s="86">
        <v>2000.0</v>
      </c>
      <c r="N272" s="87">
        <f t="shared" si="100"/>
        <v>-2000</v>
      </c>
      <c r="O272" s="88" t="str">
        <f t="shared" si="101"/>
        <v>#DIV/0!</v>
      </c>
      <c r="P272" s="101"/>
      <c r="Q272" s="101"/>
      <c r="R272" s="100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71"/>
      <c r="C273" s="73"/>
      <c r="D273" s="210"/>
      <c r="E273" s="23"/>
      <c r="F273" s="23"/>
      <c r="G273" s="188"/>
      <c r="H273" s="62" t="s">
        <v>92</v>
      </c>
      <c r="I273" s="102">
        <f>-30230/1.07</f>
        <v>-28252.33645</v>
      </c>
      <c r="J273" s="106">
        <v>-1760.0</v>
      </c>
      <c r="K273" s="87"/>
      <c r="L273" s="88"/>
      <c r="M273" s="86"/>
      <c r="N273" s="87"/>
      <c r="O273" s="88"/>
      <c r="P273" s="129"/>
      <c r="Q273" s="130"/>
      <c r="R273" s="184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71"/>
      <c r="C274" s="73"/>
      <c r="D274" s="210"/>
      <c r="E274" s="101"/>
      <c r="F274" s="101"/>
      <c r="G274" s="188"/>
      <c r="H274" s="76"/>
      <c r="I274" s="102">
        <f>-2070/1.07</f>
        <v>-1934.579439</v>
      </c>
      <c r="J274" s="106">
        <v>-300.0</v>
      </c>
      <c r="K274" s="87"/>
      <c r="L274" s="88"/>
      <c r="M274" s="86"/>
      <c r="N274" s="87"/>
      <c r="O274" s="88"/>
      <c r="P274" s="129"/>
      <c r="Q274" s="130"/>
      <c r="R274" s="184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71"/>
      <c r="C275" s="73"/>
      <c r="D275" s="210"/>
      <c r="E275" s="188"/>
      <c r="F275" s="188"/>
      <c r="G275" s="188"/>
      <c r="H275" s="76"/>
      <c r="I275" s="84"/>
      <c r="J275" s="86"/>
      <c r="K275" s="87"/>
      <c r="L275" s="88"/>
      <c r="M275" s="86"/>
      <c r="N275" s="87"/>
      <c r="O275" s="88"/>
      <c r="P275" s="129"/>
      <c r="Q275" s="130"/>
      <c r="R275" s="184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13" t="str">
        <f t="shared" ref="B276:C276" si="102">B256</f>
        <v>Origin Plug &amp; Play E22 Station</v>
      </c>
      <c r="C276" s="113" t="str">
        <f t="shared" si="102"/>
        <v>Room 1737</v>
      </c>
      <c r="D276" s="115">
        <f>SUM(D256:D272)</f>
        <v>0</v>
      </c>
      <c r="E276" s="121"/>
      <c r="F276" s="121"/>
      <c r="G276" s="121"/>
      <c r="H276" s="113" t="s">
        <v>95</v>
      </c>
      <c r="I276" s="118">
        <f t="shared" ref="I276:J276" si="103">SUM(I256:I274)</f>
        <v>252336.4486</v>
      </c>
      <c r="J276" s="118">
        <f t="shared" si="103"/>
        <v>168971.96</v>
      </c>
      <c r="K276" s="118">
        <f>I276-J276</f>
        <v>83364.4886</v>
      </c>
      <c r="L276" s="119">
        <f>K276/I276</f>
        <v>0.3303703807</v>
      </c>
      <c r="M276" s="118">
        <f>SUM(M256:M272)</f>
        <v>175820</v>
      </c>
      <c r="N276" s="118">
        <f>I276-M276</f>
        <v>76516.4486</v>
      </c>
      <c r="O276" s="119">
        <f>N276/I276</f>
        <v>0.3032318519</v>
      </c>
      <c r="P276" s="120"/>
      <c r="Q276" s="121"/>
      <c r="R276" s="12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81"/>
      <c r="E277" s="201"/>
      <c r="F277" s="201"/>
      <c r="G277" s="201"/>
      <c r="H277" s="1"/>
      <c r="I277" s="1"/>
      <c r="J277" s="1"/>
      <c r="K277" s="1"/>
      <c r="L277" s="1"/>
      <c r="M277" s="1"/>
      <c r="N277" s="1"/>
      <c r="O277" s="1"/>
      <c r="P277" s="1"/>
      <c r="Q277" s="131"/>
      <c r="R277" s="20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81"/>
      <c r="E278" s="201"/>
      <c r="F278" s="201"/>
      <c r="G278" s="201"/>
      <c r="H278" s="1"/>
      <c r="I278" s="1"/>
      <c r="J278" s="1"/>
      <c r="K278" s="1"/>
      <c r="L278" s="1"/>
      <c r="M278" s="1"/>
      <c r="N278" s="1"/>
      <c r="O278" s="1"/>
      <c r="P278" s="1"/>
      <c r="Q278" s="131"/>
      <c r="R278" s="20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81"/>
      <c r="E279" s="201"/>
      <c r="F279" s="201"/>
      <c r="G279" s="201"/>
      <c r="H279" s="1"/>
      <c r="I279" s="1"/>
      <c r="J279" s="1"/>
      <c r="K279" s="1"/>
      <c r="L279" s="1"/>
      <c r="M279" s="1"/>
      <c r="N279" s="1"/>
      <c r="O279" s="1"/>
      <c r="P279" s="1"/>
      <c r="Q279" s="131"/>
      <c r="R279" s="20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81"/>
      <c r="E280" s="201"/>
      <c r="F280" s="201"/>
      <c r="G280" s="201"/>
      <c r="H280" s="1"/>
      <c r="I280" s="1"/>
      <c r="J280" s="1"/>
      <c r="K280" s="1"/>
      <c r="L280" s="1"/>
      <c r="M280" s="1"/>
      <c r="N280" s="1"/>
      <c r="O280" s="1"/>
      <c r="P280" s="1"/>
      <c r="Q280" s="131"/>
      <c r="R280" s="20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81"/>
      <c r="E281" s="201"/>
      <c r="F281" s="201"/>
      <c r="G281" s="201"/>
      <c r="H281" s="1"/>
      <c r="I281" s="1"/>
      <c r="J281" s="1"/>
      <c r="K281" s="1"/>
      <c r="L281" s="1"/>
      <c r="M281" s="1"/>
      <c r="N281" s="1"/>
      <c r="O281" s="1"/>
      <c r="P281" s="1"/>
      <c r="Q281" s="131"/>
      <c r="R281" s="20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81"/>
      <c r="E282" s="201"/>
      <c r="F282" s="201"/>
      <c r="G282" s="201"/>
      <c r="H282" s="1"/>
      <c r="I282" s="1"/>
      <c r="J282" s="1"/>
      <c r="K282" s="1"/>
      <c r="L282" s="1"/>
      <c r="M282" s="1"/>
      <c r="N282" s="1"/>
      <c r="O282" s="1"/>
      <c r="P282" s="1"/>
      <c r="Q282" s="131"/>
      <c r="R282" s="20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81"/>
      <c r="E283" s="201"/>
      <c r="F283" s="201"/>
      <c r="G283" s="201"/>
      <c r="H283" s="1"/>
      <c r="I283" s="1"/>
      <c r="J283" s="1"/>
      <c r="K283" s="1"/>
      <c r="L283" s="1"/>
      <c r="M283" s="1"/>
      <c r="N283" s="1"/>
      <c r="O283" s="1"/>
      <c r="P283" s="1"/>
      <c r="Q283" s="131"/>
      <c r="R283" s="20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81"/>
      <c r="E284" s="201"/>
      <c r="F284" s="201"/>
      <c r="G284" s="201"/>
      <c r="H284" s="1"/>
      <c r="I284" s="1"/>
      <c r="J284" s="1"/>
      <c r="K284" s="1"/>
      <c r="L284" s="1"/>
      <c r="M284" s="1"/>
      <c r="N284" s="1"/>
      <c r="O284" s="1"/>
      <c r="P284" s="1"/>
      <c r="Q284" s="131"/>
      <c r="R284" s="20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81"/>
      <c r="E285" s="201"/>
      <c r="F285" s="201"/>
      <c r="G285" s="201"/>
      <c r="H285" s="1"/>
      <c r="I285" s="1"/>
      <c r="J285" s="1"/>
      <c r="K285" s="1"/>
      <c r="L285" s="1"/>
      <c r="M285" s="1"/>
      <c r="N285" s="1"/>
      <c r="O285" s="1"/>
      <c r="P285" s="1"/>
      <c r="Q285" s="131"/>
      <c r="R285" s="20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81"/>
      <c r="E286" s="201"/>
      <c r="F286" s="201"/>
      <c r="G286" s="201"/>
      <c r="H286" s="1"/>
      <c r="I286" s="1"/>
      <c r="J286" s="1"/>
      <c r="K286" s="1"/>
      <c r="L286" s="1"/>
      <c r="M286" s="1"/>
      <c r="N286" s="1"/>
      <c r="O286" s="1"/>
      <c r="P286" s="1"/>
      <c r="Q286" s="131"/>
      <c r="R286" s="20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81"/>
      <c r="E287" s="201"/>
      <c r="F287" s="201"/>
      <c r="G287" s="201"/>
      <c r="H287" s="1"/>
      <c r="I287" s="1"/>
      <c r="J287" s="1"/>
      <c r="K287" s="1"/>
      <c r="L287" s="1"/>
      <c r="M287" s="1"/>
      <c r="N287" s="1"/>
      <c r="O287" s="1"/>
      <c r="P287" s="1"/>
      <c r="Q287" s="131"/>
      <c r="R287" s="20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81"/>
      <c r="E288" s="201"/>
      <c r="F288" s="201"/>
      <c r="G288" s="201"/>
      <c r="H288" s="1"/>
      <c r="I288" s="1"/>
      <c r="J288" s="1"/>
      <c r="K288" s="1"/>
      <c r="L288" s="1"/>
      <c r="M288" s="1"/>
      <c r="N288" s="1"/>
      <c r="O288" s="1"/>
      <c r="P288" s="1"/>
      <c r="Q288" s="131"/>
      <c r="R288" s="20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81"/>
      <c r="E289" s="201"/>
      <c r="F289" s="201"/>
      <c r="G289" s="201"/>
      <c r="H289" s="1"/>
      <c r="I289" s="1"/>
      <c r="J289" s="1"/>
      <c r="K289" s="1"/>
      <c r="L289" s="1"/>
      <c r="M289" s="1"/>
      <c r="N289" s="1"/>
      <c r="O289" s="1"/>
      <c r="P289" s="1"/>
      <c r="Q289" s="131"/>
      <c r="R289" s="20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81"/>
      <c r="E290" s="201"/>
      <c r="F290" s="201"/>
      <c r="G290" s="201"/>
      <c r="H290" s="1"/>
      <c r="I290" s="1"/>
      <c r="J290" s="1"/>
      <c r="K290" s="1"/>
      <c r="L290" s="1"/>
      <c r="M290" s="1"/>
      <c r="N290" s="1"/>
      <c r="O290" s="1"/>
      <c r="P290" s="1"/>
      <c r="Q290" s="131"/>
      <c r="R290" s="20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81"/>
      <c r="E291" s="201"/>
      <c r="F291" s="201"/>
      <c r="G291" s="201"/>
      <c r="H291" s="1"/>
      <c r="I291" s="1"/>
      <c r="J291" s="1"/>
      <c r="K291" s="1"/>
      <c r="L291" s="1"/>
      <c r="M291" s="1"/>
      <c r="N291" s="1"/>
      <c r="O291" s="1"/>
      <c r="P291" s="1"/>
      <c r="Q291" s="131"/>
      <c r="R291" s="20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81"/>
      <c r="E292" s="201"/>
      <c r="F292" s="201"/>
      <c r="G292" s="201"/>
      <c r="H292" s="1"/>
      <c r="I292" s="1"/>
      <c r="J292" s="1"/>
      <c r="K292" s="1"/>
      <c r="L292" s="1"/>
      <c r="M292" s="1"/>
      <c r="N292" s="1"/>
      <c r="O292" s="1"/>
      <c r="P292" s="1"/>
      <c r="Q292" s="131"/>
      <c r="R292" s="20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81"/>
      <c r="E293" s="201"/>
      <c r="F293" s="201"/>
      <c r="G293" s="201"/>
      <c r="H293" s="1"/>
      <c r="I293" s="1"/>
      <c r="J293" s="1"/>
      <c r="K293" s="1"/>
      <c r="L293" s="1"/>
      <c r="M293" s="1"/>
      <c r="N293" s="1"/>
      <c r="O293" s="1"/>
      <c r="P293" s="1"/>
      <c r="Q293" s="131"/>
      <c r="R293" s="20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81"/>
      <c r="E294" s="201"/>
      <c r="F294" s="201"/>
      <c r="G294" s="201"/>
      <c r="H294" s="1"/>
      <c r="I294" s="1"/>
      <c r="J294" s="1"/>
      <c r="K294" s="1"/>
      <c r="L294" s="1"/>
      <c r="M294" s="1"/>
      <c r="N294" s="1"/>
      <c r="O294" s="1"/>
      <c r="P294" s="1"/>
      <c r="Q294" s="131"/>
      <c r="R294" s="20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81"/>
      <c r="E295" s="201"/>
      <c r="F295" s="201"/>
      <c r="G295" s="201"/>
      <c r="H295" s="1"/>
      <c r="I295" s="1"/>
      <c r="J295" s="1"/>
      <c r="K295" s="1"/>
      <c r="L295" s="1"/>
      <c r="M295" s="1"/>
      <c r="N295" s="1"/>
      <c r="O295" s="1"/>
      <c r="P295" s="1"/>
      <c r="Q295" s="131"/>
      <c r="R295" s="20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81"/>
      <c r="E296" s="201"/>
      <c r="F296" s="201"/>
      <c r="G296" s="201"/>
      <c r="H296" s="1"/>
      <c r="I296" s="1"/>
      <c r="J296" s="1"/>
      <c r="K296" s="1"/>
      <c r="L296" s="1"/>
      <c r="M296" s="1"/>
      <c r="N296" s="1"/>
      <c r="O296" s="1"/>
      <c r="P296" s="1"/>
      <c r="Q296" s="131"/>
      <c r="R296" s="20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81"/>
      <c r="E297" s="201"/>
      <c r="F297" s="201"/>
      <c r="G297" s="201"/>
      <c r="H297" s="1"/>
      <c r="I297" s="1"/>
      <c r="J297" s="1"/>
      <c r="K297" s="1"/>
      <c r="L297" s="1"/>
      <c r="M297" s="1"/>
      <c r="N297" s="1"/>
      <c r="O297" s="1"/>
      <c r="P297" s="1"/>
      <c r="Q297" s="131"/>
      <c r="R297" s="20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81"/>
      <c r="E298" s="201"/>
      <c r="F298" s="201"/>
      <c r="G298" s="201"/>
      <c r="H298" s="1"/>
      <c r="I298" s="1"/>
      <c r="J298" s="1"/>
      <c r="K298" s="1"/>
      <c r="L298" s="1"/>
      <c r="M298" s="1"/>
      <c r="N298" s="1"/>
      <c r="O298" s="1"/>
      <c r="P298" s="1"/>
      <c r="Q298" s="131"/>
      <c r="R298" s="20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81"/>
      <c r="E299" s="201"/>
      <c r="F299" s="201"/>
      <c r="G299" s="201"/>
      <c r="H299" s="1"/>
      <c r="I299" s="1"/>
      <c r="J299" s="1"/>
      <c r="K299" s="1"/>
      <c r="L299" s="1"/>
      <c r="M299" s="1"/>
      <c r="N299" s="1"/>
      <c r="O299" s="1"/>
      <c r="P299" s="1"/>
      <c r="Q299" s="131"/>
      <c r="R299" s="20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81"/>
      <c r="E300" s="201"/>
      <c r="F300" s="201"/>
      <c r="G300" s="201"/>
      <c r="H300" s="1"/>
      <c r="I300" s="1"/>
      <c r="J300" s="1"/>
      <c r="K300" s="1"/>
      <c r="L300" s="1"/>
      <c r="M300" s="1"/>
      <c r="N300" s="1"/>
      <c r="O300" s="1"/>
      <c r="P300" s="1"/>
      <c r="Q300" s="131"/>
      <c r="R300" s="20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81"/>
      <c r="E301" s="201"/>
      <c r="F301" s="201"/>
      <c r="G301" s="201"/>
      <c r="H301" s="1"/>
      <c r="I301" s="1"/>
      <c r="J301" s="1"/>
      <c r="K301" s="1"/>
      <c r="L301" s="1"/>
      <c r="M301" s="1"/>
      <c r="N301" s="1"/>
      <c r="O301" s="1"/>
      <c r="P301" s="1"/>
      <c r="Q301" s="131"/>
      <c r="R301" s="20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81"/>
      <c r="E302" s="201"/>
      <c r="F302" s="201"/>
      <c r="G302" s="201"/>
      <c r="H302" s="1"/>
      <c r="I302" s="1"/>
      <c r="J302" s="1"/>
      <c r="K302" s="1"/>
      <c r="L302" s="1"/>
      <c r="M302" s="1"/>
      <c r="N302" s="1"/>
      <c r="O302" s="1"/>
      <c r="P302" s="1"/>
      <c r="Q302" s="131"/>
      <c r="R302" s="20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81"/>
      <c r="E303" s="201"/>
      <c r="F303" s="201"/>
      <c r="G303" s="201"/>
      <c r="H303" s="1"/>
      <c r="I303" s="1"/>
      <c r="J303" s="1"/>
      <c r="K303" s="1"/>
      <c r="L303" s="1"/>
      <c r="M303" s="1"/>
      <c r="N303" s="1"/>
      <c r="O303" s="1"/>
      <c r="P303" s="1"/>
      <c r="Q303" s="131"/>
      <c r="R303" s="20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81"/>
      <c r="E304" s="201"/>
      <c r="F304" s="201"/>
      <c r="G304" s="201"/>
      <c r="H304" s="1"/>
      <c r="I304" s="1"/>
      <c r="J304" s="1"/>
      <c r="K304" s="1"/>
      <c r="L304" s="1"/>
      <c r="M304" s="1"/>
      <c r="N304" s="1"/>
      <c r="O304" s="1"/>
      <c r="P304" s="1"/>
      <c r="Q304" s="131"/>
      <c r="R304" s="20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81"/>
      <c r="E305" s="201"/>
      <c r="F305" s="201"/>
      <c r="G305" s="201"/>
      <c r="H305" s="1"/>
      <c r="I305" s="1"/>
      <c r="J305" s="1"/>
      <c r="K305" s="1"/>
      <c r="L305" s="1"/>
      <c r="M305" s="1"/>
      <c r="N305" s="1"/>
      <c r="O305" s="1"/>
      <c r="P305" s="1"/>
      <c r="Q305" s="131"/>
      <c r="R305" s="20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81"/>
      <c r="E306" s="201"/>
      <c r="F306" s="201"/>
      <c r="G306" s="201"/>
      <c r="H306" s="1"/>
      <c r="I306" s="1"/>
      <c r="J306" s="1"/>
      <c r="K306" s="1"/>
      <c r="L306" s="1"/>
      <c r="M306" s="1"/>
      <c r="N306" s="1"/>
      <c r="O306" s="1"/>
      <c r="P306" s="1"/>
      <c r="Q306" s="131"/>
      <c r="R306" s="20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81"/>
      <c r="E307" s="201"/>
      <c r="F307" s="201"/>
      <c r="G307" s="201"/>
      <c r="H307" s="1"/>
      <c r="I307" s="1"/>
      <c r="J307" s="1"/>
      <c r="K307" s="1"/>
      <c r="L307" s="1"/>
      <c r="M307" s="1"/>
      <c r="N307" s="1"/>
      <c r="O307" s="1"/>
      <c r="P307" s="1"/>
      <c r="Q307" s="131"/>
      <c r="R307" s="20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81"/>
      <c r="E308" s="201"/>
      <c r="F308" s="201"/>
      <c r="G308" s="201"/>
      <c r="H308" s="1"/>
      <c r="I308" s="1"/>
      <c r="J308" s="1"/>
      <c r="K308" s="1"/>
      <c r="L308" s="1"/>
      <c r="M308" s="1"/>
      <c r="N308" s="1"/>
      <c r="O308" s="1"/>
      <c r="P308" s="1"/>
      <c r="Q308" s="131"/>
      <c r="R308" s="20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81"/>
      <c r="E309" s="201"/>
      <c r="F309" s="201"/>
      <c r="G309" s="201"/>
      <c r="H309" s="1"/>
      <c r="I309" s="1"/>
      <c r="J309" s="1"/>
      <c r="K309" s="1"/>
      <c r="L309" s="1"/>
      <c r="M309" s="1"/>
      <c r="N309" s="1"/>
      <c r="O309" s="1"/>
      <c r="P309" s="1"/>
      <c r="Q309" s="131"/>
      <c r="R309" s="20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81"/>
      <c r="E310" s="201"/>
      <c r="F310" s="201"/>
      <c r="G310" s="201"/>
      <c r="H310" s="1"/>
      <c r="I310" s="1"/>
      <c r="J310" s="1"/>
      <c r="K310" s="1"/>
      <c r="L310" s="1"/>
      <c r="M310" s="1"/>
      <c r="N310" s="1"/>
      <c r="O310" s="1"/>
      <c r="P310" s="1"/>
      <c r="Q310" s="131"/>
      <c r="R310" s="20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81"/>
      <c r="E311" s="201"/>
      <c r="F311" s="201"/>
      <c r="G311" s="201"/>
      <c r="H311" s="1"/>
      <c r="I311" s="1"/>
      <c r="J311" s="1"/>
      <c r="K311" s="1"/>
      <c r="L311" s="1"/>
      <c r="M311" s="1"/>
      <c r="N311" s="1"/>
      <c r="O311" s="1"/>
      <c r="P311" s="1"/>
      <c r="Q311" s="131"/>
      <c r="R311" s="20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81"/>
      <c r="E312" s="201"/>
      <c r="F312" s="201"/>
      <c r="G312" s="201"/>
      <c r="H312" s="1"/>
      <c r="I312" s="1"/>
      <c r="J312" s="1"/>
      <c r="K312" s="1"/>
      <c r="L312" s="1"/>
      <c r="M312" s="1"/>
      <c r="N312" s="1"/>
      <c r="O312" s="1"/>
      <c r="P312" s="1"/>
      <c r="Q312" s="131"/>
      <c r="R312" s="20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81"/>
      <c r="E313" s="201"/>
      <c r="F313" s="201"/>
      <c r="G313" s="201"/>
      <c r="H313" s="1"/>
      <c r="I313" s="1"/>
      <c r="J313" s="1"/>
      <c r="K313" s="1"/>
      <c r="L313" s="1"/>
      <c r="M313" s="1"/>
      <c r="N313" s="1"/>
      <c r="O313" s="1"/>
      <c r="P313" s="1"/>
      <c r="Q313" s="131"/>
      <c r="R313" s="20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81"/>
      <c r="E314" s="201"/>
      <c r="F314" s="201"/>
      <c r="G314" s="201"/>
      <c r="H314" s="1"/>
      <c r="I314" s="1"/>
      <c r="J314" s="1"/>
      <c r="K314" s="1"/>
      <c r="L314" s="1"/>
      <c r="M314" s="1"/>
      <c r="N314" s="1"/>
      <c r="O314" s="1"/>
      <c r="P314" s="1"/>
      <c r="Q314" s="131"/>
      <c r="R314" s="20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81"/>
      <c r="E315" s="201"/>
      <c r="F315" s="201"/>
      <c r="G315" s="201"/>
      <c r="H315" s="1"/>
      <c r="I315" s="1"/>
      <c r="J315" s="1"/>
      <c r="K315" s="1"/>
      <c r="L315" s="1"/>
      <c r="M315" s="1"/>
      <c r="N315" s="1"/>
      <c r="O315" s="1"/>
      <c r="P315" s="1"/>
      <c r="Q315" s="131"/>
      <c r="R315" s="20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81"/>
      <c r="E316" s="201"/>
      <c r="F316" s="201"/>
      <c r="G316" s="201"/>
      <c r="H316" s="1"/>
      <c r="I316" s="1"/>
      <c r="J316" s="1"/>
      <c r="K316" s="1"/>
      <c r="L316" s="1"/>
      <c r="M316" s="1"/>
      <c r="N316" s="1"/>
      <c r="O316" s="1"/>
      <c r="P316" s="1"/>
      <c r="Q316" s="131"/>
      <c r="R316" s="20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81"/>
      <c r="E317" s="201"/>
      <c r="F317" s="201"/>
      <c r="G317" s="201"/>
      <c r="H317" s="1"/>
      <c r="I317" s="1"/>
      <c r="J317" s="1"/>
      <c r="K317" s="1"/>
      <c r="L317" s="1"/>
      <c r="M317" s="1"/>
      <c r="N317" s="1"/>
      <c r="O317" s="1"/>
      <c r="P317" s="1"/>
      <c r="Q317" s="131"/>
      <c r="R317" s="20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81"/>
      <c r="E318" s="201"/>
      <c r="F318" s="201"/>
      <c r="G318" s="201"/>
      <c r="H318" s="1"/>
      <c r="I318" s="1"/>
      <c r="J318" s="1"/>
      <c r="K318" s="1"/>
      <c r="L318" s="1"/>
      <c r="M318" s="1"/>
      <c r="N318" s="1"/>
      <c r="O318" s="1"/>
      <c r="P318" s="1"/>
      <c r="Q318" s="131"/>
      <c r="R318" s="20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81"/>
      <c r="E319" s="201"/>
      <c r="F319" s="201"/>
      <c r="G319" s="201"/>
      <c r="H319" s="1"/>
      <c r="I319" s="1"/>
      <c r="J319" s="1"/>
      <c r="K319" s="1"/>
      <c r="L319" s="1"/>
      <c r="M319" s="1"/>
      <c r="N319" s="1"/>
      <c r="O319" s="1"/>
      <c r="P319" s="1"/>
      <c r="Q319" s="131"/>
      <c r="R319" s="20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81"/>
      <c r="E320" s="201"/>
      <c r="F320" s="201"/>
      <c r="G320" s="201"/>
      <c r="H320" s="1"/>
      <c r="I320" s="1"/>
      <c r="J320" s="1"/>
      <c r="K320" s="1"/>
      <c r="L320" s="1"/>
      <c r="M320" s="1"/>
      <c r="N320" s="1"/>
      <c r="O320" s="1"/>
      <c r="P320" s="1"/>
      <c r="Q320" s="131"/>
      <c r="R320" s="20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81"/>
      <c r="E321" s="201"/>
      <c r="F321" s="201"/>
      <c r="G321" s="201"/>
      <c r="H321" s="1"/>
      <c r="I321" s="1"/>
      <c r="J321" s="1"/>
      <c r="K321" s="1"/>
      <c r="L321" s="1"/>
      <c r="M321" s="1"/>
      <c r="N321" s="1"/>
      <c r="O321" s="1"/>
      <c r="P321" s="1"/>
      <c r="Q321" s="131"/>
      <c r="R321" s="20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81"/>
      <c r="E322" s="201"/>
      <c r="F322" s="201"/>
      <c r="G322" s="201"/>
      <c r="H322" s="1"/>
      <c r="I322" s="1"/>
      <c r="J322" s="1"/>
      <c r="K322" s="1"/>
      <c r="L322" s="1"/>
      <c r="M322" s="1"/>
      <c r="N322" s="1"/>
      <c r="O322" s="1"/>
      <c r="P322" s="1"/>
      <c r="Q322" s="131"/>
      <c r="R322" s="20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81"/>
      <c r="E323" s="201"/>
      <c r="F323" s="201"/>
      <c r="G323" s="201"/>
      <c r="H323" s="1"/>
      <c r="I323" s="1"/>
      <c r="J323" s="1"/>
      <c r="K323" s="1"/>
      <c r="L323" s="1"/>
      <c r="M323" s="1"/>
      <c r="N323" s="1"/>
      <c r="O323" s="1"/>
      <c r="P323" s="1"/>
      <c r="Q323" s="131"/>
      <c r="R323" s="20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81"/>
      <c r="E324" s="201"/>
      <c r="F324" s="201"/>
      <c r="G324" s="201"/>
      <c r="H324" s="1"/>
      <c r="I324" s="1"/>
      <c r="J324" s="1"/>
      <c r="K324" s="1"/>
      <c r="L324" s="1"/>
      <c r="M324" s="1"/>
      <c r="N324" s="1"/>
      <c r="O324" s="1"/>
      <c r="P324" s="1"/>
      <c r="Q324" s="131"/>
      <c r="R324" s="20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81"/>
      <c r="E325" s="201"/>
      <c r="F325" s="201"/>
      <c r="G325" s="201"/>
      <c r="H325" s="1"/>
      <c r="I325" s="1"/>
      <c r="J325" s="1"/>
      <c r="K325" s="1"/>
      <c r="L325" s="1"/>
      <c r="M325" s="1"/>
      <c r="N325" s="1"/>
      <c r="O325" s="1"/>
      <c r="P325" s="1"/>
      <c r="Q325" s="131"/>
      <c r="R325" s="20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81"/>
      <c r="E326" s="201"/>
      <c r="F326" s="201"/>
      <c r="G326" s="201"/>
      <c r="H326" s="1"/>
      <c r="I326" s="1"/>
      <c r="J326" s="1"/>
      <c r="K326" s="1"/>
      <c r="L326" s="1"/>
      <c r="M326" s="1"/>
      <c r="N326" s="1"/>
      <c r="O326" s="1"/>
      <c r="P326" s="1"/>
      <c r="Q326" s="131"/>
      <c r="R326" s="20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81"/>
      <c r="E327" s="201"/>
      <c r="F327" s="201"/>
      <c r="G327" s="201"/>
      <c r="H327" s="1"/>
      <c r="I327" s="1"/>
      <c r="J327" s="1"/>
      <c r="K327" s="1"/>
      <c r="L327" s="1"/>
      <c r="M327" s="1"/>
      <c r="N327" s="1"/>
      <c r="O327" s="1"/>
      <c r="P327" s="1"/>
      <c r="Q327" s="131"/>
      <c r="R327" s="20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81"/>
      <c r="E328" s="201"/>
      <c r="F328" s="201"/>
      <c r="G328" s="201"/>
      <c r="H328" s="1"/>
      <c r="I328" s="1"/>
      <c r="J328" s="1"/>
      <c r="K328" s="1"/>
      <c r="L328" s="1"/>
      <c r="M328" s="1"/>
      <c r="N328" s="1"/>
      <c r="O328" s="1"/>
      <c r="P328" s="1"/>
      <c r="Q328" s="131"/>
      <c r="R328" s="20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81"/>
      <c r="E329" s="201"/>
      <c r="F329" s="201"/>
      <c r="G329" s="201"/>
      <c r="H329" s="1"/>
      <c r="I329" s="1"/>
      <c r="J329" s="1"/>
      <c r="K329" s="1"/>
      <c r="L329" s="1"/>
      <c r="M329" s="1"/>
      <c r="N329" s="1"/>
      <c r="O329" s="1"/>
      <c r="P329" s="1"/>
      <c r="Q329" s="131"/>
      <c r="R329" s="20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81"/>
      <c r="E330" s="201"/>
      <c r="F330" s="201"/>
      <c r="G330" s="201"/>
      <c r="H330" s="1"/>
      <c r="I330" s="1"/>
      <c r="J330" s="1"/>
      <c r="K330" s="1"/>
      <c r="L330" s="1"/>
      <c r="M330" s="1"/>
      <c r="N330" s="1"/>
      <c r="O330" s="1"/>
      <c r="P330" s="1"/>
      <c r="Q330" s="131"/>
      <c r="R330" s="20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81"/>
      <c r="E331" s="201"/>
      <c r="F331" s="201"/>
      <c r="G331" s="201"/>
      <c r="H331" s="1"/>
      <c r="I331" s="1"/>
      <c r="J331" s="1"/>
      <c r="K331" s="1"/>
      <c r="L331" s="1"/>
      <c r="M331" s="1"/>
      <c r="N331" s="1"/>
      <c r="O331" s="1"/>
      <c r="P331" s="1"/>
      <c r="Q331" s="131"/>
      <c r="R331" s="20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81"/>
      <c r="E332" s="201"/>
      <c r="F332" s="201"/>
      <c r="G332" s="201"/>
      <c r="H332" s="1"/>
      <c r="I332" s="1"/>
      <c r="J332" s="1"/>
      <c r="K332" s="1"/>
      <c r="L332" s="1"/>
      <c r="M332" s="1"/>
      <c r="N332" s="1"/>
      <c r="O332" s="1"/>
      <c r="P332" s="1"/>
      <c r="Q332" s="131"/>
      <c r="R332" s="20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81"/>
      <c r="E333" s="201"/>
      <c r="F333" s="201"/>
      <c r="G333" s="201"/>
      <c r="H333" s="1"/>
      <c r="I333" s="1"/>
      <c r="J333" s="1"/>
      <c r="K333" s="1"/>
      <c r="L333" s="1"/>
      <c r="M333" s="1"/>
      <c r="N333" s="1"/>
      <c r="O333" s="1"/>
      <c r="P333" s="1"/>
      <c r="Q333" s="131"/>
      <c r="R333" s="20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81"/>
      <c r="E334" s="201"/>
      <c r="F334" s="201"/>
      <c r="G334" s="201"/>
      <c r="H334" s="1"/>
      <c r="I334" s="1"/>
      <c r="J334" s="1"/>
      <c r="K334" s="1"/>
      <c r="L334" s="1"/>
      <c r="M334" s="1"/>
      <c r="N334" s="1"/>
      <c r="O334" s="1"/>
      <c r="P334" s="1"/>
      <c r="Q334" s="131"/>
      <c r="R334" s="20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81"/>
      <c r="E335" s="201"/>
      <c r="F335" s="201"/>
      <c r="G335" s="201"/>
      <c r="H335" s="1"/>
      <c r="I335" s="1"/>
      <c r="J335" s="1"/>
      <c r="K335" s="1"/>
      <c r="L335" s="1"/>
      <c r="M335" s="1"/>
      <c r="N335" s="1"/>
      <c r="O335" s="1"/>
      <c r="P335" s="1"/>
      <c r="Q335" s="131"/>
      <c r="R335" s="20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81"/>
      <c r="E336" s="201"/>
      <c r="F336" s="201"/>
      <c r="G336" s="201"/>
      <c r="H336" s="1"/>
      <c r="I336" s="1"/>
      <c r="J336" s="1"/>
      <c r="K336" s="1"/>
      <c r="L336" s="1"/>
      <c r="M336" s="1"/>
      <c r="N336" s="1"/>
      <c r="O336" s="1"/>
      <c r="P336" s="1"/>
      <c r="Q336" s="131"/>
      <c r="R336" s="20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81"/>
      <c r="E337" s="201"/>
      <c r="F337" s="201"/>
      <c r="G337" s="201"/>
      <c r="H337" s="1"/>
      <c r="I337" s="1"/>
      <c r="J337" s="1"/>
      <c r="K337" s="1"/>
      <c r="L337" s="1"/>
      <c r="M337" s="1"/>
      <c r="N337" s="1"/>
      <c r="O337" s="1"/>
      <c r="P337" s="1"/>
      <c r="Q337" s="131"/>
      <c r="R337" s="20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81"/>
      <c r="E338" s="201"/>
      <c r="F338" s="201"/>
      <c r="G338" s="201"/>
      <c r="H338" s="1"/>
      <c r="I338" s="1"/>
      <c r="J338" s="1"/>
      <c r="K338" s="1"/>
      <c r="L338" s="1"/>
      <c r="M338" s="1"/>
      <c r="N338" s="1"/>
      <c r="O338" s="1"/>
      <c r="P338" s="1"/>
      <c r="Q338" s="131"/>
      <c r="R338" s="20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81"/>
      <c r="E339" s="201"/>
      <c r="F339" s="201"/>
      <c r="G339" s="201"/>
      <c r="H339" s="1"/>
      <c r="I339" s="1"/>
      <c r="J339" s="1"/>
      <c r="K339" s="1"/>
      <c r="L339" s="1"/>
      <c r="M339" s="1"/>
      <c r="N339" s="1"/>
      <c r="O339" s="1"/>
      <c r="P339" s="1"/>
      <c r="Q339" s="131"/>
      <c r="R339" s="20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81"/>
      <c r="E340" s="201"/>
      <c r="F340" s="201"/>
      <c r="G340" s="201"/>
      <c r="H340" s="1"/>
      <c r="I340" s="1"/>
      <c r="J340" s="1"/>
      <c r="K340" s="1"/>
      <c r="L340" s="1"/>
      <c r="M340" s="1"/>
      <c r="N340" s="1"/>
      <c r="O340" s="1"/>
      <c r="P340" s="1"/>
      <c r="Q340" s="131"/>
      <c r="R340" s="20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81"/>
      <c r="E341" s="201"/>
      <c r="F341" s="201"/>
      <c r="G341" s="201"/>
      <c r="H341" s="1"/>
      <c r="I341" s="1"/>
      <c r="J341" s="1"/>
      <c r="K341" s="1"/>
      <c r="L341" s="1"/>
      <c r="M341" s="1"/>
      <c r="N341" s="1"/>
      <c r="O341" s="1"/>
      <c r="P341" s="1"/>
      <c r="Q341" s="131"/>
      <c r="R341" s="20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81"/>
      <c r="E342" s="201"/>
      <c r="F342" s="201"/>
      <c r="G342" s="201"/>
      <c r="H342" s="1"/>
      <c r="I342" s="1"/>
      <c r="J342" s="1"/>
      <c r="K342" s="1"/>
      <c r="L342" s="1"/>
      <c r="M342" s="1"/>
      <c r="N342" s="1"/>
      <c r="O342" s="1"/>
      <c r="P342" s="1"/>
      <c r="Q342" s="131"/>
      <c r="R342" s="20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81"/>
      <c r="E343" s="201"/>
      <c r="F343" s="201"/>
      <c r="G343" s="201"/>
      <c r="H343" s="1"/>
      <c r="I343" s="1"/>
      <c r="J343" s="1"/>
      <c r="K343" s="1"/>
      <c r="L343" s="1"/>
      <c r="M343" s="1"/>
      <c r="N343" s="1"/>
      <c r="O343" s="1"/>
      <c r="P343" s="1"/>
      <c r="Q343" s="131"/>
      <c r="R343" s="20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81"/>
      <c r="E344" s="201"/>
      <c r="F344" s="201"/>
      <c r="G344" s="201"/>
      <c r="H344" s="1"/>
      <c r="I344" s="1"/>
      <c r="J344" s="1"/>
      <c r="K344" s="1"/>
      <c r="L344" s="1"/>
      <c r="M344" s="1"/>
      <c r="N344" s="1"/>
      <c r="O344" s="1"/>
      <c r="P344" s="1"/>
      <c r="Q344" s="131"/>
      <c r="R344" s="20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81"/>
      <c r="E345" s="201"/>
      <c r="F345" s="201"/>
      <c r="G345" s="201"/>
      <c r="H345" s="1"/>
      <c r="I345" s="1"/>
      <c r="J345" s="1"/>
      <c r="K345" s="1"/>
      <c r="L345" s="1"/>
      <c r="M345" s="1"/>
      <c r="N345" s="1"/>
      <c r="O345" s="1"/>
      <c r="P345" s="1"/>
      <c r="Q345" s="131"/>
      <c r="R345" s="20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81"/>
      <c r="E346" s="201"/>
      <c r="F346" s="201"/>
      <c r="G346" s="201"/>
      <c r="H346" s="1"/>
      <c r="I346" s="1"/>
      <c r="J346" s="1"/>
      <c r="K346" s="1"/>
      <c r="L346" s="1"/>
      <c r="M346" s="1"/>
      <c r="N346" s="1"/>
      <c r="O346" s="1"/>
      <c r="P346" s="1"/>
      <c r="Q346" s="131"/>
      <c r="R346" s="20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81"/>
      <c r="E347" s="201"/>
      <c r="F347" s="201"/>
      <c r="G347" s="201"/>
      <c r="H347" s="1"/>
      <c r="I347" s="1"/>
      <c r="J347" s="1"/>
      <c r="K347" s="1"/>
      <c r="L347" s="1"/>
      <c r="M347" s="1"/>
      <c r="N347" s="1"/>
      <c r="O347" s="1"/>
      <c r="P347" s="1"/>
      <c r="Q347" s="131"/>
      <c r="R347" s="20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81"/>
      <c r="E348" s="201"/>
      <c r="F348" s="201"/>
      <c r="G348" s="201"/>
      <c r="H348" s="1"/>
      <c r="I348" s="1"/>
      <c r="J348" s="1"/>
      <c r="K348" s="1"/>
      <c r="L348" s="1"/>
      <c r="M348" s="1"/>
      <c r="N348" s="1"/>
      <c r="O348" s="1"/>
      <c r="P348" s="1"/>
      <c r="Q348" s="131"/>
      <c r="R348" s="20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81"/>
      <c r="E349" s="201"/>
      <c r="F349" s="201"/>
      <c r="G349" s="201"/>
      <c r="H349" s="1"/>
      <c r="I349" s="1"/>
      <c r="J349" s="1"/>
      <c r="K349" s="1"/>
      <c r="L349" s="1"/>
      <c r="M349" s="1"/>
      <c r="N349" s="1"/>
      <c r="O349" s="1"/>
      <c r="P349" s="1"/>
      <c r="Q349" s="131"/>
      <c r="R349" s="20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81"/>
      <c r="E350" s="201"/>
      <c r="F350" s="201"/>
      <c r="G350" s="201"/>
      <c r="H350" s="1"/>
      <c r="I350" s="1"/>
      <c r="J350" s="1"/>
      <c r="K350" s="1"/>
      <c r="L350" s="1"/>
      <c r="M350" s="1"/>
      <c r="N350" s="1"/>
      <c r="O350" s="1"/>
      <c r="P350" s="1"/>
      <c r="Q350" s="131"/>
      <c r="R350" s="20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81"/>
      <c r="E351" s="201"/>
      <c r="F351" s="201"/>
      <c r="G351" s="201"/>
      <c r="H351" s="1"/>
      <c r="I351" s="1"/>
      <c r="J351" s="1"/>
      <c r="K351" s="1"/>
      <c r="L351" s="1"/>
      <c r="M351" s="1"/>
      <c r="N351" s="1"/>
      <c r="O351" s="1"/>
      <c r="P351" s="1"/>
      <c r="Q351" s="131"/>
      <c r="R351" s="20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81"/>
      <c r="E352" s="201"/>
      <c r="F352" s="201"/>
      <c r="G352" s="201"/>
      <c r="H352" s="1"/>
      <c r="I352" s="1"/>
      <c r="J352" s="1"/>
      <c r="K352" s="1"/>
      <c r="L352" s="1"/>
      <c r="M352" s="1"/>
      <c r="N352" s="1"/>
      <c r="O352" s="1"/>
      <c r="P352" s="1"/>
      <c r="Q352" s="131"/>
      <c r="R352" s="20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81"/>
      <c r="E353" s="201"/>
      <c r="F353" s="201"/>
      <c r="G353" s="201"/>
      <c r="H353" s="1"/>
      <c r="I353" s="1"/>
      <c r="J353" s="1"/>
      <c r="K353" s="1"/>
      <c r="L353" s="1"/>
      <c r="M353" s="1"/>
      <c r="N353" s="1"/>
      <c r="O353" s="1"/>
      <c r="P353" s="1"/>
      <c r="Q353" s="131"/>
      <c r="R353" s="20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81"/>
      <c r="E354" s="201"/>
      <c r="F354" s="201"/>
      <c r="G354" s="201"/>
      <c r="H354" s="1"/>
      <c r="I354" s="1"/>
      <c r="J354" s="1"/>
      <c r="K354" s="1"/>
      <c r="L354" s="1"/>
      <c r="M354" s="1"/>
      <c r="N354" s="1"/>
      <c r="O354" s="1"/>
      <c r="P354" s="1"/>
      <c r="Q354" s="131"/>
      <c r="R354" s="20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81"/>
      <c r="E355" s="201"/>
      <c r="F355" s="201"/>
      <c r="G355" s="201"/>
      <c r="H355" s="1"/>
      <c r="I355" s="1"/>
      <c r="J355" s="1"/>
      <c r="K355" s="1"/>
      <c r="L355" s="1"/>
      <c r="M355" s="1"/>
      <c r="N355" s="1"/>
      <c r="O355" s="1"/>
      <c r="P355" s="1"/>
      <c r="Q355" s="131"/>
      <c r="R355" s="20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81"/>
      <c r="E356" s="201"/>
      <c r="F356" s="201"/>
      <c r="G356" s="201"/>
      <c r="H356" s="1"/>
      <c r="I356" s="1"/>
      <c r="J356" s="1"/>
      <c r="K356" s="1"/>
      <c r="L356" s="1"/>
      <c r="M356" s="1"/>
      <c r="N356" s="1"/>
      <c r="O356" s="1"/>
      <c r="P356" s="1"/>
      <c r="Q356" s="131"/>
      <c r="R356" s="20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81"/>
      <c r="E357" s="201"/>
      <c r="F357" s="201"/>
      <c r="G357" s="201"/>
      <c r="H357" s="1"/>
      <c r="I357" s="1"/>
      <c r="J357" s="1"/>
      <c r="K357" s="1"/>
      <c r="L357" s="1"/>
      <c r="M357" s="1"/>
      <c r="N357" s="1"/>
      <c r="O357" s="1"/>
      <c r="P357" s="1"/>
      <c r="Q357" s="131"/>
      <c r="R357" s="20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81"/>
      <c r="E358" s="201"/>
      <c r="F358" s="201"/>
      <c r="G358" s="201"/>
      <c r="H358" s="1"/>
      <c r="I358" s="1"/>
      <c r="J358" s="1"/>
      <c r="K358" s="1"/>
      <c r="L358" s="1"/>
      <c r="M358" s="1"/>
      <c r="N358" s="1"/>
      <c r="O358" s="1"/>
      <c r="P358" s="1"/>
      <c r="Q358" s="131"/>
      <c r="R358" s="20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81"/>
      <c r="E359" s="201"/>
      <c r="F359" s="201"/>
      <c r="G359" s="201"/>
      <c r="H359" s="1"/>
      <c r="I359" s="1"/>
      <c r="J359" s="1"/>
      <c r="K359" s="1"/>
      <c r="L359" s="1"/>
      <c r="M359" s="1"/>
      <c r="N359" s="1"/>
      <c r="O359" s="1"/>
      <c r="P359" s="1"/>
      <c r="Q359" s="131"/>
      <c r="R359" s="20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81"/>
      <c r="E360" s="201"/>
      <c r="F360" s="201"/>
      <c r="G360" s="201"/>
      <c r="H360" s="1"/>
      <c r="I360" s="1"/>
      <c r="J360" s="1"/>
      <c r="K360" s="1"/>
      <c r="L360" s="1"/>
      <c r="M360" s="1"/>
      <c r="N360" s="1"/>
      <c r="O360" s="1"/>
      <c r="P360" s="1"/>
      <c r="Q360" s="131"/>
      <c r="R360" s="20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81"/>
      <c r="E361" s="201"/>
      <c r="F361" s="201"/>
      <c r="G361" s="201"/>
      <c r="H361" s="1"/>
      <c r="I361" s="1"/>
      <c r="J361" s="1"/>
      <c r="K361" s="1"/>
      <c r="L361" s="1"/>
      <c r="M361" s="1"/>
      <c r="N361" s="1"/>
      <c r="O361" s="1"/>
      <c r="P361" s="1"/>
      <c r="Q361" s="131"/>
      <c r="R361" s="20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81"/>
      <c r="E362" s="201"/>
      <c r="F362" s="201"/>
      <c r="G362" s="201"/>
      <c r="H362" s="1"/>
      <c r="I362" s="1"/>
      <c r="J362" s="1"/>
      <c r="K362" s="1"/>
      <c r="L362" s="1"/>
      <c r="M362" s="1"/>
      <c r="N362" s="1"/>
      <c r="O362" s="1"/>
      <c r="P362" s="1"/>
      <c r="Q362" s="131"/>
      <c r="R362" s="20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81"/>
      <c r="E363" s="201"/>
      <c r="F363" s="201"/>
      <c r="G363" s="201"/>
      <c r="H363" s="1"/>
      <c r="I363" s="1"/>
      <c r="J363" s="1"/>
      <c r="K363" s="1"/>
      <c r="L363" s="1"/>
      <c r="M363" s="1"/>
      <c r="N363" s="1"/>
      <c r="O363" s="1"/>
      <c r="P363" s="1"/>
      <c r="Q363" s="131"/>
      <c r="R363" s="20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81"/>
      <c r="E364" s="201"/>
      <c r="F364" s="201"/>
      <c r="G364" s="201"/>
      <c r="H364" s="1"/>
      <c r="I364" s="1"/>
      <c r="J364" s="1"/>
      <c r="K364" s="1"/>
      <c r="L364" s="1"/>
      <c r="M364" s="1"/>
      <c r="N364" s="1"/>
      <c r="O364" s="1"/>
      <c r="P364" s="1"/>
      <c r="Q364" s="131"/>
      <c r="R364" s="20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81"/>
      <c r="E365" s="201"/>
      <c r="F365" s="201"/>
      <c r="G365" s="201"/>
      <c r="H365" s="1"/>
      <c r="I365" s="1"/>
      <c r="J365" s="1"/>
      <c r="K365" s="1"/>
      <c r="L365" s="1"/>
      <c r="M365" s="1"/>
      <c r="N365" s="1"/>
      <c r="O365" s="1"/>
      <c r="P365" s="1"/>
      <c r="Q365" s="131"/>
      <c r="R365" s="20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81"/>
      <c r="E366" s="201"/>
      <c r="F366" s="201"/>
      <c r="G366" s="201"/>
      <c r="H366" s="1"/>
      <c r="I366" s="1"/>
      <c r="J366" s="1"/>
      <c r="K366" s="1"/>
      <c r="L366" s="1"/>
      <c r="M366" s="1"/>
      <c r="N366" s="1"/>
      <c r="O366" s="1"/>
      <c r="P366" s="1"/>
      <c r="Q366" s="131"/>
      <c r="R366" s="20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81"/>
      <c r="E367" s="201"/>
      <c r="F367" s="201"/>
      <c r="G367" s="201"/>
      <c r="H367" s="1"/>
      <c r="I367" s="1"/>
      <c r="J367" s="1"/>
      <c r="K367" s="1"/>
      <c r="L367" s="1"/>
      <c r="M367" s="1"/>
      <c r="N367" s="1"/>
      <c r="O367" s="1"/>
      <c r="P367" s="1"/>
      <c r="Q367" s="131"/>
      <c r="R367" s="20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81"/>
      <c r="E368" s="201"/>
      <c r="F368" s="201"/>
      <c r="G368" s="201"/>
      <c r="H368" s="1"/>
      <c r="I368" s="1"/>
      <c r="J368" s="1"/>
      <c r="K368" s="1"/>
      <c r="L368" s="1"/>
      <c r="M368" s="1"/>
      <c r="N368" s="1"/>
      <c r="O368" s="1"/>
      <c r="P368" s="1"/>
      <c r="Q368" s="131"/>
      <c r="R368" s="20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81"/>
      <c r="E369" s="201"/>
      <c r="F369" s="201"/>
      <c r="G369" s="201"/>
      <c r="H369" s="1"/>
      <c r="I369" s="1"/>
      <c r="J369" s="1"/>
      <c r="K369" s="1"/>
      <c r="L369" s="1"/>
      <c r="M369" s="1"/>
      <c r="N369" s="1"/>
      <c r="O369" s="1"/>
      <c r="P369" s="1"/>
      <c r="Q369" s="131"/>
      <c r="R369" s="20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81"/>
      <c r="E370" s="201"/>
      <c r="F370" s="201"/>
      <c r="G370" s="201"/>
      <c r="H370" s="1"/>
      <c r="I370" s="1"/>
      <c r="J370" s="1"/>
      <c r="K370" s="1"/>
      <c r="L370" s="1"/>
      <c r="M370" s="1"/>
      <c r="N370" s="1"/>
      <c r="O370" s="1"/>
      <c r="P370" s="1"/>
      <c r="Q370" s="131"/>
      <c r="R370" s="20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81"/>
      <c r="E371" s="201"/>
      <c r="F371" s="201"/>
      <c r="G371" s="201"/>
      <c r="H371" s="1"/>
      <c r="I371" s="1"/>
      <c r="J371" s="1"/>
      <c r="K371" s="1"/>
      <c r="L371" s="1"/>
      <c r="M371" s="1"/>
      <c r="N371" s="1"/>
      <c r="O371" s="1"/>
      <c r="P371" s="1"/>
      <c r="Q371" s="131"/>
      <c r="R371" s="20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81"/>
      <c r="E372" s="201"/>
      <c r="F372" s="201"/>
      <c r="G372" s="201"/>
      <c r="H372" s="1"/>
      <c r="I372" s="1"/>
      <c r="J372" s="1"/>
      <c r="K372" s="1"/>
      <c r="L372" s="1"/>
      <c r="M372" s="1"/>
      <c r="N372" s="1"/>
      <c r="O372" s="1"/>
      <c r="P372" s="1"/>
      <c r="Q372" s="131"/>
      <c r="R372" s="20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81"/>
      <c r="E373" s="201"/>
      <c r="F373" s="201"/>
      <c r="G373" s="201"/>
      <c r="H373" s="1"/>
      <c r="I373" s="1"/>
      <c r="J373" s="1"/>
      <c r="K373" s="1"/>
      <c r="L373" s="1"/>
      <c r="M373" s="1"/>
      <c r="N373" s="1"/>
      <c r="O373" s="1"/>
      <c r="P373" s="1"/>
      <c r="Q373" s="131"/>
      <c r="R373" s="20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81"/>
      <c r="E374" s="201"/>
      <c r="F374" s="201"/>
      <c r="G374" s="201"/>
      <c r="H374" s="1"/>
      <c r="I374" s="1"/>
      <c r="J374" s="1"/>
      <c r="K374" s="1"/>
      <c r="L374" s="1"/>
      <c r="M374" s="1"/>
      <c r="N374" s="1"/>
      <c r="O374" s="1"/>
      <c r="P374" s="1"/>
      <c r="Q374" s="131"/>
      <c r="R374" s="20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81"/>
      <c r="E375" s="201"/>
      <c r="F375" s="201"/>
      <c r="G375" s="201"/>
      <c r="H375" s="1"/>
      <c r="I375" s="1"/>
      <c r="J375" s="1"/>
      <c r="K375" s="1"/>
      <c r="L375" s="1"/>
      <c r="M375" s="1"/>
      <c r="N375" s="1"/>
      <c r="O375" s="1"/>
      <c r="P375" s="1"/>
      <c r="Q375" s="131"/>
      <c r="R375" s="20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81"/>
      <c r="E376" s="201"/>
      <c r="F376" s="201"/>
      <c r="G376" s="201"/>
      <c r="H376" s="1"/>
      <c r="I376" s="1"/>
      <c r="J376" s="1"/>
      <c r="K376" s="1"/>
      <c r="L376" s="1"/>
      <c r="M376" s="1"/>
      <c r="N376" s="1"/>
      <c r="O376" s="1"/>
      <c r="P376" s="1"/>
      <c r="Q376" s="131"/>
      <c r="R376" s="20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81"/>
      <c r="E377" s="201"/>
      <c r="F377" s="201"/>
      <c r="G377" s="201"/>
      <c r="H377" s="1"/>
      <c r="I377" s="1"/>
      <c r="J377" s="1"/>
      <c r="K377" s="1"/>
      <c r="L377" s="1"/>
      <c r="M377" s="1"/>
      <c r="N377" s="1"/>
      <c r="O377" s="1"/>
      <c r="P377" s="1"/>
      <c r="Q377" s="131"/>
      <c r="R377" s="20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81"/>
      <c r="E378" s="201"/>
      <c r="F378" s="201"/>
      <c r="G378" s="201"/>
      <c r="H378" s="1"/>
      <c r="I378" s="1"/>
      <c r="J378" s="1"/>
      <c r="K378" s="1"/>
      <c r="L378" s="1"/>
      <c r="M378" s="1"/>
      <c r="N378" s="1"/>
      <c r="O378" s="1"/>
      <c r="P378" s="1"/>
      <c r="Q378" s="131"/>
      <c r="R378" s="20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81"/>
      <c r="E379" s="201"/>
      <c r="F379" s="201"/>
      <c r="G379" s="201"/>
      <c r="H379" s="1"/>
      <c r="I379" s="1"/>
      <c r="J379" s="1"/>
      <c r="K379" s="1"/>
      <c r="L379" s="1"/>
      <c r="M379" s="1"/>
      <c r="N379" s="1"/>
      <c r="O379" s="1"/>
      <c r="P379" s="1"/>
      <c r="Q379" s="131"/>
      <c r="R379" s="20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81"/>
      <c r="E380" s="201"/>
      <c r="F380" s="201"/>
      <c r="G380" s="201"/>
      <c r="H380" s="1"/>
      <c r="I380" s="1"/>
      <c r="J380" s="1"/>
      <c r="K380" s="1"/>
      <c r="L380" s="1"/>
      <c r="M380" s="1"/>
      <c r="N380" s="1"/>
      <c r="O380" s="1"/>
      <c r="P380" s="1"/>
      <c r="Q380" s="131"/>
      <c r="R380" s="20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81"/>
      <c r="E381" s="201"/>
      <c r="F381" s="201"/>
      <c r="G381" s="201"/>
      <c r="H381" s="1"/>
      <c r="I381" s="1"/>
      <c r="J381" s="1"/>
      <c r="K381" s="1"/>
      <c r="L381" s="1"/>
      <c r="M381" s="1"/>
      <c r="N381" s="1"/>
      <c r="O381" s="1"/>
      <c r="P381" s="1"/>
      <c r="Q381" s="131"/>
      <c r="R381" s="20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81"/>
      <c r="E382" s="201"/>
      <c r="F382" s="201"/>
      <c r="G382" s="201"/>
      <c r="H382" s="1"/>
      <c r="I382" s="1"/>
      <c r="J382" s="1"/>
      <c r="K382" s="1"/>
      <c r="L382" s="1"/>
      <c r="M382" s="1"/>
      <c r="N382" s="1"/>
      <c r="O382" s="1"/>
      <c r="P382" s="1"/>
      <c r="Q382" s="131"/>
      <c r="R382" s="20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81"/>
      <c r="E383" s="201"/>
      <c r="F383" s="201"/>
      <c r="G383" s="201"/>
      <c r="H383" s="1"/>
      <c r="I383" s="1"/>
      <c r="J383" s="1"/>
      <c r="K383" s="1"/>
      <c r="L383" s="1"/>
      <c r="M383" s="1"/>
      <c r="N383" s="1"/>
      <c r="O383" s="1"/>
      <c r="P383" s="1"/>
      <c r="Q383" s="131"/>
      <c r="R383" s="20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81"/>
      <c r="E384" s="201"/>
      <c r="F384" s="201"/>
      <c r="G384" s="201"/>
      <c r="H384" s="1"/>
      <c r="I384" s="1"/>
      <c r="J384" s="1"/>
      <c r="K384" s="1"/>
      <c r="L384" s="1"/>
      <c r="M384" s="1"/>
      <c r="N384" s="1"/>
      <c r="O384" s="1"/>
      <c r="P384" s="1"/>
      <c r="Q384" s="131"/>
      <c r="R384" s="20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81"/>
      <c r="E385" s="201"/>
      <c r="F385" s="201"/>
      <c r="G385" s="201"/>
      <c r="H385" s="1"/>
      <c r="I385" s="1"/>
      <c r="J385" s="1"/>
      <c r="K385" s="1"/>
      <c r="L385" s="1"/>
      <c r="M385" s="1"/>
      <c r="N385" s="1"/>
      <c r="O385" s="1"/>
      <c r="P385" s="1"/>
      <c r="Q385" s="131"/>
      <c r="R385" s="20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81"/>
      <c r="E386" s="201"/>
      <c r="F386" s="201"/>
      <c r="G386" s="201"/>
      <c r="H386" s="1"/>
      <c r="I386" s="1"/>
      <c r="J386" s="1"/>
      <c r="K386" s="1"/>
      <c r="L386" s="1"/>
      <c r="M386" s="1"/>
      <c r="N386" s="1"/>
      <c r="O386" s="1"/>
      <c r="P386" s="1"/>
      <c r="Q386" s="131"/>
      <c r="R386" s="20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81"/>
      <c r="E387" s="201"/>
      <c r="F387" s="201"/>
      <c r="G387" s="201"/>
      <c r="H387" s="1"/>
      <c r="I387" s="1"/>
      <c r="J387" s="1"/>
      <c r="K387" s="1"/>
      <c r="L387" s="1"/>
      <c r="M387" s="1"/>
      <c r="N387" s="1"/>
      <c r="O387" s="1"/>
      <c r="P387" s="1"/>
      <c r="Q387" s="131"/>
      <c r="R387" s="20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81"/>
      <c r="E388" s="201"/>
      <c r="F388" s="201"/>
      <c r="G388" s="201"/>
      <c r="H388" s="1"/>
      <c r="I388" s="1"/>
      <c r="J388" s="1"/>
      <c r="K388" s="1"/>
      <c r="L388" s="1"/>
      <c r="M388" s="1"/>
      <c r="N388" s="1"/>
      <c r="O388" s="1"/>
      <c r="P388" s="1"/>
      <c r="Q388" s="131"/>
      <c r="R388" s="20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81"/>
      <c r="E389" s="201"/>
      <c r="F389" s="201"/>
      <c r="G389" s="201"/>
      <c r="H389" s="1"/>
      <c r="I389" s="1"/>
      <c r="J389" s="1"/>
      <c r="K389" s="1"/>
      <c r="L389" s="1"/>
      <c r="M389" s="1"/>
      <c r="N389" s="1"/>
      <c r="O389" s="1"/>
      <c r="P389" s="1"/>
      <c r="Q389" s="131"/>
      <c r="R389" s="20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81"/>
      <c r="E390" s="201"/>
      <c r="F390" s="201"/>
      <c r="G390" s="201"/>
      <c r="H390" s="1"/>
      <c r="I390" s="1"/>
      <c r="J390" s="1"/>
      <c r="K390" s="1"/>
      <c r="L390" s="1"/>
      <c r="M390" s="1"/>
      <c r="N390" s="1"/>
      <c r="O390" s="1"/>
      <c r="P390" s="1"/>
      <c r="Q390" s="131"/>
      <c r="R390" s="20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81"/>
      <c r="E391" s="201"/>
      <c r="F391" s="201"/>
      <c r="G391" s="201"/>
      <c r="H391" s="1"/>
      <c r="I391" s="1"/>
      <c r="J391" s="1"/>
      <c r="K391" s="1"/>
      <c r="L391" s="1"/>
      <c r="M391" s="1"/>
      <c r="N391" s="1"/>
      <c r="O391" s="1"/>
      <c r="P391" s="1"/>
      <c r="Q391" s="131"/>
      <c r="R391" s="20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81"/>
      <c r="E392" s="201"/>
      <c r="F392" s="201"/>
      <c r="G392" s="201"/>
      <c r="H392" s="1"/>
      <c r="I392" s="1"/>
      <c r="J392" s="1"/>
      <c r="K392" s="1"/>
      <c r="L392" s="1"/>
      <c r="M392" s="1"/>
      <c r="N392" s="1"/>
      <c r="O392" s="1"/>
      <c r="P392" s="1"/>
      <c r="Q392" s="131"/>
      <c r="R392" s="20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81"/>
      <c r="E393" s="201"/>
      <c r="F393" s="201"/>
      <c r="G393" s="201"/>
      <c r="H393" s="1"/>
      <c r="I393" s="1"/>
      <c r="J393" s="1"/>
      <c r="K393" s="1"/>
      <c r="L393" s="1"/>
      <c r="M393" s="1"/>
      <c r="N393" s="1"/>
      <c r="O393" s="1"/>
      <c r="P393" s="1"/>
      <c r="Q393" s="131"/>
      <c r="R393" s="20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81"/>
      <c r="E394" s="201"/>
      <c r="F394" s="201"/>
      <c r="G394" s="201"/>
      <c r="H394" s="1"/>
      <c r="I394" s="1"/>
      <c r="J394" s="1"/>
      <c r="K394" s="1"/>
      <c r="L394" s="1"/>
      <c r="M394" s="1"/>
      <c r="N394" s="1"/>
      <c r="O394" s="1"/>
      <c r="P394" s="1"/>
      <c r="Q394" s="131"/>
      <c r="R394" s="20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81"/>
      <c r="E395" s="201"/>
      <c r="F395" s="201"/>
      <c r="G395" s="201"/>
      <c r="H395" s="1"/>
      <c r="I395" s="1"/>
      <c r="J395" s="1"/>
      <c r="K395" s="1"/>
      <c r="L395" s="1"/>
      <c r="M395" s="1"/>
      <c r="N395" s="1"/>
      <c r="O395" s="1"/>
      <c r="P395" s="1"/>
      <c r="Q395" s="131"/>
      <c r="R395" s="20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81"/>
      <c r="E396" s="201"/>
      <c r="F396" s="201"/>
      <c r="G396" s="201"/>
      <c r="H396" s="1"/>
      <c r="I396" s="1"/>
      <c r="J396" s="1"/>
      <c r="K396" s="1"/>
      <c r="L396" s="1"/>
      <c r="M396" s="1"/>
      <c r="N396" s="1"/>
      <c r="O396" s="1"/>
      <c r="P396" s="1"/>
      <c r="Q396" s="131"/>
      <c r="R396" s="20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81"/>
      <c r="E397" s="201"/>
      <c r="F397" s="201"/>
      <c r="G397" s="201"/>
      <c r="H397" s="1"/>
      <c r="I397" s="1"/>
      <c r="J397" s="1"/>
      <c r="K397" s="1"/>
      <c r="L397" s="1"/>
      <c r="M397" s="1"/>
      <c r="N397" s="1"/>
      <c r="O397" s="1"/>
      <c r="P397" s="1"/>
      <c r="Q397" s="131"/>
      <c r="R397" s="20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81"/>
      <c r="E398" s="201"/>
      <c r="F398" s="201"/>
      <c r="G398" s="201"/>
      <c r="H398" s="1"/>
      <c r="I398" s="1"/>
      <c r="J398" s="1"/>
      <c r="K398" s="1"/>
      <c r="L398" s="1"/>
      <c r="M398" s="1"/>
      <c r="N398" s="1"/>
      <c r="O398" s="1"/>
      <c r="P398" s="1"/>
      <c r="Q398" s="131"/>
      <c r="R398" s="20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81"/>
      <c r="E399" s="201"/>
      <c r="F399" s="201"/>
      <c r="G399" s="201"/>
      <c r="H399" s="1"/>
      <c r="I399" s="1"/>
      <c r="J399" s="1"/>
      <c r="K399" s="1"/>
      <c r="L399" s="1"/>
      <c r="M399" s="1"/>
      <c r="N399" s="1"/>
      <c r="O399" s="1"/>
      <c r="P399" s="1"/>
      <c r="Q399" s="131"/>
      <c r="R399" s="20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81"/>
      <c r="E400" s="201"/>
      <c r="F400" s="201"/>
      <c r="G400" s="201"/>
      <c r="H400" s="1"/>
      <c r="I400" s="1"/>
      <c r="J400" s="1"/>
      <c r="K400" s="1"/>
      <c r="L400" s="1"/>
      <c r="M400" s="1"/>
      <c r="N400" s="1"/>
      <c r="O400" s="1"/>
      <c r="P400" s="1"/>
      <c r="Q400" s="131"/>
      <c r="R400" s="20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81"/>
      <c r="E401" s="201"/>
      <c r="F401" s="201"/>
      <c r="G401" s="201"/>
      <c r="H401" s="1"/>
      <c r="I401" s="1"/>
      <c r="J401" s="1"/>
      <c r="K401" s="1"/>
      <c r="L401" s="1"/>
      <c r="M401" s="1"/>
      <c r="N401" s="1"/>
      <c r="O401" s="1"/>
      <c r="P401" s="1"/>
      <c r="Q401" s="131"/>
      <c r="R401" s="20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81"/>
      <c r="E402" s="201"/>
      <c r="F402" s="201"/>
      <c r="G402" s="201"/>
      <c r="H402" s="1"/>
      <c r="I402" s="1"/>
      <c r="J402" s="1"/>
      <c r="K402" s="1"/>
      <c r="L402" s="1"/>
      <c r="M402" s="1"/>
      <c r="N402" s="1"/>
      <c r="O402" s="1"/>
      <c r="P402" s="1"/>
      <c r="Q402" s="131"/>
      <c r="R402" s="20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81"/>
      <c r="E403" s="201"/>
      <c r="F403" s="201"/>
      <c r="G403" s="201"/>
      <c r="H403" s="1"/>
      <c r="I403" s="1"/>
      <c r="J403" s="1"/>
      <c r="K403" s="1"/>
      <c r="L403" s="1"/>
      <c r="M403" s="1"/>
      <c r="N403" s="1"/>
      <c r="O403" s="1"/>
      <c r="P403" s="1"/>
      <c r="Q403" s="131"/>
      <c r="R403" s="20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81"/>
      <c r="E404" s="201"/>
      <c r="F404" s="201"/>
      <c r="G404" s="201"/>
      <c r="H404" s="1"/>
      <c r="I404" s="1"/>
      <c r="J404" s="1"/>
      <c r="K404" s="1"/>
      <c r="L404" s="1"/>
      <c r="M404" s="1"/>
      <c r="N404" s="1"/>
      <c r="O404" s="1"/>
      <c r="P404" s="1"/>
      <c r="Q404" s="131"/>
      <c r="R404" s="20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81"/>
      <c r="E405" s="201"/>
      <c r="F405" s="201"/>
      <c r="G405" s="201"/>
      <c r="H405" s="1"/>
      <c r="I405" s="1"/>
      <c r="J405" s="1"/>
      <c r="K405" s="1"/>
      <c r="L405" s="1"/>
      <c r="M405" s="1"/>
      <c r="N405" s="1"/>
      <c r="O405" s="1"/>
      <c r="P405" s="1"/>
      <c r="Q405" s="131"/>
      <c r="R405" s="20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81"/>
      <c r="E406" s="201"/>
      <c r="F406" s="201"/>
      <c r="G406" s="201"/>
      <c r="H406" s="1"/>
      <c r="I406" s="1"/>
      <c r="J406" s="1"/>
      <c r="K406" s="1"/>
      <c r="L406" s="1"/>
      <c r="M406" s="1"/>
      <c r="N406" s="1"/>
      <c r="O406" s="1"/>
      <c r="P406" s="1"/>
      <c r="Q406" s="131"/>
      <c r="R406" s="20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81"/>
      <c r="E407" s="201"/>
      <c r="F407" s="201"/>
      <c r="G407" s="201"/>
      <c r="H407" s="1"/>
      <c r="I407" s="1"/>
      <c r="J407" s="1"/>
      <c r="K407" s="1"/>
      <c r="L407" s="1"/>
      <c r="M407" s="1"/>
      <c r="N407" s="1"/>
      <c r="O407" s="1"/>
      <c r="P407" s="1"/>
      <c r="Q407" s="131"/>
      <c r="R407" s="20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81"/>
      <c r="E408" s="201"/>
      <c r="F408" s="201"/>
      <c r="G408" s="201"/>
      <c r="H408" s="1"/>
      <c r="I408" s="1"/>
      <c r="J408" s="1"/>
      <c r="K408" s="1"/>
      <c r="L408" s="1"/>
      <c r="M408" s="1"/>
      <c r="N408" s="1"/>
      <c r="O408" s="1"/>
      <c r="P408" s="1"/>
      <c r="Q408" s="131"/>
      <c r="R408" s="20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81"/>
      <c r="E409" s="201"/>
      <c r="F409" s="201"/>
      <c r="G409" s="201"/>
      <c r="H409" s="1"/>
      <c r="I409" s="1"/>
      <c r="J409" s="1"/>
      <c r="K409" s="1"/>
      <c r="L409" s="1"/>
      <c r="M409" s="1"/>
      <c r="N409" s="1"/>
      <c r="O409" s="1"/>
      <c r="P409" s="1"/>
      <c r="Q409" s="131"/>
      <c r="R409" s="20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81"/>
      <c r="E410" s="201"/>
      <c r="F410" s="201"/>
      <c r="G410" s="201"/>
      <c r="H410" s="1"/>
      <c r="I410" s="1"/>
      <c r="J410" s="1"/>
      <c r="K410" s="1"/>
      <c r="L410" s="1"/>
      <c r="M410" s="1"/>
      <c r="N410" s="1"/>
      <c r="O410" s="1"/>
      <c r="P410" s="1"/>
      <c r="Q410" s="131"/>
      <c r="R410" s="20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81"/>
      <c r="E411" s="201"/>
      <c r="F411" s="201"/>
      <c r="G411" s="201"/>
      <c r="H411" s="1"/>
      <c r="I411" s="1"/>
      <c r="J411" s="1"/>
      <c r="K411" s="1"/>
      <c r="L411" s="1"/>
      <c r="M411" s="1"/>
      <c r="N411" s="1"/>
      <c r="O411" s="1"/>
      <c r="P411" s="1"/>
      <c r="Q411" s="131"/>
      <c r="R411" s="20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81"/>
      <c r="E412" s="201"/>
      <c r="F412" s="201"/>
      <c r="G412" s="201"/>
      <c r="H412" s="1"/>
      <c r="I412" s="1"/>
      <c r="J412" s="1"/>
      <c r="K412" s="1"/>
      <c r="L412" s="1"/>
      <c r="M412" s="1"/>
      <c r="N412" s="1"/>
      <c r="O412" s="1"/>
      <c r="P412" s="1"/>
      <c r="Q412" s="131"/>
      <c r="R412" s="20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81"/>
      <c r="E413" s="201"/>
      <c r="F413" s="201"/>
      <c r="G413" s="201"/>
      <c r="H413" s="1"/>
      <c r="I413" s="1"/>
      <c r="J413" s="1"/>
      <c r="K413" s="1"/>
      <c r="L413" s="1"/>
      <c r="M413" s="1"/>
      <c r="N413" s="1"/>
      <c r="O413" s="1"/>
      <c r="P413" s="1"/>
      <c r="Q413" s="131"/>
      <c r="R413" s="20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81"/>
      <c r="E414" s="201"/>
      <c r="F414" s="201"/>
      <c r="G414" s="201"/>
      <c r="H414" s="1"/>
      <c r="I414" s="1"/>
      <c r="J414" s="1"/>
      <c r="K414" s="1"/>
      <c r="L414" s="1"/>
      <c r="M414" s="1"/>
      <c r="N414" s="1"/>
      <c r="O414" s="1"/>
      <c r="P414" s="1"/>
      <c r="Q414" s="131"/>
      <c r="R414" s="20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81"/>
      <c r="E415" s="201"/>
      <c r="F415" s="201"/>
      <c r="G415" s="201"/>
      <c r="H415" s="1"/>
      <c r="I415" s="1"/>
      <c r="J415" s="1"/>
      <c r="K415" s="1"/>
      <c r="L415" s="1"/>
      <c r="M415" s="1"/>
      <c r="N415" s="1"/>
      <c r="O415" s="1"/>
      <c r="P415" s="1"/>
      <c r="Q415" s="131"/>
      <c r="R415" s="20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81"/>
      <c r="E416" s="201"/>
      <c r="F416" s="201"/>
      <c r="G416" s="201"/>
      <c r="H416" s="1"/>
      <c r="I416" s="1"/>
      <c r="J416" s="1"/>
      <c r="K416" s="1"/>
      <c r="L416" s="1"/>
      <c r="M416" s="1"/>
      <c r="N416" s="1"/>
      <c r="O416" s="1"/>
      <c r="P416" s="1"/>
      <c r="Q416" s="131"/>
      <c r="R416" s="20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81"/>
      <c r="E417" s="201"/>
      <c r="F417" s="201"/>
      <c r="G417" s="201"/>
      <c r="H417" s="1"/>
      <c r="I417" s="1"/>
      <c r="J417" s="1"/>
      <c r="K417" s="1"/>
      <c r="L417" s="1"/>
      <c r="M417" s="1"/>
      <c r="N417" s="1"/>
      <c r="O417" s="1"/>
      <c r="P417" s="1"/>
      <c r="Q417" s="131"/>
      <c r="R417" s="20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81"/>
      <c r="E418" s="201"/>
      <c r="F418" s="201"/>
      <c r="G418" s="201"/>
      <c r="H418" s="1"/>
      <c r="I418" s="1"/>
      <c r="J418" s="1"/>
      <c r="K418" s="1"/>
      <c r="L418" s="1"/>
      <c r="M418" s="1"/>
      <c r="N418" s="1"/>
      <c r="O418" s="1"/>
      <c r="P418" s="1"/>
      <c r="Q418" s="131"/>
      <c r="R418" s="20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81"/>
      <c r="E419" s="201"/>
      <c r="F419" s="201"/>
      <c r="G419" s="201"/>
      <c r="H419" s="1"/>
      <c r="I419" s="1"/>
      <c r="J419" s="1"/>
      <c r="K419" s="1"/>
      <c r="L419" s="1"/>
      <c r="M419" s="1"/>
      <c r="N419" s="1"/>
      <c r="O419" s="1"/>
      <c r="P419" s="1"/>
      <c r="Q419" s="131"/>
      <c r="R419" s="20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81"/>
      <c r="E420" s="201"/>
      <c r="F420" s="201"/>
      <c r="G420" s="201"/>
      <c r="H420" s="1"/>
      <c r="I420" s="1"/>
      <c r="J420" s="1"/>
      <c r="K420" s="1"/>
      <c r="L420" s="1"/>
      <c r="M420" s="1"/>
      <c r="N420" s="1"/>
      <c r="O420" s="1"/>
      <c r="P420" s="1"/>
      <c r="Q420" s="131"/>
      <c r="R420" s="20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81"/>
      <c r="E421" s="201"/>
      <c r="F421" s="201"/>
      <c r="G421" s="201"/>
      <c r="H421" s="1"/>
      <c r="I421" s="1"/>
      <c r="J421" s="1"/>
      <c r="K421" s="1"/>
      <c r="L421" s="1"/>
      <c r="M421" s="1"/>
      <c r="N421" s="1"/>
      <c r="O421" s="1"/>
      <c r="P421" s="1"/>
      <c r="Q421" s="131"/>
      <c r="R421" s="20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81"/>
      <c r="E422" s="201"/>
      <c r="F422" s="201"/>
      <c r="G422" s="201"/>
      <c r="H422" s="1"/>
      <c r="I422" s="1"/>
      <c r="J422" s="1"/>
      <c r="K422" s="1"/>
      <c r="L422" s="1"/>
      <c r="M422" s="1"/>
      <c r="N422" s="1"/>
      <c r="O422" s="1"/>
      <c r="P422" s="1"/>
      <c r="Q422" s="131"/>
      <c r="R422" s="20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81"/>
      <c r="E423" s="201"/>
      <c r="F423" s="201"/>
      <c r="G423" s="201"/>
      <c r="H423" s="1"/>
      <c r="I423" s="1"/>
      <c r="J423" s="1"/>
      <c r="K423" s="1"/>
      <c r="L423" s="1"/>
      <c r="M423" s="1"/>
      <c r="N423" s="1"/>
      <c r="O423" s="1"/>
      <c r="P423" s="1"/>
      <c r="Q423" s="131"/>
      <c r="R423" s="20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81"/>
      <c r="E424" s="201"/>
      <c r="F424" s="201"/>
      <c r="G424" s="201"/>
      <c r="H424" s="1"/>
      <c r="I424" s="1"/>
      <c r="J424" s="1"/>
      <c r="K424" s="1"/>
      <c r="L424" s="1"/>
      <c r="M424" s="1"/>
      <c r="N424" s="1"/>
      <c r="O424" s="1"/>
      <c r="P424" s="1"/>
      <c r="Q424" s="131"/>
      <c r="R424" s="20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81"/>
      <c r="E425" s="201"/>
      <c r="F425" s="201"/>
      <c r="G425" s="201"/>
      <c r="H425" s="1"/>
      <c r="I425" s="1"/>
      <c r="J425" s="1"/>
      <c r="K425" s="1"/>
      <c r="L425" s="1"/>
      <c r="M425" s="1"/>
      <c r="N425" s="1"/>
      <c r="O425" s="1"/>
      <c r="P425" s="1"/>
      <c r="Q425" s="131"/>
      <c r="R425" s="20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81"/>
      <c r="E426" s="201"/>
      <c r="F426" s="201"/>
      <c r="G426" s="201"/>
      <c r="H426" s="1"/>
      <c r="I426" s="1"/>
      <c r="J426" s="1"/>
      <c r="K426" s="1"/>
      <c r="L426" s="1"/>
      <c r="M426" s="1"/>
      <c r="N426" s="1"/>
      <c r="O426" s="1"/>
      <c r="P426" s="1"/>
      <c r="Q426" s="131"/>
      <c r="R426" s="20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81"/>
      <c r="E427" s="201"/>
      <c r="F427" s="201"/>
      <c r="G427" s="201"/>
      <c r="H427" s="1"/>
      <c r="I427" s="1"/>
      <c r="J427" s="1"/>
      <c r="K427" s="1"/>
      <c r="L427" s="1"/>
      <c r="M427" s="1"/>
      <c r="N427" s="1"/>
      <c r="O427" s="1"/>
      <c r="P427" s="1"/>
      <c r="Q427" s="131"/>
      <c r="R427" s="20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81"/>
      <c r="E428" s="201"/>
      <c r="F428" s="201"/>
      <c r="G428" s="201"/>
      <c r="H428" s="1"/>
      <c r="I428" s="1"/>
      <c r="J428" s="1"/>
      <c r="K428" s="1"/>
      <c r="L428" s="1"/>
      <c r="M428" s="1"/>
      <c r="N428" s="1"/>
      <c r="O428" s="1"/>
      <c r="P428" s="1"/>
      <c r="Q428" s="131"/>
      <c r="R428" s="20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81"/>
      <c r="E429" s="201"/>
      <c r="F429" s="201"/>
      <c r="G429" s="201"/>
      <c r="H429" s="1"/>
      <c r="I429" s="1"/>
      <c r="J429" s="1"/>
      <c r="K429" s="1"/>
      <c r="L429" s="1"/>
      <c r="M429" s="1"/>
      <c r="N429" s="1"/>
      <c r="O429" s="1"/>
      <c r="P429" s="1"/>
      <c r="Q429" s="131"/>
      <c r="R429" s="20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81"/>
      <c r="E430" s="201"/>
      <c r="F430" s="201"/>
      <c r="G430" s="201"/>
      <c r="H430" s="1"/>
      <c r="I430" s="1"/>
      <c r="J430" s="1"/>
      <c r="K430" s="1"/>
      <c r="L430" s="1"/>
      <c r="M430" s="1"/>
      <c r="N430" s="1"/>
      <c r="O430" s="1"/>
      <c r="P430" s="1"/>
      <c r="Q430" s="131"/>
      <c r="R430" s="20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81"/>
      <c r="E431" s="201"/>
      <c r="F431" s="201"/>
      <c r="G431" s="201"/>
      <c r="H431" s="1"/>
      <c r="I431" s="1"/>
      <c r="J431" s="1"/>
      <c r="K431" s="1"/>
      <c r="L431" s="1"/>
      <c r="M431" s="1"/>
      <c r="N431" s="1"/>
      <c r="O431" s="1"/>
      <c r="P431" s="1"/>
      <c r="Q431" s="131"/>
      <c r="R431" s="20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81"/>
      <c r="E432" s="201"/>
      <c r="F432" s="201"/>
      <c r="G432" s="201"/>
      <c r="H432" s="1"/>
      <c r="I432" s="1"/>
      <c r="J432" s="1"/>
      <c r="K432" s="1"/>
      <c r="L432" s="1"/>
      <c r="M432" s="1"/>
      <c r="N432" s="1"/>
      <c r="O432" s="1"/>
      <c r="P432" s="1"/>
      <c r="Q432" s="131"/>
      <c r="R432" s="20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81"/>
      <c r="E433" s="201"/>
      <c r="F433" s="201"/>
      <c r="G433" s="201"/>
      <c r="H433" s="1"/>
      <c r="I433" s="1"/>
      <c r="J433" s="1"/>
      <c r="K433" s="1"/>
      <c r="L433" s="1"/>
      <c r="M433" s="1"/>
      <c r="N433" s="1"/>
      <c r="O433" s="1"/>
      <c r="P433" s="1"/>
      <c r="Q433" s="131"/>
      <c r="R433" s="20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81"/>
      <c r="E434" s="201"/>
      <c r="F434" s="201"/>
      <c r="G434" s="201"/>
      <c r="H434" s="1"/>
      <c r="I434" s="1"/>
      <c r="J434" s="1"/>
      <c r="K434" s="1"/>
      <c r="L434" s="1"/>
      <c r="M434" s="1"/>
      <c r="N434" s="1"/>
      <c r="O434" s="1"/>
      <c r="P434" s="1"/>
      <c r="Q434" s="131"/>
      <c r="R434" s="20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81"/>
      <c r="E435" s="201"/>
      <c r="F435" s="201"/>
      <c r="G435" s="201"/>
      <c r="H435" s="1"/>
      <c r="I435" s="1"/>
      <c r="J435" s="1"/>
      <c r="K435" s="1"/>
      <c r="L435" s="1"/>
      <c r="M435" s="1"/>
      <c r="N435" s="1"/>
      <c r="O435" s="1"/>
      <c r="P435" s="1"/>
      <c r="Q435" s="131"/>
      <c r="R435" s="20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81"/>
      <c r="E436" s="201"/>
      <c r="F436" s="201"/>
      <c r="G436" s="201"/>
      <c r="H436" s="1"/>
      <c r="I436" s="1"/>
      <c r="J436" s="1"/>
      <c r="K436" s="1"/>
      <c r="L436" s="1"/>
      <c r="M436" s="1"/>
      <c r="N436" s="1"/>
      <c r="O436" s="1"/>
      <c r="P436" s="1"/>
      <c r="Q436" s="131"/>
      <c r="R436" s="20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81"/>
      <c r="E437" s="201"/>
      <c r="F437" s="201"/>
      <c r="G437" s="201"/>
      <c r="H437" s="1"/>
      <c r="I437" s="1"/>
      <c r="J437" s="1"/>
      <c r="K437" s="1"/>
      <c r="L437" s="1"/>
      <c r="M437" s="1"/>
      <c r="N437" s="1"/>
      <c r="O437" s="1"/>
      <c r="P437" s="1"/>
      <c r="Q437" s="131"/>
      <c r="R437" s="20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81"/>
      <c r="E438" s="201"/>
      <c r="F438" s="201"/>
      <c r="G438" s="201"/>
      <c r="H438" s="1"/>
      <c r="I438" s="1"/>
      <c r="J438" s="1"/>
      <c r="K438" s="1"/>
      <c r="L438" s="1"/>
      <c r="M438" s="1"/>
      <c r="N438" s="1"/>
      <c r="O438" s="1"/>
      <c r="P438" s="1"/>
      <c r="Q438" s="131"/>
      <c r="R438" s="20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81"/>
      <c r="E439" s="201"/>
      <c r="F439" s="201"/>
      <c r="G439" s="201"/>
      <c r="H439" s="1"/>
      <c r="I439" s="1"/>
      <c r="J439" s="1"/>
      <c r="K439" s="1"/>
      <c r="L439" s="1"/>
      <c r="M439" s="1"/>
      <c r="N439" s="1"/>
      <c r="O439" s="1"/>
      <c r="P439" s="1"/>
      <c r="Q439" s="131"/>
      <c r="R439" s="20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81"/>
      <c r="E440" s="201"/>
      <c r="F440" s="201"/>
      <c r="G440" s="201"/>
      <c r="H440" s="1"/>
      <c r="I440" s="1"/>
      <c r="J440" s="1"/>
      <c r="K440" s="1"/>
      <c r="L440" s="1"/>
      <c r="M440" s="1"/>
      <c r="N440" s="1"/>
      <c r="O440" s="1"/>
      <c r="P440" s="1"/>
      <c r="Q440" s="131"/>
      <c r="R440" s="20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81"/>
      <c r="E441" s="201"/>
      <c r="F441" s="201"/>
      <c r="G441" s="201"/>
      <c r="H441" s="1"/>
      <c r="I441" s="1"/>
      <c r="J441" s="1"/>
      <c r="K441" s="1"/>
      <c r="L441" s="1"/>
      <c r="M441" s="1"/>
      <c r="N441" s="1"/>
      <c r="O441" s="1"/>
      <c r="P441" s="1"/>
      <c r="Q441" s="131"/>
      <c r="R441" s="20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81"/>
      <c r="E442" s="201"/>
      <c r="F442" s="201"/>
      <c r="G442" s="201"/>
      <c r="H442" s="1"/>
      <c r="I442" s="1"/>
      <c r="J442" s="1"/>
      <c r="K442" s="1"/>
      <c r="L442" s="1"/>
      <c r="M442" s="1"/>
      <c r="N442" s="1"/>
      <c r="O442" s="1"/>
      <c r="P442" s="1"/>
      <c r="Q442" s="131"/>
      <c r="R442" s="20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81"/>
      <c r="E443" s="201"/>
      <c r="F443" s="201"/>
      <c r="G443" s="201"/>
      <c r="H443" s="1"/>
      <c r="I443" s="1"/>
      <c r="J443" s="1"/>
      <c r="K443" s="1"/>
      <c r="L443" s="1"/>
      <c r="M443" s="1"/>
      <c r="N443" s="1"/>
      <c r="O443" s="1"/>
      <c r="P443" s="1"/>
      <c r="Q443" s="131"/>
      <c r="R443" s="20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81"/>
      <c r="E444" s="201"/>
      <c r="F444" s="201"/>
      <c r="G444" s="201"/>
      <c r="H444" s="1"/>
      <c r="I444" s="1"/>
      <c r="J444" s="1"/>
      <c r="K444" s="1"/>
      <c r="L444" s="1"/>
      <c r="M444" s="1"/>
      <c r="N444" s="1"/>
      <c r="O444" s="1"/>
      <c r="P444" s="1"/>
      <c r="Q444" s="131"/>
      <c r="R444" s="20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81"/>
      <c r="E445" s="201"/>
      <c r="F445" s="201"/>
      <c r="G445" s="201"/>
      <c r="H445" s="1"/>
      <c r="I445" s="1"/>
      <c r="J445" s="1"/>
      <c r="K445" s="1"/>
      <c r="L445" s="1"/>
      <c r="M445" s="1"/>
      <c r="N445" s="1"/>
      <c r="O445" s="1"/>
      <c r="P445" s="1"/>
      <c r="Q445" s="131"/>
      <c r="R445" s="20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81"/>
      <c r="E446" s="201"/>
      <c r="F446" s="201"/>
      <c r="G446" s="201"/>
      <c r="H446" s="1"/>
      <c r="I446" s="1"/>
      <c r="J446" s="1"/>
      <c r="K446" s="1"/>
      <c r="L446" s="1"/>
      <c r="M446" s="1"/>
      <c r="N446" s="1"/>
      <c r="O446" s="1"/>
      <c r="P446" s="1"/>
      <c r="Q446" s="131"/>
      <c r="R446" s="20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81"/>
      <c r="E447" s="201"/>
      <c r="F447" s="201"/>
      <c r="G447" s="201"/>
      <c r="H447" s="1"/>
      <c r="I447" s="1"/>
      <c r="J447" s="1"/>
      <c r="K447" s="1"/>
      <c r="L447" s="1"/>
      <c r="M447" s="1"/>
      <c r="N447" s="1"/>
      <c r="O447" s="1"/>
      <c r="P447" s="1"/>
      <c r="Q447" s="131"/>
      <c r="R447" s="20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81"/>
      <c r="E448" s="201"/>
      <c r="F448" s="201"/>
      <c r="G448" s="201"/>
      <c r="H448" s="1"/>
      <c r="I448" s="1"/>
      <c r="J448" s="1"/>
      <c r="K448" s="1"/>
      <c r="L448" s="1"/>
      <c r="M448" s="1"/>
      <c r="N448" s="1"/>
      <c r="O448" s="1"/>
      <c r="P448" s="1"/>
      <c r="Q448" s="131"/>
      <c r="R448" s="20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81"/>
      <c r="E449" s="201"/>
      <c r="F449" s="201"/>
      <c r="G449" s="201"/>
      <c r="H449" s="1"/>
      <c r="I449" s="1"/>
      <c r="J449" s="1"/>
      <c r="K449" s="1"/>
      <c r="L449" s="1"/>
      <c r="M449" s="1"/>
      <c r="N449" s="1"/>
      <c r="O449" s="1"/>
      <c r="P449" s="1"/>
      <c r="Q449" s="131"/>
      <c r="R449" s="20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81"/>
      <c r="E450" s="201"/>
      <c r="F450" s="201"/>
      <c r="G450" s="201"/>
      <c r="H450" s="1"/>
      <c r="I450" s="1"/>
      <c r="J450" s="1"/>
      <c r="K450" s="1"/>
      <c r="L450" s="1"/>
      <c r="M450" s="1"/>
      <c r="N450" s="1"/>
      <c r="O450" s="1"/>
      <c r="P450" s="1"/>
      <c r="Q450" s="131"/>
      <c r="R450" s="20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81"/>
      <c r="E451" s="201"/>
      <c r="F451" s="201"/>
      <c r="G451" s="201"/>
      <c r="H451" s="1"/>
      <c r="I451" s="1"/>
      <c r="J451" s="1"/>
      <c r="K451" s="1"/>
      <c r="L451" s="1"/>
      <c r="M451" s="1"/>
      <c r="N451" s="1"/>
      <c r="O451" s="1"/>
      <c r="P451" s="1"/>
      <c r="Q451" s="131"/>
      <c r="R451" s="20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81"/>
      <c r="E452" s="201"/>
      <c r="F452" s="201"/>
      <c r="G452" s="201"/>
      <c r="H452" s="1"/>
      <c r="I452" s="1"/>
      <c r="J452" s="1"/>
      <c r="K452" s="1"/>
      <c r="L452" s="1"/>
      <c r="M452" s="1"/>
      <c r="N452" s="1"/>
      <c r="O452" s="1"/>
      <c r="P452" s="1"/>
      <c r="Q452" s="131"/>
      <c r="R452" s="20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81"/>
      <c r="E453" s="201"/>
      <c r="F453" s="201"/>
      <c r="G453" s="201"/>
      <c r="H453" s="1"/>
      <c r="I453" s="1"/>
      <c r="J453" s="1"/>
      <c r="K453" s="1"/>
      <c r="L453" s="1"/>
      <c r="M453" s="1"/>
      <c r="N453" s="1"/>
      <c r="O453" s="1"/>
      <c r="P453" s="1"/>
      <c r="Q453" s="131"/>
      <c r="R453" s="20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81"/>
      <c r="E454" s="201"/>
      <c r="F454" s="201"/>
      <c r="G454" s="201"/>
      <c r="H454" s="1"/>
      <c r="I454" s="1"/>
      <c r="J454" s="1"/>
      <c r="K454" s="1"/>
      <c r="L454" s="1"/>
      <c r="M454" s="1"/>
      <c r="N454" s="1"/>
      <c r="O454" s="1"/>
      <c r="P454" s="1"/>
      <c r="Q454" s="131"/>
      <c r="R454" s="20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81"/>
      <c r="E455" s="201"/>
      <c r="F455" s="201"/>
      <c r="G455" s="201"/>
      <c r="H455" s="1"/>
      <c r="I455" s="1"/>
      <c r="J455" s="1"/>
      <c r="K455" s="1"/>
      <c r="L455" s="1"/>
      <c r="M455" s="1"/>
      <c r="N455" s="1"/>
      <c r="O455" s="1"/>
      <c r="P455" s="1"/>
      <c r="Q455" s="131"/>
      <c r="R455" s="20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81"/>
      <c r="E456" s="201"/>
      <c r="F456" s="201"/>
      <c r="G456" s="201"/>
      <c r="H456" s="1"/>
      <c r="I456" s="1"/>
      <c r="J456" s="1"/>
      <c r="K456" s="1"/>
      <c r="L456" s="1"/>
      <c r="M456" s="1"/>
      <c r="N456" s="1"/>
      <c r="O456" s="1"/>
      <c r="P456" s="1"/>
      <c r="Q456" s="131"/>
      <c r="R456" s="20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81"/>
      <c r="E457" s="201"/>
      <c r="F457" s="201"/>
      <c r="G457" s="201"/>
      <c r="H457" s="1"/>
      <c r="I457" s="1"/>
      <c r="J457" s="1"/>
      <c r="K457" s="1"/>
      <c r="L457" s="1"/>
      <c r="M457" s="1"/>
      <c r="N457" s="1"/>
      <c r="O457" s="1"/>
      <c r="P457" s="1"/>
      <c r="Q457" s="131"/>
      <c r="R457" s="20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81"/>
      <c r="E458" s="201"/>
      <c r="F458" s="201"/>
      <c r="G458" s="201"/>
      <c r="H458" s="1"/>
      <c r="I458" s="1"/>
      <c r="J458" s="1"/>
      <c r="K458" s="1"/>
      <c r="L458" s="1"/>
      <c r="M458" s="1"/>
      <c r="N458" s="1"/>
      <c r="O458" s="1"/>
      <c r="P458" s="1"/>
      <c r="Q458" s="131"/>
      <c r="R458" s="20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81"/>
      <c r="E459" s="201"/>
      <c r="F459" s="201"/>
      <c r="G459" s="201"/>
      <c r="H459" s="1"/>
      <c r="I459" s="1"/>
      <c r="J459" s="1"/>
      <c r="K459" s="1"/>
      <c r="L459" s="1"/>
      <c r="M459" s="1"/>
      <c r="N459" s="1"/>
      <c r="O459" s="1"/>
      <c r="P459" s="1"/>
      <c r="Q459" s="131"/>
      <c r="R459" s="20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81"/>
      <c r="E460" s="201"/>
      <c r="F460" s="201"/>
      <c r="G460" s="201"/>
      <c r="H460" s="1"/>
      <c r="I460" s="1"/>
      <c r="J460" s="1"/>
      <c r="K460" s="1"/>
      <c r="L460" s="1"/>
      <c r="M460" s="1"/>
      <c r="N460" s="1"/>
      <c r="O460" s="1"/>
      <c r="P460" s="1"/>
      <c r="Q460" s="131"/>
      <c r="R460" s="20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81"/>
      <c r="E461" s="201"/>
      <c r="F461" s="201"/>
      <c r="G461" s="201"/>
      <c r="H461" s="1"/>
      <c r="I461" s="1"/>
      <c r="J461" s="1"/>
      <c r="K461" s="1"/>
      <c r="L461" s="1"/>
      <c r="M461" s="1"/>
      <c r="N461" s="1"/>
      <c r="O461" s="1"/>
      <c r="P461" s="1"/>
      <c r="Q461" s="131"/>
      <c r="R461" s="20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81"/>
      <c r="E462" s="201"/>
      <c r="F462" s="201"/>
      <c r="G462" s="201"/>
      <c r="H462" s="1"/>
      <c r="I462" s="1"/>
      <c r="J462" s="1"/>
      <c r="K462" s="1"/>
      <c r="L462" s="1"/>
      <c r="M462" s="1"/>
      <c r="N462" s="1"/>
      <c r="O462" s="1"/>
      <c r="P462" s="1"/>
      <c r="Q462" s="131"/>
      <c r="R462" s="20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81"/>
      <c r="E463" s="201"/>
      <c r="F463" s="201"/>
      <c r="G463" s="201"/>
      <c r="H463" s="1"/>
      <c r="I463" s="1"/>
      <c r="J463" s="1"/>
      <c r="K463" s="1"/>
      <c r="L463" s="1"/>
      <c r="M463" s="1"/>
      <c r="N463" s="1"/>
      <c r="O463" s="1"/>
      <c r="P463" s="1"/>
      <c r="Q463" s="131"/>
      <c r="R463" s="20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81"/>
      <c r="E464" s="201"/>
      <c r="F464" s="201"/>
      <c r="G464" s="201"/>
      <c r="H464" s="1"/>
      <c r="I464" s="1"/>
      <c r="J464" s="1"/>
      <c r="K464" s="1"/>
      <c r="L464" s="1"/>
      <c r="M464" s="1"/>
      <c r="N464" s="1"/>
      <c r="O464" s="1"/>
      <c r="P464" s="1"/>
      <c r="Q464" s="131"/>
      <c r="R464" s="20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81"/>
      <c r="E465" s="201"/>
      <c r="F465" s="201"/>
      <c r="G465" s="201"/>
      <c r="H465" s="1"/>
      <c r="I465" s="1"/>
      <c r="J465" s="1"/>
      <c r="K465" s="1"/>
      <c r="L465" s="1"/>
      <c r="M465" s="1"/>
      <c r="N465" s="1"/>
      <c r="O465" s="1"/>
      <c r="P465" s="1"/>
      <c r="Q465" s="131"/>
      <c r="R465" s="20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81"/>
      <c r="E466" s="201"/>
      <c r="F466" s="201"/>
      <c r="G466" s="201"/>
      <c r="H466" s="1"/>
      <c r="I466" s="1"/>
      <c r="J466" s="1"/>
      <c r="K466" s="1"/>
      <c r="L466" s="1"/>
      <c r="M466" s="1"/>
      <c r="N466" s="1"/>
      <c r="O466" s="1"/>
      <c r="P466" s="1"/>
      <c r="Q466" s="131"/>
      <c r="R466" s="20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81"/>
      <c r="E467" s="201"/>
      <c r="F467" s="201"/>
      <c r="G467" s="201"/>
      <c r="H467" s="1"/>
      <c r="I467" s="1"/>
      <c r="J467" s="1"/>
      <c r="K467" s="1"/>
      <c r="L467" s="1"/>
      <c r="M467" s="1"/>
      <c r="N467" s="1"/>
      <c r="O467" s="1"/>
      <c r="P467" s="1"/>
      <c r="Q467" s="131"/>
      <c r="R467" s="20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81"/>
      <c r="E468" s="201"/>
      <c r="F468" s="201"/>
      <c r="G468" s="201"/>
      <c r="H468" s="1"/>
      <c r="I468" s="1"/>
      <c r="J468" s="1"/>
      <c r="K468" s="1"/>
      <c r="L468" s="1"/>
      <c r="M468" s="1"/>
      <c r="N468" s="1"/>
      <c r="O468" s="1"/>
      <c r="P468" s="1"/>
      <c r="Q468" s="131"/>
      <c r="R468" s="20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81"/>
      <c r="E469" s="201"/>
      <c r="F469" s="201"/>
      <c r="G469" s="201"/>
      <c r="H469" s="1"/>
      <c r="I469" s="1"/>
      <c r="J469" s="1"/>
      <c r="K469" s="1"/>
      <c r="L469" s="1"/>
      <c r="M469" s="1"/>
      <c r="N469" s="1"/>
      <c r="O469" s="1"/>
      <c r="P469" s="1"/>
      <c r="Q469" s="131"/>
      <c r="R469" s="20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81"/>
      <c r="E470" s="201"/>
      <c r="F470" s="201"/>
      <c r="G470" s="201"/>
      <c r="H470" s="1"/>
      <c r="I470" s="1"/>
      <c r="J470" s="1"/>
      <c r="K470" s="1"/>
      <c r="L470" s="1"/>
      <c r="M470" s="1"/>
      <c r="N470" s="1"/>
      <c r="O470" s="1"/>
      <c r="P470" s="1"/>
      <c r="Q470" s="131"/>
      <c r="R470" s="20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81"/>
      <c r="E471" s="201"/>
      <c r="F471" s="201"/>
      <c r="G471" s="201"/>
      <c r="H471" s="1"/>
      <c r="I471" s="1"/>
      <c r="J471" s="1"/>
      <c r="K471" s="1"/>
      <c r="L471" s="1"/>
      <c r="M471" s="1"/>
      <c r="N471" s="1"/>
      <c r="O471" s="1"/>
      <c r="P471" s="1"/>
      <c r="Q471" s="131"/>
      <c r="R471" s="20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81"/>
      <c r="E472" s="201"/>
      <c r="F472" s="201"/>
      <c r="G472" s="201"/>
      <c r="H472" s="1"/>
      <c r="I472" s="1"/>
      <c r="J472" s="1"/>
      <c r="K472" s="1"/>
      <c r="L472" s="1"/>
      <c r="M472" s="1"/>
      <c r="N472" s="1"/>
      <c r="O472" s="1"/>
      <c r="P472" s="1"/>
      <c r="Q472" s="131"/>
      <c r="R472" s="20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81"/>
      <c r="E473" s="201"/>
      <c r="F473" s="201"/>
      <c r="G473" s="201"/>
      <c r="H473" s="1"/>
      <c r="I473" s="1"/>
      <c r="J473" s="1"/>
      <c r="K473" s="1"/>
      <c r="L473" s="1"/>
      <c r="M473" s="1"/>
      <c r="N473" s="1"/>
      <c r="O473" s="1"/>
      <c r="P473" s="1"/>
      <c r="Q473" s="131"/>
      <c r="R473" s="20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81"/>
      <c r="E474" s="201"/>
      <c r="F474" s="201"/>
      <c r="G474" s="201"/>
      <c r="H474" s="1"/>
      <c r="I474" s="1"/>
      <c r="J474" s="1"/>
      <c r="K474" s="1"/>
      <c r="L474" s="1"/>
      <c r="M474" s="1"/>
      <c r="N474" s="1"/>
      <c r="O474" s="1"/>
      <c r="P474" s="1"/>
      <c r="Q474" s="131"/>
      <c r="R474" s="20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81"/>
      <c r="E475" s="201"/>
      <c r="F475" s="201"/>
      <c r="G475" s="201"/>
      <c r="H475" s="1"/>
      <c r="I475" s="1"/>
      <c r="J475" s="1"/>
      <c r="K475" s="1"/>
      <c r="L475" s="1"/>
      <c r="M475" s="1"/>
      <c r="N475" s="1"/>
      <c r="O475" s="1"/>
      <c r="P475" s="1"/>
      <c r="Q475" s="131"/>
      <c r="R475" s="20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81"/>
      <c r="E476" s="201"/>
      <c r="F476" s="201"/>
      <c r="G476" s="201"/>
      <c r="H476" s="1"/>
      <c r="I476" s="1"/>
      <c r="J476" s="1"/>
      <c r="K476" s="1"/>
      <c r="L476" s="1"/>
      <c r="M476" s="1"/>
      <c r="N476" s="1"/>
      <c r="O476" s="1"/>
      <c r="P476" s="1"/>
      <c r="Q476" s="131"/>
      <c r="R476" s="20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81"/>
      <c r="E477" s="201"/>
      <c r="F477" s="201"/>
      <c r="G477" s="201"/>
      <c r="H477" s="1"/>
      <c r="I477" s="1"/>
      <c r="J477" s="1"/>
      <c r="K477" s="1"/>
      <c r="L477" s="1"/>
      <c r="M477" s="1"/>
      <c r="N477" s="1"/>
      <c r="O477" s="1"/>
      <c r="P477" s="1"/>
      <c r="Q477" s="131"/>
      <c r="R477" s="20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81"/>
      <c r="E478" s="201"/>
      <c r="F478" s="201"/>
      <c r="G478" s="201"/>
      <c r="H478" s="1"/>
      <c r="I478" s="1"/>
      <c r="J478" s="1"/>
      <c r="K478" s="1"/>
      <c r="L478" s="1"/>
      <c r="M478" s="1"/>
      <c r="N478" s="1"/>
      <c r="O478" s="1"/>
      <c r="P478" s="1"/>
      <c r="Q478" s="131"/>
      <c r="R478" s="20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81"/>
      <c r="E479" s="201"/>
      <c r="F479" s="201"/>
      <c r="G479" s="201"/>
      <c r="H479" s="1"/>
      <c r="I479" s="1"/>
      <c r="J479" s="1"/>
      <c r="K479" s="1"/>
      <c r="L479" s="1"/>
      <c r="M479" s="1"/>
      <c r="N479" s="1"/>
      <c r="O479" s="1"/>
      <c r="P479" s="1"/>
      <c r="Q479" s="131"/>
      <c r="R479" s="20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81"/>
      <c r="E480" s="201"/>
      <c r="F480" s="201"/>
      <c r="G480" s="201"/>
      <c r="H480" s="1"/>
      <c r="I480" s="1"/>
      <c r="J480" s="1"/>
      <c r="K480" s="1"/>
      <c r="L480" s="1"/>
      <c r="M480" s="1"/>
      <c r="N480" s="1"/>
      <c r="O480" s="1"/>
      <c r="P480" s="1"/>
      <c r="Q480" s="131"/>
      <c r="R480" s="20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81"/>
      <c r="E481" s="201"/>
      <c r="F481" s="201"/>
      <c r="G481" s="201"/>
      <c r="H481" s="1"/>
      <c r="I481" s="1"/>
      <c r="J481" s="1"/>
      <c r="K481" s="1"/>
      <c r="L481" s="1"/>
      <c r="M481" s="1"/>
      <c r="N481" s="1"/>
      <c r="O481" s="1"/>
      <c r="P481" s="1"/>
      <c r="Q481" s="131"/>
      <c r="R481" s="20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81"/>
      <c r="E482" s="201"/>
      <c r="F482" s="201"/>
      <c r="G482" s="201"/>
      <c r="H482" s="1"/>
      <c r="I482" s="1"/>
      <c r="J482" s="1"/>
      <c r="K482" s="1"/>
      <c r="L482" s="1"/>
      <c r="M482" s="1"/>
      <c r="N482" s="1"/>
      <c r="O482" s="1"/>
      <c r="P482" s="1"/>
      <c r="Q482" s="131"/>
      <c r="R482" s="20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81"/>
      <c r="E483" s="201"/>
      <c r="F483" s="201"/>
      <c r="G483" s="201"/>
      <c r="H483" s="1"/>
      <c r="I483" s="1"/>
      <c r="J483" s="1"/>
      <c r="K483" s="1"/>
      <c r="L483" s="1"/>
      <c r="M483" s="1"/>
      <c r="N483" s="1"/>
      <c r="O483" s="1"/>
      <c r="P483" s="1"/>
      <c r="Q483" s="131"/>
      <c r="R483" s="20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81"/>
      <c r="E484" s="201"/>
      <c r="F484" s="201"/>
      <c r="G484" s="201"/>
      <c r="H484" s="1"/>
      <c r="I484" s="1"/>
      <c r="J484" s="1"/>
      <c r="K484" s="1"/>
      <c r="L484" s="1"/>
      <c r="M484" s="1"/>
      <c r="N484" s="1"/>
      <c r="O484" s="1"/>
      <c r="P484" s="1"/>
      <c r="Q484" s="131"/>
      <c r="R484" s="20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81"/>
      <c r="E485" s="201"/>
      <c r="F485" s="201"/>
      <c r="G485" s="201"/>
      <c r="H485" s="1"/>
      <c r="I485" s="1"/>
      <c r="J485" s="1"/>
      <c r="K485" s="1"/>
      <c r="L485" s="1"/>
      <c r="M485" s="1"/>
      <c r="N485" s="1"/>
      <c r="O485" s="1"/>
      <c r="P485" s="1"/>
      <c r="Q485" s="131"/>
      <c r="R485" s="20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81"/>
      <c r="E486" s="201"/>
      <c r="F486" s="201"/>
      <c r="G486" s="201"/>
      <c r="H486" s="1"/>
      <c r="I486" s="1"/>
      <c r="J486" s="1"/>
      <c r="K486" s="1"/>
      <c r="L486" s="1"/>
      <c r="M486" s="1"/>
      <c r="N486" s="1"/>
      <c r="O486" s="1"/>
      <c r="P486" s="1"/>
      <c r="Q486" s="131"/>
      <c r="R486" s="20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81"/>
      <c r="E487" s="201"/>
      <c r="F487" s="201"/>
      <c r="G487" s="201"/>
      <c r="H487" s="1"/>
      <c r="I487" s="1"/>
      <c r="J487" s="1"/>
      <c r="K487" s="1"/>
      <c r="L487" s="1"/>
      <c r="M487" s="1"/>
      <c r="N487" s="1"/>
      <c r="O487" s="1"/>
      <c r="P487" s="1"/>
      <c r="Q487" s="131"/>
      <c r="R487" s="20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81"/>
      <c r="E488" s="201"/>
      <c r="F488" s="201"/>
      <c r="G488" s="201"/>
      <c r="H488" s="1"/>
      <c r="I488" s="1"/>
      <c r="J488" s="1"/>
      <c r="K488" s="1"/>
      <c r="L488" s="1"/>
      <c r="M488" s="1"/>
      <c r="N488" s="1"/>
      <c r="O488" s="1"/>
      <c r="P488" s="1"/>
      <c r="Q488" s="131"/>
      <c r="R488" s="20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81"/>
      <c r="E489" s="201"/>
      <c r="F489" s="201"/>
      <c r="G489" s="201"/>
      <c r="H489" s="1"/>
      <c r="I489" s="1"/>
      <c r="J489" s="1"/>
      <c r="K489" s="1"/>
      <c r="L489" s="1"/>
      <c r="M489" s="1"/>
      <c r="N489" s="1"/>
      <c r="O489" s="1"/>
      <c r="P489" s="1"/>
      <c r="Q489" s="131"/>
      <c r="R489" s="20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81"/>
      <c r="E490" s="201"/>
      <c r="F490" s="201"/>
      <c r="G490" s="201"/>
      <c r="H490" s="1"/>
      <c r="I490" s="1"/>
      <c r="J490" s="1"/>
      <c r="K490" s="1"/>
      <c r="L490" s="1"/>
      <c r="M490" s="1"/>
      <c r="N490" s="1"/>
      <c r="O490" s="1"/>
      <c r="P490" s="1"/>
      <c r="Q490" s="131"/>
      <c r="R490" s="20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81"/>
      <c r="E491" s="201"/>
      <c r="F491" s="201"/>
      <c r="G491" s="201"/>
      <c r="H491" s="1"/>
      <c r="I491" s="1"/>
      <c r="J491" s="1"/>
      <c r="K491" s="1"/>
      <c r="L491" s="1"/>
      <c r="M491" s="1"/>
      <c r="N491" s="1"/>
      <c r="O491" s="1"/>
      <c r="P491" s="1"/>
      <c r="Q491" s="131"/>
      <c r="R491" s="20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81"/>
      <c r="E492" s="201"/>
      <c r="F492" s="201"/>
      <c r="G492" s="201"/>
      <c r="H492" s="1"/>
      <c r="I492" s="1"/>
      <c r="J492" s="1"/>
      <c r="K492" s="1"/>
      <c r="L492" s="1"/>
      <c r="M492" s="1"/>
      <c r="N492" s="1"/>
      <c r="O492" s="1"/>
      <c r="P492" s="1"/>
      <c r="Q492" s="131"/>
      <c r="R492" s="20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81"/>
      <c r="E493" s="201"/>
      <c r="F493" s="201"/>
      <c r="G493" s="201"/>
      <c r="H493" s="1"/>
      <c r="I493" s="1"/>
      <c r="J493" s="1"/>
      <c r="K493" s="1"/>
      <c r="L493" s="1"/>
      <c r="M493" s="1"/>
      <c r="N493" s="1"/>
      <c r="O493" s="1"/>
      <c r="P493" s="1"/>
      <c r="Q493" s="131"/>
      <c r="R493" s="20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81"/>
      <c r="E494" s="201"/>
      <c r="F494" s="201"/>
      <c r="G494" s="201"/>
      <c r="H494" s="1"/>
      <c r="I494" s="1"/>
      <c r="J494" s="1"/>
      <c r="K494" s="1"/>
      <c r="L494" s="1"/>
      <c r="M494" s="1"/>
      <c r="N494" s="1"/>
      <c r="O494" s="1"/>
      <c r="P494" s="1"/>
      <c r="Q494" s="131"/>
      <c r="R494" s="20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81"/>
      <c r="E495" s="201"/>
      <c r="F495" s="201"/>
      <c r="G495" s="201"/>
      <c r="H495" s="1"/>
      <c r="I495" s="1"/>
      <c r="J495" s="1"/>
      <c r="K495" s="1"/>
      <c r="L495" s="1"/>
      <c r="M495" s="1"/>
      <c r="N495" s="1"/>
      <c r="O495" s="1"/>
      <c r="P495" s="1"/>
      <c r="Q495" s="131"/>
      <c r="R495" s="20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81"/>
      <c r="E496" s="201"/>
      <c r="F496" s="201"/>
      <c r="G496" s="201"/>
      <c r="H496" s="1"/>
      <c r="I496" s="1"/>
      <c r="J496" s="1"/>
      <c r="K496" s="1"/>
      <c r="L496" s="1"/>
      <c r="M496" s="1"/>
      <c r="N496" s="1"/>
      <c r="O496" s="1"/>
      <c r="P496" s="1"/>
      <c r="Q496" s="131"/>
      <c r="R496" s="20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81"/>
      <c r="E497" s="201"/>
      <c r="F497" s="201"/>
      <c r="G497" s="201"/>
      <c r="H497" s="1"/>
      <c r="I497" s="1"/>
      <c r="J497" s="1"/>
      <c r="K497" s="1"/>
      <c r="L497" s="1"/>
      <c r="M497" s="1"/>
      <c r="N497" s="1"/>
      <c r="O497" s="1"/>
      <c r="P497" s="1"/>
      <c r="Q497" s="131"/>
      <c r="R497" s="20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81"/>
      <c r="E498" s="201"/>
      <c r="F498" s="201"/>
      <c r="G498" s="201"/>
      <c r="H498" s="1"/>
      <c r="I498" s="1"/>
      <c r="J498" s="1"/>
      <c r="K498" s="1"/>
      <c r="L498" s="1"/>
      <c r="M498" s="1"/>
      <c r="N498" s="1"/>
      <c r="O498" s="1"/>
      <c r="P498" s="1"/>
      <c r="Q498" s="131"/>
      <c r="R498" s="20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81"/>
      <c r="E499" s="201"/>
      <c r="F499" s="201"/>
      <c r="G499" s="201"/>
      <c r="H499" s="1"/>
      <c r="I499" s="1"/>
      <c r="J499" s="1"/>
      <c r="K499" s="1"/>
      <c r="L499" s="1"/>
      <c r="M499" s="1"/>
      <c r="N499" s="1"/>
      <c r="O499" s="1"/>
      <c r="P499" s="1"/>
      <c r="Q499" s="131"/>
      <c r="R499" s="20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81"/>
      <c r="E500" s="201"/>
      <c r="F500" s="201"/>
      <c r="G500" s="201"/>
      <c r="H500" s="1"/>
      <c r="I500" s="1"/>
      <c r="J500" s="1"/>
      <c r="K500" s="1"/>
      <c r="L500" s="1"/>
      <c r="M500" s="1"/>
      <c r="N500" s="1"/>
      <c r="O500" s="1"/>
      <c r="P500" s="1"/>
      <c r="Q500" s="131"/>
      <c r="R500" s="20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81"/>
      <c r="E501" s="201"/>
      <c r="F501" s="201"/>
      <c r="G501" s="201"/>
      <c r="H501" s="1"/>
      <c r="I501" s="1"/>
      <c r="J501" s="1"/>
      <c r="K501" s="1"/>
      <c r="L501" s="1"/>
      <c r="M501" s="1"/>
      <c r="N501" s="1"/>
      <c r="O501" s="1"/>
      <c r="P501" s="1"/>
      <c r="Q501" s="131"/>
      <c r="R501" s="20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81"/>
      <c r="E502" s="201"/>
      <c r="F502" s="201"/>
      <c r="G502" s="201"/>
      <c r="H502" s="1"/>
      <c r="I502" s="1"/>
      <c r="J502" s="1"/>
      <c r="K502" s="1"/>
      <c r="L502" s="1"/>
      <c r="M502" s="1"/>
      <c r="N502" s="1"/>
      <c r="O502" s="1"/>
      <c r="P502" s="1"/>
      <c r="Q502" s="131"/>
      <c r="R502" s="20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81"/>
      <c r="E503" s="201"/>
      <c r="F503" s="201"/>
      <c r="G503" s="201"/>
      <c r="H503" s="1"/>
      <c r="I503" s="1"/>
      <c r="J503" s="1"/>
      <c r="K503" s="1"/>
      <c r="L503" s="1"/>
      <c r="M503" s="1"/>
      <c r="N503" s="1"/>
      <c r="O503" s="1"/>
      <c r="P503" s="1"/>
      <c r="Q503" s="131"/>
      <c r="R503" s="20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81"/>
      <c r="E504" s="201"/>
      <c r="F504" s="201"/>
      <c r="G504" s="201"/>
      <c r="H504" s="1"/>
      <c r="I504" s="1"/>
      <c r="J504" s="1"/>
      <c r="K504" s="1"/>
      <c r="L504" s="1"/>
      <c r="M504" s="1"/>
      <c r="N504" s="1"/>
      <c r="O504" s="1"/>
      <c r="P504" s="1"/>
      <c r="Q504" s="131"/>
      <c r="R504" s="20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81"/>
      <c r="E505" s="201"/>
      <c r="F505" s="201"/>
      <c r="G505" s="201"/>
      <c r="H505" s="1"/>
      <c r="I505" s="1"/>
      <c r="J505" s="1"/>
      <c r="K505" s="1"/>
      <c r="L505" s="1"/>
      <c r="M505" s="1"/>
      <c r="N505" s="1"/>
      <c r="O505" s="1"/>
      <c r="P505" s="1"/>
      <c r="Q505" s="131"/>
      <c r="R505" s="20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81"/>
      <c r="E506" s="201"/>
      <c r="F506" s="201"/>
      <c r="G506" s="201"/>
      <c r="H506" s="1"/>
      <c r="I506" s="1"/>
      <c r="J506" s="1"/>
      <c r="K506" s="1"/>
      <c r="L506" s="1"/>
      <c r="M506" s="1"/>
      <c r="N506" s="1"/>
      <c r="O506" s="1"/>
      <c r="P506" s="1"/>
      <c r="Q506" s="131"/>
      <c r="R506" s="20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81"/>
      <c r="E507" s="201"/>
      <c r="F507" s="201"/>
      <c r="G507" s="201"/>
      <c r="H507" s="1"/>
      <c r="I507" s="1"/>
      <c r="J507" s="1"/>
      <c r="K507" s="1"/>
      <c r="L507" s="1"/>
      <c r="M507" s="1"/>
      <c r="N507" s="1"/>
      <c r="O507" s="1"/>
      <c r="P507" s="1"/>
      <c r="Q507" s="131"/>
      <c r="R507" s="20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81"/>
      <c r="E508" s="201"/>
      <c r="F508" s="201"/>
      <c r="G508" s="201"/>
      <c r="H508" s="1"/>
      <c r="I508" s="1"/>
      <c r="J508" s="1"/>
      <c r="K508" s="1"/>
      <c r="L508" s="1"/>
      <c r="M508" s="1"/>
      <c r="N508" s="1"/>
      <c r="O508" s="1"/>
      <c r="P508" s="1"/>
      <c r="Q508" s="131"/>
      <c r="R508" s="20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81"/>
      <c r="E509" s="201"/>
      <c r="F509" s="201"/>
      <c r="G509" s="201"/>
      <c r="H509" s="1"/>
      <c r="I509" s="1"/>
      <c r="J509" s="1"/>
      <c r="K509" s="1"/>
      <c r="L509" s="1"/>
      <c r="M509" s="1"/>
      <c r="N509" s="1"/>
      <c r="O509" s="1"/>
      <c r="P509" s="1"/>
      <c r="Q509" s="131"/>
      <c r="R509" s="20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81"/>
      <c r="E510" s="201"/>
      <c r="F510" s="201"/>
      <c r="G510" s="201"/>
      <c r="H510" s="1"/>
      <c r="I510" s="1"/>
      <c r="J510" s="1"/>
      <c r="K510" s="1"/>
      <c r="L510" s="1"/>
      <c r="M510" s="1"/>
      <c r="N510" s="1"/>
      <c r="O510" s="1"/>
      <c r="P510" s="1"/>
      <c r="Q510" s="131"/>
      <c r="R510" s="20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81"/>
      <c r="E511" s="201"/>
      <c r="F511" s="201"/>
      <c r="G511" s="201"/>
      <c r="H511" s="1"/>
      <c r="I511" s="1"/>
      <c r="J511" s="1"/>
      <c r="K511" s="1"/>
      <c r="L511" s="1"/>
      <c r="M511" s="1"/>
      <c r="N511" s="1"/>
      <c r="O511" s="1"/>
      <c r="P511" s="1"/>
      <c r="Q511" s="131"/>
      <c r="R511" s="20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81"/>
      <c r="E512" s="201"/>
      <c r="F512" s="201"/>
      <c r="G512" s="201"/>
      <c r="H512" s="1"/>
      <c r="I512" s="1"/>
      <c r="J512" s="1"/>
      <c r="K512" s="1"/>
      <c r="L512" s="1"/>
      <c r="M512" s="1"/>
      <c r="N512" s="1"/>
      <c r="O512" s="1"/>
      <c r="P512" s="1"/>
      <c r="Q512" s="131"/>
      <c r="R512" s="20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81"/>
      <c r="E513" s="201"/>
      <c r="F513" s="201"/>
      <c r="G513" s="201"/>
      <c r="H513" s="1"/>
      <c r="I513" s="1"/>
      <c r="J513" s="1"/>
      <c r="K513" s="1"/>
      <c r="L513" s="1"/>
      <c r="M513" s="1"/>
      <c r="N513" s="1"/>
      <c r="O513" s="1"/>
      <c r="P513" s="1"/>
      <c r="Q513" s="131"/>
      <c r="R513" s="20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81"/>
      <c r="E514" s="201"/>
      <c r="F514" s="201"/>
      <c r="G514" s="201"/>
      <c r="H514" s="1"/>
      <c r="I514" s="1"/>
      <c r="J514" s="1"/>
      <c r="K514" s="1"/>
      <c r="L514" s="1"/>
      <c r="M514" s="1"/>
      <c r="N514" s="1"/>
      <c r="O514" s="1"/>
      <c r="P514" s="1"/>
      <c r="Q514" s="131"/>
      <c r="R514" s="20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81"/>
      <c r="E515" s="201"/>
      <c r="F515" s="201"/>
      <c r="G515" s="201"/>
      <c r="H515" s="1"/>
      <c r="I515" s="1"/>
      <c r="J515" s="1"/>
      <c r="K515" s="1"/>
      <c r="L515" s="1"/>
      <c r="M515" s="1"/>
      <c r="N515" s="1"/>
      <c r="O515" s="1"/>
      <c r="P515" s="1"/>
      <c r="Q515" s="131"/>
      <c r="R515" s="20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81"/>
      <c r="E516" s="201"/>
      <c r="F516" s="201"/>
      <c r="G516" s="201"/>
      <c r="H516" s="1"/>
      <c r="I516" s="1"/>
      <c r="J516" s="1"/>
      <c r="K516" s="1"/>
      <c r="L516" s="1"/>
      <c r="M516" s="1"/>
      <c r="N516" s="1"/>
      <c r="O516" s="1"/>
      <c r="P516" s="1"/>
      <c r="Q516" s="131"/>
      <c r="R516" s="20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81"/>
      <c r="E517" s="201"/>
      <c r="F517" s="201"/>
      <c r="G517" s="201"/>
      <c r="H517" s="1"/>
      <c r="I517" s="1"/>
      <c r="J517" s="1"/>
      <c r="K517" s="1"/>
      <c r="L517" s="1"/>
      <c r="M517" s="1"/>
      <c r="N517" s="1"/>
      <c r="O517" s="1"/>
      <c r="P517" s="1"/>
      <c r="Q517" s="131"/>
      <c r="R517" s="20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81"/>
      <c r="E518" s="201"/>
      <c r="F518" s="201"/>
      <c r="G518" s="201"/>
      <c r="H518" s="1"/>
      <c r="I518" s="1"/>
      <c r="J518" s="1"/>
      <c r="K518" s="1"/>
      <c r="L518" s="1"/>
      <c r="M518" s="1"/>
      <c r="N518" s="1"/>
      <c r="O518" s="1"/>
      <c r="P518" s="1"/>
      <c r="Q518" s="131"/>
      <c r="R518" s="20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81"/>
      <c r="E519" s="201"/>
      <c r="F519" s="201"/>
      <c r="G519" s="201"/>
      <c r="H519" s="1"/>
      <c r="I519" s="1"/>
      <c r="J519" s="1"/>
      <c r="K519" s="1"/>
      <c r="L519" s="1"/>
      <c r="M519" s="1"/>
      <c r="N519" s="1"/>
      <c r="O519" s="1"/>
      <c r="P519" s="1"/>
      <c r="Q519" s="131"/>
      <c r="R519" s="20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81"/>
      <c r="E520" s="201"/>
      <c r="F520" s="201"/>
      <c r="G520" s="201"/>
      <c r="H520" s="1"/>
      <c r="I520" s="1"/>
      <c r="J520" s="1"/>
      <c r="K520" s="1"/>
      <c r="L520" s="1"/>
      <c r="M520" s="1"/>
      <c r="N520" s="1"/>
      <c r="O520" s="1"/>
      <c r="P520" s="1"/>
      <c r="Q520" s="131"/>
      <c r="R520" s="20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81"/>
      <c r="E521" s="201"/>
      <c r="F521" s="201"/>
      <c r="G521" s="201"/>
      <c r="H521" s="1"/>
      <c r="I521" s="1"/>
      <c r="J521" s="1"/>
      <c r="K521" s="1"/>
      <c r="L521" s="1"/>
      <c r="M521" s="1"/>
      <c r="N521" s="1"/>
      <c r="O521" s="1"/>
      <c r="P521" s="1"/>
      <c r="Q521" s="131"/>
      <c r="R521" s="20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81"/>
      <c r="E522" s="201"/>
      <c r="F522" s="201"/>
      <c r="G522" s="201"/>
      <c r="H522" s="1"/>
      <c r="I522" s="1"/>
      <c r="J522" s="1"/>
      <c r="K522" s="1"/>
      <c r="L522" s="1"/>
      <c r="M522" s="1"/>
      <c r="N522" s="1"/>
      <c r="O522" s="1"/>
      <c r="P522" s="1"/>
      <c r="Q522" s="131"/>
      <c r="R522" s="20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81"/>
      <c r="E523" s="201"/>
      <c r="F523" s="201"/>
      <c r="G523" s="201"/>
      <c r="H523" s="1"/>
      <c r="I523" s="1"/>
      <c r="J523" s="1"/>
      <c r="K523" s="1"/>
      <c r="L523" s="1"/>
      <c r="M523" s="1"/>
      <c r="N523" s="1"/>
      <c r="O523" s="1"/>
      <c r="P523" s="1"/>
      <c r="Q523" s="131"/>
      <c r="R523" s="20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81"/>
      <c r="E524" s="201"/>
      <c r="F524" s="201"/>
      <c r="G524" s="201"/>
      <c r="H524" s="1"/>
      <c r="I524" s="1"/>
      <c r="J524" s="1"/>
      <c r="K524" s="1"/>
      <c r="L524" s="1"/>
      <c r="M524" s="1"/>
      <c r="N524" s="1"/>
      <c r="O524" s="1"/>
      <c r="P524" s="1"/>
      <c r="Q524" s="131"/>
      <c r="R524" s="20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81"/>
      <c r="E525" s="201"/>
      <c r="F525" s="201"/>
      <c r="G525" s="201"/>
      <c r="H525" s="1"/>
      <c r="I525" s="1"/>
      <c r="J525" s="1"/>
      <c r="K525" s="1"/>
      <c r="L525" s="1"/>
      <c r="M525" s="1"/>
      <c r="N525" s="1"/>
      <c r="O525" s="1"/>
      <c r="P525" s="1"/>
      <c r="Q525" s="131"/>
      <c r="R525" s="20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81"/>
      <c r="E526" s="201"/>
      <c r="F526" s="201"/>
      <c r="G526" s="201"/>
      <c r="H526" s="1"/>
      <c r="I526" s="1"/>
      <c r="J526" s="1"/>
      <c r="K526" s="1"/>
      <c r="L526" s="1"/>
      <c r="M526" s="1"/>
      <c r="N526" s="1"/>
      <c r="O526" s="1"/>
      <c r="P526" s="1"/>
      <c r="Q526" s="131"/>
      <c r="R526" s="20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81"/>
      <c r="E527" s="201"/>
      <c r="F527" s="201"/>
      <c r="G527" s="201"/>
      <c r="H527" s="1"/>
      <c r="I527" s="1"/>
      <c r="J527" s="1"/>
      <c r="K527" s="1"/>
      <c r="L527" s="1"/>
      <c r="M527" s="1"/>
      <c r="N527" s="1"/>
      <c r="O527" s="1"/>
      <c r="P527" s="1"/>
      <c r="Q527" s="131"/>
      <c r="R527" s="20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81"/>
      <c r="E528" s="201"/>
      <c r="F528" s="201"/>
      <c r="G528" s="201"/>
      <c r="H528" s="1"/>
      <c r="I528" s="1"/>
      <c r="J528" s="1"/>
      <c r="K528" s="1"/>
      <c r="L528" s="1"/>
      <c r="M528" s="1"/>
      <c r="N528" s="1"/>
      <c r="O528" s="1"/>
      <c r="P528" s="1"/>
      <c r="Q528" s="131"/>
      <c r="R528" s="20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81"/>
      <c r="E529" s="201"/>
      <c r="F529" s="201"/>
      <c r="G529" s="201"/>
      <c r="H529" s="1"/>
      <c r="I529" s="1"/>
      <c r="J529" s="1"/>
      <c r="K529" s="1"/>
      <c r="L529" s="1"/>
      <c r="M529" s="1"/>
      <c r="N529" s="1"/>
      <c r="O529" s="1"/>
      <c r="P529" s="1"/>
      <c r="Q529" s="131"/>
      <c r="R529" s="20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81"/>
      <c r="E530" s="201"/>
      <c r="F530" s="201"/>
      <c r="G530" s="201"/>
      <c r="H530" s="1"/>
      <c r="I530" s="1"/>
      <c r="J530" s="1"/>
      <c r="K530" s="1"/>
      <c r="L530" s="1"/>
      <c r="M530" s="1"/>
      <c r="N530" s="1"/>
      <c r="O530" s="1"/>
      <c r="P530" s="1"/>
      <c r="Q530" s="131"/>
      <c r="R530" s="20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81"/>
      <c r="E531" s="201"/>
      <c r="F531" s="201"/>
      <c r="G531" s="201"/>
      <c r="H531" s="1"/>
      <c r="I531" s="1"/>
      <c r="J531" s="1"/>
      <c r="K531" s="1"/>
      <c r="L531" s="1"/>
      <c r="M531" s="1"/>
      <c r="N531" s="1"/>
      <c r="O531" s="1"/>
      <c r="P531" s="1"/>
      <c r="Q531" s="131"/>
      <c r="R531" s="20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81"/>
      <c r="E532" s="201"/>
      <c r="F532" s="201"/>
      <c r="G532" s="201"/>
      <c r="H532" s="1"/>
      <c r="I532" s="1"/>
      <c r="J532" s="1"/>
      <c r="K532" s="1"/>
      <c r="L532" s="1"/>
      <c r="M532" s="1"/>
      <c r="N532" s="1"/>
      <c r="O532" s="1"/>
      <c r="P532" s="1"/>
      <c r="Q532" s="131"/>
      <c r="R532" s="20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81"/>
      <c r="E533" s="201"/>
      <c r="F533" s="201"/>
      <c r="G533" s="201"/>
      <c r="H533" s="1"/>
      <c r="I533" s="1"/>
      <c r="J533" s="1"/>
      <c r="K533" s="1"/>
      <c r="L533" s="1"/>
      <c r="M533" s="1"/>
      <c r="N533" s="1"/>
      <c r="O533" s="1"/>
      <c r="P533" s="1"/>
      <c r="Q533" s="131"/>
      <c r="R533" s="20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81"/>
      <c r="E534" s="201"/>
      <c r="F534" s="201"/>
      <c r="G534" s="201"/>
      <c r="H534" s="1"/>
      <c r="I534" s="1"/>
      <c r="J534" s="1"/>
      <c r="K534" s="1"/>
      <c r="L534" s="1"/>
      <c r="M534" s="1"/>
      <c r="N534" s="1"/>
      <c r="O534" s="1"/>
      <c r="P534" s="1"/>
      <c r="Q534" s="131"/>
      <c r="R534" s="20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81"/>
      <c r="E535" s="201"/>
      <c r="F535" s="201"/>
      <c r="G535" s="201"/>
      <c r="H535" s="1"/>
      <c r="I535" s="1"/>
      <c r="J535" s="1"/>
      <c r="K535" s="1"/>
      <c r="L535" s="1"/>
      <c r="M535" s="1"/>
      <c r="N535" s="1"/>
      <c r="O535" s="1"/>
      <c r="P535" s="1"/>
      <c r="Q535" s="131"/>
      <c r="R535" s="20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81"/>
      <c r="E536" s="201"/>
      <c r="F536" s="201"/>
      <c r="G536" s="201"/>
      <c r="H536" s="1"/>
      <c r="I536" s="1"/>
      <c r="J536" s="1"/>
      <c r="K536" s="1"/>
      <c r="L536" s="1"/>
      <c r="M536" s="1"/>
      <c r="N536" s="1"/>
      <c r="O536" s="1"/>
      <c r="P536" s="1"/>
      <c r="Q536" s="131"/>
      <c r="R536" s="20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81"/>
      <c r="E537" s="201"/>
      <c r="F537" s="201"/>
      <c r="G537" s="201"/>
      <c r="H537" s="1"/>
      <c r="I537" s="1"/>
      <c r="J537" s="1"/>
      <c r="K537" s="1"/>
      <c r="L537" s="1"/>
      <c r="M537" s="1"/>
      <c r="N537" s="1"/>
      <c r="O537" s="1"/>
      <c r="P537" s="1"/>
      <c r="Q537" s="131"/>
      <c r="R537" s="20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81"/>
      <c r="E538" s="201"/>
      <c r="F538" s="201"/>
      <c r="G538" s="201"/>
      <c r="H538" s="1"/>
      <c r="I538" s="1"/>
      <c r="J538" s="1"/>
      <c r="K538" s="1"/>
      <c r="L538" s="1"/>
      <c r="M538" s="1"/>
      <c r="N538" s="1"/>
      <c r="O538" s="1"/>
      <c r="P538" s="1"/>
      <c r="Q538" s="131"/>
      <c r="R538" s="20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81"/>
      <c r="E539" s="201"/>
      <c r="F539" s="201"/>
      <c r="G539" s="201"/>
      <c r="H539" s="1"/>
      <c r="I539" s="1"/>
      <c r="J539" s="1"/>
      <c r="K539" s="1"/>
      <c r="L539" s="1"/>
      <c r="M539" s="1"/>
      <c r="N539" s="1"/>
      <c r="O539" s="1"/>
      <c r="P539" s="1"/>
      <c r="Q539" s="131"/>
      <c r="R539" s="20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81"/>
      <c r="E540" s="201"/>
      <c r="F540" s="201"/>
      <c r="G540" s="201"/>
      <c r="H540" s="1"/>
      <c r="I540" s="1"/>
      <c r="J540" s="1"/>
      <c r="K540" s="1"/>
      <c r="L540" s="1"/>
      <c r="M540" s="1"/>
      <c r="N540" s="1"/>
      <c r="O540" s="1"/>
      <c r="P540" s="1"/>
      <c r="Q540" s="131"/>
      <c r="R540" s="20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81"/>
      <c r="E541" s="201"/>
      <c r="F541" s="201"/>
      <c r="G541" s="201"/>
      <c r="H541" s="1"/>
      <c r="I541" s="1"/>
      <c r="J541" s="1"/>
      <c r="K541" s="1"/>
      <c r="L541" s="1"/>
      <c r="M541" s="1"/>
      <c r="N541" s="1"/>
      <c r="O541" s="1"/>
      <c r="P541" s="1"/>
      <c r="Q541" s="131"/>
      <c r="R541" s="20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81"/>
      <c r="E542" s="201"/>
      <c r="F542" s="201"/>
      <c r="G542" s="201"/>
      <c r="H542" s="1"/>
      <c r="I542" s="1"/>
      <c r="J542" s="1"/>
      <c r="K542" s="1"/>
      <c r="L542" s="1"/>
      <c r="M542" s="1"/>
      <c r="N542" s="1"/>
      <c r="O542" s="1"/>
      <c r="P542" s="1"/>
      <c r="Q542" s="131"/>
      <c r="R542" s="20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81"/>
      <c r="E543" s="201"/>
      <c r="F543" s="201"/>
      <c r="G543" s="201"/>
      <c r="H543" s="1"/>
      <c r="I543" s="1"/>
      <c r="J543" s="1"/>
      <c r="K543" s="1"/>
      <c r="L543" s="1"/>
      <c r="M543" s="1"/>
      <c r="N543" s="1"/>
      <c r="O543" s="1"/>
      <c r="P543" s="1"/>
      <c r="Q543" s="131"/>
      <c r="R543" s="20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81"/>
      <c r="E544" s="201"/>
      <c r="F544" s="201"/>
      <c r="G544" s="201"/>
      <c r="H544" s="1"/>
      <c r="I544" s="1"/>
      <c r="J544" s="1"/>
      <c r="K544" s="1"/>
      <c r="L544" s="1"/>
      <c r="M544" s="1"/>
      <c r="N544" s="1"/>
      <c r="O544" s="1"/>
      <c r="P544" s="1"/>
      <c r="Q544" s="131"/>
      <c r="R544" s="20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81"/>
      <c r="E545" s="201"/>
      <c r="F545" s="201"/>
      <c r="G545" s="201"/>
      <c r="H545" s="1"/>
      <c r="I545" s="1"/>
      <c r="J545" s="1"/>
      <c r="K545" s="1"/>
      <c r="L545" s="1"/>
      <c r="M545" s="1"/>
      <c r="N545" s="1"/>
      <c r="O545" s="1"/>
      <c r="P545" s="1"/>
      <c r="Q545" s="131"/>
      <c r="R545" s="20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81"/>
      <c r="E546" s="201"/>
      <c r="F546" s="201"/>
      <c r="G546" s="201"/>
      <c r="H546" s="1"/>
      <c r="I546" s="1"/>
      <c r="J546" s="1"/>
      <c r="K546" s="1"/>
      <c r="L546" s="1"/>
      <c r="M546" s="1"/>
      <c r="N546" s="1"/>
      <c r="O546" s="1"/>
      <c r="P546" s="1"/>
      <c r="Q546" s="131"/>
      <c r="R546" s="20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81"/>
      <c r="E547" s="201"/>
      <c r="F547" s="201"/>
      <c r="G547" s="201"/>
      <c r="H547" s="1"/>
      <c r="I547" s="1"/>
      <c r="J547" s="1"/>
      <c r="K547" s="1"/>
      <c r="L547" s="1"/>
      <c r="M547" s="1"/>
      <c r="N547" s="1"/>
      <c r="O547" s="1"/>
      <c r="P547" s="1"/>
      <c r="Q547" s="131"/>
      <c r="R547" s="20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81"/>
      <c r="E548" s="201"/>
      <c r="F548" s="201"/>
      <c r="G548" s="201"/>
      <c r="H548" s="1"/>
      <c r="I548" s="1"/>
      <c r="J548" s="1"/>
      <c r="K548" s="1"/>
      <c r="L548" s="1"/>
      <c r="M548" s="1"/>
      <c r="N548" s="1"/>
      <c r="O548" s="1"/>
      <c r="P548" s="1"/>
      <c r="Q548" s="131"/>
      <c r="R548" s="20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81"/>
      <c r="E549" s="201"/>
      <c r="F549" s="201"/>
      <c r="G549" s="201"/>
      <c r="H549" s="1"/>
      <c r="I549" s="1"/>
      <c r="J549" s="1"/>
      <c r="K549" s="1"/>
      <c r="L549" s="1"/>
      <c r="M549" s="1"/>
      <c r="N549" s="1"/>
      <c r="O549" s="1"/>
      <c r="P549" s="1"/>
      <c r="Q549" s="131"/>
      <c r="R549" s="20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81"/>
      <c r="E550" s="201"/>
      <c r="F550" s="201"/>
      <c r="G550" s="201"/>
      <c r="H550" s="1"/>
      <c r="I550" s="1"/>
      <c r="J550" s="1"/>
      <c r="K550" s="1"/>
      <c r="L550" s="1"/>
      <c r="M550" s="1"/>
      <c r="N550" s="1"/>
      <c r="O550" s="1"/>
      <c r="P550" s="1"/>
      <c r="Q550" s="131"/>
      <c r="R550" s="20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81"/>
      <c r="E551" s="201"/>
      <c r="F551" s="201"/>
      <c r="G551" s="201"/>
      <c r="H551" s="1"/>
      <c r="I551" s="1"/>
      <c r="J551" s="1"/>
      <c r="K551" s="1"/>
      <c r="L551" s="1"/>
      <c r="M551" s="1"/>
      <c r="N551" s="1"/>
      <c r="O551" s="1"/>
      <c r="P551" s="1"/>
      <c r="Q551" s="131"/>
      <c r="R551" s="20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81"/>
      <c r="E552" s="201"/>
      <c r="F552" s="201"/>
      <c r="G552" s="201"/>
      <c r="H552" s="1"/>
      <c r="I552" s="1"/>
      <c r="J552" s="1"/>
      <c r="K552" s="1"/>
      <c r="L552" s="1"/>
      <c r="M552" s="1"/>
      <c r="N552" s="1"/>
      <c r="O552" s="1"/>
      <c r="P552" s="1"/>
      <c r="Q552" s="131"/>
      <c r="R552" s="20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81"/>
      <c r="E553" s="201"/>
      <c r="F553" s="201"/>
      <c r="G553" s="201"/>
      <c r="H553" s="1"/>
      <c r="I553" s="1"/>
      <c r="J553" s="1"/>
      <c r="K553" s="1"/>
      <c r="L553" s="1"/>
      <c r="M553" s="1"/>
      <c r="N553" s="1"/>
      <c r="O553" s="1"/>
      <c r="P553" s="1"/>
      <c r="Q553" s="131"/>
      <c r="R553" s="20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81"/>
      <c r="E554" s="201"/>
      <c r="F554" s="201"/>
      <c r="G554" s="201"/>
      <c r="H554" s="1"/>
      <c r="I554" s="1"/>
      <c r="J554" s="1"/>
      <c r="K554" s="1"/>
      <c r="L554" s="1"/>
      <c r="M554" s="1"/>
      <c r="N554" s="1"/>
      <c r="O554" s="1"/>
      <c r="P554" s="1"/>
      <c r="Q554" s="131"/>
      <c r="R554" s="20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81"/>
      <c r="E555" s="201"/>
      <c r="F555" s="201"/>
      <c r="G555" s="201"/>
      <c r="H555" s="1"/>
      <c r="I555" s="1"/>
      <c r="J555" s="1"/>
      <c r="K555" s="1"/>
      <c r="L555" s="1"/>
      <c r="M555" s="1"/>
      <c r="N555" s="1"/>
      <c r="O555" s="1"/>
      <c r="P555" s="1"/>
      <c r="Q555" s="131"/>
      <c r="R555" s="20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81"/>
      <c r="E556" s="201"/>
      <c r="F556" s="201"/>
      <c r="G556" s="201"/>
      <c r="H556" s="1"/>
      <c r="I556" s="1"/>
      <c r="J556" s="1"/>
      <c r="K556" s="1"/>
      <c r="L556" s="1"/>
      <c r="M556" s="1"/>
      <c r="N556" s="1"/>
      <c r="O556" s="1"/>
      <c r="P556" s="1"/>
      <c r="Q556" s="131"/>
      <c r="R556" s="20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81"/>
      <c r="E557" s="201"/>
      <c r="F557" s="201"/>
      <c r="G557" s="201"/>
      <c r="H557" s="1"/>
      <c r="I557" s="1"/>
      <c r="J557" s="1"/>
      <c r="K557" s="1"/>
      <c r="L557" s="1"/>
      <c r="M557" s="1"/>
      <c r="N557" s="1"/>
      <c r="O557" s="1"/>
      <c r="P557" s="1"/>
      <c r="Q557" s="131"/>
      <c r="R557" s="20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81"/>
      <c r="E558" s="201"/>
      <c r="F558" s="201"/>
      <c r="G558" s="201"/>
      <c r="H558" s="1"/>
      <c r="I558" s="1"/>
      <c r="J558" s="1"/>
      <c r="K558" s="1"/>
      <c r="L558" s="1"/>
      <c r="M558" s="1"/>
      <c r="N558" s="1"/>
      <c r="O558" s="1"/>
      <c r="P558" s="1"/>
      <c r="Q558" s="131"/>
      <c r="R558" s="20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81"/>
      <c r="E559" s="201"/>
      <c r="F559" s="201"/>
      <c r="G559" s="201"/>
      <c r="H559" s="1"/>
      <c r="I559" s="1"/>
      <c r="J559" s="1"/>
      <c r="K559" s="1"/>
      <c r="L559" s="1"/>
      <c r="M559" s="1"/>
      <c r="N559" s="1"/>
      <c r="O559" s="1"/>
      <c r="P559" s="1"/>
      <c r="Q559" s="131"/>
      <c r="R559" s="20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81"/>
      <c r="E560" s="201"/>
      <c r="F560" s="201"/>
      <c r="G560" s="201"/>
      <c r="H560" s="1"/>
      <c r="I560" s="1"/>
      <c r="J560" s="1"/>
      <c r="K560" s="1"/>
      <c r="L560" s="1"/>
      <c r="M560" s="1"/>
      <c r="N560" s="1"/>
      <c r="O560" s="1"/>
      <c r="P560" s="1"/>
      <c r="Q560" s="131"/>
      <c r="R560" s="20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81"/>
      <c r="E561" s="201"/>
      <c r="F561" s="201"/>
      <c r="G561" s="201"/>
      <c r="H561" s="1"/>
      <c r="I561" s="1"/>
      <c r="J561" s="1"/>
      <c r="K561" s="1"/>
      <c r="L561" s="1"/>
      <c r="M561" s="1"/>
      <c r="N561" s="1"/>
      <c r="O561" s="1"/>
      <c r="P561" s="1"/>
      <c r="Q561" s="131"/>
      <c r="R561" s="20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81"/>
      <c r="E562" s="201"/>
      <c r="F562" s="201"/>
      <c r="G562" s="201"/>
      <c r="H562" s="1"/>
      <c r="I562" s="1"/>
      <c r="J562" s="1"/>
      <c r="K562" s="1"/>
      <c r="L562" s="1"/>
      <c r="M562" s="1"/>
      <c r="N562" s="1"/>
      <c r="O562" s="1"/>
      <c r="P562" s="1"/>
      <c r="Q562" s="131"/>
      <c r="R562" s="20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81"/>
      <c r="E563" s="201"/>
      <c r="F563" s="201"/>
      <c r="G563" s="201"/>
      <c r="H563" s="1"/>
      <c r="I563" s="1"/>
      <c r="J563" s="1"/>
      <c r="K563" s="1"/>
      <c r="L563" s="1"/>
      <c r="M563" s="1"/>
      <c r="N563" s="1"/>
      <c r="O563" s="1"/>
      <c r="P563" s="1"/>
      <c r="Q563" s="131"/>
      <c r="R563" s="20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81"/>
      <c r="E564" s="201"/>
      <c r="F564" s="201"/>
      <c r="G564" s="201"/>
      <c r="H564" s="1"/>
      <c r="I564" s="1"/>
      <c r="J564" s="1"/>
      <c r="K564" s="1"/>
      <c r="L564" s="1"/>
      <c r="M564" s="1"/>
      <c r="N564" s="1"/>
      <c r="O564" s="1"/>
      <c r="P564" s="1"/>
      <c r="Q564" s="131"/>
      <c r="R564" s="20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81"/>
      <c r="E565" s="201"/>
      <c r="F565" s="201"/>
      <c r="G565" s="201"/>
      <c r="H565" s="1"/>
      <c r="I565" s="1"/>
      <c r="J565" s="1"/>
      <c r="K565" s="1"/>
      <c r="L565" s="1"/>
      <c r="M565" s="1"/>
      <c r="N565" s="1"/>
      <c r="O565" s="1"/>
      <c r="P565" s="1"/>
      <c r="Q565" s="131"/>
      <c r="R565" s="20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81"/>
      <c r="E566" s="201"/>
      <c r="F566" s="201"/>
      <c r="G566" s="201"/>
      <c r="H566" s="1"/>
      <c r="I566" s="1"/>
      <c r="J566" s="1"/>
      <c r="K566" s="1"/>
      <c r="L566" s="1"/>
      <c r="M566" s="1"/>
      <c r="N566" s="1"/>
      <c r="O566" s="1"/>
      <c r="P566" s="1"/>
      <c r="Q566" s="131"/>
      <c r="R566" s="20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81"/>
      <c r="E567" s="201"/>
      <c r="F567" s="201"/>
      <c r="G567" s="201"/>
      <c r="H567" s="1"/>
      <c r="I567" s="1"/>
      <c r="J567" s="1"/>
      <c r="K567" s="1"/>
      <c r="L567" s="1"/>
      <c r="M567" s="1"/>
      <c r="N567" s="1"/>
      <c r="O567" s="1"/>
      <c r="P567" s="1"/>
      <c r="Q567" s="131"/>
      <c r="R567" s="20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81"/>
      <c r="E568" s="201"/>
      <c r="F568" s="201"/>
      <c r="G568" s="201"/>
      <c r="H568" s="1"/>
      <c r="I568" s="1"/>
      <c r="J568" s="1"/>
      <c r="K568" s="1"/>
      <c r="L568" s="1"/>
      <c r="M568" s="1"/>
      <c r="N568" s="1"/>
      <c r="O568" s="1"/>
      <c r="P568" s="1"/>
      <c r="Q568" s="131"/>
      <c r="R568" s="20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81"/>
      <c r="E569" s="201"/>
      <c r="F569" s="201"/>
      <c r="G569" s="201"/>
      <c r="H569" s="1"/>
      <c r="I569" s="1"/>
      <c r="J569" s="1"/>
      <c r="K569" s="1"/>
      <c r="L569" s="1"/>
      <c r="M569" s="1"/>
      <c r="N569" s="1"/>
      <c r="O569" s="1"/>
      <c r="P569" s="1"/>
      <c r="Q569" s="131"/>
      <c r="R569" s="20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81"/>
      <c r="E570" s="201"/>
      <c r="F570" s="201"/>
      <c r="G570" s="201"/>
      <c r="H570" s="1"/>
      <c r="I570" s="1"/>
      <c r="J570" s="1"/>
      <c r="K570" s="1"/>
      <c r="L570" s="1"/>
      <c r="M570" s="1"/>
      <c r="N570" s="1"/>
      <c r="O570" s="1"/>
      <c r="P570" s="1"/>
      <c r="Q570" s="131"/>
      <c r="R570" s="20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81"/>
      <c r="E571" s="201"/>
      <c r="F571" s="201"/>
      <c r="G571" s="201"/>
      <c r="H571" s="1"/>
      <c r="I571" s="1"/>
      <c r="J571" s="1"/>
      <c r="K571" s="1"/>
      <c r="L571" s="1"/>
      <c r="M571" s="1"/>
      <c r="N571" s="1"/>
      <c r="O571" s="1"/>
      <c r="P571" s="1"/>
      <c r="Q571" s="131"/>
      <c r="R571" s="20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81"/>
      <c r="E572" s="201"/>
      <c r="F572" s="201"/>
      <c r="G572" s="201"/>
      <c r="H572" s="1"/>
      <c r="I572" s="1"/>
      <c r="J572" s="1"/>
      <c r="K572" s="1"/>
      <c r="L572" s="1"/>
      <c r="M572" s="1"/>
      <c r="N572" s="1"/>
      <c r="O572" s="1"/>
      <c r="P572" s="1"/>
      <c r="Q572" s="131"/>
      <c r="R572" s="20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81"/>
      <c r="E573" s="201"/>
      <c r="F573" s="201"/>
      <c r="G573" s="201"/>
      <c r="H573" s="1"/>
      <c r="I573" s="1"/>
      <c r="J573" s="1"/>
      <c r="K573" s="1"/>
      <c r="L573" s="1"/>
      <c r="M573" s="1"/>
      <c r="N573" s="1"/>
      <c r="O573" s="1"/>
      <c r="P573" s="1"/>
      <c r="Q573" s="131"/>
      <c r="R573" s="20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81"/>
      <c r="E574" s="201"/>
      <c r="F574" s="201"/>
      <c r="G574" s="201"/>
      <c r="H574" s="1"/>
      <c r="I574" s="1"/>
      <c r="J574" s="1"/>
      <c r="K574" s="1"/>
      <c r="L574" s="1"/>
      <c r="M574" s="1"/>
      <c r="N574" s="1"/>
      <c r="O574" s="1"/>
      <c r="P574" s="1"/>
      <c r="Q574" s="131"/>
      <c r="R574" s="20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81"/>
      <c r="E575" s="201"/>
      <c r="F575" s="201"/>
      <c r="G575" s="201"/>
      <c r="H575" s="1"/>
      <c r="I575" s="1"/>
      <c r="J575" s="1"/>
      <c r="K575" s="1"/>
      <c r="L575" s="1"/>
      <c r="M575" s="1"/>
      <c r="N575" s="1"/>
      <c r="O575" s="1"/>
      <c r="P575" s="1"/>
      <c r="Q575" s="131"/>
      <c r="R575" s="20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81"/>
      <c r="E576" s="201"/>
      <c r="F576" s="201"/>
      <c r="G576" s="201"/>
      <c r="H576" s="1"/>
      <c r="I576" s="1"/>
      <c r="J576" s="1"/>
      <c r="K576" s="1"/>
      <c r="L576" s="1"/>
      <c r="M576" s="1"/>
      <c r="N576" s="1"/>
      <c r="O576" s="1"/>
      <c r="P576" s="1"/>
      <c r="Q576" s="131"/>
      <c r="R576" s="20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81"/>
      <c r="E577" s="201"/>
      <c r="F577" s="201"/>
      <c r="G577" s="201"/>
      <c r="H577" s="1"/>
      <c r="I577" s="1"/>
      <c r="J577" s="1"/>
      <c r="K577" s="1"/>
      <c r="L577" s="1"/>
      <c r="M577" s="1"/>
      <c r="N577" s="1"/>
      <c r="O577" s="1"/>
      <c r="P577" s="1"/>
      <c r="Q577" s="131"/>
      <c r="R577" s="20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81"/>
      <c r="E578" s="201"/>
      <c r="F578" s="201"/>
      <c r="G578" s="201"/>
      <c r="H578" s="1"/>
      <c r="I578" s="1"/>
      <c r="J578" s="1"/>
      <c r="K578" s="1"/>
      <c r="L578" s="1"/>
      <c r="M578" s="1"/>
      <c r="N578" s="1"/>
      <c r="O578" s="1"/>
      <c r="P578" s="1"/>
      <c r="Q578" s="131"/>
      <c r="R578" s="20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81"/>
      <c r="E579" s="201"/>
      <c r="F579" s="201"/>
      <c r="G579" s="201"/>
      <c r="H579" s="1"/>
      <c r="I579" s="1"/>
      <c r="J579" s="1"/>
      <c r="K579" s="1"/>
      <c r="L579" s="1"/>
      <c r="M579" s="1"/>
      <c r="N579" s="1"/>
      <c r="O579" s="1"/>
      <c r="P579" s="1"/>
      <c r="Q579" s="131"/>
      <c r="R579" s="20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81"/>
      <c r="E580" s="201"/>
      <c r="F580" s="201"/>
      <c r="G580" s="201"/>
      <c r="H580" s="1"/>
      <c r="I580" s="1"/>
      <c r="J580" s="1"/>
      <c r="K580" s="1"/>
      <c r="L580" s="1"/>
      <c r="M580" s="1"/>
      <c r="N580" s="1"/>
      <c r="O580" s="1"/>
      <c r="P580" s="1"/>
      <c r="Q580" s="131"/>
      <c r="R580" s="20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81"/>
      <c r="E581" s="201"/>
      <c r="F581" s="201"/>
      <c r="G581" s="201"/>
      <c r="H581" s="1"/>
      <c r="I581" s="1"/>
      <c r="J581" s="1"/>
      <c r="K581" s="1"/>
      <c r="L581" s="1"/>
      <c r="M581" s="1"/>
      <c r="N581" s="1"/>
      <c r="O581" s="1"/>
      <c r="P581" s="1"/>
      <c r="Q581" s="131"/>
      <c r="R581" s="20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81"/>
      <c r="E582" s="201"/>
      <c r="F582" s="201"/>
      <c r="G582" s="201"/>
      <c r="H582" s="1"/>
      <c r="I582" s="1"/>
      <c r="J582" s="1"/>
      <c r="K582" s="1"/>
      <c r="L582" s="1"/>
      <c r="M582" s="1"/>
      <c r="N582" s="1"/>
      <c r="O582" s="1"/>
      <c r="P582" s="1"/>
      <c r="Q582" s="131"/>
      <c r="R582" s="20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81"/>
      <c r="E583" s="201"/>
      <c r="F583" s="201"/>
      <c r="G583" s="201"/>
      <c r="H583" s="1"/>
      <c r="I583" s="1"/>
      <c r="J583" s="1"/>
      <c r="K583" s="1"/>
      <c r="L583" s="1"/>
      <c r="M583" s="1"/>
      <c r="N583" s="1"/>
      <c r="O583" s="1"/>
      <c r="P583" s="1"/>
      <c r="Q583" s="131"/>
      <c r="R583" s="20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81"/>
      <c r="E584" s="201"/>
      <c r="F584" s="201"/>
      <c r="G584" s="201"/>
      <c r="H584" s="1"/>
      <c r="I584" s="1"/>
      <c r="J584" s="1"/>
      <c r="K584" s="1"/>
      <c r="L584" s="1"/>
      <c r="M584" s="1"/>
      <c r="N584" s="1"/>
      <c r="O584" s="1"/>
      <c r="P584" s="1"/>
      <c r="Q584" s="131"/>
      <c r="R584" s="20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81"/>
      <c r="E585" s="201"/>
      <c r="F585" s="201"/>
      <c r="G585" s="201"/>
      <c r="H585" s="1"/>
      <c r="I585" s="1"/>
      <c r="J585" s="1"/>
      <c r="K585" s="1"/>
      <c r="L585" s="1"/>
      <c r="M585" s="1"/>
      <c r="N585" s="1"/>
      <c r="O585" s="1"/>
      <c r="P585" s="1"/>
      <c r="Q585" s="131"/>
      <c r="R585" s="20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81"/>
      <c r="E586" s="201"/>
      <c r="F586" s="201"/>
      <c r="G586" s="201"/>
      <c r="H586" s="1"/>
      <c r="I586" s="1"/>
      <c r="J586" s="1"/>
      <c r="K586" s="1"/>
      <c r="L586" s="1"/>
      <c r="M586" s="1"/>
      <c r="N586" s="1"/>
      <c r="O586" s="1"/>
      <c r="P586" s="1"/>
      <c r="Q586" s="131"/>
      <c r="R586" s="20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81"/>
      <c r="E587" s="201"/>
      <c r="F587" s="201"/>
      <c r="G587" s="201"/>
      <c r="H587" s="1"/>
      <c r="I587" s="1"/>
      <c r="J587" s="1"/>
      <c r="K587" s="1"/>
      <c r="L587" s="1"/>
      <c r="M587" s="1"/>
      <c r="N587" s="1"/>
      <c r="O587" s="1"/>
      <c r="P587" s="1"/>
      <c r="Q587" s="131"/>
      <c r="R587" s="20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81"/>
      <c r="E588" s="201"/>
      <c r="F588" s="201"/>
      <c r="G588" s="201"/>
      <c r="H588" s="1"/>
      <c r="I588" s="1"/>
      <c r="J588" s="1"/>
      <c r="K588" s="1"/>
      <c r="L588" s="1"/>
      <c r="M588" s="1"/>
      <c r="N588" s="1"/>
      <c r="O588" s="1"/>
      <c r="P588" s="1"/>
      <c r="Q588" s="131"/>
      <c r="R588" s="20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81"/>
      <c r="E589" s="201"/>
      <c r="F589" s="201"/>
      <c r="G589" s="201"/>
      <c r="H589" s="1"/>
      <c r="I589" s="1"/>
      <c r="J589" s="1"/>
      <c r="K589" s="1"/>
      <c r="L589" s="1"/>
      <c r="M589" s="1"/>
      <c r="N589" s="1"/>
      <c r="O589" s="1"/>
      <c r="P589" s="1"/>
      <c r="Q589" s="131"/>
      <c r="R589" s="20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81"/>
      <c r="E590" s="201"/>
      <c r="F590" s="201"/>
      <c r="G590" s="201"/>
      <c r="H590" s="1"/>
      <c r="I590" s="1"/>
      <c r="J590" s="1"/>
      <c r="K590" s="1"/>
      <c r="L590" s="1"/>
      <c r="M590" s="1"/>
      <c r="N590" s="1"/>
      <c r="O590" s="1"/>
      <c r="P590" s="1"/>
      <c r="Q590" s="131"/>
      <c r="R590" s="20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81"/>
      <c r="E591" s="201"/>
      <c r="F591" s="201"/>
      <c r="G591" s="201"/>
      <c r="H591" s="1"/>
      <c r="I591" s="1"/>
      <c r="J591" s="1"/>
      <c r="K591" s="1"/>
      <c r="L591" s="1"/>
      <c r="M591" s="1"/>
      <c r="N591" s="1"/>
      <c r="O591" s="1"/>
      <c r="P591" s="1"/>
      <c r="Q591" s="131"/>
      <c r="R591" s="20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81"/>
      <c r="E592" s="201"/>
      <c r="F592" s="201"/>
      <c r="G592" s="201"/>
      <c r="H592" s="1"/>
      <c r="I592" s="1"/>
      <c r="J592" s="1"/>
      <c r="K592" s="1"/>
      <c r="L592" s="1"/>
      <c r="M592" s="1"/>
      <c r="N592" s="1"/>
      <c r="O592" s="1"/>
      <c r="P592" s="1"/>
      <c r="Q592" s="131"/>
      <c r="R592" s="20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81"/>
      <c r="E593" s="201"/>
      <c r="F593" s="201"/>
      <c r="G593" s="201"/>
      <c r="H593" s="1"/>
      <c r="I593" s="1"/>
      <c r="J593" s="1"/>
      <c r="K593" s="1"/>
      <c r="L593" s="1"/>
      <c r="M593" s="1"/>
      <c r="N593" s="1"/>
      <c r="O593" s="1"/>
      <c r="P593" s="1"/>
      <c r="Q593" s="131"/>
      <c r="R593" s="20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81"/>
      <c r="E594" s="201"/>
      <c r="F594" s="201"/>
      <c r="G594" s="201"/>
      <c r="H594" s="1"/>
      <c r="I594" s="1"/>
      <c r="J594" s="1"/>
      <c r="K594" s="1"/>
      <c r="L594" s="1"/>
      <c r="M594" s="1"/>
      <c r="N594" s="1"/>
      <c r="O594" s="1"/>
      <c r="P594" s="1"/>
      <c r="Q594" s="131"/>
      <c r="R594" s="20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81"/>
      <c r="E595" s="201"/>
      <c r="F595" s="201"/>
      <c r="G595" s="201"/>
      <c r="H595" s="1"/>
      <c r="I595" s="1"/>
      <c r="J595" s="1"/>
      <c r="K595" s="1"/>
      <c r="L595" s="1"/>
      <c r="M595" s="1"/>
      <c r="N595" s="1"/>
      <c r="O595" s="1"/>
      <c r="P595" s="1"/>
      <c r="Q595" s="131"/>
      <c r="R595" s="20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81"/>
      <c r="E596" s="201"/>
      <c r="F596" s="201"/>
      <c r="G596" s="201"/>
      <c r="H596" s="1"/>
      <c r="I596" s="1"/>
      <c r="J596" s="1"/>
      <c r="K596" s="1"/>
      <c r="L596" s="1"/>
      <c r="M596" s="1"/>
      <c r="N596" s="1"/>
      <c r="O596" s="1"/>
      <c r="P596" s="1"/>
      <c r="Q596" s="131"/>
      <c r="R596" s="20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81"/>
      <c r="E597" s="201"/>
      <c r="F597" s="201"/>
      <c r="G597" s="201"/>
      <c r="H597" s="1"/>
      <c r="I597" s="1"/>
      <c r="J597" s="1"/>
      <c r="K597" s="1"/>
      <c r="L597" s="1"/>
      <c r="M597" s="1"/>
      <c r="N597" s="1"/>
      <c r="O597" s="1"/>
      <c r="P597" s="1"/>
      <c r="Q597" s="131"/>
      <c r="R597" s="20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81"/>
      <c r="E598" s="201"/>
      <c r="F598" s="201"/>
      <c r="G598" s="201"/>
      <c r="H598" s="1"/>
      <c r="I598" s="1"/>
      <c r="J598" s="1"/>
      <c r="K598" s="1"/>
      <c r="L598" s="1"/>
      <c r="M598" s="1"/>
      <c r="N598" s="1"/>
      <c r="O598" s="1"/>
      <c r="P598" s="1"/>
      <c r="Q598" s="131"/>
      <c r="R598" s="20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81"/>
      <c r="E599" s="201"/>
      <c r="F599" s="201"/>
      <c r="G599" s="201"/>
      <c r="H599" s="1"/>
      <c r="I599" s="1"/>
      <c r="J599" s="1"/>
      <c r="K599" s="1"/>
      <c r="L599" s="1"/>
      <c r="M599" s="1"/>
      <c r="N599" s="1"/>
      <c r="O599" s="1"/>
      <c r="P599" s="1"/>
      <c r="Q599" s="131"/>
      <c r="R599" s="20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81"/>
      <c r="E600" s="201"/>
      <c r="F600" s="201"/>
      <c r="G600" s="201"/>
      <c r="H600" s="1"/>
      <c r="I600" s="1"/>
      <c r="J600" s="1"/>
      <c r="K600" s="1"/>
      <c r="L600" s="1"/>
      <c r="M600" s="1"/>
      <c r="N600" s="1"/>
      <c r="O600" s="1"/>
      <c r="P600" s="1"/>
      <c r="Q600" s="131"/>
      <c r="R600" s="20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81"/>
      <c r="E601" s="201"/>
      <c r="F601" s="201"/>
      <c r="G601" s="201"/>
      <c r="H601" s="1"/>
      <c r="I601" s="1"/>
      <c r="J601" s="1"/>
      <c r="K601" s="1"/>
      <c r="L601" s="1"/>
      <c r="M601" s="1"/>
      <c r="N601" s="1"/>
      <c r="O601" s="1"/>
      <c r="P601" s="1"/>
      <c r="Q601" s="131"/>
      <c r="R601" s="20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81"/>
      <c r="E602" s="201"/>
      <c r="F602" s="201"/>
      <c r="G602" s="201"/>
      <c r="H602" s="1"/>
      <c r="I602" s="1"/>
      <c r="J602" s="1"/>
      <c r="K602" s="1"/>
      <c r="L602" s="1"/>
      <c r="M602" s="1"/>
      <c r="N602" s="1"/>
      <c r="O602" s="1"/>
      <c r="P602" s="1"/>
      <c r="Q602" s="131"/>
      <c r="R602" s="20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81"/>
      <c r="E603" s="201"/>
      <c r="F603" s="201"/>
      <c r="G603" s="201"/>
      <c r="H603" s="1"/>
      <c r="I603" s="1"/>
      <c r="J603" s="1"/>
      <c r="K603" s="1"/>
      <c r="L603" s="1"/>
      <c r="M603" s="1"/>
      <c r="N603" s="1"/>
      <c r="O603" s="1"/>
      <c r="P603" s="1"/>
      <c r="Q603" s="131"/>
      <c r="R603" s="20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81"/>
      <c r="E604" s="201"/>
      <c r="F604" s="201"/>
      <c r="G604" s="201"/>
      <c r="H604" s="1"/>
      <c r="I604" s="1"/>
      <c r="J604" s="1"/>
      <c r="K604" s="1"/>
      <c r="L604" s="1"/>
      <c r="M604" s="1"/>
      <c r="N604" s="1"/>
      <c r="O604" s="1"/>
      <c r="P604" s="1"/>
      <c r="Q604" s="131"/>
      <c r="R604" s="20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81"/>
      <c r="E605" s="201"/>
      <c r="F605" s="201"/>
      <c r="G605" s="201"/>
      <c r="H605" s="1"/>
      <c r="I605" s="1"/>
      <c r="J605" s="1"/>
      <c r="K605" s="1"/>
      <c r="L605" s="1"/>
      <c r="M605" s="1"/>
      <c r="N605" s="1"/>
      <c r="O605" s="1"/>
      <c r="P605" s="1"/>
      <c r="Q605" s="131"/>
      <c r="R605" s="20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81"/>
      <c r="E606" s="201"/>
      <c r="F606" s="201"/>
      <c r="G606" s="201"/>
      <c r="H606" s="1"/>
      <c r="I606" s="1"/>
      <c r="J606" s="1"/>
      <c r="K606" s="1"/>
      <c r="L606" s="1"/>
      <c r="M606" s="1"/>
      <c r="N606" s="1"/>
      <c r="O606" s="1"/>
      <c r="P606" s="1"/>
      <c r="Q606" s="131"/>
      <c r="R606" s="20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81"/>
      <c r="E607" s="201"/>
      <c r="F607" s="201"/>
      <c r="G607" s="201"/>
      <c r="H607" s="1"/>
      <c r="I607" s="1"/>
      <c r="J607" s="1"/>
      <c r="K607" s="1"/>
      <c r="L607" s="1"/>
      <c r="M607" s="1"/>
      <c r="N607" s="1"/>
      <c r="O607" s="1"/>
      <c r="P607" s="1"/>
      <c r="Q607" s="131"/>
      <c r="R607" s="20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81"/>
      <c r="E608" s="201"/>
      <c r="F608" s="201"/>
      <c r="G608" s="201"/>
      <c r="H608" s="1"/>
      <c r="I608" s="1"/>
      <c r="J608" s="1"/>
      <c r="K608" s="1"/>
      <c r="L608" s="1"/>
      <c r="M608" s="1"/>
      <c r="N608" s="1"/>
      <c r="O608" s="1"/>
      <c r="P608" s="1"/>
      <c r="Q608" s="131"/>
      <c r="R608" s="20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81"/>
      <c r="E609" s="201"/>
      <c r="F609" s="201"/>
      <c r="G609" s="201"/>
      <c r="H609" s="1"/>
      <c r="I609" s="1"/>
      <c r="J609" s="1"/>
      <c r="K609" s="1"/>
      <c r="L609" s="1"/>
      <c r="M609" s="1"/>
      <c r="N609" s="1"/>
      <c r="O609" s="1"/>
      <c r="P609" s="1"/>
      <c r="Q609" s="131"/>
      <c r="R609" s="20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81"/>
      <c r="E610" s="201"/>
      <c r="F610" s="201"/>
      <c r="G610" s="201"/>
      <c r="H610" s="1"/>
      <c r="I610" s="1"/>
      <c r="J610" s="1"/>
      <c r="K610" s="1"/>
      <c r="L610" s="1"/>
      <c r="M610" s="1"/>
      <c r="N610" s="1"/>
      <c r="O610" s="1"/>
      <c r="P610" s="1"/>
      <c r="Q610" s="131"/>
      <c r="R610" s="20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81"/>
      <c r="E611" s="201"/>
      <c r="F611" s="201"/>
      <c r="G611" s="201"/>
      <c r="H611" s="1"/>
      <c r="I611" s="1"/>
      <c r="J611" s="1"/>
      <c r="K611" s="1"/>
      <c r="L611" s="1"/>
      <c r="M611" s="1"/>
      <c r="N611" s="1"/>
      <c r="O611" s="1"/>
      <c r="P611" s="1"/>
      <c r="Q611" s="131"/>
      <c r="R611" s="20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81"/>
      <c r="E612" s="201"/>
      <c r="F612" s="201"/>
      <c r="G612" s="201"/>
      <c r="H612" s="1"/>
      <c r="I612" s="1"/>
      <c r="J612" s="1"/>
      <c r="K612" s="1"/>
      <c r="L612" s="1"/>
      <c r="M612" s="1"/>
      <c r="N612" s="1"/>
      <c r="O612" s="1"/>
      <c r="P612" s="1"/>
      <c r="Q612" s="131"/>
      <c r="R612" s="20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81"/>
      <c r="E613" s="201"/>
      <c r="F613" s="201"/>
      <c r="G613" s="201"/>
      <c r="H613" s="1"/>
      <c r="I613" s="1"/>
      <c r="J613" s="1"/>
      <c r="K613" s="1"/>
      <c r="L613" s="1"/>
      <c r="M613" s="1"/>
      <c r="N613" s="1"/>
      <c r="O613" s="1"/>
      <c r="P613" s="1"/>
      <c r="Q613" s="131"/>
      <c r="R613" s="20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81"/>
      <c r="E614" s="201"/>
      <c r="F614" s="201"/>
      <c r="G614" s="201"/>
      <c r="H614" s="1"/>
      <c r="I614" s="1"/>
      <c r="J614" s="1"/>
      <c r="K614" s="1"/>
      <c r="L614" s="1"/>
      <c r="M614" s="1"/>
      <c r="N614" s="1"/>
      <c r="O614" s="1"/>
      <c r="P614" s="1"/>
      <c r="Q614" s="131"/>
      <c r="R614" s="20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81"/>
      <c r="E615" s="201"/>
      <c r="F615" s="201"/>
      <c r="G615" s="201"/>
      <c r="H615" s="1"/>
      <c r="I615" s="1"/>
      <c r="J615" s="1"/>
      <c r="K615" s="1"/>
      <c r="L615" s="1"/>
      <c r="M615" s="1"/>
      <c r="N615" s="1"/>
      <c r="O615" s="1"/>
      <c r="P615" s="1"/>
      <c r="Q615" s="131"/>
      <c r="R615" s="20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81"/>
      <c r="E616" s="201"/>
      <c r="F616" s="201"/>
      <c r="G616" s="201"/>
      <c r="H616" s="1"/>
      <c r="I616" s="1"/>
      <c r="J616" s="1"/>
      <c r="K616" s="1"/>
      <c r="L616" s="1"/>
      <c r="M616" s="1"/>
      <c r="N616" s="1"/>
      <c r="O616" s="1"/>
      <c r="P616" s="1"/>
      <c r="Q616" s="131"/>
      <c r="R616" s="20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81"/>
      <c r="E617" s="201"/>
      <c r="F617" s="201"/>
      <c r="G617" s="201"/>
      <c r="H617" s="1"/>
      <c r="I617" s="1"/>
      <c r="J617" s="1"/>
      <c r="K617" s="1"/>
      <c r="L617" s="1"/>
      <c r="M617" s="1"/>
      <c r="N617" s="1"/>
      <c r="O617" s="1"/>
      <c r="P617" s="1"/>
      <c r="Q617" s="131"/>
      <c r="R617" s="20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81"/>
      <c r="E618" s="201"/>
      <c r="F618" s="201"/>
      <c r="G618" s="201"/>
      <c r="H618" s="1"/>
      <c r="I618" s="1"/>
      <c r="J618" s="1"/>
      <c r="K618" s="1"/>
      <c r="L618" s="1"/>
      <c r="M618" s="1"/>
      <c r="N618" s="1"/>
      <c r="O618" s="1"/>
      <c r="P618" s="1"/>
      <c r="Q618" s="131"/>
      <c r="R618" s="20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81"/>
      <c r="E619" s="201"/>
      <c r="F619" s="201"/>
      <c r="G619" s="201"/>
      <c r="H619" s="1"/>
      <c r="I619" s="1"/>
      <c r="J619" s="1"/>
      <c r="K619" s="1"/>
      <c r="L619" s="1"/>
      <c r="M619" s="1"/>
      <c r="N619" s="1"/>
      <c r="O619" s="1"/>
      <c r="P619" s="1"/>
      <c r="Q619" s="131"/>
      <c r="R619" s="20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81"/>
      <c r="E620" s="201"/>
      <c r="F620" s="201"/>
      <c r="G620" s="201"/>
      <c r="H620" s="1"/>
      <c r="I620" s="1"/>
      <c r="J620" s="1"/>
      <c r="K620" s="1"/>
      <c r="L620" s="1"/>
      <c r="M620" s="1"/>
      <c r="N620" s="1"/>
      <c r="O620" s="1"/>
      <c r="P620" s="1"/>
      <c r="Q620" s="131"/>
      <c r="R620" s="20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81"/>
      <c r="E621" s="201"/>
      <c r="F621" s="201"/>
      <c r="G621" s="201"/>
      <c r="H621" s="1"/>
      <c r="I621" s="1"/>
      <c r="J621" s="1"/>
      <c r="K621" s="1"/>
      <c r="L621" s="1"/>
      <c r="M621" s="1"/>
      <c r="N621" s="1"/>
      <c r="O621" s="1"/>
      <c r="P621" s="1"/>
      <c r="Q621" s="131"/>
      <c r="R621" s="20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81"/>
      <c r="E622" s="201"/>
      <c r="F622" s="201"/>
      <c r="G622" s="201"/>
      <c r="H622" s="1"/>
      <c r="I622" s="1"/>
      <c r="J622" s="1"/>
      <c r="K622" s="1"/>
      <c r="L622" s="1"/>
      <c r="M622" s="1"/>
      <c r="N622" s="1"/>
      <c r="O622" s="1"/>
      <c r="P622" s="1"/>
      <c r="Q622" s="131"/>
      <c r="R622" s="20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81"/>
      <c r="E623" s="201"/>
      <c r="F623" s="201"/>
      <c r="G623" s="201"/>
      <c r="H623" s="1"/>
      <c r="I623" s="1"/>
      <c r="J623" s="1"/>
      <c r="K623" s="1"/>
      <c r="L623" s="1"/>
      <c r="M623" s="1"/>
      <c r="N623" s="1"/>
      <c r="O623" s="1"/>
      <c r="P623" s="1"/>
      <c r="Q623" s="131"/>
      <c r="R623" s="20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81"/>
      <c r="E624" s="201"/>
      <c r="F624" s="201"/>
      <c r="G624" s="201"/>
      <c r="H624" s="1"/>
      <c r="I624" s="1"/>
      <c r="J624" s="1"/>
      <c r="K624" s="1"/>
      <c r="L624" s="1"/>
      <c r="M624" s="1"/>
      <c r="N624" s="1"/>
      <c r="O624" s="1"/>
      <c r="P624" s="1"/>
      <c r="Q624" s="131"/>
      <c r="R624" s="20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81"/>
      <c r="E625" s="201"/>
      <c r="F625" s="201"/>
      <c r="G625" s="201"/>
      <c r="H625" s="1"/>
      <c r="I625" s="1"/>
      <c r="J625" s="1"/>
      <c r="K625" s="1"/>
      <c r="L625" s="1"/>
      <c r="M625" s="1"/>
      <c r="N625" s="1"/>
      <c r="O625" s="1"/>
      <c r="P625" s="1"/>
      <c r="Q625" s="131"/>
      <c r="R625" s="20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81"/>
      <c r="E626" s="201"/>
      <c r="F626" s="201"/>
      <c r="G626" s="201"/>
      <c r="H626" s="1"/>
      <c r="I626" s="1"/>
      <c r="J626" s="1"/>
      <c r="K626" s="1"/>
      <c r="L626" s="1"/>
      <c r="M626" s="1"/>
      <c r="N626" s="1"/>
      <c r="O626" s="1"/>
      <c r="P626" s="1"/>
      <c r="Q626" s="131"/>
      <c r="R626" s="20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81"/>
      <c r="E627" s="201"/>
      <c r="F627" s="201"/>
      <c r="G627" s="201"/>
      <c r="H627" s="1"/>
      <c r="I627" s="1"/>
      <c r="J627" s="1"/>
      <c r="K627" s="1"/>
      <c r="L627" s="1"/>
      <c r="M627" s="1"/>
      <c r="N627" s="1"/>
      <c r="O627" s="1"/>
      <c r="P627" s="1"/>
      <c r="Q627" s="131"/>
      <c r="R627" s="20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81"/>
      <c r="E628" s="201"/>
      <c r="F628" s="201"/>
      <c r="G628" s="201"/>
      <c r="H628" s="1"/>
      <c r="I628" s="1"/>
      <c r="J628" s="1"/>
      <c r="K628" s="1"/>
      <c r="L628" s="1"/>
      <c r="M628" s="1"/>
      <c r="N628" s="1"/>
      <c r="O628" s="1"/>
      <c r="P628" s="1"/>
      <c r="Q628" s="131"/>
      <c r="R628" s="20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81"/>
      <c r="E629" s="201"/>
      <c r="F629" s="201"/>
      <c r="G629" s="201"/>
      <c r="H629" s="1"/>
      <c r="I629" s="1"/>
      <c r="J629" s="1"/>
      <c r="K629" s="1"/>
      <c r="L629" s="1"/>
      <c r="M629" s="1"/>
      <c r="N629" s="1"/>
      <c r="O629" s="1"/>
      <c r="P629" s="1"/>
      <c r="Q629" s="131"/>
      <c r="R629" s="20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81"/>
      <c r="E630" s="201"/>
      <c r="F630" s="201"/>
      <c r="G630" s="201"/>
      <c r="H630" s="1"/>
      <c r="I630" s="1"/>
      <c r="J630" s="1"/>
      <c r="K630" s="1"/>
      <c r="L630" s="1"/>
      <c r="M630" s="1"/>
      <c r="N630" s="1"/>
      <c r="O630" s="1"/>
      <c r="P630" s="1"/>
      <c r="Q630" s="131"/>
      <c r="R630" s="20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81"/>
      <c r="E631" s="201"/>
      <c r="F631" s="201"/>
      <c r="G631" s="201"/>
      <c r="H631" s="1"/>
      <c r="I631" s="1"/>
      <c r="J631" s="1"/>
      <c r="K631" s="1"/>
      <c r="L631" s="1"/>
      <c r="M631" s="1"/>
      <c r="N631" s="1"/>
      <c r="O631" s="1"/>
      <c r="P631" s="1"/>
      <c r="Q631" s="131"/>
      <c r="R631" s="20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81"/>
      <c r="E632" s="201"/>
      <c r="F632" s="201"/>
      <c r="G632" s="201"/>
      <c r="H632" s="1"/>
      <c r="I632" s="1"/>
      <c r="J632" s="1"/>
      <c r="K632" s="1"/>
      <c r="L632" s="1"/>
      <c r="M632" s="1"/>
      <c r="N632" s="1"/>
      <c r="O632" s="1"/>
      <c r="P632" s="1"/>
      <c r="Q632" s="131"/>
      <c r="R632" s="20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81"/>
      <c r="E633" s="201"/>
      <c r="F633" s="201"/>
      <c r="G633" s="201"/>
      <c r="H633" s="1"/>
      <c r="I633" s="1"/>
      <c r="J633" s="1"/>
      <c r="K633" s="1"/>
      <c r="L633" s="1"/>
      <c r="M633" s="1"/>
      <c r="N633" s="1"/>
      <c r="O633" s="1"/>
      <c r="P633" s="1"/>
      <c r="Q633" s="131"/>
      <c r="R633" s="20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81"/>
      <c r="E634" s="201"/>
      <c r="F634" s="201"/>
      <c r="G634" s="201"/>
      <c r="H634" s="1"/>
      <c r="I634" s="1"/>
      <c r="J634" s="1"/>
      <c r="K634" s="1"/>
      <c r="L634" s="1"/>
      <c r="M634" s="1"/>
      <c r="N634" s="1"/>
      <c r="O634" s="1"/>
      <c r="P634" s="1"/>
      <c r="Q634" s="131"/>
      <c r="R634" s="20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81"/>
      <c r="E635" s="201"/>
      <c r="F635" s="201"/>
      <c r="G635" s="201"/>
      <c r="H635" s="1"/>
      <c r="I635" s="1"/>
      <c r="J635" s="1"/>
      <c r="K635" s="1"/>
      <c r="L635" s="1"/>
      <c r="M635" s="1"/>
      <c r="N635" s="1"/>
      <c r="O635" s="1"/>
      <c r="P635" s="1"/>
      <c r="Q635" s="131"/>
      <c r="R635" s="20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81"/>
      <c r="E636" s="201"/>
      <c r="F636" s="201"/>
      <c r="G636" s="201"/>
      <c r="H636" s="1"/>
      <c r="I636" s="1"/>
      <c r="J636" s="1"/>
      <c r="K636" s="1"/>
      <c r="L636" s="1"/>
      <c r="M636" s="1"/>
      <c r="N636" s="1"/>
      <c r="O636" s="1"/>
      <c r="P636" s="1"/>
      <c r="Q636" s="131"/>
      <c r="R636" s="20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81"/>
      <c r="E637" s="201"/>
      <c r="F637" s="201"/>
      <c r="G637" s="201"/>
      <c r="H637" s="1"/>
      <c r="I637" s="1"/>
      <c r="J637" s="1"/>
      <c r="K637" s="1"/>
      <c r="L637" s="1"/>
      <c r="M637" s="1"/>
      <c r="N637" s="1"/>
      <c r="O637" s="1"/>
      <c r="P637" s="1"/>
      <c r="Q637" s="131"/>
      <c r="R637" s="20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81"/>
      <c r="E638" s="201"/>
      <c r="F638" s="201"/>
      <c r="G638" s="201"/>
      <c r="H638" s="1"/>
      <c r="I638" s="1"/>
      <c r="J638" s="1"/>
      <c r="K638" s="1"/>
      <c r="L638" s="1"/>
      <c r="M638" s="1"/>
      <c r="N638" s="1"/>
      <c r="O638" s="1"/>
      <c r="P638" s="1"/>
      <c r="Q638" s="131"/>
      <c r="R638" s="20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81"/>
      <c r="E639" s="201"/>
      <c r="F639" s="201"/>
      <c r="G639" s="201"/>
      <c r="H639" s="1"/>
      <c r="I639" s="1"/>
      <c r="J639" s="1"/>
      <c r="K639" s="1"/>
      <c r="L639" s="1"/>
      <c r="M639" s="1"/>
      <c r="N639" s="1"/>
      <c r="O639" s="1"/>
      <c r="P639" s="1"/>
      <c r="Q639" s="131"/>
      <c r="R639" s="20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81"/>
      <c r="E640" s="201"/>
      <c r="F640" s="201"/>
      <c r="G640" s="201"/>
      <c r="H640" s="1"/>
      <c r="I640" s="1"/>
      <c r="J640" s="1"/>
      <c r="K640" s="1"/>
      <c r="L640" s="1"/>
      <c r="M640" s="1"/>
      <c r="N640" s="1"/>
      <c r="O640" s="1"/>
      <c r="P640" s="1"/>
      <c r="Q640" s="131"/>
      <c r="R640" s="20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81"/>
      <c r="E641" s="201"/>
      <c r="F641" s="201"/>
      <c r="G641" s="201"/>
      <c r="H641" s="1"/>
      <c r="I641" s="1"/>
      <c r="J641" s="1"/>
      <c r="K641" s="1"/>
      <c r="L641" s="1"/>
      <c r="M641" s="1"/>
      <c r="N641" s="1"/>
      <c r="O641" s="1"/>
      <c r="P641" s="1"/>
      <c r="Q641" s="131"/>
      <c r="R641" s="20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81"/>
      <c r="E642" s="201"/>
      <c r="F642" s="201"/>
      <c r="G642" s="201"/>
      <c r="H642" s="1"/>
      <c r="I642" s="1"/>
      <c r="J642" s="1"/>
      <c r="K642" s="1"/>
      <c r="L642" s="1"/>
      <c r="M642" s="1"/>
      <c r="N642" s="1"/>
      <c r="O642" s="1"/>
      <c r="P642" s="1"/>
      <c r="Q642" s="131"/>
      <c r="R642" s="20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81"/>
      <c r="E643" s="201"/>
      <c r="F643" s="201"/>
      <c r="G643" s="201"/>
      <c r="H643" s="1"/>
      <c r="I643" s="1"/>
      <c r="J643" s="1"/>
      <c r="K643" s="1"/>
      <c r="L643" s="1"/>
      <c r="M643" s="1"/>
      <c r="N643" s="1"/>
      <c r="O643" s="1"/>
      <c r="P643" s="1"/>
      <c r="Q643" s="131"/>
      <c r="R643" s="20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81"/>
      <c r="E644" s="201"/>
      <c r="F644" s="201"/>
      <c r="G644" s="201"/>
      <c r="H644" s="1"/>
      <c r="I644" s="1"/>
      <c r="J644" s="1"/>
      <c r="K644" s="1"/>
      <c r="L644" s="1"/>
      <c r="M644" s="1"/>
      <c r="N644" s="1"/>
      <c r="O644" s="1"/>
      <c r="P644" s="1"/>
      <c r="Q644" s="131"/>
      <c r="R644" s="20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81"/>
      <c r="E645" s="201"/>
      <c r="F645" s="201"/>
      <c r="G645" s="201"/>
      <c r="H645" s="1"/>
      <c r="I645" s="1"/>
      <c r="J645" s="1"/>
      <c r="K645" s="1"/>
      <c r="L645" s="1"/>
      <c r="M645" s="1"/>
      <c r="N645" s="1"/>
      <c r="O645" s="1"/>
      <c r="P645" s="1"/>
      <c r="Q645" s="131"/>
      <c r="R645" s="20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81"/>
      <c r="E646" s="201"/>
      <c r="F646" s="201"/>
      <c r="G646" s="201"/>
      <c r="H646" s="1"/>
      <c r="I646" s="1"/>
      <c r="J646" s="1"/>
      <c r="K646" s="1"/>
      <c r="L646" s="1"/>
      <c r="M646" s="1"/>
      <c r="N646" s="1"/>
      <c r="O646" s="1"/>
      <c r="P646" s="1"/>
      <c r="Q646" s="131"/>
      <c r="R646" s="20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81"/>
      <c r="E647" s="201"/>
      <c r="F647" s="201"/>
      <c r="G647" s="201"/>
      <c r="H647" s="1"/>
      <c r="I647" s="1"/>
      <c r="J647" s="1"/>
      <c r="K647" s="1"/>
      <c r="L647" s="1"/>
      <c r="M647" s="1"/>
      <c r="N647" s="1"/>
      <c r="O647" s="1"/>
      <c r="P647" s="1"/>
      <c r="Q647" s="131"/>
      <c r="R647" s="20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81"/>
      <c r="E648" s="201"/>
      <c r="F648" s="201"/>
      <c r="G648" s="201"/>
      <c r="H648" s="1"/>
      <c r="I648" s="1"/>
      <c r="J648" s="1"/>
      <c r="K648" s="1"/>
      <c r="L648" s="1"/>
      <c r="M648" s="1"/>
      <c r="N648" s="1"/>
      <c r="O648" s="1"/>
      <c r="P648" s="1"/>
      <c r="Q648" s="131"/>
      <c r="R648" s="20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81"/>
      <c r="E649" s="201"/>
      <c r="F649" s="201"/>
      <c r="G649" s="201"/>
      <c r="H649" s="1"/>
      <c r="I649" s="1"/>
      <c r="J649" s="1"/>
      <c r="K649" s="1"/>
      <c r="L649" s="1"/>
      <c r="M649" s="1"/>
      <c r="N649" s="1"/>
      <c r="O649" s="1"/>
      <c r="P649" s="1"/>
      <c r="Q649" s="131"/>
      <c r="R649" s="20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81"/>
      <c r="E650" s="201"/>
      <c r="F650" s="201"/>
      <c r="G650" s="201"/>
      <c r="H650" s="1"/>
      <c r="I650" s="1"/>
      <c r="J650" s="1"/>
      <c r="K650" s="1"/>
      <c r="L650" s="1"/>
      <c r="M650" s="1"/>
      <c r="N650" s="1"/>
      <c r="O650" s="1"/>
      <c r="P650" s="1"/>
      <c r="Q650" s="131"/>
      <c r="R650" s="20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81"/>
      <c r="E651" s="201"/>
      <c r="F651" s="201"/>
      <c r="G651" s="201"/>
      <c r="H651" s="1"/>
      <c r="I651" s="1"/>
      <c r="J651" s="1"/>
      <c r="K651" s="1"/>
      <c r="L651" s="1"/>
      <c r="M651" s="1"/>
      <c r="N651" s="1"/>
      <c r="O651" s="1"/>
      <c r="P651" s="1"/>
      <c r="Q651" s="131"/>
      <c r="R651" s="20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81"/>
      <c r="E652" s="201"/>
      <c r="F652" s="201"/>
      <c r="G652" s="201"/>
      <c r="H652" s="1"/>
      <c r="I652" s="1"/>
      <c r="J652" s="1"/>
      <c r="K652" s="1"/>
      <c r="L652" s="1"/>
      <c r="M652" s="1"/>
      <c r="N652" s="1"/>
      <c r="O652" s="1"/>
      <c r="P652" s="1"/>
      <c r="Q652" s="131"/>
      <c r="R652" s="20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81"/>
      <c r="E653" s="201"/>
      <c r="F653" s="201"/>
      <c r="G653" s="201"/>
      <c r="H653" s="1"/>
      <c r="I653" s="1"/>
      <c r="J653" s="1"/>
      <c r="K653" s="1"/>
      <c r="L653" s="1"/>
      <c r="M653" s="1"/>
      <c r="N653" s="1"/>
      <c r="O653" s="1"/>
      <c r="P653" s="1"/>
      <c r="Q653" s="131"/>
      <c r="R653" s="20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81"/>
      <c r="E654" s="201"/>
      <c r="F654" s="201"/>
      <c r="G654" s="201"/>
      <c r="H654" s="1"/>
      <c r="I654" s="1"/>
      <c r="J654" s="1"/>
      <c r="K654" s="1"/>
      <c r="L654" s="1"/>
      <c r="M654" s="1"/>
      <c r="N654" s="1"/>
      <c r="O654" s="1"/>
      <c r="P654" s="1"/>
      <c r="Q654" s="131"/>
      <c r="R654" s="20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81"/>
      <c r="E655" s="201"/>
      <c r="F655" s="201"/>
      <c r="G655" s="201"/>
      <c r="H655" s="1"/>
      <c r="I655" s="1"/>
      <c r="J655" s="1"/>
      <c r="K655" s="1"/>
      <c r="L655" s="1"/>
      <c r="M655" s="1"/>
      <c r="N655" s="1"/>
      <c r="O655" s="1"/>
      <c r="P655" s="1"/>
      <c r="Q655" s="131"/>
      <c r="R655" s="20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81"/>
      <c r="E656" s="201"/>
      <c r="F656" s="201"/>
      <c r="G656" s="201"/>
      <c r="H656" s="1"/>
      <c r="I656" s="1"/>
      <c r="J656" s="1"/>
      <c r="K656" s="1"/>
      <c r="L656" s="1"/>
      <c r="M656" s="1"/>
      <c r="N656" s="1"/>
      <c r="O656" s="1"/>
      <c r="P656" s="1"/>
      <c r="Q656" s="131"/>
      <c r="R656" s="20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81"/>
      <c r="E657" s="201"/>
      <c r="F657" s="201"/>
      <c r="G657" s="201"/>
      <c r="H657" s="1"/>
      <c r="I657" s="1"/>
      <c r="J657" s="1"/>
      <c r="K657" s="1"/>
      <c r="L657" s="1"/>
      <c r="M657" s="1"/>
      <c r="N657" s="1"/>
      <c r="O657" s="1"/>
      <c r="P657" s="1"/>
      <c r="Q657" s="131"/>
      <c r="R657" s="20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81"/>
      <c r="E658" s="201"/>
      <c r="F658" s="201"/>
      <c r="G658" s="201"/>
      <c r="H658" s="1"/>
      <c r="I658" s="1"/>
      <c r="J658" s="1"/>
      <c r="K658" s="1"/>
      <c r="L658" s="1"/>
      <c r="M658" s="1"/>
      <c r="N658" s="1"/>
      <c r="O658" s="1"/>
      <c r="P658" s="1"/>
      <c r="Q658" s="131"/>
      <c r="R658" s="20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81"/>
      <c r="E659" s="201"/>
      <c r="F659" s="201"/>
      <c r="G659" s="201"/>
      <c r="H659" s="1"/>
      <c r="I659" s="1"/>
      <c r="J659" s="1"/>
      <c r="K659" s="1"/>
      <c r="L659" s="1"/>
      <c r="M659" s="1"/>
      <c r="N659" s="1"/>
      <c r="O659" s="1"/>
      <c r="P659" s="1"/>
      <c r="Q659" s="131"/>
      <c r="R659" s="20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81"/>
      <c r="E660" s="201"/>
      <c r="F660" s="201"/>
      <c r="G660" s="201"/>
      <c r="H660" s="1"/>
      <c r="I660" s="1"/>
      <c r="J660" s="1"/>
      <c r="K660" s="1"/>
      <c r="L660" s="1"/>
      <c r="M660" s="1"/>
      <c r="N660" s="1"/>
      <c r="O660" s="1"/>
      <c r="P660" s="1"/>
      <c r="Q660" s="131"/>
      <c r="R660" s="20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81"/>
      <c r="E661" s="201"/>
      <c r="F661" s="201"/>
      <c r="G661" s="201"/>
      <c r="H661" s="1"/>
      <c r="I661" s="1"/>
      <c r="J661" s="1"/>
      <c r="K661" s="1"/>
      <c r="L661" s="1"/>
      <c r="M661" s="1"/>
      <c r="N661" s="1"/>
      <c r="O661" s="1"/>
      <c r="P661" s="1"/>
      <c r="Q661" s="131"/>
      <c r="R661" s="20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81"/>
      <c r="E662" s="201"/>
      <c r="F662" s="201"/>
      <c r="G662" s="201"/>
      <c r="H662" s="1"/>
      <c r="I662" s="1"/>
      <c r="J662" s="1"/>
      <c r="K662" s="1"/>
      <c r="L662" s="1"/>
      <c r="M662" s="1"/>
      <c r="N662" s="1"/>
      <c r="O662" s="1"/>
      <c r="P662" s="1"/>
      <c r="Q662" s="131"/>
      <c r="R662" s="20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81"/>
      <c r="E663" s="201"/>
      <c r="F663" s="201"/>
      <c r="G663" s="201"/>
      <c r="H663" s="1"/>
      <c r="I663" s="1"/>
      <c r="J663" s="1"/>
      <c r="K663" s="1"/>
      <c r="L663" s="1"/>
      <c r="M663" s="1"/>
      <c r="N663" s="1"/>
      <c r="O663" s="1"/>
      <c r="P663" s="1"/>
      <c r="Q663" s="131"/>
      <c r="R663" s="20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81"/>
      <c r="E664" s="201"/>
      <c r="F664" s="201"/>
      <c r="G664" s="201"/>
      <c r="H664" s="1"/>
      <c r="I664" s="1"/>
      <c r="J664" s="1"/>
      <c r="K664" s="1"/>
      <c r="L664" s="1"/>
      <c r="M664" s="1"/>
      <c r="N664" s="1"/>
      <c r="O664" s="1"/>
      <c r="P664" s="1"/>
      <c r="Q664" s="131"/>
      <c r="R664" s="20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81"/>
      <c r="E665" s="201"/>
      <c r="F665" s="201"/>
      <c r="G665" s="201"/>
      <c r="H665" s="1"/>
      <c r="I665" s="1"/>
      <c r="J665" s="1"/>
      <c r="K665" s="1"/>
      <c r="L665" s="1"/>
      <c r="M665" s="1"/>
      <c r="N665" s="1"/>
      <c r="O665" s="1"/>
      <c r="P665" s="1"/>
      <c r="Q665" s="131"/>
      <c r="R665" s="20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81"/>
      <c r="E666" s="201"/>
      <c r="F666" s="201"/>
      <c r="G666" s="201"/>
      <c r="H666" s="1"/>
      <c r="I666" s="1"/>
      <c r="J666" s="1"/>
      <c r="K666" s="1"/>
      <c r="L666" s="1"/>
      <c r="M666" s="1"/>
      <c r="N666" s="1"/>
      <c r="O666" s="1"/>
      <c r="P666" s="1"/>
      <c r="Q666" s="131"/>
      <c r="R666" s="20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81"/>
      <c r="E667" s="201"/>
      <c r="F667" s="201"/>
      <c r="G667" s="201"/>
      <c r="H667" s="1"/>
      <c r="I667" s="1"/>
      <c r="J667" s="1"/>
      <c r="K667" s="1"/>
      <c r="L667" s="1"/>
      <c r="M667" s="1"/>
      <c r="N667" s="1"/>
      <c r="O667" s="1"/>
      <c r="P667" s="1"/>
      <c r="Q667" s="131"/>
      <c r="R667" s="20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81"/>
      <c r="E668" s="201"/>
      <c r="F668" s="201"/>
      <c r="G668" s="201"/>
      <c r="H668" s="1"/>
      <c r="I668" s="1"/>
      <c r="J668" s="1"/>
      <c r="K668" s="1"/>
      <c r="L668" s="1"/>
      <c r="M668" s="1"/>
      <c r="N668" s="1"/>
      <c r="O668" s="1"/>
      <c r="P668" s="1"/>
      <c r="Q668" s="131"/>
      <c r="R668" s="20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81"/>
      <c r="E669" s="201"/>
      <c r="F669" s="201"/>
      <c r="G669" s="201"/>
      <c r="H669" s="1"/>
      <c r="I669" s="1"/>
      <c r="J669" s="1"/>
      <c r="K669" s="1"/>
      <c r="L669" s="1"/>
      <c r="M669" s="1"/>
      <c r="N669" s="1"/>
      <c r="O669" s="1"/>
      <c r="P669" s="1"/>
      <c r="Q669" s="131"/>
      <c r="R669" s="20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81"/>
      <c r="E670" s="201"/>
      <c r="F670" s="201"/>
      <c r="G670" s="201"/>
      <c r="H670" s="1"/>
      <c r="I670" s="1"/>
      <c r="J670" s="1"/>
      <c r="K670" s="1"/>
      <c r="L670" s="1"/>
      <c r="M670" s="1"/>
      <c r="N670" s="1"/>
      <c r="O670" s="1"/>
      <c r="P670" s="1"/>
      <c r="Q670" s="131"/>
      <c r="R670" s="20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81"/>
      <c r="E671" s="201"/>
      <c r="F671" s="201"/>
      <c r="G671" s="201"/>
      <c r="H671" s="1"/>
      <c r="I671" s="1"/>
      <c r="J671" s="1"/>
      <c r="K671" s="1"/>
      <c r="L671" s="1"/>
      <c r="M671" s="1"/>
      <c r="N671" s="1"/>
      <c r="O671" s="1"/>
      <c r="P671" s="1"/>
      <c r="Q671" s="131"/>
      <c r="R671" s="20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81"/>
      <c r="E672" s="201"/>
      <c r="F672" s="201"/>
      <c r="G672" s="201"/>
      <c r="H672" s="1"/>
      <c r="I672" s="1"/>
      <c r="J672" s="1"/>
      <c r="K672" s="1"/>
      <c r="L672" s="1"/>
      <c r="M672" s="1"/>
      <c r="N672" s="1"/>
      <c r="O672" s="1"/>
      <c r="P672" s="1"/>
      <c r="Q672" s="131"/>
      <c r="R672" s="20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81"/>
      <c r="E673" s="201"/>
      <c r="F673" s="201"/>
      <c r="G673" s="201"/>
      <c r="H673" s="1"/>
      <c r="I673" s="1"/>
      <c r="J673" s="1"/>
      <c r="K673" s="1"/>
      <c r="L673" s="1"/>
      <c r="M673" s="1"/>
      <c r="N673" s="1"/>
      <c r="O673" s="1"/>
      <c r="P673" s="1"/>
      <c r="Q673" s="131"/>
      <c r="R673" s="20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81"/>
      <c r="E674" s="201"/>
      <c r="F674" s="201"/>
      <c r="G674" s="201"/>
      <c r="H674" s="1"/>
      <c r="I674" s="1"/>
      <c r="J674" s="1"/>
      <c r="K674" s="1"/>
      <c r="L674" s="1"/>
      <c r="M674" s="1"/>
      <c r="N674" s="1"/>
      <c r="O674" s="1"/>
      <c r="P674" s="1"/>
      <c r="Q674" s="131"/>
      <c r="R674" s="20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81"/>
      <c r="E675" s="201"/>
      <c r="F675" s="201"/>
      <c r="G675" s="201"/>
      <c r="H675" s="1"/>
      <c r="I675" s="1"/>
      <c r="J675" s="1"/>
      <c r="K675" s="1"/>
      <c r="L675" s="1"/>
      <c r="M675" s="1"/>
      <c r="N675" s="1"/>
      <c r="O675" s="1"/>
      <c r="P675" s="1"/>
      <c r="Q675" s="131"/>
      <c r="R675" s="20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81"/>
      <c r="E676" s="201"/>
      <c r="F676" s="201"/>
      <c r="G676" s="201"/>
      <c r="H676" s="1"/>
      <c r="I676" s="1"/>
      <c r="J676" s="1"/>
      <c r="K676" s="1"/>
      <c r="L676" s="1"/>
      <c r="M676" s="1"/>
      <c r="N676" s="1"/>
      <c r="O676" s="1"/>
      <c r="P676" s="1"/>
      <c r="Q676" s="131"/>
      <c r="R676" s="20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81"/>
      <c r="E677" s="201"/>
      <c r="F677" s="201"/>
      <c r="G677" s="201"/>
      <c r="H677" s="1"/>
      <c r="I677" s="1"/>
      <c r="J677" s="1"/>
      <c r="K677" s="1"/>
      <c r="L677" s="1"/>
      <c r="M677" s="1"/>
      <c r="N677" s="1"/>
      <c r="O677" s="1"/>
      <c r="P677" s="1"/>
      <c r="Q677" s="131"/>
      <c r="R677" s="20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81"/>
      <c r="E678" s="201"/>
      <c r="F678" s="201"/>
      <c r="G678" s="201"/>
      <c r="H678" s="1"/>
      <c r="I678" s="1"/>
      <c r="J678" s="1"/>
      <c r="K678" s="1"/>
      <c r="L678" s="1"/>
      <c r="M678" s="1"/>
      <c r="N678" s="1"/>
      <c r="O678" s="1"/>
      <c r="P678" s="1"/>
      <c r="Q678" s="131"/>
      <c r="R678" s="20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81"/>
      <c r="E679" s="201"/>
      <c r="F679" s="201"/>
      <c r="G679" s="201"/>
      <c r="H679" s="1"/>
      <c r="I679" s="1"/>
      <c r="J679" s="1"/>
      <c r="K679" s="1"/>
      <c r="L679" s="1"/>
      <c r="M679" s="1"/>
      <c r="N679" s="1"/>
      <c r="O679" s="1"/>
      <c r="P679" s="1"/>
      <c r="Q679" s="131"/>
      <c r="R679" s="20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81"/>
      <c r="E680" s="201"/>
      <c r="F680" s="201"/>
      <c r="G680" s="201"/>
      <c r="H680" s="1"/>
      <c r="I680" s="1"/>
      <c r="J680" s="1"/>
      <c r="K680" s="1"/>
      <c r="L680" s="1"/>
      <c r="M680" s="1"/>
      <c r="N680" s="1"/>
      <c r="O680" s="1"/>
      <c r="P680" s="1"/>
      <c r="Q680" s="131"/>
      <c r="R680" s="20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81"/>
      <c r="E681" s="201"/>
      <c r="F681" s="201"/>
      <c r="G681" s="201"/>
      <c r="H681" s="1"/>
      <c r="I681" s="1"/>
      <c r="J681" s="1"/>
      <c r="K681" s="1"/>
      <c r="L681" s="1"/>
      <c r="M681" s="1"/>
      <c r="N681" s="1"/>
      <c r="O681" s="1"/>
      <c r="P681" s="1"/>
      <c r="Q681" s="131"/>
      <c r="R681" s="20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81"/>
      <c r="E682" s="201"/>
      <c r="F682" s="201"/>
      <c r="G682" s="201"/>
      <c r="H682" s="1"/>
      <c r="I682" s="1"/>
      <c r="J682" s="1"/>
      <c r="K682" s="1"/>
      <c r="L682" s="1"/>
      <c r="M682" s="1"/>
      <c r="N682" s="1"/>
      <c r="O682" s="1"/>
      <c r="P682" s="1"/>
      <c r="Q682" s="131"/>
      <c r="R682" s="20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81"/>
      <c r="E683" s="201"/>
      <c r="F683" s="201"/>
      <c r="G683" s="201"/>
      <c r="H683" s="1"/>
      <c r="I683" s="1"/>
      <c r="J683" s="1"/>
      <c r="K683" s="1"/>
      <c r="L683" s="1"/>
      <c r="M683" s="1"/>
      <c r="N683" s="1"/>
      <c r="O683" s="1"/>
      <c r="P683" s="1"/>
      <c r="Q683" s="131"/>
      <c r="R683" s="20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81"/>
      <c r="E684" s="201"/>
      <c r="F684" s="201"/>
      <c r="G684" s="201"/>
      <c r="H684" s="1"/>
      <c r="I684" s="1"/>
      <c r="J684" s="1"/>
      <c r="K684" s="1"/>
      <c r="L684" s="1"/>
      <c r="M684" s="1"/>
      <c r="N684" s="1"/>
      <c r="O684" s="1"/>
      <c r="P684" s="1"/>
      <c r="Q684" s="131"/>
      <c r="R684" s="20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81"/>
      <c r="E685" s="201"/>
      <c r="F685" s="201"/>
      <c r="G685" s="201"/>
      <c r="H685" s="1"/>
      <c r="I685" s="1"/>
      <c r="J685" s="1"/>
      <c r="K685" s="1"/>
      <c r="L685" s="1"/>
      <c r="M685" s="1"/>
      <c r="N685" s="1"/>
      <c r="O685" s="1"/>
      <c r="P685" s="1"/>
      <c r="Q685" s="131"/>
      <c r="R685" s="20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81"/>
      <c r="E686" s="201"/>
      <c r="F686" s="201"/>
      <c r="G686" s="201"/>
      <c r="H686" s="1"/>
      <c r="I686" s="1"/>
      <c r="J686" s="1"/>
      <c r="K686" s="1"/>
      <c r="L686" s="1"/>
      <c r="M686" s="1"/>
      <c r="N686" s="1"/>
      <c r="O686" s="1"/>
      <c r="P686" s="1"/>
      <c r="Q686" s="131"/>
      <c r="R686" s="20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81"/>
      <c r="E687" s="201"/>
      <c r="F687" s="201"/>
      <c r="G687" s="201"/>
      <c r="H687" s="1"/>
      <c r="I687" s="1"/>
      <c r="J687" s="1"/>
      <c r="K687" s="1"/>
      <c r="L687" s="1"/>
      <c r="M687" s="1"/>
      <c r="N687" s="1"/>
      <c r="O687" s="1"/>
      <c r="P687" s="1"/>
      <c r="Q687" s="131"/>
      <c r="R687" s="20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81"/>
      <c r="E688" s="201"/>
      <c r="F688" s="201"/>
      <c r="G688" s="201"/>
      <c r="H688" s="1"/>
      <c r="I688" s="1"/>
      <c r="J688" s="1"/>
      <c r="K688" s="1"/>
      <c r="L688" s="1"/>
      <c r="M688" s="1"/>
      <c r="N688" s="1"/>
      <c r="O688" s="1"/>
      <c r="P688" s="1"/>
      <c r="Q688" s="131"/>
      <c r="R688" s="20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81"/>
      <c r="E689" s="201"/>
      <c r="F689" s="201"/>
      <c r="G689" s="201"/>
      <c r="H689" s="1"/>
      <c r="I689" s="1"/>
      <c r="J689" s="1"/>
      <c r="K689" s="1"/>
      <c r="L689" s="1"/>
      <c r="M689" s="1"/>
      <c r="N689" s="1"/>
      <c r="O689" s="1"/>
      <c r="P689" s="1"/>
      <c r="Q689" s="131"/>
      <c r="R689" s="20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81"/>
      <c r="E690" s="201"/>
      <c r="F690" s="201"/>
      <c r="G690" s="201"/>
      <c r="H690" s="1"/>
      <c r="I690" s="1"/>
      <c r="J690" s="1"/>
      <c r="K690" s="1"/>
      <c r="L690" s="1"/>
      <c r="M690" s="1"/>
      <c r="N690" s="1"/>
      <c r="O690" s="1"/>
      <c r="P690" s="1"/>
      <c r="Q690" s="131"/>
      <c r="R690" s="20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81"/>
      <c r="E691" s="201"/>
      <c r="F691" s="201"/>
      <c r="G691" s="201"/>
      <c r="H691" s="1"/>
      <c r="I691" s="1"/>
      <c r="J691" s="1"/>
      <c r="K691" s="1"/>
      <c r="L691" s="1"/>
      <c r="M691" s="1"/>
      <c r="N691" s="1"/>
      <c r="O691" s="1"/>
      <c r="P691" s="1"/>
      <c r="Q691" s="131"/>
      <c r="R691" s="20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81"/>
      <c r="E692" s="201"/>
      <c r="F692" s="201"/>
      <c r="G692" s="201"/>
      <c r="H692" s="1"/>
      <c r="I692" s="1"/>
      <c r="J692" s="1"/>
      <c r="K692" s="1"/>
      <c r="L692" s="1"/>
      <c r="M692" s="1"/>
      <c r="N692" s="1"/>
      <c r="O692" s="1"/>
      <c r="P692" s="1"/>
      <c r="Q692" s="131"/>
      <c r="R692" s="20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81"/>
      <c r="E693" s="201"/>
      <c r="F693" s="201"/>
      <c r="G693" s="201"/>
      <c r="H693" s="1"/>
      <c r="I693" s="1"/>
      <c r="J693" s="1"/>
      <c r="K693" s="1"/>
      <c r="L693" s="1"/>
      <c r="M693" s="1"/>
      <c r="N693" s="1"/>
      <c r="O693" s="1"/>
      <c r="P693" s="1"/>
      <c r="Q693" s="131"/>
      <c r="R693" s="20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81"/>
      <c r="E694" s="201"/>
      <c r="F694" s="201"/>
      <c r="G694" s="201"/>
      <c r="H694" s="1"/>
      <c r="I694" s="1"/>
      <c r="J694" s="1"/>
      <c r="K694" s="1"/>
      <c r="L694" s="1"/>
      <c r="M694" s="1"/>
      <c r="N694" s="1"/>
      <c r="O694" s="1"/>
      <c r="P694" s="1"/>
      <c r="Q694" s="131"/>
      <c r="R694" s="20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81"/>
      <c r="E695" s="201"/>
      <c r="F695" s="201"/>
      <c r="G695" s="201"/>
      <c r="H695" s="1"/>
      <c r="I695" s="1"/>
      <c r="J695" s="1"/>
      <c r="K695" s="1"/>
      <c r="L695" s="1"/>
      <c r="M695" s="1"/>
      <c r="N695" s="1"/>
      <c r="O695" s="1"/>
      <c r="P695" s="1"/>
      <c r="Q695" s="131"/>
      <c r="R695" s="20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81"/>
      <c r="E696" s="201"/>
      <c r="F696" s="201"/>
      <c r="G696" s="201"/>
      <c r="H696" s="1"/>
      <c r="I696" s="1"/>
      <c r="J696" s="1"/>
      <c r="K696" s="1"/>
      <c r="L696" s="1"/>
      <c r="M696" s="1"/>
      <c r="N696" s="1"/>
      <c r="O696" s="1"/>
      <c r="P696" s="1"/>
      <c r="Q696" s="131"/>
      <c r="R696" s="20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81"/>
      <c r="E697" s="201"/>
      <c r="F697" s="201"/>
      <c r="G697" s="201"/>
      <c r="H697" s="1"/>
      <c r="I697" s="1"/>
      <c r="J697" s="1"/>
      <c r="K697" s="1"/>
      <c r="L697" s="1"/>
      <c r="M697" s="1"/>
      <c r="N697" s="1"/>
      <c r="O697" s="1"/>
      <c r="P697" s="1"/>
      <c r="Q697" s="131"/>
      <c r="R697" s="20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81"/>
      <c r="E698" s="201"/>
      <c r="F698" s="201"/>
      <c r="G698" s="201"/>
      <c r="H698" s="1"/>
      <c r="I698" s="1"/>
      <c r="J698" s="1"/>
      <c r="K698" s="1"/>
      <c r="L698" s="1"/>
      <c r="M698" s="1"/>
      <c r="N698" s="1"/>
      <c r="O698" s="1"/>
      <c r="P698" s="1"/>
      <c r="Q698" s="131"/>
      <c r="R698" s="20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81"/>
      <c r="E699" s="201"/>
      <c r="F699" s="201"/>
      <c r="G699" s="201"/>
      <c r="H699" s="1"/>
      <c r="I699" s="1"/>
      <c r="J699" s="1"/>
      <c r="K699" s="1"/>
      <c r="L699" s="1"/>
      <c r="M699" s="1"/>
      <c r="N699" s="1"/>
      <c r="O699" s="1"/>
      <c r="P699" s="1"/>
      <c r="Q699" s="131"/>
      <c r="R699" s="20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81"/>
      <c r="E700" s="201"/>
      <c r="F700" s="201"/>
      <c r="G700" s="201"/>
      <c r="H700" s="1"/>
      <c r="I700" s="1"/>
      <c r="J700" s="1"/>
      <c r="K700" s="1"/>
      <c r="L700" s="1"/>
      <c r="M700" s="1"/>
      <c r="N700" s="1"/>
      <c r="O700" s="1"/>
      <c r="P700" s="1"/>
      <c r="Q700" s="131"/>
      <c r="R700" s="20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81"/>
      <c r="E701" s="201"/>
      <c r="F701" s="201"/>
      <c r="G701" s="201"/>
      <c r="H701" s="1"/>
      <c r="I701" s="1"/>
      <c r="J701" s="1"/>
      <c r="K701" s="1"/>
      <c r="L701" s="1"/>
      <c r="M701" s="1"/>
      <c r="N701" s="1"/>
      <c r="O701" s="1"/>
      <c r="P701" s="1"/>
      <c r="Q701" s="131"/>
      <c r="R701" s="20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81"/>
      <c r="E702" s="201"/>
      <c r="F702" s="201"/>
      <c r="G702" s="201"/>
      <c r="H702" s="1"/>
      <c r="I702" s="1"/>
      <c r="J702" s="1"/>
      <c r="K702" s="1"/>
      <c r="L702" s="1"/>
      <c r="M702" s="1"/>
      <c r="N702" s="1"/>
      <c r="O702" s="1"/>
      <c r="P702" s="1"/>
      <c r="Q702" s="131"/>
      <c r="R702" s="20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81"/>
      <c r="E703" s="201"/>
      <c r="F703" s="201"/>
      <c r="G703" s="201"/>
      <c r="H703" s="1"/>
      <c r="I703" s="1"/>
      <c r="J703" s="1"/>
      <c r="K703" s="1"/>
      <c r="L703" s="1"/>
      <c r="M703" s="1"/>
      <c r="N703" s="1"/>
      <c r="O703" s="1"/>
      <c r="P703" s="1"/>
      <c r="Q703" s="131"/>
      <c r="R703" s="20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81"/>
      <c r="E704" s="201"/>
      <c r="F704" s="201"/>
      <c r="G704" s="201"/>
      <c r="H704" s="1"/>
      <c r="I704" s="1"/>
      <c r="J704" s="1"/>
      <c r="K704" s="1"/>
      <c r="L704" s="1"/>
      <c r="M704" s="1"/>
      <c r="N704" s="1"/>
      <c r="O704" s="1"/>
      <c r="P704" s="1"/>
      <c r="Q704" s="131"/>
      <c r="R704" s="20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81"/>
      <c r="E705" s="201"/>
      <c r="F705" s="201"/>
      <c r="G705" s="201"/>
      <c r="H705" s="1"/>
      <c r="I705" s="1"/>
      <c r="J705" s="1"/>
      <c r="K705" s="1"/>
      <c r="L705" s="1"/>
      <c r="M705" s="1"/>
      <c r="N705" s="1"/>
      <c r="O705" s="1"/>
      <c r="P705" s="1"/>
      <c r="Q705" s="131"/>
      <c r="R705" s="20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81"/>
      <c r="E706" s="201"/>
      <c r="F706" s="201"/>
      <c r="G706" s="201"/>
      <c r="H706" s="1"/>
      <c r="I706" s="1"/>
      <c r="J706" s="1"/>
      <c r="K706" s="1"/>
      <c r="L706" s="1"/>
      <c r="M706" s="1"/>
      <c r="N706" s="1"/>
      <c r="O706" s="1"/>
      <c r="P706" s="1"/>
      <c r="Q706" s="131"/>
      <c r="R706" s="20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81"/>
      <c r="E707" s="201"/>
      <c r="F707" s="201"/>
      <c r="G707" s="201"/>
      <c r="H707" s="1"/>
      <c r="I707" s="1"/>
      <c r="J707" s="1"/>
      <c r="K707" s="1"/>
      <c r="L707" s="1"/>
      <c r="M707" s="1"/>
      <c r="N707" s="1"/>
      <c r="O707" s="1"/>
      <c r="P707" s="1"/>
      <c r="Q707" s="131"/>
      <c r="R707" s="20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81"/>
      <c r="E708" s="201"/>
      <c r="F708" s="201"/>
      <c r="G708" s="201"/>
      <c r="H708" s="1"/>
      <c r="I708" s="1"/>
      <c r="J708" s="1"/>
      <c r="K708" s="1"/>
      <c r="L708" s="1"/>
      <c r="M708" s="1"/>
      <c r="N708" s="1"/>
      <c r="O708" s="1"/>
      <c r="P708" s="1"/>
      <c r="Q708" s="131"/>
      <c r="R708" s="20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81"/>
      <c r="E709" s="201"/>
      <c r="F709" s="201"/>
      <c r="G709" s="201"/>
      <c r="H709" s="1"/>
      <c r="I709" s="1"/>
      <c r="J709" s="1"/>
      <c r="K709" s="1"/>
      <c r="L709" s="1"/>
      <c r="M709" s="1"/>
      <c r="N709" s="1"/>
      <c r="O709" s="1"/>
      <c r="P709" s="1"/>
      <c r="Q709" s="131"/>
      <c r="R709" s="20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81"/>
      <c r="E710" s="201"/>
      <c r="F710" s="201"/>
      <c r="G710" s="201"/>
      <c r="H710" s="1"/>
      <c r="I710" s="1"/>
      <c r="J710" s="1"/>
      <c r="K710" s="1"/>
      <c r="L710" s="1"/>
      <c r="M710" s="1"/>
      <c r="N710" s="1"/>
      <c r="O710" s="1"/>
      <c r="P710" s="1"/>
      <c r="Q710" s="131"/>
      <c r="R710" s="20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81"/>
      <c r="E711" s="201"/>
      <c r="F711" s="201"/>
      <c r="G711" s="201"/>
      <c r="H711" s="1"/>
      <c r="I711" s="1"/>
      <c r="J711" s="1"/>
      <c r="K711" s="1"/>
      <c r="L711" s="1"/>
      <c r="M711" s="1"/>
      <c r="N711" s="1"/>
      <c r="O711" s="1"/>
      <c r="P711" s="1"/>
      <c r="Q711" s="131"/>
      <c r="R711" s="20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81"/>
      <c r="E712" s="201"/>
      <c r="F712" s="201"/>
      <c r="G712" s="201"/>
      <c r="H712" s="1"/>
      <c r="I712" s="1"/>
      <c r="J712" s="1"/>
      <c r="K712" s="1"/>
      <c r="L712" s="1"/>
      <c r="M712" s="1"/>
      <c r="N712" s="1"/>
      <c r="O712" s="1"/>
      <c r="P712" s="1"/>
      <c r="Q712" s="131"/>
      <c r="R712" s="20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81"/>
      <c r="E713" s="201"/>
      <c r="F713" s="201"/>
      <c r="G713" s="201"/>
      <c r="H713" s="1"/>
      <c r="I713" s="1"/>
      <c r="J713" s="1"/>
      <c r="K713" s="1"/>
      <c r="L713" s="1"/>
      <c r="M713" s="1"/>
      <c r="N713" s="1"/>
      <c r="O713" s="1"/>
      <c r="P713" s="1"/>
      <c r="Q713" s="131"/>
      <c r="R713" s="20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81"/>
      <c r="E714" s="201"/>
      <c r="F714" s="201"/>
      <c r="G714" s="201"/>
      <c r="H714" s="1"/>
      <c r="I714" s="1"/>
      <c r="J714" s="1"/>
      <c r="K714" s="1"/>
      <c r="L714" s="1"/>
      <c r="M714" s="1"/>
      <c r="N714" s="1"/>
      <c r="O714" s="1"/>
      <c r="P714" s="1"/>
      <c r="Q714" s="131"/>
      <c r="R714" s="20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81"/>
      <c r="E715" s="201"/>
      <c r="F715" s="201"/>
      <c r="G715" s="201"/>
      <c r="H715" s="1"/>
      <c r="I715" s="1"/>
      <c r="J715" s="1"/>
      <c r="K715" s="1"/>
      <c r="L715" s="1"/>
      <c r="M715" s="1"/>
      <c r="N715" s="1"/>
      <c r="O715" s="1"/>
      <c r="P715" s="1"/>
      <c r="Q715" s="131"/>
      <c r="R715" s="20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81"/>
      <c r="E716" s="201"/>
      <c r="F716" s="201"/>
      <c r="G716" s="201"/>
      <c r="H716" s="1"/>
      <c r="I716" s="1"/>
      <c r="J716" s="1"/>
      <c r="K716" s="1"/>
      <c r="L716" s="1"/>
      <c r="M716" s="1"/>
      <c r="N716" s="1"/>
      <c r="O716" s="1"/>
      <c r="P716" s="1"/>
      <c r="Q716" s="131"/>
      <c r="R716" s="20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81"/>
      <c r="E717" s="201"/>
      <c r="F717" s="201"/>
      <c r="G717" s="201"/>
      <c r="H717" s="1"/>
      <c r="I717" s="1"/>
      <c r="J717" s="1"/>
      <c r="K717" s="1"/>
      <c r="L717" s="1"/>
      <c r="M717" s="1"/>
      <c r="N717" s="1"/>
      <c r="O717" s="1"/>
      <c r="P717" s="1"/>
      <c r="Q717" s="131"/>
      <c r="R717" s="20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81"/>
      <c r="E718" s="201"/>
      <c r="F718" s="201"/>
      <c r="G718" s="201"/>
      <c r="H718" s="1"/>
      <c r="I718" s="1"/>
      <c r="J718" s="1"/>
      <c r="K718" s="1"/>
      <c r="L718" s="1"/>
      <c r="M718" s="1"/>
      <c r="N718" s="1"/>
      <c r="O718" s="1"/>
      <c r="P718" s="1"/>
      <c r="Q718" s="131"/>
      <c r="R718" s="20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81"/>
      <c r="E719" s="201"/>
      <c r="F719" s="201"/>
      <c r="G719" s="201"/>
      <c r="H719" s="1"/>
      <c r="I719" s="1"/>
      <c r="J719" s="1"/>
      <c r="K719" s="1"/>
      <c r="L719" s="1"/>
      <c r="M719" s="1"/>
      <c r="N719" s="1"/>
      <c r="O719" s="1"/>
      <c r="P719" s="1"/>
      <c r="Q719" s="131"/>
      <c r="R719" s="20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81"/>
      <c r="E720" s="201"/>
      <c r="F720" s="201"/>
      <c r="G720" s="201"/>
      <c r="H720" s="1"/>
      <c r="I720" s="1"/>
      <c r="J720" s="1"/>
      <c r="K720" s="1"/>
      <c r="L720" s="1"/>
      <c r="M720" s="1"/>
      <c r="N720" s="1"/>
      <c r="O720" s="1"/>
      <c r="P720" s="1"/>
      <c r="Q720" s="131"/>
      <c r="R720" s="20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81"/>
      <c r="E721" s="201"/>
      <c r="F721" s="201"/>
      <c r="G721" s="201"/>
      <c r="H721" s="1"/>
      <c r="I721" s="1"/>
      <c r="J721" s="1"/>
      <c r="K721" s="1"/>
      <c r="L721" s="1"/>
      <c r="M721" s="1"/>
      <c r="N721" s="1"/>
      <c r="O721" s="1"/>
      <c r="P721" s="1"/>
      <c r="Q721" s="131"/>
      <c r="R721" s="20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81"/>
      <c r="E722" s="201"/>
      <c r="F722" s="201"/>
      <c r="G722" s="201"/>
      <c r="H722" s="1"/>
      <c r="I722" s="1"/>
      <c r="J722" s="1"/>
      <c r="K722" s="1"/>
      <c r="L722" s="1"/>
      <c r="M722" s="1"/>
      <c r="N722" s="1"/>
      <c r="O722" s="1"/>
      <c r="P722" s="1"/>
      <c r="Q722" s="131"/>
      <c r="R722" s="20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81"/>
      <c r="E723" s="201"/>
      <c r="F723" s="201"/>
      <c r="G723" s="201"/>
      <c r="H723" s="1"/>
      <c r="I723" s="1"/>
      <c r="J723" s="1"/>
      <c r="K723" s="1"/>
      <c r="L723" s="1"/>
      <c r="M723" s="1"/>
      <c r="N723" s="1"/>
      <c r="O723" s="1"/>
      <c r="P723" s="1"/>
      <c r="Q723" s="131"/>
      <c r="R723" s="20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81"/>
      <c r="E724" s="201"/>
      <c r="F724" s="201"/>
      <c r="G724" s="201"/>
      <c r="H724" s="1"/>
      <c r="I724" s="1"/>
      <c r="J724" s="1"/>
      <c r="K724" s="1"/>
      <c r="L724" s="1"/>
      <c r="M724" s="1"/>
      <c r="N724" s="1"/>
      <c r="O724" s="1"/>
      <c r="P724" s="1"/>
      <c r="Q724" s="131"/>
      <c r="R724" s="20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81"/>
      <c r="E725" s="201"/>
      <c r="F725" s="201"/>
      <c r="G725" s="201"/>
      <c r="H725" s="1"/>
      <c r="I725" s="1"/>
      <c r="J725" s="1"/>
      <c r="K725" s="1"/>
      <c r="L725" s="1"/>
      <c r="M725" s="1"/>
      <c r="N725" s="1"/>
      <c r="O725" s="1"/>
      <c r="P725" s="1"/>
      <c r="Q725" s="131"/>
      <c r="R725" s="20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81"/>
      <c r="E726" s="201"/>
      <c r="F726" s="201"/>
      <c r="G726" s="201"/>
      <c r="H726" s="1"/>
      <c r="I726" s="1"/>
      <c r="J726" s="1"/>
      <c r="K726" s="1"/>
      <c r="L726" s="1"/>
      <c r="M726" s="1"/>
      <c r="N726" s="1"/>
      <c r="O726" s="1"/>
      <c r="P726" s="1"/>
      <c r="Q726" s="131"/>
      <c r="R726" s="20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81"/>
      <c r="E727" s="201"/>
      <c r="F727" s="201"/>
      <c r="G727" s="201"/>
      <c r="H727" s="1"/>
      <c r="I727" s="1"/>
      <c r="J727" s="1"/>
      <c r="K727" s="1"/>
      <c r="L727" s="1"/>
      <c r="M727" s="1"/>
      <c r="N727" s="1"/>
      <c r="O727" s="1"/>
      <c r="P727" s="1"/>
      <c r="Q727" s="131"/>
      <c r="R727" s="20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81"/>
      <c r="E728" s="201"/>
      <c r="F728" s="201"/>
      <c r="G728" s="201"/>
      <c r="H728" s="1"/>
      <c r="I728" s="1"/>
      <c r="J728" s="1"/>
      <c r="K728" s="1"/>
      <c r="L728" s="1"/>
      <c r="M728" s="1"/>
      <c r="N728" s="1"/>
      <c r="O728" s="1"/>
      <c r="P728" s="1"/>
      <c r="Q728" s="131"/>
      <c r="R728" s="20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81"/>
      <c r="E729" s="201"/>
      <c r="F729" s="201"/>
      <c r="G729" s="201"/>
      <c r="H729" s="1"/>
      <c r="I729" s="1"/>
      <c r="J729" s="1"/>
      <c r="K729" s="1"/>
      <c r="L729" s="1"/>
      <c r="M729" s="1"/>
      <c r="N729" s="1"/>
      <c r="O729" s="1"/>
      <c r="P729" s="1"/>
      <c r="Q729" s="131"/>
      <c r="R729" s="20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81"/>
      <c r="E730" s="201"/>
      <c r="F730" s="201"/>
      <c r="G730" s="201"/>
      <c r="H730" s="1"/>
      <c r="I730" s="1"/>
      <c r="J730" s="1"/>
      <c r="K730" s="1"/>
      <c r="L730" s="1"/>
      <c r="M730" s="1"/>
      <c r="N730" s="1"/>
      <c r="O730" s="1"/>
      <c r="P730" s="1"/>
      <c r="Q730" s="131"/>
      <c r="R730" s="20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81"/>
      <c r="E731" s="201"/>
      <c r="F731" s="201"/>
      <c r="G731" s="201"/>
      <c r="H731" s="1"/>
      <c r="I731" s="1"/>
      <c r="J731" s="1"/>
      <c r="K731" s="1"/>
      <c r="L731" s="1"/>
      <c r="M731" s="1"/>
      <c r="N731" s="1"/>
      <c r="O731" s="1"/>
      <c r="P731" s="1"/>
      <c r="Q731" s="131"/>
      <c r="R731" s="20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81"/>
      <c r="E732" s="201"/>
      <c r="F732" s="201"/>
      <c r="G732" s="201"/>
      <c r="H732" s="1"/>
      <c r="I732" s="1"/>
      <c r="J732" s="1"/>
      <c r="K732" s="1"/>
      <c r="L732" s="1"/>
      <c r="M732" s="1"/>
      <c r="N732" s="1"/>
      <c r="O732" s="1"/>
      <c r="P732" s="1"/>
      <c r="Q732" s="131"/>
      <c r="R732" s="20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81"/>
      <c r="E733" s="201"/>
      <c r="F733" s="201"/>
      <c r="G733" s="201"/>
      <c r="H733" s="1"/>
      <c r="I733" s="1"/>
      <c r="J733" s="1"/>
      <c r="K733" s="1"/>
      <c r="L733" s="1"/>
      <c r="M733" s="1"/>
      <c r="N733" s="1"/>
      <c r="O733" s="1"/>
      <c r="P733" s="1"/>
      <c r="Q733" s="131"/>
      <c r="R733" s="20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81"/>
      <c r="E734" s="201"/>
      <c r="F734" s="201"/>
      <c r="G734" s="201"/>
      <c r="H734" s="1"/>
      <c r="I734" s="1"/>
      <c r="J734" s="1"/>
      <c r="K734" s="1"/>
      <c r="L734" s="1"/>
      <c r="M734" s="1"/>
      <c r="N734" s="1"/>
      <c r="O734" s="1"/>
      <c r="P734" s="1"/>
      <c r="Q734" s="131"/>
      <c r="R734" s="20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81"/>
      <c r="E735" s="201"/>
      <c r="F735" s="201"/>
      <c r="G735" s="201"/>
      <c r="H735" s="1"/>
      <c r="I735" s="1"/>
      <c r="J735" s="1"/>
      <c r="K735" s="1"/>
      <c r="L735" s="1"/>
      <c r="M735" s="1"/>
      <c r="N735" s="1"/>
      <c r="O735" s="1"/>
      <c r="P735" s="1"/>
      <c r="Q735" s="131"/>
      <c r="R735" s="20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81"/>
      <c r="E736" s="201"/>
      <c r="F736" s="201"/>
      <c r="G736" s="201"/>
      <c r="H736" s="1"/>
      <c r="I736" s="1"/>
      <c r="J736" s="1"/>
      <c r="K736" s="1"/>
      <c r="L736" s="1"/>
      <c r="M736" s="1"/>
      <c r="N736" s="1"/>
      <c r="O736" s="1"/>
      <c r="P736" s="1"/>
      <c r="Q736" s="131"/>
      <c r="R736" s="20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81"/>
      <c r="E737" s="201"/>
      <c r="F737" s="201"/>
      <c r="G737" s="201"/>
      <c r="H737" s="1"/>
      <c r="I737" s="1"/>
      <c r="J737" s="1"/>
      <c r="K737" s="1"/>
      <c r="L737" s="1"/>
      <c r="M737" s="1"/>
      <c r="N737" s="1"/>
      <c r="O737" s="1"/>
      <c r="P737" s="1"/>
      <c r="Q737" s="131"/>
      <c r="R737" s="20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81"/>
      <c r="E738" s="201"/>
      <c r="F738" s="201"/>
      <c r="G738" s="201"/>
      <c r="H738" s="1"/>
      <c r="I738" s="1"/>
      <c r="J738" s="1"/>
      <c r="K738" s="1"/>
      <c r="L738" s="1"/>
      <c r="M738" s="1"/>
      <c r="N738" s="1"/>
      <c r="O738" s="1"/>
      <c r="P738" s="1"/>
      <c r="Q738" s="131"/>
      <c r="R738" s="20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81"/>
      <c r="E739" s="201"/>
      <c r="F739" s="201"/>
      <c r="G739" s="201"/>
      <c r="H739" s="1"/>
      <c r="I739" s="1"/>
      <c r="J739" s="1"/>
      <c r="K739" s="1"/>
      <c r="L739" s="1"/>
      <c r="M739" s="1"/>
      <c r="N739" s="1"/>
      <c r="O739" s="1"/>
      <c r="P739" s="1"/>
      <c r="Q739" s="131"/>
      <c r="R739" s="20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81"/>
      <c r="E740" s="201"/>
      <c r="F740" s="201"/>
      <c r="G740" s="201"/>
      <c r="H740" s="1"/>
      <c r="I740" s="1"/>
      <c r="J740" s="1"/>
      <c r="K740" s="1"/>
      <c r="L740" s="1"/>
      <c r="M740" s="1"/>
      <c r="N740" s="1"/>
      <c r="O740" s="1"/>
      <c r="P740" s="1"/>
      <c r="Q740" s="131"/>
      <c r="R740" s="20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81"/>
      <c r="E741" s="201"/>
      <c r="F741" s="201"/>
      <c r="G741" s="201"/>
      <c r="H741" s="1"/>
      <c r="I741" s="1"/>
      <c r="J741" s="1"/>
      <c r="K741" s="1"/>
      <c r="L741" s="1"/>
      <c r="M741" s="1"/>
      <c r="N741" s="1"/>
      <c r="O741" s="1"/>
      <c r="P741" s="1"/>
      <c r="Q741" s="131"/>
      <c r="R741" s="20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81"/>
      <c r="E742" s="201"/>
      <c r="F742" s="201"/>
      <c r="G742" s="201"/>
      <c r="H742" s="1"/>
      <c r="I742" s="1"/>
      <c r="J742" s="1"/>
      <c r="K742" s="1"/>
      <c r="L742" s="1"/>
      <c r="M742" s="1"/>
      <c r="N742" s="1"/>
      <c r="O742" s="1"/>
      <c r="P742" s="1"/>
      <c r="Q742" s="131"/>
      <c r="R742" s="20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81"/>
      <c r="E743" s="201"/>
      <c r="F743" s="201"/>
      <c r="G743" s="201"/>
      <c r="H743" s="1"/>
      <c r="I743" s="1"/>
      <c r="J743" s="1"/>
      <c r="K743" s="1"/>
      <c r="L743" s="1"/>
      <c r="M743" s="1"/>
      <c r="N743" s="1"/>
      <c r="O743" s="1"/>
      <c r="P743" s="1"/>
      <c r="Q743" s="131"/>
      <c r="R743" s="20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81"/>
      <c r="E744" s="201"/>
      <c r="F744" s="201"/>
      <c r="G744" s="201"/>
      <c r="H744" s="1"/>
      <c r="I744" s="1"/>
      <c r="J744" s="1"/>
      <c r="K744" s="1"/>
      <c r="L744" s="1"/>
      <c r="M744" s="1"/>
      <c r="N744" s="1"/>
      <c r="O744" s="1"/>
      <c r="P744" s="1"/>
      <c r="Q744" s="131"/>
      <c r="R744" s="20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81"/>
      <c r="E745" s="201"/>
      <c r="F745" s="201"/>
      <c r="G745" s="201"/>
      <c r="H745" s="1"/>
      <c r="I745" s="1"/>
      <c r="J745" s="1"/>
      <c r="K745" s="1"/>
      <c r="L745" s="1"/>
      <c r="M745" s="1"/>
      <c r="N745" s="1"/>
      <c r="O745" s="1"/>
      <c r="P745" s="1"/>
      <c r="Q745" s="131"/>
      <c r="R745" s="20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81"/>
      <c r="E746" s="201"/>
      <c r="F746" s="201"/>
      <c r="G746" s="201"/>
      <c r="H746" s="1"/>
      <c r="I746" s="1"/>
      <c r="J746" s="1"/>
      <c r="K746" s="1"/>
      <c r="L746" s="1"/>
      <c r="M746" s="1"/>
      <c r="N746" s="1"/>
      <c r="O746" s="1"/>
      <c r="P746" s="1"/>
      <c r="Q746" s="131"/>
      <c r="R746" s="20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81"/>
      <c r="E747" s="201"/>
      <c r="F747" s="201"/>
      <c r="G747" s="201"/>
      <c r="H747" s="1"/>
      <c r="I747" s="1"/>
      <c r="J747" s="1"/>
      <c r="K747" s="1"/>
      <c r="L747" s="1"/>
      <c r="M747" s="1"/>
      <c r="N747" s="1"/>
      <c r="O747" s="1"/>
      <c r="P747" s="1"/>
      <c r="Q747" s="131"/>
      <c r="R747" s="20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81"/>
      <c r="E748" s="201"/>
      <c r="F748" s="201"/>
      <c r="G748" s="201"/>
      <c r="H748" s="1"/>
      <c r="I748" s="1"/>
      <c r="J748" s="1"/>
      <c r="K748" s="1"/>
      <c r="L748" s="1"/>
      <c r="M748" s="1"/>
      <c r="N748" s="1"/>
      <c r="O748" s="1"/>
      <c r="P748" s="1"/>
      <c r="Q748" s="131"/>
      <c r="R748" s="20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81"/>
      <c r="E749" s="201"/>
      <c r="F749" s="201"/>
      <c r="G749" s="201"/>
      <c r="H749" s="1"/>
      <c r="I749" s="1"/>
      <c r="J749" s="1"/>
      <c r="K749" s="1"/>
      <c r="L749" s="1"/>
      <c r="M749" s="1"/>
      <c r="N749" s="1"/>
      <c r="O749" s="1"/>
      <c r="P749" s="1"/>
      <c r="Q749" s="131"/>
      <c r="R749" s="20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81"/>
      <c r="E750" s="201"/>
      <c r="F750" s="201"/>
      <c r="G750" s="201"/>
      <c r="H750" s="1"/>
      <c r="I750" s="1"/>
      <c r="J750" s="1"/>
      <c r="K750" s="1"/>
      <c r="L750" s="1"/>
      <c r="M750" s="1"/>
      <c r="N750" s="1"/>
      <c r="O750" s="1"/>
      <c r="P750" s="1"/>
      <c r="Q750" s="131"/>
      <c r="R750" s="20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81"/>
      <c r="E751" s="201"/>
      <c r="F751" s="201"/>
      <c r="G751" s="201"/>
      <c r="H751" s="1"/>
      <c r="I751" s="1"/>
      <c r="J751" s="1"/>
      <c r="K751" s="1"/>
      <c r="L751" s="1"/>
      <c r="M751" s="1"/>
      <c r="N751" s="1"/>
      <c r="O751" s="1"/>
      <c r="P751" s="1"/>
      <c r="Q751" s="131"/>
      <c r="R751" s="20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81"/>
      <c r="E752" s="201"/>
      <c r="F752" s="201"/>
      <c r="G752" s="201"/>
      <c r="H752" s="1"/>
      <c r="I752" s="1"/>
      <c r="J752" s="1"/>
      <c r="K752" s="1"/>
      <c r="L752" s="1"/>
      <c r="M752" s="1"/>
      <c r="N752" s="1"/>
      <c r="O752" s="1"/>
      <c r="P752" s="1"/>
      <c r="Q752" s="131"/>
      <c r="R752" s="20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81"/>
      <c r="E753" s="201"/>
      <c r="F753" s="201"/>
      <c r="G753" s="201"/>
      <c r="H753" s="1"/>
      <c r="I753" s="1"/>
      <c r="J753" s="1"/>
      <c r="K753" s="1"/>
      <c r="L753" s="1"/>
      <c r="M753" s="1"/>
      <c r="N753" s="1"/>
      <c r="O753" s="1"/>
      <c r="P753" s="1"/>
      <c r="Q753" s="131"/>
      <c r="R753" s="20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81"/>
      <c r="E754" s="201"/>
      <c r="F754" s="201"/>
      <c r="G754" s="201"/>
      <c r="H754" s="1"/>
      <c r="I754" s="1"/>
      <c r="J754" s="1"/>
      <c r="K754" s="1"/>
      <c r="L754" s="1"/>
      <c r="M754" s="1"/>
      <c r="N754" s="1"/>
      <c r="O754" s="1"/>
      <c r="P754" s="1"/>
      <c r="Q754" s="131"/>
      <c r="R754" s="20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81"/>
      <c r="E755" s="201"/>
      <c r="F755" s="201"/>
      <c r="G755" s="201"/>
      <c r="H755" s="1"/>
      <c r="I755" s="1"/>
      <c r="J755" s="1"/>
      <c r="K755" s="1"/>
      <c r="L755" s="1"/>
      <c r="M755" s="1"/>
      <c r="N755" s="1"/>
      <c r="O755" s="1"/>
      <c r="P755" s="1"/>
      <c r="Q755" s="131"/>
      <c r="R755" s="20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81"/>
      <c r="E756" s="201"/>
      <c r="F756" s="201"/>
      <c r="G756" s="201"/>
      <c r="H756" s="1"/>
      <c r="I756" s="1"/>
      <c r="J756" s="1"/>
      <c r="K756" s="1"/>
      <c r="L756" s="1"/>
      <c r="M756" s="1"/>
      <c r="N756" s="1"/>
      <c r="O756" s="1"/>
      <c r="P756" s="1"/>
      <c r="Q756" s="131"/>
      <c r="R756" s="20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81"/>
      <c r="E757" s="201"/>
      <c r="F757" s="201"/>
      <c r="G757" s="201"/>
      <c r="H757" s="1"/>
      <c r="I757" s="1"/>
      <c r="J757" s="1"/>
      <c r="K757" s="1"/>
      <c r="L757" s="1"/>
      <c r="M757" s="1"/>
      <c r="N757" s="1"/>
      <c r="O757" s="1"/>
      <c r="P757" s="1"/>
      <c r="Q757" s="131"/>
      <c r="R757" s="20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81"/>
      <c r="E758" s="201"/>
      <c r="F758" s="201"/>
      <c r="G758" s="201"/>
      <c r="H758" s="1"/>
      <c r="I758" s="1"/>
      <c r="J758" s="1"/>
      <c r="K758" s="1"/>
      <c r="L758" s="1"/>
      <c r="M758" s="1"/>
      <c r="N758" s="1"/>
      <c r="O758" s="1"/>
      <c r="P758" s="1"/>
      <c r="Q758" s="131"/>
      <c r="R758" s="20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81"/>
      <c r="E759" s="201"/>
      <c r="F759" s="201"/>
      <c r="G759" s="201"/>
      <c r="H759" s="1"/>
      <c r="I759" s="1"/>
      <c r="J759" s="1"/>
      <c r="K759" s="1"/>
      <c r="L759" s="1"/>
      <c r="M759" s="1"/>
      <c r="N759" s="1"/>
      <c r="O759" s="1"/>
      <c r="P759" s="1"/>
      <c r="Q759" s="131"/>
      <c r="R759" s="20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81"/>
      <c r="E760" s="201"/>
      <c r="F760" s="201"/>
      <c r="G760" s="201"/>
      <c r="H760" s="1"/>
      <c r="I760" s="1"/>
      <c r="J760" s="1"/>
      <c r="K760" s="1"/>
      <c r="L760" s="1"/>
      <c r="M760" s="1"/>
      <c r="N760" s="1"/>
      <c r="O760" s="1"/>
      <c r="P760" s="1"/>
      <c r="Q760" s="131"/>
      <c r="R760" s="20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81"/>
      <c r="E761" s="201"/>
      <c r="F761" s="201"/>
      <c r="G761" s="201"/>
      <c r="H761" s="1"/>
      <c r="I761" s="1"/>
      <c r="J761" s="1"/>
      <c r="K761" s="1"/>
      <c r="L761" s="1"/>
      <c r="M761" s="1"/>
      <c r="N761" s="1"/>
      <c r="O761" s="1"/>
      <c r="P761" s="1"/>
      <c r="Q761" s="131"/>
      <c r="R761" s="20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81"/>
      <c r="E762" s="201"/>
      <c r="F762" s="201"/>
      <c r="G762" s="201"/>
      <c r="H762" s="1"/>
      <c r="I762" s="1"/>
      <c r="J762" s="1"/>
      <c r="K762" s="1"/>
      <c r="L762" s="1"/>
      <c r="M762" s="1"/>
      <c r="N762" s="1"/>
      <c r="O762" s="1"/>
      <c r="P762" s="1"/>
      <c r="Q762" s="131"/>
      <c r="R762" s="20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81"/>
      <c r="E763" s="201"/>
      <c r="F763" s="201"/>
      <c r="G763" s="201"/>
      <c r="H763" s="1"/>
      <c r="I763" s="1"/>
      <c r="J763" s="1"/>
      <c r="K763" s="1"/>
      <c r="L763" s="1"/>
      <c r="M763" s="1"/>
      <c r="N763" s="1"/>
      <c r="O763" s="1"/>
      <c r="P763" s="1"/>
      <c r="Q763" s="131"/>
      <c r="R763" s="20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81"/>
      <c r="E764" s="201"/>
      <c r="F764" s="201"/>
      <c r="G764" s="201"/>
      <c r="H764" s="1"/>
      <c r="I764" s="1"/>
      <c r="J764" s="1"/>
      <c r="K764" s="1"/>
      <c r="L764" s="1"/>
      <c r="M764" s="1"/>
      <c r="N764" s="1"/>
      <c r="O764" s="1"/>
      <c r="P764" s="1"/>
      <c r="Q764" s="131"/>
      <c r="R764" s="20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81"/>
      <c r="E765" s="201"/>
      <c r="F765" s="201"/>
      <c r="G765" s="201"/>
      <c r="H765" s="1"/>
      <c r="I765" s="1"/>
      <c r="J765" s="1"/>
      <c r="K765" s="1"/>
      <c r="L765" s="1"/>
      <c r="M765" s="1"/>
      <c r="N765" s="1"/>
      <c r="O765" s="1"/>
      <c r="P765" s="1"/>
      <c r="Q765" s="131"/>
      <c r="R765" s="20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81"/>
      <c r="E766" s="201"/>
      <c r="F766" s="201"/>
      <c r="G766" s="201"/>
      <c r="H766" s="1"/>
      <c r="I766" s="1"/>
      <c r="J766" s="1"/>
      <c r="K766" s="1"/>
      <c r="L766" s="1"/>
      <c r="M766" s="1"/>
      <c r="N766" s="1"/>
      <c r="O766" s="1"/>
      <c r="P766" s="1"/>
      <c r="Q766" s="131"/>
      <c r="R766" s="20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81"/>
      <c r="E767" s="201"/>
      <c r="F767" s="201"/>
      <c r="G767" s="201"/>
      <c r="H767" s="1"/>
      <c r="I767" s="1"/>
      <c r="J767" s="1"/>
      <c r="K767" s="1"/>
      <c r="L767" s="1"/>
      <c r="M767" s="1"/>
      <c r="N767" s="1"/>
      <c r="O767" s="1"/>
      <c r="P767" s="1"/>
      <c r="Q767" s="131"/>
      <c r="R767" s="20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81"/>
      <c r="E768" s="201"/>
      <c r="F768" s="201"/>
      <c r="G768" s="201"/>
      <c r="H768" s="1"/>
      <c r="I768" s="1"/>
      <c r="J768" s="1"/>
      <c r="K768" s="1"/>
      <c r="L768" s="1"/>
      <c r="M768" s="1"/>
      <c r="N768" s="1"/>
      <c r="O768" s="1"/>
      <c r="P768" s="1"/>
      <c r="Q768" s="131"/>
      <c r="R768" s="20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81"/>
      <c r="E769" s="201"/>
      <c r="F769" s="201"/>
      <c r="G769" s="201"/>
      <c r="H769" s="1"/>
      <c r="I769" s="1"/>
      <c r="J769" s="1"/>
      <c r="K769" s="1"/>
      <c r="L769" s="1"/>
      <c r="M769" s="1"/>
      <c r="N769" s="1"/>
      <c r="O769" s="1"/>
      <c r="P769" s="1"/>
      <c r="Q769" s="131"/>
      <c r="R769" s="20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81"/>
      <c r="E770" s="201"/>
      <c r="F770" s="201"/>
      <c r="G770" s="201"/>
      <c r="H770" s="1"/>
      <c r="I770" s="1"/>
      <c r="J770" s="1"/>
      <c r="K770" s="1"/>
      <c r="L770" s="1"/>
      <c r="M770" s="1"/>
      <c r="N770" s="1"/>
      <c r="O770" s="1"/>
      <c r="P770" s="1"/>
      <c r="Q770" s="131"/>
      <c r="R770" s="20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81"/>
      <c r="E771" s="201"/>
      <c r="F771" s="201"/>
      <c r="G771" s="201"/>
      <c r="H771" s="1"/>
      <c r="I771" s="1"/>
      <c r="J771" s="1"/>
      <c r="K771" s="1"/>
      <c r="L771" s="1"/>
      <c r="M771" s="1"/>
      <c r="N771" s="1"/>
      <c r="O771" s="1"/>
      <c r="P771" s="1"/>
      <c r="Q771" s="131"/>
      <c r="R771" s="18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81"/>
      <c r="E772" s="201"/>
      <c r="F772" s="201"/>
      <c r="G772" s="201"/>
      <c r="H772" s="1"/>
      <c r="I772" s="1"/>
      <c r="J772" s="1"/>
      <c r="K772" s="1"/>
      <c r="L772" s="1"/>
      <c r="M772" s="1"/>
      <c r="N772" s="1"/>
      <c r="O772" s="1"/>
      <c r="P772" s="1"/>
      <c r="Q772" s="131"/>
      <c r="R772" s="18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81"/>
      <c r="E773" s="201"/>
      <c r="F773" s="201"/>
      <c r="G773" s="201"/>
      <c r="H773" s="1"/>
      <c r="I773" s="1"/>
      <c r="J773" s="1"/>
      <c r="K773" s="1"/>
      <c r="L773" s="1"/>
      <c r="M773" s="1"/>
      <c r="N773" s="1"/>
      <c r="O773" s="1"/>
      <c r="P773" s="1"/>
      <c r="Q773" s="131"/>
      <c r="R773" s="18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81"/>
      <c r="E774" s="201"/>
      <c r="F774" s="201"/>
      <c r="G774" s="201"/>
      <c r="H774" s="1"/>
      <c r="I774" s="1"/>
      <c r="J774" s="1"/>
      <c r="K774" s="1"/>
      <c r="L774" s="1"/>
      <c r="M774" s="1"/>
      <c r="N774" s="1"/>
      <c r="O774" s="1"/>
      <c r="P774" s="1"/>
      <c r="Q774" s="131"/>
      <c r="R774" s="18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81"/>
      <c r="E775" s="201"/>
      <c r="F775" s="201"/>
      <c r="G775" s="201"/>
      <c r="H775" s="1"/>
      <c r="I775" s="1"/>
      <c r="J775" s="1"/>
      <c r="K775" s="1"/>
      <c r="L775" s="1"/>
      <c r="M775" s="1"/>
      <c r="N775" s="1"/>
      <c r="O775" s="1"/>
      <c r="P775" s="1"/>
      <c r="Q775" s="131"/>
      <c r="R775" s="18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81"/>
      <c r="E776" s="181"/>
      <c r="F776" s="181"/>
      <c r="G776" s="18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8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81"/>
      <c r="E777" s="181"/>
      <c r="F777" s="181"/>
      <c r="G777" s="18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8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81"/>
      <c r="E778" s="181"/>
      <c r="F778" s="181"/>
      <c r="G778" s="18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8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81"/>
      <c r="E779" s="181"/>
      <c r="F779" s="181"/>
      <c r="G779" s="18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8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81"/>
      <c r="E780" s="181"/>
      <c r="F780" s="181"/>
      <c r="G780" s="18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8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81"/>
      <c r="E781" s="181"/>
      <c r="F781" s="181"/>
      <c r="G781" s="18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8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81"/>
      <c r="E782" s="181"/>
      <c r="F782" s="181"/>
      <c r="G782" s="18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8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81"/>
      <c r="E783" s="181"/>
      <c r="F783" s="181"/>
      <c r="G783" s="18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8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81"/>
      <c r="E784" s="181"/>
      <c r="F784" s="181"/>
      <c r="G784" s="18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8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81"/>
      <c r="E785" s="181"/>
      <c r="F785" s="181"/>
      <c r="G785" s="18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8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81"/>
      <c r="E786" s="181"/>
      <c r="F786" s="181"/>
      <c r="G786" s="18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8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81"/>
      <c r="E787" s="181"/>
      <c r="F787" s="181"/>
      <c r="G787" s="18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8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81"/>
      <c r="E788" s="181"/>
      <c r="F788" s="181"/>
      <c r="G788" s="18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8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81"/>
      <c r="E789" s="181"/>
      <c r="F789" s="181"/>
      <c r="G789" s="18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8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81"/>
      <c r="E790" s="181"/>
      <c r="F790" s="181"/>
      <c r="G790" s="18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8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81"/>
      <c r="E791" s="181"/>
      <c r="F791" s="181"/>
      <c r="G791" s="18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8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81"/>
      <c r="E792" s="181"/>
      <c r="F792" s="181"/>
      <c r="G792" s="18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8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81"/>
      <c r="E793" s="181"/>
      <c r="F793" s="181"/>
      <c r="G793" s="18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8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81"/>
      <c r="E794" s="181"/>
      <c r="F794" s="181"/>
      <c r="G794" s="18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8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81"/>
      <c r="E795" s="181"/>
      <c r="F795" s="181"/>
      <c r="G795" s="18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8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81"/>
      <c r="E796" s="181"/>
      <c r="F796" s="181"/>
      <c r="G796" s="18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8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81"/>
      <c r="E797" s="181"/>
      <c r="F797" s="181"/>
      <c r="G797" s="18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8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81"/>
      <c r="E798" s="181"/>
      <c r="F798" s="181"/>
      <c r="G798" s="18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8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81"/>
      <c r="E799" s="181"/>
      <c r="F799" s="181"/>
      <c r="G799" s="18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8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81"/>
      <c r="E800" s="181"/>
      <c r="F800" s="181"/>
      <c r="G800" s="18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8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81"/>
      <c r="E801" s="181"/>
      <c r="F801" s="181"/>
      <c r="G801" s="18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8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81"/>
      <c r="E802" s="181"/>
      <c r="F802" s="181"/>
      <c r="G802" s="18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8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81"/>
      <c r="E803" s="181"/>
      <c r="F803" s="181"/>
      <c r="G803" s="18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8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81"/>
      <c r="E804" s="181"/>
      <c r="F804" s="181"/>
      <c r="G804" s="18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8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81"/>
      <c r="E805" s="181"/>
      <c r="F805" s="181"/>
      <c r="G805" s="18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8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81"/>
      <c r="E806" s="181"/>
      <c r="F806" s="181"/>
      <c r="G806" s="18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8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81"/>
      <c r="E807" s="181"/>
      <c r="F807" s="181"/>
      <c r="G807" s="18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8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81"/>
      <c r="E808" s="181"/>
      <c r="F808" s="181"/>
      <c r="G808" s="18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8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81"/>
      <c r="E809" s="181"/>
      <c r="F809" s="181"/>
      <c r="G809" s="18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8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81"/>
      <c r="E810" s="181"/>
      <c r="F810" s="181"/>
      <c r="G810" s="18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8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81"/>
      <c r="E811" s="181"/>
      <c r="F811" s="181"/>
      <c r="G811" s="18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8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81"/>
      <c r="E812" s="181"/>
      <c r="F812" s="181"/>
      <c r="G812" s="18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8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81"/>
      <c r="E813" s="181"/>
      <c r="F813" s="181"/>
      <c r="G813" s="18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8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81"/>
      <c r="E814" s="181"/>
      <c r="F814" s="181"/>
      <c r="G814" s="18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8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81"/>
      <c r="E815" s="181"/>
      <c r="F815" s="181"/>
      <c r="G815" s="18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8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81"/>
      <c r="E816" s="181"/>
      <c r="F816" s="181"/>
      <c r="G816" s="18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8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81"/>
      <c r="E817" s="181"/>
      <c r="F817" s="181"/>
      <c r="G817" s="18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8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81"/>
      <c r="E818" s="181"/>
      <c r="F818" s="181"/>
      <c r="G818" s="18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8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81"/>
      <c r="E819" s="181"/>
      <c r="F819" s="181"/>
      <c r="G819" s="18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8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81"/>
      <c r="E820" s="181"/>
      <c r="F820" s="181"/>
      <c r="G820" s="18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8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81"/>
      <c r="E821" s="181"/>
      <c r="F821" s="181"/>
      <c r="G821" s="18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8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81"/>
      <c r="E822" s="181"/>
      <c r="F822" s="181"/>
      <c r="G822" s="18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8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81"/>
      <c r="E823" s="181"/>
      <c r="F823" s="181"/>
      <c r="G823" s="18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8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81"/>
      <c r="E824" s="181"/>
      <c r="F824" s="181"/>
      <c r="G824" s="18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8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81"/>
      <c r="E825" s="181"/>
      <c r="F825" s="181"/>
      <c r="G825" s="18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8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81"/>
      <c r="E826" s="181"/>
      <c r="F826" s="181"/>
      <c r="G826" s="18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8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81"/>
      <c r="E827" s="181"/>
      <c r="F827" s="181"/>
      <c r="G827" s="18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8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81"/>
      <c r="E828" s="181"/>
      <c r="F828" s="181"/>
      <c r="G828" s="18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8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81"/>
      <c r="E829" s="181"/>
      <c r="F829" s="181"/>
      <c r="G829" s="18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8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81"/>
      <c r="E830" s="181"/>
      <c r="F830" s="181"/>
      <c r="G830" s="18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8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81"/>
      <c r="E831" s="181"/>
      <c r="F831" s="181"/>
      <c r="G831" s="18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8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81"/>
      <c r="E832" s="181"/>
      <c r="F832" s="181"/>
      <c r="G832" s="18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8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81"/>
      <c r="E833" s="181"/>
      <c r="F833" s="181"/>
      <c r="G833" s="18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8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81"/>
      <c r="E834" s="181"/>
      <c r="F834" s="181"/>
      <c r="G834" s="18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8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81"/>
      <c r="E835" s="181"/>
      <c r="F835" s="181"/>
      <c r="G835" s="18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8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81"/>
      <c r="E836" s="181"/>
      <c r="F836" s="181"/>
      <c r="G836" s="18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8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81"/>
      <c r="E837" s="181"/>
      <c r="F837" s="181"/>
      <c r="G837" s="18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8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81"/>
      <c r="E838" s="181"/>
      <c r="F838" s="181"/>
      <c r="G838" s="18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8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81"/>
      <c r="E839" s="181"/>
      <c r="F839" s="181"/>
      <c r="G839" s="18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8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81"/>
      <c r="E840" s="181"/>
      <c r="F840" s="181"/>
      <c r="G840" s="18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8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81"/>
      <c r="E841" s="181"/>
      <c r="F841" s="181"/>
      <c r="G841" s="18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8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81"/>
      <c r="E842" s="181"/>
      <c r="F842" s="181"/>
      <c r="G842" s="18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8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81"/>
      <c r="E843" s="181"/>
      <c r="F843" s="181"/>
      <c r="G843" s="18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8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81"/>
      <c r="E844" s="181"/>
      <c r="F844" s="181"/>
      <c r="G844" s="18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8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81"/>
      <c r="E845" s="181"/>
      <c r="F845" s="181"/>
      <c r="G845" s="18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8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81"/>
      <c r="E846" s="181"/>
      <c r="F846" s="181"/>
      <c r="G846" s="18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8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81"/>
      <c r="E847" s="181"/>
      <c r="F847" s="181"/>
      <c r="G847" s="18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8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81"/>
      <c r="E848" s="181"/>
      <c r="F848" s="181"/>
      <c r="G848" s="18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8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81"/>
      <c r="E849" s="181"/>
      <c r="F849" s="181"/>
      <c r="G849" s="18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8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81"/>
      <c r="E850" s="181"/>
      <c r="F850" s="181"/>
      <c r="G850" s="18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8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81"/>
      <c r="E851" s="181"/>
      <c r="F851" s="181"/>
      <c r="G851" s="18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8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81"/>
      <c r="E852" s="181"/>
      <c r="F852" s="181"/>
      <c r="G852" s="18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8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81"/>
      <c r="E853" s="181"/>
      <c r="F853" s="181"/>
      <c r="G853" s="18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8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81"/>
      <c r="E854" s="181"/>
      <c r="F854" s="181"/>
      <c r="G854" s="18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8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81"/>
      <c r="E855" s="181"/>
      <c r="F855" s="181"/>
      <c r="G855" s="18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8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81"/>
      <c r="E856" s="181"/>
      <c r="F856" s="181"/>
      <c r="G856" s="18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8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81"/>
      <c r="E857" s="181"/>
      <c r="F857" s="181"/>
      <c r="G857" s="18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8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81"/>
      <c r="E858" s="181"/>
      <c r="F858" s="181"/>
      <c r="G858" s="18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8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81"/>
      <c r="E859" s="181"/>
      <c r="F859" s="181"/>
      <c r="G859" s="18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8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81"/>
      <c r="E860" s="181"/>
      <c r="F860" s="181"/>
      <c r="G860" s="18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8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81"/>
      <c r="E861" s="181"/>
      <c r="F861" s="181"/>
      <c r="G861" s="18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8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81"/>
      <c r="E862" s="181"/>
      <c r="F862" s="181"/>
      <c r="G862" s="18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8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81"/>
      <c r="E863" s="181"/>
      <c r="F863" s="181"/>
      <c r="G863" s="18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8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81"/>
      <c r="E864" s="181"/>
      <c r="F864" s="181"/>
      <c r="G864" s="18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8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81"/>
      <c r="E865" s="181"/>
      <c r="F865" s="181"/>
      <c r="G865" s="18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8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81"/>
      <c r="E866" s="181"/>
      <c r="F866" s="181"/>
      <c r="G866" s="18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8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81"/>
      <c r="E867" s="181"/>
      <c r="F867" s="181"/>
      <c r="G867" s="18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8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81"/>
      <c r="E868" s="181"/>
      <c r="F868" s="181"/>
      <c r="G868" s="18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8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81"/>
      <c r="E869" s="181"/>
      <c r="F869" s="181"/>
      <c r="G869" s="18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8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81"/>
      <c r="E870" s="181"/>
      <c r="F870" s="181"/>
      <c r="G870" s="18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8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81"/>
      <c r="E871" s="181"/>
      <c r="F871" s="181"/>
      <c r="G871" s="18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8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81"/>
      <c r="E872" s="181"/>
      <c r="F872" s="181"/>
      <c r="G872" s="18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8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81"/>
      <c r="E873" s="181"/>
      <c r="F873" s="181"/>
      <c r="G873" s="18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8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81"/>
      <c r="E874" s="181"/>
      <c r="F874" s="181"/>
      <c r="G874" s="18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8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81"/>
      <c r="E875" s="181"/>
      <c r="F875" s="181"/>
      <c r="G875" s="18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8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81"/>
      <c r="E876" s="181"/>
      <c r="F876" s="181"/>
      <c r="G876" s="18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8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81"/>
      <c r="E877" s="181"/>
      <c r="F877" s="181"/>
      <c r="G877" s="18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8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81"/>
      <c r="E878" s="181"/>
      <c r="F878" s="181"/>
      <c r="G878" s="18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8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81"/>
      <c r="E879" s="181"/>
      <c r="F879" s="181"/>
      <c r="G879" s="18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8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81"/>
      <c r="E880" s="181"/>
      <c r="F880" s="181"/>
      <c r="G880" s="18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8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81"/>
      <c r="E881" s="181"/>
      <c r="F881" s="181"/>
      <c r="G881" s="18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8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81"/>
      <c r="E882" s="181"/>
      <c r="F882" s="181"/>
      <c r="G882" s="18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8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81"/>
      <c r="E883" s="181"/>
      <c r="F883" s="181"/>
      <c r="G883" s="18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8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81"/>
      <c r="E884" s="181"/>
      <c r="F884" s="181"/>
      <c r="G884" s="18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8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81"/>
      <c r="E885" s="181"/>
      <c r="F885" s="181"/>
      <c r="G885" s="18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8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81"/>
      <c r="E886" s="181"/>
      <c r="F886" s="181"/>
      <c r="G886" s="18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8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81"/>
      <c r="E887" s="181"/>
      <c r="F887" s="181"/>
      <c r="G887" s="18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8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81"/>
      <c r="E888" s="181"/>
      <c r="F888" s="181"/>
      <c r="G888" s="18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8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81"/>
      <c r="E889" s="181"/>
      <c r="F889" s="181"/>
      <c r="G889" s="18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8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81"/>
      <c r="E890" s="181"/>
      <c r="F890" s="181"/>
      <c r="G890" s="18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8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81"/>
      <c r="E891" s="181"/>
      <c r="F891" s="181"/>
      <c r="G891" s="18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8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81"/>
      <c r="E892" s="181"/>
      <c r="F892" s="181"/>
      <c r="G892" s="18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8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81"/>
      <c r="E893" s="181"/>
      <c r="F893" s="181"/>
      <c r="G893" s="18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8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81"/>
      <c r="E894" s="181"/>
      <c r="F894" s="181"/>
      <c r="G894" s="18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8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81"/>
      <c r="E895" s="181"/>
      <c r="F895" s="181"/>
      <c r="G895" s="18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8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81"/>
      <c r="E896" s="181"/>
      <c r="F896" s="181"/>
      <c r="G896" s="18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8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81"/>
      <c r="E897" s="181"/>
      <c r="F897" s="181"/>
      <c r="G897" s="18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8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81"/>
      <c r="E898" s="181"/>
      <c r="F898" s="181"/>
      <c r="G898" s="18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8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81"/>
      <c r="E899" s="181"/>
      <c r="F899" s="181"/>
      <c r="G899" s="18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8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81"/>
      <c r="E900" s="181"/>
      <c r="F900" s="181"/>
      <c r="G900" s="18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8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81"/>
      <c r="E901" s="181"/>
      <c r="F901" s="181"/>
      <c r="G901" s="18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8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81"/>
      <c r="E902" s="181"/>
      <c r="F902" s="181"/>
      <c r="G902" s="18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8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81"/>
      <c r="E903" s="181"/>
      <c r="F903" s="181"/>
      <c r="G903" s="18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8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81"/>
      <c r="E904" s="181"/>
      <c r="F904" s="181"/>
      <c r="G904" s="18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8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81"/>
      <c r="E905" s="181"/>
      <c r="F905" s="181"/>
      <c r="G905" s="18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8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81"/>
      <c r="E906" s="181"/>
      <c r="F906" s="181"/>
      <c r="G906" s="18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8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81"/>
      <c r="E907" s="181"/>
      <c r="F907" s="181"/>
      <c r="G907" s="18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8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81"/>
      <c r="E908" s="181"/>
      <c r="F908" s="181"/>
      <c r="G908" s="18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8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81"/>
      <c r="E909" s="181"/>
      <c r="F909" s="181"/>
      <c r="G909" s="18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8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81"/>
      <c r="E910" s="181"/>
      <c r="F910" s="181"/>
      <c r="G910" s="18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8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81"/>
      <c r="E911" s="181"/>
      <c r="F911" s="181"/>
      <c r="G911" s="18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8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81"/>
      <c r="E912" s="181"/>
      <c r="F912" s="181"/>
      <c r="G912" s="18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8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81"/>
      <c r="E913" s="181"/>
      <c r="F913" s="181"/>
      <c r="G913" s="18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8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81"/>
      <c r="E914" s="181"/>
      <c r="F914" s="181"/>
      <c r="G914" s="18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8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81"/>
      <c r="E915" s="181"/>
      <c r="F915" s="181"/>
      <c r="G915" s="18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8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81"/>
      <c r="E916" s="181"/>
      <c r="F916" s="181"/>
      <c r="G916" s="18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8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81"/>
      <c r="E917" s="181"/>
      <c r="F917" s="181"/>
      <c r="G917" s="18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8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81"/>
      <c r="E918" s="181"/>
      <c r="F918" s="181"/>
      <c r="G918" s="18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8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81"/>
      <c r="E919" s="181"/>
      <c r="F919" s="181"/>
      <c r="G919" s="18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8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81"/>
      <c r="E920" s="181"/>
      <c r="F920" s="181"/>
      <c r="G920" s="18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8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81"/>
      <c r="E921" s="181"/>
      <c r="F921" s="181"/>
      <c r="G921" s="18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8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81"/>
      <c r="E922" s="181"/>
      <c r="F922" s="181"/>
      <c r="G922" s="18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8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81"/>
      <c r="E923" s="181"/>
      <c r="F923" s="181"/>
      <c r="G923" s="18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8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81"/>
      <c r="E924" s="181"/>
      <c r="F924" s="181"/>
      <c r="G924" s="18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8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81"/>
      <c r="E925" s="181"/>
      <c r="F925" s="181"/>
      <c r="G925" s="18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8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81"/>
      <c r="E926" s="181"/>
      <c r="F926" s="181"/>
      <c r="G926" s="18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8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81"/>
      <c r="E927" s="181"/>
      <c r="F927" s="181"/>
      <c r="G927" s="18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8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81"/>
      <c r="E928" s="181"/>
      <c r="F928" s="181"/>
      <c r="G928" s="18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8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81"/>
      <c r="E929" s="181"/>
      <c r="F929" s="181"/>
      <c r="G929" s="18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8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81"/>
      <c r="E930" s="181"/>
      <c r="F930" s="181"/>
      <c r="G930" s="18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8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81"/>
      <c r="E931" s="181"/>
      <c r="F931" s="181"/>
      <c r="G931" s="18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8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81"/>
      <c r="E932" s="181"/>
      <c r="F932" s="181"/>
      <c r="G932" s="18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8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81"/>
      <c r="E933" s="181"/>
      <c r="F933" s="181"/>
      <c r="G933" s="18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8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81"/>
      <c r="E934" s="181"/>
      <c r="F934" s="181"/>
      <c r="G934" s="18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8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81"/>
      <c r="E935" s="181"/>
      <c r="F935" s="181"/>
      <c r="G935" s="18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8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81"/>
      <c r="E936" s="181"/>
      <c r="F936" s="181"/>
      <c r="G936" s="18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8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81"/>
      <c r="E937" s="181"/>
      <c r="F937" s="181"/>
      <c r="G937" s="18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8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81"/>
      <c r="E938" s="181"/>
      <c r="F938" s="181"/>
      <c r="G938" s="18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8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81"/>
      <c r="E939" s="181"/>
      <c r="F939" s="181"/>
      <c r="G939" s="18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8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81"/>
      <c r="E940" s="181"/>
      <c r="F940" s="181"/>
      <c r="G940" s="18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8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81"/>
      <c r="E941" s="181"/>
      <c r="F941" s="181"/>
      <c r="G941" s="18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8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81"/>
      <c r="E942" s="181"/>
      <c r="F942" s="181"/>
      <c r="G942" s="18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8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81"/>
      <c r="E943" s="181"/>
      <c r="F943" s="181"/>
      <c r="G943" s="18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8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81"/>
      <c r="E944" s="181"/>
      <c r="F944" s="181"/>
      <c r="G944" s="18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8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81"/>
      <c r="E945" s="181"/>
      <c r="F945" s="181"/>
      <c r="G945" s="18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8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81"/>
      <c r="E946" s="181"/>
      <c r="F946" s="181"/>
      <c r="G946" s="18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8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81"/>
      <c r="E947" s="181"/>
      <c r="F947" s="181"/>
      <c r="G947" s="18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8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81"/>
      <c r="E948" s="181"/>
      <c r="F948" s="181"/>
      <c r="G948" s="18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8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81"/>
      <c r="E949" s="181"/>
      <c r="F949" s="181"/>
      <c r="G949" s="18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8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81"/>
      <c r="E950" s="181"/>
      <c r="F950" s="181"/>
      <c r="G950" s="18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8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81"/>
      <c r="E951" s="181"/>
      <c r="F951" s="181"/>
      <c r="G951" s="18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8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81"/>
      <c r="E952" s="181"/>
      <c r="F952" s="181"/>
      <c r="G952" s="18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8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81"/>
      <c r="E953" s="181"/>
      <c r="F953" s="181"/>
      <c r="G953" s="18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8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81"/>
      <c r="E954" s="181"/>
      <c r="F954" s="181"/>
      <c r="G954" s="18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8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81"/>
      <c r="E955" s="181"/>
      <c r="F955" s="181"/>
      <c r="G955" s="18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8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81"/>
      <c r="E956" s="181"/>
      <c r="F956" s="181"/>
      <c r="G956" s="18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8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81"/>
      <c r="E957" s="181"/>
      <c r="F957" s="181"/>
      <c r="G957" s="18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8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81"/>
      <c r="E958" s="181"/>
      <c r="F958" s="181"/>
      <c r="G958" s="18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8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81"/>
      <c r="E959" s="181"/>
      <c r="F959" s="181"/>
      <c r="G959" s="18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8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81"/>
      <c r="E960" s="181"/>
      <c r="F960" s="181"/>
      <c r="G960" s="18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8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81"/>
      <c r="E961" s="181"/>
      <c r="F961" s="181"/>
      <c r="G961" s="18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8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81"/>
      <c r="E962" s="181"/>
      <c r="F962" s="181"/>
      <c r="G962" s="18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8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81"/>
      <c r="E963" s="181"/>
      <c r="F963" s="181"/>
      <c r="G963" s="18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8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81"/>
      <c r="E964" s="181"/>
      <c r="F964" s="181"/>
      <c r="G964" s="18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8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81"/>
      <c r="E965" s="181"/>
      <c r="F965" s="181"/>
      <c r="G965" s="18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8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81"/>
      <c r="E966" s="181"/>
      <c r="F966" s="181"/>
      <c r="G966" s="18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8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81"/>
      <c r="E967" s="181"/>
      <c r="F967" s="181"/>
      <c r="G967" s="18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8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81"/>
      <c r="E968" s="181"/>
      <c r="F968" s="181"/>
      <c r="G968" s="18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8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81"/>
      <c r="E969" s="181"/>
      <c r="F969" s="181"/>
      <c r="G969" s="18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8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81"/>
      <c r="E970" s="181"/>
      <c r="F970" s="181"/>
      <c r="G970" s="18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8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81"/>
      <c r="E971" s="181"/>
      <c r="F971" s="181"/>
      <c r="G971" s="18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8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81"/>
      <c r="E972" s="181"/>
      <c r="F972" s="181"/>
      <c r="G972" s="18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8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81"/>
      <c r="E973" s="181"/>
      <c r="F973" s="181"/>
      <c r="G973" s="18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8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81"/>
      <c r="E974" s="181"/>
      <c r="F974" s="181"/>
      <c r="G974" s="18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8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81"/>
      <c r="E975" s="181"/>
      <c r="F975" s="181"/>
      <c r="G975" s="18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8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81"/>
      <c r="E976" s="181"/>
      <c r="F976" s="181"/>
      <c r="G976" s="18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8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81"/>
      <c r="E977" s="181"/>
      <c r="F977" s="181"/>
      <c r="G977" s="18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8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81"/>
      <c r="E978" s="181"/>
      <c r="F978" s="181"/>
      <c r="G978" s="18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8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81"/>
      <c r="E979" s="181"/>
      <c r="F979" s="181"/>
      <c r="G979" s="18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8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81"/>
      <c r="E980" s="181"/>
      <c r="F980" s="181"/>
      <c r="G980" s="18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8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81"/>
      <c r="E981" s="181"/>
      <c r="F981" s="181"/>
      <c r="G981" s="18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8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81"/>
      <c r="E982" s="181"/>
      <c r="F982" s="181"/>
      <c r="G982" s="18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8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81"/>
      <c r="E983" s="181"/>
      <c r="F983" s="181"/>
      <c r="G983" s="18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8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81"/>
      <c r="E984" s="181"/>
      <c r="F984" s="181"/>
      <c r="G984" s="18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8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</sheetData>
  <mergeCells count="101">
    <mergeCell ref="N2:N3"/>
    <mergeCell ref="O2:O3"/>
    <mergeCell ref="R2:R3"/>
    <mergeCell ref="J1:L1"/>
    <mergeCell ref="M1:O1"/>
    <mergeCell ref="B2:B3"/>
    <mergeCell ref="C2:C3"/>
    <mergeCell ref="D2:D3"/>
    <mergeCell ref="E2:E3"/>
    <mergeCell ref="F2:F3"/>
    <mergeCell ref="P43:P45"/>
    <mergeCell ref="P55:P75"/>
    <mergeCell ref="Q55:Q75"/>
    <mergeCell ref="P107:P120"/>
    <mergeCell ref="Q107:Q120"/>
    <mergeCell ref="Q128:Q131"/>
    <mergeCell ref="R128:R131"/>
    <mergeCell ref="K2:K3"/>
    <mergeCell ref="L2:L3"/>
    <mergeCell ref="K43:K45"/>
    <mergeCell ref="L43:L45"/>
    <mergeCell ref="N43:N45"/>
    <mergeCell ref="O43:O45"/>
    <mergeCell ref="Q43:Q45"/>
    <mergeCell ref="I95:I97"/>
    <mergeCell ref="K95:K97"/>
    <mergeCell ref="L95:L97"/>
    <mergeCell ref="N95:N97"/>
    <mergeCell ref="O95:O97"/>
    <mergeCell ref="P95:P97"/>
    <mergeCell ref="Q95:Q97"/>
    <mergeCell ref="G2:G3"/>
    <mergeCell ref="H2:H3"/>
    <mergeCell ref="E43:E45"/>
    <mergeCell ref="F43:F45"/>
    <mergeCell ref="I43:I45"/>
    <mergeCell ref="F55:F66"/>
    <mergeCell ref="F70:F75"/>
    <mergeCell ref="E55:E75"/>
    <mergeCell ref="E95:E97"/>
    <mergeCell ref="F95:F97"/>
    <mergeCell ref="E107:E121"/>
    <mergeCell ref="F107:F121"/>
    <mergeCell ref="E128:E131"/>
    <mergeCell ref="F128:F131"/>
    <mergeCell ref="E152:E172"/>
    <mergeCell ref="F152:F163"/>
    <mergeCell ref="F167:F172"/>
    <mergeCell ref="E192:E194"/>
    <mergeCell ref="F192:F194"/>
    <mergeCell ref="I192:I194"/>
    <mergeCell ref="K192:K194"/>
    <mergeCell ref="E204:E224"/>
    <mergeCell ref="F204:F215"/>
    <mergeCell ref="F219:F224"/>
    <mergeCell ref="E244:E246"/>
    <mergeCell ref="F244:F246"/>
    <mergeCell ref="I244:I246"/>
    <mergeCell ref="K244:K246"/>
    <mergeCell ref="O128:O131"/>
    <mergeCell ref="P128:P131"/>
    <mergeCell ref="G128:G131"/>
    <mergeCell ref="I128:I131"/>
    <mergeCell ref="J128:J131"/>
    <mergeCell ref="K128:K131"/>
    <mergeCell ref="L128:L131"/>
    <mergeCell ref="M128:M131"/>
    <mergeCell ref="N128:N131"/>
    <mergeCell ref="P140:P142"/>
    <mergeCell ref="Q140:Q142"/>
    <mergeCell ref="P152:P172"/>
    <mergeCell ref="Q152:Q172"/>
    <mergeCell ref="P204:P224"/>
    <mergeCell ref="Q204:Q224"/>
    <mergeCell ref="P257:P272"/>
    <mergeCell ref="Q257:Q272"/>
    <mergeCell ref="E140:E142"/>
    <mergeCell ref="F140:F142"/>
    <mergeCell ref="I140:I142"/>
    <mergeCell ref="K140:K142"/>
    <mergeCell ref="L140:L142"/>
    <mergeCell ref="N140:N142"/>
    <mergeCell ref="O140:O142"/>
    <mergeCell ref="L192:L194"/>
    <mergeCell ref="N192:N194"/>
    <mergeCell ref="O192:O194"/>
    <mergeCell ref="P192:P194"/>
    <mergeCell ref="Q192:Q194"/>
    <mergeCell ref="L244:L246"/>
    <mergeCell ref="N244:N246"/>
    <mergeCell ref="O244:O246"/>
    <mergeCell ref="P244:P246"/>
    <mergeCell ref="Q244:Q246"/>
    <mergeCell ref="R257:R262"/>
    <mergeCell ref="R265:R272"/>
    <mergeCell ref="E257:E274"/>
    <mergeCell ref="F257:F274"/>
    <mergeCell ref="G257:G262"/>
    <mergeCell ref="G265:G266"/>
    <mergeCell ref="G267:G268"/>
    <mergeCell ref="G271:G272"/>
  </mergeCells>
  <drawing r:id="rId1"/>
</worksheet>
</file>